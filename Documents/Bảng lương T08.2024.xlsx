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D:\Lien's\LƯƠNG SHINSUNG\2024\LƯƠNG THÁNG 08\"/>
    </mc:Choice>
  </mc:AlternateContent>
  <xr:revisionPtr revIDLastSave="0" documentId="13_ncr:1_{563D6325-E0D3-4607-A3C9-493791FC46AD}" xr6:coauthVersionLast="47" xr6:coauthVersionMax="47" xr10:uidLastSave="{00000000-0000-0000-0000-000000000000}"/>
  <bookViews>
    <workbookView xWindow="-120" yWindow="-120" windowWidth="29040" windowHeight="15840" firstSheet="2" activeTab="9" xr2:uid="{00000000-000D-0000-FFFF-FFFF00000000}"/>
  </bookViews>
  <sheets>
    <sheet name="Payroll Mr Shin" sheetId="1" r:id="rId1"/>
    <sheet name="Mr. Lim" sheetId="32" r:id="rId2"/>
    <sheet name="Mr.Moon" sheetId="26" r:id="rId3"/>
    <sheet name="Mr. Yang" sheetId="25" r:id="rId4"/>
    <sheet name="Mr. Choi" sheetId="27" r:id="rId5"/>
    <sheet name="Mr. Hwang" sheetId="28" r:id="rId6"/>
    <sheet name="Payroll Office" sheetId="5" r:id="rId7"/>
    <sheet name="Payroll of factory  " sheetId="6" r:id="rId8"/>
    <sheet name="Payroll of factory (SOI) " sheetId="7" r:id="rId9"/>
    <sheet name="Payroll of factory (DET).1" sheetId="8" r:id="rId10"/>
  </sheets>
  <definedNames>
    <definedName name="_xlnm._FilterDatabase" localSheetId="7" hidden="1">'Payroll of factory  '!$A$7:$BR$25</definedName>
    <definedName name="_xlnm._FilterDatabase" localSheetId="9" hidden="1">'Payroll of factory (DET).1'!$A$9:$EC$42</definedName>
    <definedName name="_xlnm._FilterDatabase" localSheetId="8" hidden="1">'Payroll of factory (SOI) '!$A$8:$WXY$27</definedName>
    <definedName name="_xlnm._FilterDatabase" localSheetId="6" hidden="1">'Payroll Office'!$A$8:$WXV$25</definedName>
    <definedName name="_xlnm.Print_Area" localSheetId="4">'Mr. Choi'!$A$1:$AX$13</definedName>
    <definedName name="_xlnm.Print_Area" localSheetId="5">'Mr. Hwang'!$A$1:$AX$13</definedName>
    <definedName name="_xlnm.Print_Area" localSheetId="1">'Mr. Lim'!$A$1:$AX$13</definedName>
    <definedName name="_xlnm.Print_Area" localSheetId="3">'Mr. Yang'!$A$1:$AX$13</definedName>
    <definedName name="_xlnm.Print_Area" localSheetId="2">Mr.Moon!$A$1:$AX$13</definedName>
    <definedName name="_xlnm.Print_Area" localSheetId="0">'Payroll Mr Shin'!$A$1:$AT$14</definedName>
    <definedName name="_xlnm.Print_Area" localSheetId="7">'Payroll of factory  '!$A$1:$BQ$24</definedName>
    <definedName name="_xlnm.Print_Area" localSheetId="9">'Payroll of factory (DET).1'!$A$1:$BT$42</definedName>
    <definedName name="_xlnm.Print_Area" localSheetId="8">'Payroll of factory (SOI) '!$A$1:$BS$29</definedName>
    <definedName name="_xlnm.Print_Area" localSheetId="6">'Payroll Office'!$A$1:$BQ$23</definedName>
    <definedName name="_xlnm.Print_Titles" localSheetId="8">'Payroll of factory (SOI) '!$1:$8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15" i="5" l="1"/>
  <c r="AQ11" i="28"/>
  <c r="AS19" i="1"/>
  <c r="AV21" i="27"/>
  <c r="J11" i="28" l="1"/>
  <c r="I11" i="25"/>
  <c r="BQ22" i="6" l="1"/>
  <c r="BQ14" i="5" l="1"/>
  <c r="BQ27" i="7" l="1"/>
  <c r="BQ12" i="6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BI13" i="6"/>
  <c r="AW13" i="6"/>
  <c r="BD13" i="6" s="1"/>
  <c r="AI13" i="6"/>
  <c r="AJ13" i="6" s="1"/>
  <c r="AD13" i="6"/>
  <c r="AH13" i="6"/>
  <c r="BJ13" i="6"/>
  <c r="AY35" i="8"/>
  <c r="AY16" i="8"/>
  <c r="AW15" i="5"/>
  <c r="BI11" i="6"/>
  <c r="AW11" i="6"/>
  <c r="BD11" i="6" s="1"/>
  <c r="AI11" i="6"/>
  <c r="AJ11" i="6" s="1"/>
  <c r="AD11" i="6"/>
  <c r="Z11" i="6"/>
  <c r="X11" i="6"/>
  <c r="V11" i="6"/>
  <c r="BJ11" i="6" s="1"/>
  <c r="AN13" i="6" l="1"/>
  <c r="AQ13" i="6"/>
  <c r="AM13" i="6"/>
  <c r="AT13" i="6"/>
  <c r="AL13" i="6"/>
  <c r="AS13" i="6"/>
  <c r="AK13" i="6"/>
  <c r="AP13" i="6"/>
  <c r="AR13" i="6"/>
  <c r="AO13" i="6"/>
  <c r="AZ13" i="6"/>
  <c r="AY13" i="6"/>
  <c r="BA13" i="6"/>
  <c r="BE13" i="6"/>
  <c r="AX13" i="6"/>
  <c r="BC13" i="6"/>
  <c r="AN11" i="6"/>
  <c r="AQ11" i="6"/>
  <c r="AM11" i="6"/>
  <c r="AT11" i="6"/>
  <c r="AL11" i="6"/>
  <c r="AU11" i="6" s="1"/>
  <c r="AS11" i="6"/>
  <c r="AK11" i="6"/>
  <c r="AR11" i="6"/>
  <c r="AP11" i="6"/>
  <c r="AO11" i="6"/>
  <c r="BE11" i="6"/>
  <c r="AH11" i="6"/>
  <c r="AX11" i="6"/>
  <c r="AZ11" i="6"/>
  <c r="BA11" i="6"/>
  <c r="AY11" i="6"/>
  <c r="BC11" i="6"/>
  <c r="BB13" i="6" l="1"/>
  <c r="AU13" i="6"/>
  <c r="AV13" i="6" s="1"/>
  <c r="BF13" i="6"/>
  <c r="AV11" i="6"/>
  <c r="BB11" i="6"/>
  <c r="BF11" i="6"/>
  <c r="BK13" i="6" l="1"/>
  <c r="BL13" i="6" s="1"/>
  <c r="BM13" i="6" s="1"/>
  <c r="BO13" i="6" s="1"/>
  <c r="BK11" i="6"/>
  <c r="BL11" i="6" s="1"/>
  <c r="BM11" i="6" s="1"/>
  <c r="BO11" i="6" s="1"/>
  <c r="V24" i="7" l="1"/>
  <c r="Z26" i="7"/>
  <c r="Z25" i="7"/>
  <c r="Z24" i="7"/>
  <c r="Z23" i="7"/>
  <c r="Z22" i="7"/>
  <c r="Z21" i="7"/>
  <c r="Z20" i="7"/>
  <c r="Z19" i="7"/>
  <c r="Z18" i="7"/>
  <c r="Z17" i="7"/>
  <c r="Z16" i="7"/>
  <c r="Z15" i="7"/>
  <c r="Z14" i="7"/>
  <c r="Z13" i="7"/>
  <c r="Z12" i="7"/>
  <c r="Z11" i="7"/>
  <c r="Z10" i="7"/>
  <c r="X10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Z21" i="6"/>
  <c r="Z20" i="6"/>
  <c r="Z19" i="6"/>
  <c r="Z18" i="6"/>
  <c r="Z17" i="6"/>
  <c r="Z16" i="6"/>
  <c r="Z15" i="6"/>
  <c r="Z14" i="6"/>
  <c r="Z9" i="6"/>
  <c r="X21" i="6"/>
  <c r="X20" i="6"/>
  <c r="X19" i="6"/>
  <c r="X18" i="6"/>
  <c r="X17" i="6"/>
  <c r="X16" i="6"/>
  <c r="X15" i="6"/>
  <c r="X14" i="6"/>
  <c r="X9" i="6"/>
  <c r="V21" i="6"/>
  <c r="V20" i="6"/>
  <c r="V19" i="6"/>
  <c r="V18" i="6"/>
  <c r="V17" i="6"/>
  <c r="V16" i="6"/>
  <c r="V15" i="6"/>
  <c r="V14" i="6"/>
  <c r="V9" i="6"/>
  <c r="AA23" i="5"/>
  <c r="Z19" i="5"/>
  <c r="Z13" i="5"/>
  <c r="Z12" i="5"/>
  <c r="X19" i="5"/>
  <c r="X13" i="5"/>
  <c r="X12" i="5"/>
  <c r="V22" i="5"/>
  <c r="V21" i="5"/>
  <c r="V20" i="5"/>
  <c r="V19" i="5"/>
  <c r="V18" i="5"/>
  <c r="V17" i="5"/>
  <c r="V16" i="5"/>
  <c r="V13" i="5"/>
  <c r="V12" i="5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C21" i="6"/>
  <c r="AC20" i="6"/>
  <c r="AC19" i="6"/>
  <c r="AC18" i="6"/>
  <c r="AC17" i="6"/>
  <c r="AC16" i="6"/>
  <c r="AC15" i="6"/>
  <c r="AC14" i="6"/>
  <c r="AC9" i="6"/>
  <c r="BI15" i="5" l="1"/>
  <c r="BE15" i="5"/>
  <c r="BD15" i="5"/>
  <c r="BC15" i="5"/>
  <c r="BA15" i="5"/>
  <c r="AZ15" i="5"/>
  <c r="AY15" i="5"/>
  <c r="AX15" i="5"/>
  <c r="AI15" i="5"/>
  <c r="AJ15" i="5" s="1"/>
  <c r="AD15" i="5"/>
  <c r="AH15" i="5"/>
  <c r="BB15" i="5" l="1"/>
  <c r="BF15" i="5"/>
  <c r="AR15" i="5"/>
  <c r="AN15" i="5"/>
  <c r="AM15" i="5"/>
  <c r="AP15" i="5"/>
  <c r="AL15" i="5"/>
  <c r="AK15" i="5"/>
  <c r="BJ15" i="5"/>
  <c r="S11" i="28"/>
  <c r="AU15" i="5" l="1"/>
  <c r="AV15" i="5" s="1"/>
  <c r="BK15" i="5" l="1"/>
  <c r="BL15" i="5" s="1"/>
  <c r="BM15" i="5" s="1"/>
  <c r="AE27" i="7"/>
  <c r="BO15" i="5" l="1"/>
  <c r="AY18" i="8" l="1"/>
  <c r="AY14" i="8"/>
  <c r="Z10" i="5" l="1"/>
  <c r="V10" i="5"/>
  <c r="T10" i="5"/>
  <c r="BK36" i="8"/>
  <c r="AY36" i="8"/>
  <c r="AI36" i="8"/>
  <c r="AJ36" i="8" s="1"/>
  <c r="AD36" i="8"/>
  <c r="V36" i="8"/>
  <c r="BK35" i="8"/>
  <c r="BE35" i="8"/>
  <c r="AI35" i="8"/>
  <c r="AJ35" i="8" s="1"/>
  <c r="AD35" i="8"/>
  <c r="V35" i="8"/>
  <c r="BF36" i="8" l="1"/>
  <c r="AO36" i="8"/>
  <c r="AU36" i="8"/>
  <c r="AM36" i="8"/>
  <c r="BL36" i="8"/>
  <c r="AP36" i="8"/>
  <c r="BG36" i="8"/>
  <c r="AH36" i="8"/>
  <c r="AQ36" i="8"/>
  <c r="AZ36" i="8"/>
  <c r="AR36" i="8"/>
  <c r="BA36" i="8"/>
  <c r="BB36" i="8"/>
  <c r="AN36" i="8"/>
  <c r="AS36" i="8"/>
  <c r="AK36" i="8"/>
  <c r="AT36" i="8"/>
  <c r="BC36" i="8"/>
  <c r="BE36" i="8"/>
  <c r="BL35" i="8"/>
  <c r="BC35" i="8"/>
  <c r="AU35" i="8"/>
  <c r="AM35" i="8"/>
  <c r="AT35" i="8"/>
  <c r="AS35" i="8"/>
  <c r="AR35" i="8"/>
  <c r="AP35" i="8"/>
  <c r="AO35" i="8"/>
  <c r="AN35" i="8"/>
  <c r="AK35" i="8"/>
  <c r="AQ35" i="8"/>
  <c r="BG35" i="8"/>
  <c r="AH35" i="8"/>
  <c r="AZ35" i="8"/>
  <c r="BA35" i="8"/>
  <c r="BF35" i="8"/>
  <c r="BB35" i="8"/>
  <c r="AV36" i="8" l="1"/>
  <c r="AX36" i="8" s="1"/>
  <c r="BH36" i="8"/>
  <c r="BD36" i="8"/>
  <c r="BH35" i="8"/>
  <c r="BD35" i="8"/>
  <c r="AV35" i="8"/>
  <c r="AX35" i="8" s="1"/>
  <c r="BM36" i="8" l="1"/>
  <c r="BN36" i="8" s="1"/>
  <c r="BO36" i="8" s="1"/>
  <c r="BM35" i="8"/>
  <c r="BN35" i="8" s="1"/>
  <c r="BO35" i="8" s="1"/>
  <c r="BR35" i="8" l="1"/>
  <c r="BR36" i="8"/>
  <c r="BK34" i="8"/>
  <c r="AY34" i="8"/>
  <c r="AI34" i="8"/>
  <c r="AJ34" i="8" s="1"/>
  <c r="AD34" i="8"/>
  <c r="V34" i="8"/>
  <c r="BK16" i="8"/>
  <c r="BF16" i="8"/>
  <c r="AI16" i="8"/>
  <c r="AJ16" i="8" s="1"/>
  <c r="AD16" i="8"/>
  <c r="V16" i="8"/>
  <c r="BF34" i="8" l="1"/>
  <c r="BL16" i="8"/>
  <c r="BL34" i="8"/>
  <c r="AO34" i="8"/>
  <c r="AN34" i="8"/>
  <c r="AU34" i="8"/>
  <c r="AM34" i="8"/>
  <c r="AT34" i="8"/>
  <c r="AK34" i="8"/>
  <c r="AS34" i="8"/>
  <c r="AQ34" i="8"/>
  <c r="AP34" i="8"/>
  <c r="AR34" i="8"/>
  <c r="AH34" i="8"/>
  <c r="AZ34" i="8"/>
  <c r="BA34" i="8"/>
  <c r="BG34" i="8"/>
  <c r="BB34" i="8"/>
  <c r="BC34" i="8"/>
  <c r="BE34" i="8"/>
  <c r="AO16" i="8"/>
  <c r="AN16" i="8"/>
  <c r="AU16" i="8"/>
  <c r="AM16" i="8"/>
  <c r="AT16" i="8"/>
  <c r="AK16" i="8"/>
  <c r="AS16" i="8"/>
  <c r="AR16" i="8"/>
  <c r="AQ16" i="8"/>
  <c r="AP16" i="8"/>
  <c r="BG16" i="8"/>
  <c r="AH16" i="8"/>
  <c r="AZ16" i="8"/>
  <c r="BA16" i="8"/>
  <c r="BB16" i="8"/>
  <c r="BC16" i="8"/>
  <c r="BE16" i="8"/>
  <c r="BD34" i="8" l="1"/>
  <c r="AV34" i="8"/>
  <c r="AX34" i="8" s="1"/>
  <c r="BH34" i="8"/>
  <c r="BH16" i="8"/>
  <c r="AV16" i="8"/>
  <c r="AX16" i="8" s="1"/>
  <c r="BD16" i="8"/>
  <c r="BM34" i="8" l="1"/>
  <c r="BN34" i="8" s="1"/>
  <c r="BO34" i="8" s="1"/>
  <c r="BM16" i="8"/>
  <c r="BN16" i="8" s="1"/>
  <c r="BO16" i="8" s="1"/>
  <c r="BR16" i="8" l="1"/>
  <c r="BR34" i="8"/>
  <c r="AX11" i="7" l="1"/>
  <c r="A11" i="7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BN23" i="5"/>
  <c r="A11" i="5"/>
  <c r="I11" i="27" l="1"/>
  <c r="I11" i="26"/>
  <c r="I11" i="32"/>
  <c r="J12" i="1"/>
  <c r="R12" i="1" s="1"/>
  <c r="S12" i="1" s="1"/>
  <c r="I12" i="1"/>
  <c r="BJ20" i="7" l="1"/>
  <c r="AX20" i="7"/>
  <c r="AI20" i="7"/>
  <c r="AJ20" i="7" s="1"/>
  <c r="AD20" i="7"/>
  <c r="V20" i="7"/>
  <c r="AW13" i="5"/>
  <c r="BE20" i="7" l="1"/>
  <c r="BK20" i="7"/>
  <c r="AN20" i="7"/>
  <c r="AT20" i="7"/>
  <c r="AL20" i="7"/>
  <c r="AS20" i="7"/>
  <c r="AK20" i="7"/>
  <c r="AO20" i="7"/>
  <c r="AM20" i="7"/>
  <c r="AR20" i="7"/>
  <c r="AQ20" i="7"/>
  <c r="AP20" i="7"/>
  <c r="BF20" i="7"/>
  <c r="AH20" i="7"/>
  <c r="AY20" i="7"/>
  <c r="AZ20" i="7"/>
  <c r="BA20" i="7"/>
  <c r="BB20" i="7"/>
  <c r="BD20" i="7"/>
  <c r="BC20" i="7" l="1"/>
  <c r="AU20" i="7"/>
  <c r="AW20" i="7" s="1"/>
  <c r="BG20" i="7"/>
  <c r="BL20" i="7" l="1"/>
  <c r="BM20" i="7" s="1"/>
  <c r="BN20" i="7" s="1"/>
  <c r="BQ20" i="7" l="1"/>
  <c r="BI19" i="5"/>
  <c r="AW19" i="5"/>
  <c r="AI19" i="5"/>
  <c r="AJ19" i="5" s="1"/>
  <c r="AD19" i="5"/>
  <c r="AH19" i="5" l="1"/>
  <c r="BD19" i="5"/>
  <c r="AK19" i="5"/>
  <c r="AL19" i="5"/>
  <c r="AM19" i="5"/>
  <c r="AX19" i="5"/>
  <c r="AY19" i="5"/>
  <c r="AO19" i="5"/>
  <c r="AZ19" i="5"/>
  <c r="BJ19" i="5"/>
  <c r="AN19" i="5"/>
  <c r="AP19" i="5"/>
  <c r="BA19" i="5"/>
  <c r="BE19" i="5"/>
  <c r="AR19" i="5"/>
  <c r="BC19" i="5"/>
  <c r="BF19" i="5" l="1"/>
  <c r="AU19" i="5"/>
  <c r="AV19" i="5" s="1"/>
  <c r="BB19" i="5"/>
  <c r="BL19" i="5" l="1"/>
  <c r="BM19" i="5" s="1"/>
  <c r="BO19" i="5" l="1"/>
  <c r="BK18" i="8" l="1"/>
  <c r="BC18" i="8"/>
  <c r="AI18" i="8"/>
  <c r="AJ18" i="8" s="1"/>
  <c r="AD18" i="8"/>
  <c r="V18" i="8"/>
  <c r="AH18" i="8" l="1"/>
  <c r="BE18" i="8"/>
  <c r="BF18" i="8"/>
  <c r="AT18" i="8"/>
  <c r="AK18" i="8"/>
  <c r="AS18" i="8"/>
  <c r="AR18" i="8"/>
  <c r="AQ18" i="8"/>
  <c r="AP18" i="8"/>
  <c r="AO18" i="8"/>
  <c r="AN18" i="8"/>
  <c r="AU18" i="8"/>
  <c r="AM18" i="8"/>
  <c r="BA18" i="8"/>
  <c r="BL18" i="8"/>
  <c r="BG18" i="8"/>
  <c r="AZ18" i="8"/>
  <c r="BB18" i="8"/>
  <c r="BH18" i="8" l="1"/>
  <c r="AV18" i="8"/>
  <c r="AX18" i="8" s="1"/>
  <c r="BD18" i="8"/>
  <c r="BM18" i="8" l="1"/>
  <c r="BN18" i="8" s="1"/>
  <c r="BO18" i="8" s="1"/>
  <c r="BR18" i="8" l="1"/>
  <c r="R27" i="7"/>
  <c r="S27" i="7"/>
  <c r="T27" i="7"/>
  <c r="U27" i="7"/>
  <c r="W27" i="7"/>
  <c r="Y27" i="7"/>
  <c r="AA27" i="7"/>
  <c r="AB27" i="7"/>
  <c r="AC27" i="7"/>
  <c r="AF27" i="7"/>
  <c r="AG27" i="7"/>
  <c r="AV27" i="7"/>
  <c r="BH27" i="7"/>
  <c r="BI27" i="7"/>
  <c r="BO27" i="7"/>
  <c r="BR27" i="7"/>
  <c r="Q27" i="7"/>
  <c r="F27" i="7"/>
  <c r="G27" i="7"/>
  <c r="H27" i="7"/>
  <c r="I27" i="7"/>
  <c r="E27" i="7"/>
  <c r="AX17" i="7"/>
  <c r="AX15" i="7"/>
  <c r="X27" i="7" l="1"/>
  <c r="Z27" i="7"/>
  <c r="AD13" i="7" l="1"/>
  <c r="AD14" i="7"/>
  <c r="BI14" i="5"/>
  <c r="BE14" i="5"/>
  <c r="BD14" i="5"/>
  <c r="BC14" i="5"/>
  <c r="BA14" i="5"/>
  <c r="AZ14" i="5"/>
  <c r="AY14" i="5"/>
  <c r="AX14" i="5"/>
  <c r="AI14" i="5"/>
  <c r="AJ14" i="5" s="1"/>
  <c r="AD14" i="5"/>
  <c r="AW12" i="5"/>
  <c r="BF14" i="5" l="1"/>
  <c r="AH14" i="5"/>
  <c r="BB14" i="5"/>
  <c r="AR14" i="5"/>
  <c r="AP14" i="5"/>
  <c r="AN14" i="5"/>
  <c r="AM14" i="5"/>
  <c r="AL14" i="5"/>
  <c r="AK14" i="5"/>
  <c r="BJ14" i="5"/>
  <c r="AU14" i="5" l="1"/>
  <c r="AV14" i="5" s="1"/>
  <c r="BK14" i="5" l="1"/>
  <c r="BL14" i="5" s="1"/>
  <c r="BM14" i="5" s="1"/>
  <c r="BO14" i="5" l="1"/>
  <c r="BP40" i="8" l="1"/>
  <c r="BF10" i="5" l="1"/>
  <c r="BB15" i="7"/>
  <c r="BB17" i="7"/>
  <c r="BA13" i="5"/>
  <c r="BA10" i="5"/>
  <c r="AW21" i="6" l="1"/>
  <c r="AW18" i="6"/>
  <c r="BA21" i="6" l="1"/>
  <c r="BA18" i="6"/>
  <c r="AX26" i="7"/>
  <c r="AX25" i="7"/>
  <c r="AD26" i="7"/>
  <c r="BB25" i="7" l="1"/>
  <c r="BB26" i="7"/>
  <c r="BK33" i="8"/>
  <c r="AY33" i="8"/>
  <c r="AI33" i="8"/>
  <c r="AJ33" i="8" s="1"/>
  <c r="AD33" i="8"/>
  <c r="V33" i="8"/>
  <c r="BC33" i="8" l="1"/>
  <c r="BF33" i="8"/>
  <c r="BL33" i="8"/>
  <c r="AN33" i="8"/>
  <c r="AU33" i="8"/>
  <c r="AM33" i="8"/>
  <c r="AT33" i="8"/>
  <c r="AK33" i="8"/>
  <c r="AP33" i="8"/>
  <c r="AO33" i="8"/>
  <c r="AS33" i="8"/>
  <c r="AR33" i="8"/>
  <c r="AQ33" i="8"/>
  <c r="AH33" i="8"/>
  <c r="AZ33" i="8"/>
  <c r="BA33" i="8"/>
  <c r="BB33" i="8"/>
  <c r="BG33" i="8"/>
  <c r="BE33" i="8"/>
  <c r="BD33" i="8" l="1"/>
  <c r="BH33" i="8"/>
  <c r="AV33" i="8"/>
  <c r="AX33" i="8" s="1"/>
  <c r="BM33" i="8" l="1"/>
  <c r="BN33" i="8" s="1"/>
  <c r="BO33" i="8" s="1"/>
  <c r="BR33" i="8" l="1"/>
  <c r="AY32" i="8"/>
  <c r="AY31" i="8"/>
  <c r="AY30" i="8"/>
  <c r="AY29" i="8"/>
  <c r="BC29" i="8" l="1"/>
  <c r="BC30" i="8"/>
  <c r="BC31" i="8"/>
  <c r="BC32" i="8"/>
  <c r="AW9" i="6"/>
  <c r="BA9" i="6" s="1"/>
  <c r="AX24" i="7" l="1"/>
  <c r="AX23" i="7"/>
  <c r="AY28" i="8"/>
  <c r="AY27" i="8"/>
  <c r="AY17" i="8"/>
  <c r="AW16" i="6"/>
  <c r="BC17" i="8" l="1"/>
  <c r="BC27" i="8"/>
  <c r="BC28" i="8"/>
  <c r="BB23" i="7"/>
  <c r="BB24" i="7"/>
  <c r="BA16" i="6"/>
  <c r="AP11" i="28"/>
  <c r="AP11" i="27"/>
  <c r="AP11" i="25"/>
  <c r="AP11" i="26"/>
  <c r="AP11" i="32"/>
  <c r="E22" i="6"/>
  <c r="E23" i="5"/>
  <c r="Q40" i="8"/>
  <c r="BK11" i="8"/>
  <c r="AY11" i="8"/>
  <c r="AI11" i="8"/>
  <c r="AJ11" i="8" s="1"/>
  <c r="AD11" i="8"/>
  <c r="V11" i="8"/>
  <c r="BD21" i="6"/>
  <c r="BI21" i="6"/>
  <c r="AI21" i="6"/>
  <c r="AJ21" i="6" s="1"/>
  <c r="AD21" i="6"/>
  <c r="BJ21" i="6"/>
  <c r="BI18" i="6"/>
  <c r="BE18" i="6"/>
  <c r="BD18" i="6"/>
  <c r="AY18" i="6"/>
  <c r="AX18" i="6"/>
  <c r="BC18" i="6"/>
  <c r="AI18" i="6"/>
  <c r="AJ18" i="6" s="1"/>
  <c r="AD18" i="6"/>
  <c r="BJ18" i="6"/>
  <c r="BF18" i="6" l="1"/>
  <c r="BC11" i="8"/>
  <c r="BL11" i="8"/>
  <c r="AT18" i="6"/>
  <c r="BF11" i="8"/>
  <c r="AH11" i="8"/>
  <c r="AZ11" i="8"/>
  <c r="BG11" i="8"/>
  <c r="AN11" i="8"/>
  <c r="AU11" i="8"/>
  <c r="AM11" i="8"/>
  <c r="AT11" i="8"/>
  <c r="AK11" i="8"/>
  <c r="AS11" i="8"/>
  <c r="AR11" i="8"/>
  <c r="AO11" i="8"/>
  <c r="AQ11" i="8"/>
  <c r="AP11" i="8"/>
  <c r="BA11" i="8"/>
  <c r="BB11" i="8"/>
  <c r="BE11" i="8"/>
  <c r="BE21" i="6"/>
  <c r="AM21" i="6"/>
  <c r="AT21" i="6"/>
  <c r="AL21" i="6"/>
  <c r="AS21" i="6"/>
  <c r="AK21" i="6"/>
  <c r="AR21" i="6"/>
  <c r="AQ21" i="6"/>
  <c r="AN21" i="6"/>
  <c r="AP21" i="6"/>
  <c r="AO21" i="6"/>
  <c r="AH21" i="6"/>
  <c r="AX21" i="6"/>
  <c r="AY21" i="6"/>
  <c r="AZ21" i="6"/>
  <c r="BC21" i="6"/>
  <c r="AZ18" i="6"/>
  <c r="BB18" i="6" s="1"/>
  <c r="AO18" i="6"/>
  <c r="AN18" i="6"/>
  <c r="AH18" i="6"/>
  <c r="AP18" i="6"/>
  <c r="AQ18" i="6"/>
  <c r="AM18" i="6"/>
  <c r="AR18" i="6"/>
  <c r="AK18" i="6"/>
  <c r="AS18" i="6"/>
  <c r="AL18" i="6"/>
  <c r="BH11" i="8" l="1"/>
  <c r="BF21" i="6"/>
  <c r="BB21" i="6"/>
  <c r="BD11" i="8"/>
  <c r="AV11" i="8"/>
  <c r="AX11" i="8" s="1"/>
  <c r="AU21" i="6"/>
  <c r="AV21" i="6" s="1"/>
  <c r="AU18" i="6"/>
  <c r="AV18" i="6" s="1"/>
  <c r="BM11" i="8" l="1"/>
  <c r="BN11" i="8" s="1"/>
  <c r="BO11" i="8" s="1"/>
  <c r="BK21" i="6"/>
  <c r="BL21" i="6" s="1"/>
  <c r="BM21" i="6" s="1"/>
  <c r="BK18" i="6"/>
  <c r="BL18" i="6" s="1"/>
  <c r="BM18" i="6" s="1"/>
  <c r="BR11" i="8" l="1"/>
  <c r="BO18" i="6"/>
  <c r="BO21" i="6"/>
  <c r="BJ22" i="7" l="1"/>
  <c r="AX22" i="7"/>
  <c r="AI22" i="7"/>
  <c r="AJ22" i="7" s="1"/>
  <c r="AD22" i="7"/>
  <c r="V22" i="7"/>
  <c r="BK32" i="8"/>
  <c r="BG32" i="8"/>
  <c r="BF32" i="8"/>
  <c r="BE32" i="8"/>
  <c r="BB32" i="8"/>
  <c r="BA32" i="8"/>
  <c r="AZ32" i="8"/>
  <c r="AI32" i="8"/>
  <c r="AJ32" i="8" s="1"/>
  <c r="AD32" i="8"/>
  <c r="V32" i="8"/>
  <c r="BK30" i="8"/>
  <c r="BG30" i="8"/>
  <c r="BF30" i="8"/>
  <c r="BE30" i="8"/>
  <c r="BB30" i="8"/>
  <c r="BA30" i="8"/>
  <c r="AZ30" i="8"/>
  <c r="AI30" i="8"/>
  <c r="AJ30" i="8" s="1"/>
  <c r="AD30" i="8"/>
  <c r="V30" i="8"/>
  <c r="BK29" i="8"/>
  <c r="BG29" i="8"/>
  <c r="BF29" i="8"/>
  <c r="BE29" i="8"/>
  <c r="BB29" i="8"/>
  <c r="BA29" i="8"/>
  <c r="AZ29" i="8"/>
  <c r="AI29" i="8"/>
  <c r="AJ29" i="8" s="1"/>
  <c r="AD29" i="8"/>
  <c r="V29" i="8"/>
  <c r="BK28" i="8"/>
  <c r="BG28" i="8"/>
  <c r="BF28" i="8"/>
  <c r="BE28" i="8"/>
  <c r="BB28" i="8"/>
  <c r="BA28" i="8"/>
  <c r="AZ28" i="8"/>
  <c r="AI28" i="8"/>
  <c r="AJ28" i="8" s="1"/>
  <c r="AD28" i="8"/>
  <c r="V28" i="8"/>
  <c r="BH28" i="8" l="1"/>
  <c r="BH30" i="8"/>
  <c r="BD28" i="8"/>
  <c r="BH32" i="8"/>
  <c r="BD30" i="8"/>
  <c r="BH29" i="8"/>
  <c r="BD29" i="8"/>
  <c r="BD32" i="8"/>
  <c r="BB22" i="7"/>
  <c r="BE22" i="7"/>
  <c r="BK22" i="7"/>
  <c r="AT22" i="7"/>
  <c r="AL22" i="7"/>
  <c r="AS22" i="7"/>
  <c r="AK22" i="7"/>
  <c r="AR22" i="7"/>
  <c r="AQ22" i="7"/>
  <c r="AP22" i="7"/>
  <c r="AM22" i="7"/>
  <c r="AO22" i="7"/>
  <c r="AN22" i="7"/>
  <c r="BF22" i="7"/>
  <c r="AH22" i="7"/>
  <c r="AY22" i="7"/>
  <c r="AZ22" i="7"/>
  <c r="BA22" i="7"/>
  <c r="BD22" i="7"/>
  <c r="BL32" i="8"/>
  <c r="AU32" i="8"/>
  <c r="AN32" i="8"/>
  <c r="AP32" i="8"/>
  <c r="AO32" i="8"/>
  <c r="AH32" i="8"/>
  <c r="AQ32" i="8"/>
  <c r="AR32" i="8"/>
  <c r="AS32" i="8"/>
  <c r="AK32" i="8"/>
  <c r="AT32" i="8"/>
  <c r="AM32" i="8"/>
  <c r="BL30" i="8"/>
  <c r="BL28" i="8"/>
  <c r="AH29" i="8"/>
  <c r="AU30" i="8"/>
  <c r="AM30" i="8"/>
  <c r="AT30" i="8"/>
  <c r="AK30" i="8"/>
  <c r="AS30" i="8"/>
  <c r="AR30" i="8"/>
  <c r="AQ30" i="8"/>
  <c r="AP30" i="8"/>
  <c r="AN30" i="8"/>
  <c r="AO30" i="8"/>
  <c r="AH30" i="8"/>
  <c r="AU29" i="8"/>
  <c r="AM29" i="8"/>
  <c r="AQ29" i="8"/>
  <c r="AT29" i="8"/>
  <c r="AK29" i="8"/>
  <c r="AS29" i="8"/>
  <c r="AR29" i="8"/>
  <c r="AN29" i="8"/>
  <c r="AO29" i="8"/>
  <c r="AP29" i="8"/>
  <c r="BL29" i="8"/>
  <c r="AQ28" i="8"/>
  <c r="AP28" i="8"/>
  <c r="AO28" i="8"/>
  <c r="AN28" i="8"/>
  <c r="AU28" i="8"/>
  <c r="AM28" i="8"/>
  <c r="AT28" i="8"/>
  <c r="AK28" i="8"/>
  <c r="AS28" i="8"/>
  <c r="AR28" i="8"/>
  <c r="AH28" i="8"/>
  <c r="BJ26" i="7"/>
  <c r="BF26" i="7"/>
  <c r="BE26" i="7"/>
  <c r="BD26" i="7"/>
  <c r="BA26" i="7"/>
  <c r="AZ26" i="7"/>
  <c r="AY26" i="7"/>
  <c r="AI26" i="7"/>
  <c r="AJ26" i="7" s="1"/>
  <c r="V26" i="7"/>
  <c r="BJ25" i="7"/>
  <c r="BF25" i="7"/>
  <c r="BE25" i="7"/>
  <c r="BD25" i="7"/>
  <c r="BA25" i="7"/>
  <c r="AZ25" i="7"/>
  <c r="AY25" i="7"/>
  <c r="AI25" i="7"/>
  <c r="AJ25" i="7" s="1"/>
  <c r="AD25" i="7"/>
  <c r="V25" i="7"/>
  <c r="BG26" i="7" l="1"/>
  <c r="BG22" i="7"/>
  <c r="BC22" i="7"/>
  <c r="BG25" i="7"/>
  <c r="BC25" i="7"/>
  <c r="BC26" i="7"/>
  <c r="AU22" i="7"/>
  <c r="AW22" i="7" s="1"/>
  <c r="AV32" i="8"/>
  <c r="AX32" i="8" s="1"/>
  <c r="AV30" i="8"/>
  <c r="AX30" i="8" s="1"/>
  <c r="AV29" i="8"/>
  <c r="AX29" i="8" s="1"/>
  <c r="AV28" i="8"/>
  <c r="AX28" i="8" s="1"/>
  <c r="BK26" i="7"/>
  <c r="AT26" i="7"/>
  <c r="AL26" i="7"/>
  <c r="AS26" i="7"/>
  <c r="AK26" i="7"/>
  <c r="AR26" i="7"/>
  <c r="AQ26" i="7"/>
  <c r="AM26" i="7"/>
  <c r="AP26" i="7"/>
  <c r="AO26" i="7"/>
  <c r="AN26" i="7"/>
  <c r="AH26" i="7"/>
  <c r="AT25" i="7"/>
  <c r="AM25" i="7"/>
  <c r="AH25" i="7"/>
  <c r="AN25" i="7"/>
  <c r="AO25" i="7"/>
  <c r="BK25" i="7"/>
  <c r="AP25" i="7"/>
  <c r="AQ25" i="7"/>
  <c r="AK25" i="7"/>
  <c r="AS25" i="7"/>
  <c r="AR25" i="7"/>
  <c r="AL25" i="7"/>
  <c r="BL22" i="7" l="1"/>
  <c r="BM32" i="8"/>
  <c r="BN32" i="8" s="1"/>
  <c r="BO32" i="8" s="1"/>
  <c r="BM30" i="8"/>
  <c r="BN30" i="8" s="1"/>
  <c r="BO30" i="8" s="1"/>
  <c r="BM29" i="8"/>
  <c r="BN29" i="8" s="1"/>
  <c r="BO29" i="8" s="1"/>
  <c r="BM28" i="8"/>
  <c r="BN28" i="8" s="1"/>
  <c r="BO28" i="8" s="1"/>
  <c r="AU26" i="7"/>
  <c r="AW26" i="7" s="1"/>
  <c r="AU25" i="7"/>
  <c r="AW25" i="7" s="1"/>
  <c r="BL25" i="7" l="1"/>
  <c r="BM25" i="7" s="1"/>
  <c r="BN25" i="7" s="1"/>
  <c r="BL26" i="7"/>
  <c r="BM26" i="7" s="1"/>
  <c r="BN26" i="7" s="1"/>
  <c r="BR29" i="8"/>
  <c r="BR32" i="8"/>
  <c r="BR28" i="8"/>
  <c r="BR30" i="8"/>
  <c r="BM22" i="7"/>
  <c r="AX19" i="7"/>
  <c r="BQ26" i="7" l="1"/>
  <c r="BQ25" i="7"/>
  <c r="BB19" i="7"/>
  <c r="BN22" i="7"/>
  <c r="BQ22" i="7" l="1"/>
  <c r="AW17" i="6" l="1"/>
  <c r="BA17" i="6" l="1"/>
  <c r="R40" i="8"/>
  <c r="S40" i="8"/>
  <c r="T40" i="8"/>
  <c r="U40" i="8"/>
  <c r="W40" i="8"/>
  <c r="Y40" i="8"/>
  <c r="AA40" i="8"/>
  <c r="AB40" i="8"/>
  <c r="AE40" i="8"/>
  <c r="AF40" i="8"/>
  <c r="AG40" i="8"/>
  <c r="AL40" i="8"/>
  <c r="AW40" i="8"/>
  <c r="BI40" i="8"/>
  <c r="BJ40" i="8"/>
  <c r="F40" i="8"/>
  <c r="G40" i="8"/>
  <c r="H40" i="8"/>
  <c r="I40" i="8"/>
  <c r="J40" i="8"/>
  <c r="E40" i="8"/>
  <c r="Q23" i="5"/>
  <c r="F23" i="5"/>
  <c r="G23" i="5"/>
  <c r="I23" i="5"/>
  <c r="J23" i="5"/>
  <c r="K23" i="5"/>
  <c r="L23" i="5"/>
  <c r="M23" i="5"/>
  <c r="N23" i="5"/>
  <c r="O23" i="5"/>
  <c r="P23" i="5"/>
  <c r="R23" i="5"/>
  <c r="S23" i="5"/>
  <c r="T23" i="5"/>
  <c r="U23" i="5"/>
  <c r="W23" i="5"/>
  <c r="Y23" i="5"/>
  <c r="AB23" i="5"/>
  <c r="AE23" i="5"/>
  <c r="AG23" i="5"/>
  <c r="AQ23" i="5"/>
  <c r="AT23" i="5"/>
  <c r="BG23" i="5"/>
  <c r="BH23" i="5"/>
  <c r="J27" i="7" l="1"/>
  <c r="K27" i="7"/>
  <c r="L27" i="7"/>
  <c r="M27" i="7"/>
  <c r="N27" i="7"/>
  <c r="O27" i="7"/>
  <c r="P27" i="7"/>
  <c r="AF32" i="7"/>
  <c r="AI9" i="6"/>
  <c r="AF22" i="6"/>
  <c r="BJ24" i="7" l="1"/>
  <c r="BE24" i="7"/>
  <c r="AI24" i="7"/>
  <c r="AJ24" i="7" s="1"/>
  <c r="AD24" i="7"/>
  <c r="BJ23" i="7"/>
  <c r="BE23" i="7"/>
  <c r="AI23" i="7"/>
  <c r="AJ23" i="7" s="1"/>
  <c r="AD23" i="7"/>
  <c r="V23" i="7"/>
  <c r="BK24" i="7" l="1"/>
  <c r="BK23" i="7"/>
  <c r="AY24" i="7"/>
  <c r="BF24" i="7"/>
  <c r="AM24" i="7"/>
  <c r="AT24" i="7"/>
  <c r="AL24" i="7"/>
  <c r="AS24" i="7"/>
  <c r="AK24" i="7"/>
  <c r="AR24" i="7"/>
  <c r="AQ24" i="7"/>
  <c r="AN24" i="7"/>
  <c r="AP24" i="7"/>
  <c r="AO24" i="7"/>
  <c r="AH24" i="7"/>
  <c r="AZ24" i="7"/>
  <c r="BA24" i="7"/>
  <c r="BD24" i="7"/>
  <c r="AY23" i="7"/>
  <c r="AZ23" i="7"/>
  <c r="BD23" i="7"/>
  <c r="BF23" i="7"/>
  <c r="AH23" i="7"/>
  <c r="AM23" i="7"/>
  <c r="AQ23" i="7"/>
  <c r="AP23" i="7"/>
  <c r="AT23" i="7"/>
  <c r="AL23" i="7"/>
  <c r="AS23" i="7"/>
  <c r="AK23" i="7"/>
  <c r="AR23" i="7"/>
  <c r="AO23" i="7"/>
  <c r="AN23" i="7"/>
  <c r="BA23" i="7"/>
  <c r="BG24" i="7" l="1"/>
  <c r="BG23" i="7"/>
  <c r="BC23" i="7"/>
  <c r="BC24" i="7"/>
  <c r="AU24" i="7"/>
  <c r="AW24" i="7" s="1"/>
  <c r="AU23" i="7"/>
  <c r="AW23" i="7" s="1"/>
  <c r="BL23" i="7" l="1"/>
  <c r="BM23" i="7" s="1"/>
  <c r="BN23" i="7" s="1"/>
  <c r="BL24" i="7"/>
  <c r="BM24" i="7" s="1"/>
  <c r="BN24" i="7" s="1"/>
  <c r="BQ24" i="7" l="1"/>
  <c r="BQ23" i="7"/>
  <c r="BK31" i="8" l="1"/>
  <c r="BG31" i="8"/>
  <c r="BF31" i="8"/>
  <c r="BE31" i="8"/>
  <c r="BB31" i="8"/>
  <c r="BA31" i="8"/>
  <c r="AZ31" i="8"/>
  <c r="AI31" i="8"/>
  <c r="AJ31" i="8" s="1"/>
  <c r="AD31" i="8"/>
  <c r="V31" i="8"/>
  <c r="BH31" i="8" l="1"/>
  <c r="BD31" i="8"/>
  <c r="AH31" i="8"/>
  <c r="BL31" i="8"/>
  <c r="AU31" i="8"/>
  <c r="AM31" i="8"/>
  <c r="AT31" i="8"/>
  <c r="AK31" i="8"/>
  <c r="AQ31" i="8"/>
  <c r="AR31" i="8"/>
  <c r="AP31" i="8"/>
  <c r="AO31" i="8"/>
  <c r="AN31" i="8"/>
  <c r="AS31" i="8"/>
  <c r="AV31" i="8" l="1"/>
  <c r="AX31" i="8" s="1"/>
  <c r="BM31" i="8" l="1"/>
  <c r="BN31" i="8" s="1"/>
  <c r="BO31" i="8" s="1"/>
  <c r="BR31" i="8" l="1"/>
  <c r="BK27" i="8"/>
  <c r="BG27" i="8"/>
  <c r="BF27" i="8"/>
  <c r="BE27" i="8"/>
  <c r="BB27" i="8"/>
  <c r="BA27" i="8"/>
  <c r="AZ27" i="8"/>
  <c r="AI27" i="8"/>
  <c r="AJ27" i="8" s="1"/>
  <c r="AD27" i="8"/>
  <c r="V27" i="8"/>
  <c r="BH27" i="8" l="1"/>
  <c r="BD27" i="8"/>
  <c r="BL27" i="8"/>
  <c r="AT27" i="8"/>
  <c r="AK27" i="8"/>
  <c r="AS27" i="8"/>
  <c r="AR27" i="8"/>
  <c r="AQ27" i="8"/>
  <c r="AN27" i="8"/>
  <c r="AU27" i="8"/>
  <c r="AP27" i="8"/>
  <c r="AO27" i="8"/>
  <c r="AM27" i="8"/>
  <c r="AH27" i="8"/>
  <c r="AV27" i="8" l="1"/>
  <c r="AX27" i="8" l="1"/>
  <c r="BM27" i="8" l="1"/>
  <c r="BN27" i="8" s="1"/>
  <c r="BO27" i="8" s="1"/>
  <c r="AY12" i="8"/>
  <c r="AY13" i="8"/>
  <c r="AY15" i="8"/>
  <c r="AY19" i="8"/>
  <c r="AY20" i="8"/>
  <c r="AY21" i="8"/>
  <c r="AY22" i="8"/>
  <c r="AY23" i="8"/>
  <c r="AY24" i="8"/>
  <c r="AY25" i="8"/>
  <c r="AY26" i="8"/>
  <c r="AY37" i="8"/>
  <c r="AY38" i="8"/>
  <c r="AY39" i="8"/>
  <c r="AI12" i="8"/>
  <c r="AI13" i="8"/>
  <c r="AI14" i="8"/>
  <c r="AI15" i="8"/>
  <c r="AI17" i="8"/>
  <c r="AI19" i="8"/>
  <c r="AI20" i="8"/>
  <c r="AI21" i="8"/>
  <c r="AI22" i="8"/>
  <c r="AI23" i="8"/>
  <c r="AI24" i="8"/>
  <c r="AI25" i="8"/>
  <c r="AI26" i="8"/>
  <c r="AI37" i="8"/>
  <c r="AI38" i="8"/>
  <c r="AI39" i="8"/>
  <c r="BB11" i="7"/>
  <c r="AX12" i="7"/>
  <c r="AX13" i="7"/>
  <c r="AX14" i="7"/>
  <c r="AX16" i="7"/>
  <c r="AX18" i="7"/>
  <c r="AX21" i="7"/>
  <c r="BA10" i="6"/>
  <c r="AW14" i="6"/>
  <c r="AW15" i="6"/>
  <c r="AW19" i="6"/>
  <c r="AW20" i="6"/>
  <c r="AW17" i="5"/>
  <c r="AW18" i="5"/>
  <c r="AW11" i="5"/>
  <c r="AW21" i="5"/>
  <c r="AW22" i="5"/>
  <c r="AW20" i="5"/>
  <c r="BR27" i="8" l="1"/>
  <c r="BC15" i="8"/>
  <c r="BC14" i="8"/>
  <c r="BC39" i="8"/>
  <c r="BC37" i="8"/>
  <c r="BC22" i="8"/>
  <c r="BC13" i="8"/>
  <c r="BC24" i="8"/>
  <c r="BC23" i="8"/>
  <c r="BC38" i="8"/>
  <c r="BC26" i="8"/>
  <c r="BC21" i="8"/>
  <c r="BC12" i="8"/>
  <c r="BC25" i="8"/>
  <c r="BC20" i="8"/>
  <c r="BC19" i="8"/>
  <c r="BB14" i="7"/>
  <c r="BB13" i="7"/>
  <c r="BB12" i="7"/>
  <c r="BB21" i="7"/>
  <c r="BB18" i="7"/>
  <c r="BB16" i="7"/>
  <c r="BA11" i="5"/>
  <c r="BA12" i="5"/>
  <c r="BA18" i="5"/>
  <c r="BA20" i="5"/>
  <c r="BA17" i="5"/>
  <c r="BA22" i="5"/>
  <c r="BA21" i="5"/>
  <c r="BA14" i="6"/>
  <c r="BA12" i="6"/>
  <c r="BA15" i="6"/>
  <c r="BA20" i="6"/>
  <c r="BA19" i="6"/>
  <c r="BA22" i="6" l="1"/>
  <c r="V11" i="5"/>
  <c r="AC10" i="8" l="1"/>
  <c r="AC40" i="8" l="1"/>
  <c r="BI17" i="6" l="1"/>
  <c r="BD17" i="6"/>
  <c r="AI17" i="6"/>
  <c r="AJ17" i="6" s="1"/>
  <c r="AD17" i="6"/>
  <c r="BJ17" i="6"/>
  <c r="AY17" i="6" l="1"/>
  <c r="BE17" i="6"/>
  <c r="AH17" i="6"/>
  <c r="AX17" i="6"/>
  <c r="AM17" i="6"/>
  <c r="AT17" i="6"/>
  <c r="AL17" i="6"/>
  <c r="AS17" i="6"/>
  <c r="AK17" i="6"/>
  <c r="AR17" i="6"/>
  <c r="AQ17" i="6"/>
  <c r="AP17" i="6"/>
  <c r="AO17" i="6"/>
  <c r="AN17" i="6"/>
  <c r="AZ17" i="6"/>
  <c r="BC17" i="6"/>
  <c r="BF17" i="6" l="1"/>
  <c r="BB17" i="6"/>
  <c r="AU17" i="6"/>
  <c r="AV17" i="6" l="1"/>
  <c r="BK17" i="6" l="1"/>
  <c r="BL17" i="6" s="1"/>
  <c r="BM17" i="6" s="1"/>
  <c r="V10" i="6"/>
  <c r="BO17" i="6" l="1"/>
  <c r="Z17" i="5"/>
  <c r="Z18" i="5"/>
  <c r="Z11" i="5"/>
  <c r="Z21" i="5"/>
  <c r="Z22" i="5"/>
  <c r="Z20" i="5"/>
  <c r="Z16" i="5"/>
  <c r="X17" i="5"/>
  <c r="X18" i="5"/>
  <c r="X11" i="5"/>
  <c r="X21" i="5"/>
  <c r="X22" i="5"/>
  <c r="X20" i="5"/>
  <c r="V23" i="5" l="1"/>
  <c r="Z23" i="5"/>
  <c r="BK12" i="8" l="1"/>
  <c r="BK13" i="8"/>
  <c r="BK14" i="8"/>
  <c r="BK15" i="8"/>
  <c r="BK17" i="8"/>
  <c r="BK19" i="8"/>
  <c r="BK20" i="8"/>
  <c r="BK21" i="8"/>
  <c r="BK22" i="8"/>
  <c r="BK23" i="8"/>
  <c r="BK24" i="8"/>
  <c r="BK25" i="8"/>
  <c r="BK26" i="8"/>
  <c r="BK37" i="8"/>
  <c r="BK38" i="8"/>
  <c r="BK39" i="8"/>
  <c r="BK10" i="8"/>
  <c r="BI16" i="5"/>
  <c r="BI17" i="5"/>
  <c r="BI18" i="5"/>
  <c r="BI12" i="5"/>
  <c r="BI11" i="5"/>
  <c r="BI21" i="5"/>
  <c r="BI13" i="5"/>
  <c r="BI22" i="5"/>
  <c r="BI20" i="5"/>
  <c r="BJ11" i="7"/>
  <c r="BJ12" i="7"/>
  <c r="BJ13" i="7"/>
  <c r="BJ14" i="7"/>
  <c r="BJ15" i="7"/>
  <c r="BJ16" i="7"/>
  <c r="BJ17" i="7"/>
  <c r="BJ18" i="7"/>
  <c r="BJ19" i="7"/>
  <c r="BJ21" i="7"/>
  <c r="BJ10" i="7"/>
  <c r="BI10" i="6"/>
  <c r="BI12" i="6"/>
  <c r="BI14" i="6"/>
  <c r="BI15" i="6"/>
  <c r="BI16" i="6"/>
  <c r="BI19" i="6"/>
  <c r="BI20" i="6"/>
  <c r="BI9" i="6"/>
  <c r="BJ27" i="7" l="1"/>
  <c r="BK40" i="8"/>
  <c r="BJ16" i="6"/>
  <c r="AI16" i="6"/>
  <c r="AJ16" i="6" s="1"/>
  <c r="AD16" i="6"/>
  <c r="BC16" i="6" l="1"/>
  <c r="AH16" i="6"/>
  <c r="BD16" i="6"/>
  <c r="BE16" i="6"/>
  <c r="AX16" i="6"/>
  <c r="AT16" i="6"/>
  <c r="AL16" i="6"/>
  <c r="AN16" i="6"/>
  <c r="AM16" i="6"/>
  <c r="AS16" i="6"/>
  <c r="AK16" i="6"/>
  <c r="AR16" i="6"/>
  <c r="AQ16" i="6"/>
  <c r="AP16" i="6"/>
  <c r="AO16" i="6"/>
  <c r="AY16" i="6"/>
  <c r="AZ16" i="6"/>
  <c r="BF16" i="6" l="1"/>
  <c r="BB16" i="6"/>
  <c r="AU16" i="6"/>
  <c r="AV16" i="6" l="1"/>
  <c r="BK16" i="6" l="1"/>
  <c r="BL16" i="6" s="1"/>
  <c r="BM16" i="6" s="1"/>
  <c r="AJ26" i="8"/>
  <c r="AD26" i="8"/>
  <c r="V26" i="8"/>
  <c r="AJ25" i="8"/>
  <c r="AD25" i="8"/>
  <c r="V25" i="8"/>
  <c r="BO16" i="6" l="1"/>
  <c r="BE25" i="8"/>
  <c r="BE26" i="8"/>
  <c r="BL25" i="8"/>
  <c r="BL26" i="8"/>
  <c r="BF25" i="8"/>
  <c r="BF26" i="8"/>
  <c r="AU26" i="8"/>
  <c r="AM26" i="8"/>
  <c r="AT26" i="8"/>
  <c r="AK26" i="8"/>
  <c r="AS26" i="8"/>
  <c r="AN26" i="8"/>
  <c r="AR26" i="8"/>
  <c r="AQ26" i="8"/>
  <c r="AP26" i="8"/>
  <c r="AO26" i="8"/>
  <c r="BG26" i="8"/>
  <c r="AH26" i="8"/>
  <c r="AZ26" i="8"/>
  <c r="BA26" i="8"/>
  <c r="BB26" i="8"/>
  <c r="AU25" i="8"/>
  <c r="AM25" i="8"/>
  <c r="AT25" i="8"/>
  <c r="AK25" i="8"/>
  <c r="AN25" i="8"/>
  <c r="AS25" i="8"/>
  <c r="AR25" i="8"/>
  <c r="AQ25" i="8"/>
  <c r="AP25" i="8"/>
  <c r="AO25" i="8"/>
  <c r="BG25" i="8"/>
  <c r="AH25" i="8"/>
  <c r="AZ25" i="8"/>
  <c r="BA25" i="8"/>
  <c r="BB25" i="8"/>
  <c r="BD13" i="7"/>
  <c r="AI13" i="7"/>
  <c r="AJ13" i="7" s="1"/>
  <c r="V13" i="7"/>
  <c r="AI12" i="7"/>
  <c r="AD12" i="7"/>
  <c r="V12" i="7"/>
  <c r="BH26" i="8" l="1"/>
  <c r="BH25" i="8"/>
  <c r="BD25" i="8"/>
  <c r="BD26" i="8"/>
  <c r="AJ12" i="7"/>
  <c r="AY12" i="7"/>
  <c r="BK12" i="7"/>
  <c r="AH12" i="7"/>
  <c r="BD12" i="7"/>
  <c r="AV26" i="8"/>
  <c r="AV25" i="8"/>
  <c r="BK13" i="7"/>
  <c r="AT13" i="7"/>
  <c r="AL13" i="7"/>
  <c r="AS13" i="7"/>
  <c r="AK13" i="7"/>
  <c r="AR13" i="7"/>
  <c r="AO13" i="7"/>
  <c r="AM13" i="7"/>
  <c r="AQ13" i="7"/>
  <c r="AP13" i="7"/>
  <c r="AN13" i="7"/>
  <c r="BE13" i="7"/>
  <c r="BF13" i="7"/>
  <c r="AH13" i="7"/>
  <c r="AY13" i="7"/>
  <c r="AZ13" i="7"/>
  <c r="BA13" i="7"/>
  <c r="BE12" i="7"/>
  <c r="BF12" i="7"/>
  <c r="AZ12" i="7"/>
  <c r="BA12" i="7"/>
  <c r="BG13" i="7" l="1"/>
  <c r="BG12" i="7"/>
  <c r="BC12" i="7"/>
  <c r="BC13" i="7"/>
  <c r="AO12" i="7"/>
  <c r="AL12" i="7"/>
  <c r="AP12" i="7"/>
  <c r="AK12" i="7"/>
  <c r="AS12" i="7"/>
  <c r="AN12" i="7"/>
  <c r="AQ12" i="7"/>
  <c r="AT12" i="7"/>
  <c r="AM12" i="7"/>
  <c r="AR12" i="7"/>
  <c r="AX26" i="8"/>
  <c r="AX25" i="8"/>
  <c r="AU13" i="7"/>
  <c r="AU12" i="7" l="1"/>
  <c r="AW12" i="7" s="1"/>
  <c r="BM26" i="8"/>
  <c r="BN26" i="8" s="1"/>
  <c r="BO26" i="8" s="1"/>
  <c r="AW13" i="7"/>
  <c r="BM25" i="8"/>
  <c r="BN25" i="8" s="1"/>
  <c r="BO25" i="8" s="1"/>
  <c r="BL13" i="7" l="1"/>
  <c r="BM13" i="7" s="1"/>
  <c r="BN13" i="7" s="1"/>
  <c r="BL12" i="7"/>
  <c r="BM12" i="7" s="1"/>
  <c r="BN12" i="7" s="1"/>
  <c r="BR26" i="8"/>
  <c r="BR25" i="8"/>
  <c r="BQ13" i="7" l="1"/>
  <c r="BQ12" i="7"/>
  <c r="AW16" i="5"/>
  <c r="AW23" i="5" l="1"/>
  <c r="BA16" i="5"/>
  <c r="BA23" i="5" s="1"/>
  <c r="AJ37" i="8"/>
  <c r="AD37" i="8"/>
  <c r="V37" i="8"/>
  <c r="AX10" i="7"/>
  <c r="AX27" i="7" s="1"/>
  <c r="AI10" i="7"/>
  <c r="AD10" i="7"/>
  <c r="V10" i="7"/>
  <c r="AI21" i="5"/>
  <c r="AJ21" i="5" s="1"/>
  <c r="AD21" i="5"/>
  <c r="BJ21" i="5"/>
  <c r="BC17" i="5"/>
  <c r="AI17" i="5"/>
  <c r="AJ17" i="5" s="1"/>
  <c r="AD17" i="5"/>
  <c r="BJ17" i="5"/>
  <c r="BB10" i="7" l="1"/>
  <c r="BB27" i="7" s="1"/>
  <c r="AH10" i="7"/>
  <c r="AH17" i="5"/>
  <c r="AH21" i="5"/>
  <c r="AJ10" i="7"/>
  <c r="BD10" i="7"/>
  <c r="BC21" i="5"/>
  <c r="AP17" i="5"/>
  <c r="AM17" i="5"/>
  <c r="AN17" i="5"/>
  <c r="AP21" i="5"/>
  <c r="AN21" i="5"/>
  <c r="AM21" i="5"/>
  <c r="BE37" i="8"/>
  <c r="BK10" i="7"/>
  <c r="BF37" i="8"/>
  <c r="BL37" i="8"/>
  <c r="BD21" i="5"/>
  <c r="BE21" i="5"/>
  <c r="BD17" i="5"/>
  <c r="AU37" i="8"/>
  <c r="AM37" i="8"/>
  <c r="AT37" i="8"/>
  <c r="AK37" i="8"/>
  <c r="AS37" i="8"/>
  <c r="AR37" i="8"/>
  <c r="AN37" i="8"/>
  <c r="AQ37" i="8"/>
  <c r="AP37" i="8"/>
  <c r="AO37" i="8"/>
  <c r="BG37" i="8"/>
  <c r="AH37" i="8"/>
  <c r="AZ37" i="8"/>
  <c r="BA37" i="8"/>
  <c r="BB37" i="8"/>
  <c r="BF10" i="7"/>
  <c r="BE10" i="7"/>
  <c r="AY10" i="7"/>
  <c r="AZ10" i="7"/>
  <c r="BA10" i="7"/>
  <c r="AR21" i="5"/>
  <c r="AO21" i="5"/>
  <c r="AL21" i="5"/>
  <c r="AK21" i="5"/>
  <c r="AX21" i="5"/>
  <c r="AY21" i="5"/>
  <c r="AZ21" i="5"/>
  <c r="AO17" i="5"/>
  <c r="AL17" i="5"/>
  <c r="AK17" i="5"/>
  <c r="BE17" i="5"/>
  <c r="AX17" i="5"/>
  <c r="AY17" i="5"/>
  <c r="AZ17" i="5"/>
  <c r="BB17" i="5" l="1"/>
  <c r="BB21" i="5"/>
  <c r="BC10" i="7"/>
  <c r="BG10" i="7"/>
  <c r="BD37" i="8"/>
  <c r="BH37" i="8"/>
  <c r="BF17" i="5"/>
  <c r="BF21" i="5"/>
  <c r="AS10" i="7"/>
  <c r="AL10" i="7"/>
  <c r="AR10" i="7"/>
  <c r="AT10" i="7"/>
  <c r="AK10" i="7"/>
  <c r="AU21" i="5"/>
  <c r="AV21" i="5" s="1"/>
  <c r="AU17" i="5"/>
  <c r="AN10" i="7"/>
  <c r="AM10" i="7"/>
  <c r="AP10" i="7"/>
  <c r="AQ10" i="7"/>
  <c r="AO10" i="7"/>
  <c r="AV37" i="8"/>
  <c r="AV17" i="5" l="1"/>
  <c r="AX37" i="8"/>
  <c r="BK21" i="5"/>
  <c r="BL21" i="5" s="1"/>
  <c r="BM21" i="5" s="1"/>
  <c r="AU10" i="7"/>
  <c r="BO21" i="5" l="1"/>
  <c r="AW10" i="7"/>
  <c r="BM37" i="8"/>
  <c r="BN37" i="8" s="1"/>
  <c r="BO37" i="8" s="1"/>
  <c r="BK17" i="5"/>
  <c r="BL17" i="5" s="1"/>
  <c r="BM17" i="5" s="1"/>
  <c r="BL10" i="7" l="1"/>
  <c r="BR37" i="8"/>
  <c r="BO17" i="5"/>
  <c r="BM10" i="7" l="1"/>
  <c r="BN10" i="7" l="1"/>
  <c r="BQ10" i="7" l="1"/>
  <c r="AD15" i="6" l="1"/>
  <c r="AI20" i="5"/>
  <c r="AJ20" i="5" s="1"/>
  <c r="AD20" i="5"/>
  <c r="X16" i="5"/>
  <c r="A3" i="6"/>
  <c r="T12" i="1"/>
  <c r="X23" i="5" l="1"/>
  <c r="AH20" i="5"/>
  <c r="AM20" i="5"/>
  <c r="AN20" i="5"/>
  <c r="BJ20" i="5"/>
  <c r="AP20" i="5"/>
  <c r="BC20" i="5"/>
  <c r="BD20" i="5"/>
  <c r="AR20" i="5"/>
  <c r="AL20" i="5"/>
  <c r="AK20" i="5"/>
  <c r="BE20" i="5"/>
  <c r="AX20" i="5"/>
  <c r="AY20" i="5"/>
  <c r="AZ20" i="5"/>
  <c r="V39" i="8"/>
  <c r="BB20" i="5" l="1"/>
  <c r="BF20" i="5"/>
  <c r="AU20" i="5"/>
  <c r="AV20" i="5" s="1"/>
  <c r="AI10" i="8"/>
  <c r="AI40" i="8" s="1"/>
  <c r="BK20" i="5" l="1"/>
  <c r="BL20" i="5" s="1"/>
  <c r="BM20" i="5" s="1"/>
  <c r="BO20" i="5" l="1"/>
  <c r="BJ11" i="5" l="1"/>
  <c r="AI11" i="5"/>
  <c r="AJ11" i="5" s="1"/>
  <c r="AD11" i="5"/>
  <c r="AJ13" i="8"/>
  <c r="AD13" i="8"/>
  <c r="V13" i="8"/>
  <c r="BE12" i="8"/>
  <c r="AJ12" i="8"/>
  <c r="AD12" i="8"/>
  <c r="V12" i="8"/>
  <c r="AY10" i="8"/>
  <c r="AJ10" i="8"/>
  <c r="AD10" i="8"/>
  <c r="Z10" i="8"/>
  <c r="X10" i="8"/>
  <c r="V10" i="8"/>
  <c r="AY40" i="8" l="1"/>
  <c r="BC10" i="8"/>
  <c r="BC40" i="8" s="1"/>
  <c r="AH11" i="5"/>
  <c r="AN11" i="5"/>
  <c r="AM11" i="5"/>
  <c r="AP11" i="5"/>
  <c r="AH12" i="8"/>
  <c r="AH10" i="8"/>
  <c r="BE13" i="8"/>
  <c r="BE10" i="8"/>
  <c r="AH13" i="8"/>
  <c r="BD11" i="5"/>
  <c r="BL13" i="8"/>
  <c r="BF13" i="8"/>
  <c r="BL12" i="8"/>
  <c r="BL10" i="8"/>
  <c r="BE11" i="5"/>
  <c r="AR11" i="5"/>
  <c r="AO11" i="5"/>
  <c r="AL11" i="5"/>
  <c r="AK11" i="5"/>
  <c r="AX11" i="5"/>
  <c r="AY11" i="5"/>
  <c r="AZ11" i="5"/>
  <c r="BC11" i="5"/>
  <c r="AU13" i="8"/>
  <c r="AM13" i="8"/>
  <c r="AT13" i="8"/>
  <c r="AK13" i="8"/>
  <c r="AS13" i="8"/>
  <c r="AN13" i="8"/>
  <c r="AR13" i="8"/>
  <c r="AQ13" i="8"/>
  <c r="AP13" i="8"/>
  <c r="AO13" i="8"/>
  <c r="BG13" i="8"/>
  <c r="AZ13" i="8"/>
  <c r="BA13" i="8"/>
  <c r="BB13" i="8"/>
  <c r="BF12" i="8"/>
  <c r="AU12" i="8"/>
  <c r="AM12" i="8"/>
  <c r="AT12" i="8"/>
  <c r="AK12" i="8"/>
  <c r="AS12" i="8"/>
  <c r="AR12" i="8"/>
  <c r="AQ12" i="8"/>
  <c r="AP12" i="8"/>
  <c r="AN12" i="8"/>
  <c r="AO12" i="8"/>
  <c r="BG12" i="8"/>
  <c r="AZ12" i="8"/>
  <c r="BA12" i="8"/>
  <c r="BB12" i="8"/>
  <c r="AU10" i="8"/>
  <c r="AM10" i="8"/>
  <c r="AT10" i="8"/>
  <c r="AK10" i="8"/>
  <c r="AN10" i="8"/>
  <c r="AS10" i="8"/>
  <c r="AR10" i="8"/>
  <c r="AQ10" i="8"/>
  <c r="AP10" i="8"/>
  <c r="AO10" i="8"/>
  <c r="BG10" i="8"/>
  <c r="AZ10" i="8"/>
  <c r="BA10" i="8"/>
  <c r="BB10" i="8"/>
  <c r="BF10" i="8"/>
  <c r="BB11" i="5" l="1"/>
  <c r="BH12" i="8"/>
  <c r="BH10" i="8"/>
  <c r="BH13" i="8"/>
  <c r="BF11" i="5"/>
  <c r="BD13" i="8"/>
  <c r="BD10" i="8"/>
  <c r="BD12" i="8"/>
  <c r="AU11" i="5"/>
  <c r="AV13" i="8"/>
  <c r="AV12" i="8"/>
  <c r="AV10" i="8"/>
  <c r="AX10" i="8" s="1"/>
  <c r="AV11" i="5" l="1"/>
  <c r="AX12" i="8"/>
  <c r="AX13" i="8"/>
  <c r="BK11" i="5" l="1"/>
  <c r="BL11" i="5" s="1"/>
  <c r="BM11" i="5" s="1"/>
  <c r="BM10" i="8"/>
  <c r="BN10" i="8" s="1"/>
  <c r="BM12" i="8"/>
  <c r="BN12" i="8" s="1"/>
  <c r="BO12" i="8" s="1"/>
  <c r="BM13" i="8"/>
  <c r="BN13" i="8" s="1"/>
  <c r="BO13" i="8" s="1"/>
  <c r="BR13" i="8" l="1"/>
  <c r="BR12" i="8"/>
  <c r="BO11" i="5"/>
  <c r="BO10" i="8"/>
  <c r="BR10" i="8" s="1"/>
  <c r="BC19" i="6"/>
  <c r="AI19" i="6"/>
  <c r="AJ19" i="6" s="1"/>
  <c r="AD19" i="6"/>
  <c r="AD20" i="6"/>
  <c r="AI20" i="6"/>
  <c r="AJ20" i="6" s="1"/>
  <c r="BC15" i="6"/>
  <c r="AI15" i="6"/>
  <c r="BJ15" i="6"/>
  <c r="AJ15" i="6" l="1"/>
  <c r="AH20" i="6"/>
  <c r="BC20" i="6"/>
  <c r="AZ20" i="6"/>
  <c r="AY20" i="6"/>
  <c r="BJ20" i="6"/>
  <c r="BJ19" i="6"/>
  <c r="BD20" i="6"/>
  <c r="BD19" i="6"/>
  <c r="AT19" i="6"/>
  <c r="AL19" i="6"/>
  <c r="AS19" i="6"/>
  <c r="AK19" i="6"/>
  <c r="AR19" i="6"/>
  <c r="AQ19" i="6"/>
  <c r="AP19" i="6"/>
  <c r="AM19" i="6"/>
  <c r="AO19" i="6"/>
  <c r="AN19" i="6"/>
  <c r="BE19" i="6"/>
  <c r="AH19" i="6"/>
  <c r="AX19" i="6"/>
  <c r="AY19" i="6"/>
  <c r="AZ19" i="6"/>
  <c r="AR20" i="6"/>
  <c r="AK20" i="6"/>
  <c r="AS20" i="6"/>
  <c r="AL20" i="6"/>
  <c r="AT20" i="6"/>
  <c r="AM20" i="6"/>
  <c r="AN20" i="6"/>
  <c r="AO20" i="6"/>
  <c r="AQ20" i="6"/>
  <c r="AP20" i="6"/>
  <c r="AX20" i="6"/>
  <c r="BE20" i="6"/>
  <c r="AH15" i="6"/>
  <c r="BD15" i="6"/>
  <c r="BE15" i="6"/>
  <c r="AX15" i="6"/>
  <c r="AY15" i="6"/>
  <c r="AZ15" i="6"/>
  <c r="BB20" i="6" l="1"/>
  <c r="BF19" i="6"/>
  <c r="AQ15" i="6"/>
  <c r="AR15" i="6"/>
  <c r="AS15" i="6"/>
  <c r="BF15" i="6"/>
  <c r="BB15" i="6"/>
  <c r="BF20" i="6"/>
  <c r="BB19" i="6"/>
  <c r="AM15" i="6"/>
  <c r="AT15" i="6"/>
  <c r="AL15" i="6"/>
  <c r="AP15" i="6"/>
  <c r="AO15" i="6"/>
  <c r="AK15" i="6"/>
  <c r="AN15" i="6"/>
  <c r="AU19" i="6"/>
  <c r="AV19" i="6" s="1"/>
  <c r="AU20" i="6"/>
  <c r="AU15" i="6" l="1"/>
  <c r="AV15" i="6" s="1"/>
  <c r="AV20" i="6"/>
  <c r="BK19" i="6"/>
  <c r="BL19" i="6" s="1"/>
  <c r="BM19" i="6" s="1"/>
  <c r="BK20" i="6" l="1"/>
  <c r="BL20" i="6" s="1"/>
  <c r="BM20" i="6" s="1"/>
  <c r="BK15" i="6"/>
  <c r="BL15" i="6" s="1"/>
  <c r="BM15" i="6" s="1"/>
  <c r="BO19" i="6"/>
  <c r="AY16" i="5"/>
  <c r="AI16" i="5"/>
  <c r="AJ16" i="5" s="1"/>
  <c r="AD16" i="5"/>
  <c r="BJ16" i="5"/>
  <c r="BO15" i="6" l="1"/>
  <c r="AC23" i="5"/>
  <c r="BO20" i="6"/>
  <c r="AH16" i="5"/>
  <c r="AN16" i="5"/>
  <c r="AM16" i="5"/>
  <c r="AP16" i="5"/>
  <c r="AZ16" i="5"/>
  <c r="BC16" i="5"/>
  <c r="AL16" i="5"/>
  <c r="AO16" i="5"/>
  <c r="AK16" i="5"/>
  <c r="BD16" i="5"/>
  <c r="BE16" i="5"/>
  <c r="AX16" i="5"/>
  <c r="BB16" i="5" l="1"/>
  <c r="BF16" i="5"/>
  <c r="AU16" i="5"/>
  <c r="AV16" i="5" s="1"/>
  <c r="BK16" i="5" l="1"/>
  <c r="BL16" i="5" s="1"/>
  <c r="BM16" i="5" s="1"/>
  <c r="AD22" i="5"/>
  <c r="BO16" i="5" l="1"/>
  <c r="AH22" i="5"/>
  <c r="AX22" i="5"/>
  <c r="BD22" i="5"/>
  <c r="BC22" i="5"/>
  <c r="BE22" i="5"/>
  <c r="AZ22" i="5"/>
  <c r="AY22" i="5"/>
  <c r="BB22" i="5" l="1"/>
  <c r="BF22" i="5"/>
  <c r="AJ39" i="8" l="1"/>
  <c r="AD39" i="8"/>
  <c r="AH39" i="8" l="1"/>
  <c r="BE39" i="8"/>
  <c r="BL39" i="8"/>
  <c r="BF39" i="8"/>
  <c r="AU39" i="8"/>
  <c r="AM39" i="8"/>
  <c r="AT39" i="8"/>
  <c r="AK39" i="8"/>
  <c r="AS39" i="8"/>
  <c r="AN39" i="8"/>
  <c r="AR39" i="8"/>
  <c r="AQ39" i="8"/>
  <c r="AP39" i="8"/>
  <c r="AO39" i="8"/>
  <c r="BG39" i="8"/>
  <c r="AZ39" i="8"/>
  <c r="BA39" i="8"/>
  <c r="BB39" i="8"/>
  <c r="BD39" i="8" l="1"/>
  <c r="BH39" i="8"/>
  <c r="AV39" i="8"/>
  <c r="AX39" i="8" l="1"/>
  <c r="BM39" i="8" l="1"/>
  <c r="BN39" i="8" s="1"/>
  <c r="BO39" i="8" s="1"/>
  <c r="BR39" i="8" l="1"/>
  <c r="BJ18" i="5" l="1"/>
  <c r="BJ22" i="5"/>
  <c r="AE8" i="7" l="1"/>
  <c r="Q22" i="6" l="1"/>
  <c r="K40" i="8"/>
  <c r="L40" i="8"/>
  <c r="M40" i="8"/>
  <c r="N40" i="8"/>
  <c r="O40" i="8"/>
  <c r="P40" i="8"/>
  <c r="BG24" i="8"/>
  <c r="BF24" i="8"/>
  <c r="BE24" i="8"/>
  <c r="BB24" i="8"/>
  <c r="BA24" i="8"/>
  <c r="AZ24" i="8"/>
  <c r="AJ24" i="8"/>
  <c r="AD24" i="8"/>
  <c r="V24" i="8"/>
  <c r="BF23" i="8"/>
  <c r="BE23" i="8"/>
  <c r="AJ23" i="8"/>
  <c r="AD23" i="8"/>
  <c r="V23" i="8"/>
  <c r="BE22" i="8"/>
  <c r="AJ22" i="8"/>
  <c r="AD22" i="8"/>
  <c r="V22" i="8"/>
  <c r="BE21" i="8"/>
  <c r="AJ21" i="8"/>
  <c r="AD21" i="8"/>
  <c r="V21" i="8"/>
  <c r="AJ20" i="8"/>
  <c r="AD20" i="8"/>
  <c r="V20" i="8"/>
  <c r="AJ19" i="8"/>
  <c r="AD19" i="8"/>
  <c r="V19" i="8"/>
  <c r="BH24" i="8" l="1"/>
  <c r="BD24" i="8"/>
  <c r="AH19" i="8"/>
  <c r="AH20" i="8"/>
  <c r="AH22" i="8"/>
  <c r="AH21" i="8"/>
  <c r="AH23" i="8"/>
  <c r="AH24" i="8"/>
  <c r="AU23" i="8"/>
  <c r="AS24" i="8"/>
  <c r="AU22" i="8"/>
  <c r="AU21" i="8"/>
  <c r="AU20" i="8"/>
  <c r="AU19" i="8"/>
  <c r="BE20" i="8"/>
  <c r="BE19" i="8"/>
  <c r="AT24" i="8"/>
  <c r="AU24" i="8"/>
  <c r="AK24" i="8"/>
  <c r="AM24" i="8"/>
  <c r="AN24" i="8"/>
  <c r="AP24" i="8"/>
  <c r="AQ24" i="8"/>
  <c r="AR24" i="8"/>
  <c r="AO24" i="8"/>
  <c r="BL24" i="8"/>
  <c r="AN23" i="8"/>
  <c r="AP23" i="8"/>
  <c r="AO23" i="8"/>
  <c r="BG23" i="8"/>
  <c r="BH23" i="8" s="1"/>
  <c r="AQ23" i="8"/>
  <c r="AZ23" i="8"/>
  <c r="BL23" i="8"/>
  <c r="AR23" i="8"/>
  <c r="BA23" i="8"/>
  <c r="AS23" i="8"/>
  <c r="BB23" i="8"/>
  <c r="AK23" i="8"/>
  <c r="AT23" i="8"/>
  <c r="AM23" i="8"/>
  <c r="AN22" i="8"/>
  <c r="BF22" i="8"/>
  <c r="AO22" i="8"/>
  <c r="BG22" i="8"/>
  <c r="AQ22" i="8"/>
  <c r="AZ22" i="8"/>
  <c r="BL22" i="8"/>
  <c r="AP22" i="8"/>
  <c r="AR22" i="8"/>
  <c r="BA22" i="8"/>
  <c r="AS22" i="8"/>
  <c r="BB22" i="8"/>
  <c r="AK22" i="8"/>
  <c r="AT22" i="8"/>
  <c r="AM22" i="8"/>
  <c r="AN21" i="8"/>
  <c r="AP21" i="8"/>
  <c r="BF21" i="8"/>
  <c r="AO21" i="8"/>
  <c r="BG21" i="8"/>
  <c r="AQ21" i="8"/>
  <c r="AZ21" i="8"/>
  <c r="BL21" i="8"/>
  <c r="AR21" i="8"/>
  <c r="BA21" i="8"/>
  <c r="AS21" i="8"/>
  <c r="BB21" i="8"/>
  <c r="AK21" i="8"/>
  <c r="AT21" i="8"/>
  <c r="AM21" i="8"/>
  <c r="AN20" i="8"/>
  <c r="BF20" i="8"/>
  <c r="AO20" i="8"/>
  <c r="BG20" i="8"/>
  <c r="AQ20" i="8"/>
  <c r="AZ20" i="8"/>
  <c r="BL20" i="8"/>
  <c r="AP20" i="8"/>
  <c r="AR20" i="8"/>
  <c r="BA20" i="8"/>
  <c r="AS20" i="8"/>
  <c r="BB20" i="8"/>
  <c r="AK20" i="8"/>
  <c r="AT20" i="8"/>
  <c r="AM20" i="8"/>
  <c r="AN19" i="8"/>
  <c r="BF19" i="8"/>
  <c r="AO19" i="8"/>
  <c r="BG19" i="8"/>
  <c r="AQ19" i="8"/>
  <c r="AZ19" i="8"/>
  <c r="BL19" i="8"/>
  <c r="AP19" i="8"/>
  <c r="AR19" i="8"/>
  <c r="BA19" i="8"/>
  <c r="AS19" i="8"/>
  <c r="BB19" i="8"/>
  <c r="AK19" i="8"/>
  <c r="AT19" i="8"/>
  <c r="AM19" i="8"/>
  <c r="BH21" i="8" l="1"/>
  <c r="BH22" i="8"/>
  <c r="BH20" i="8"/>
  <c r="BH19" i="8"/>
  <c r="BD19" i="8"/>
  <c r="BD23" i="8"/>
  <c r="BD21" i="8"/>
  <c r="BD22" i="8"/>
  <c r="BD20" i="8"/>
  <c r="AV24" i="8"/>
  <c r="AX24" i="8" s="1"/>
  <c r="AV23" i="8"/>
  <c r="AV20" i="8"/>
  <c r="AX20" i="8" s="1"/>
  <c r="AV22" i="8"/>
  <c r="AV21" i="8"/>
  <c r="AX21" i="8" s="1"/>
  <c r="AV19" i="8"/>
  <c r="AX19" i="8" s="1"/>
  <c r="AX22" i="8" l="1"/>
  <c r="AX23" i="8"/>
  <c r="BM21" i="8"/>
  <c r="BN21" i="8" s="1"/>
  <c r="BO21" i="8" s="1"/>
  <c r="BM20" i="8"/>
  <c r="BN20" i="8" s="1"/>
  <c r="BO20" i="8" s="1"/>
  <c r="BM19" i="8"/>
  <c r="BN19" i="8" s="1"/>
  <c r="BO19" i="8" s="1"/>
  <c r="BM24" i="8"/>
  <c r="BN24" i="8" s="1"/>
  <c r="BO24" i="8" s="1"/>
  <c r="BR21" i="8" l="1"/>
  <c r="BR20" i="8"/>
  <c r="BR24" i="8"/>
  <c r="BR19" i="8"/>
  <c r="BM22" i="8"/>
  <c r="BN22" i="8" s="1"/>
  <c r="BO22" i="8" s="1"/>
  <c r="BM23" i="8"/>
  <c r="BN23" i="8" s="1"/>
  <c r="BO23" i="8" s="1"/>
  <c r="BR22" i="8" l="1"/>
  <c r="BR23" i="8"/>
  <c r="A4" i="6"/>
  <c r="AI22" i="5"/>
  <c r="AJ22" i="5" s="1"/>
  <c r="AN22" i="5" l="1"/>
  <c r="AM22" i="5"/>
  <c r="AP22" i="5"/>
  <c r="AK22" i="5"/>
  <c r="AL22" i="5"/>
  <c r="AR22" i="5"/>
  <c r="AU22" i="5" l="1"/>
  <c r="AV22" i="5" s="1"/>
  <c r="BK22" i="5" l="1"/>
  <c r="BL22" i="5" s="1"/>
  <c r="BM22" i="5" s="1"/>
  <c r="BO22" i="5" l="1"/>
  <c r="AI10" i="6"/>
  <c r="AJ10" i="6" s="1"/>
  <c r="AD10" i="6"/>
  <c r="BE10" i="6" l="1"/>
  <c r="AY10" i="6"/>
  <c r="AX10" i="6"/>
  <c r="AZ10" i="6"/>
  <c r="BC10" i="6"/>
  <c r="BD10" i="6"/>
  <c r="AH10" i="6"/>
  <c r="AS10" i="6"/>
  <c r="AK10" i="6"/>
  <c r="AR10" i="6"/>
  <c r="AQ10" i="6"/>
  <c r="AP10" i="6"/>
  <c r="AL10" i="6"/>
  <c r="AO10" i="6"/>
  <c r="AN10" i="6"/>
  <c r="AT10" i="6"/>
  <c r="AM10" i="6"/>
  <c r="BJ10" i="6"/>
  <c r="BF10" i="6" l="1"/>
  <c r="BB10" i="6"/>
  <c r="AU10" i="6"/>
  <c r="AV10" i="6" s="1"/>
  <c r="BK10" i="6" l="1"/>
  <c r="BL10" i="6" s="1"/>
  <c r="BM10" i="6" s="1"/>
  <c r="BO10" i="6" l="1"/>
  <c r="BQ10" i="6" s="1"/>
  <c r="AL11" i="32" l="1"/>
  <c r="AG11" i="32"/>
  <c r="AF11" i="32"/>
  <c r="AI11" i="32" s="1"/>
  <c r="AC11" i="32"/>
  <c r="AB11" i="32"/>
  <c r="AE11" i="32" s="1"/>
  <c r="Q11" i="32"/>
  <c r="D6" i="32"/>
  <c r="J11" i="32" s="1"/>
  <c r="C6" i="32"/>
  <c r="A6" i="32"/>
  <c r="S11" i="32" l="1"/>
  <c r="X11" i="32" s="1"/>
  <c r="T11" i="32" l="1"/>
  <c r="W11" i="32"/>
  <c r="U11" i="32"/>
  <c r="Y11" i="32" s="1"/>
  <c r="Z11" i="32" s="1"/>
  <c r="AN11" i="32" s="1"/>
  <c r="AQ11" i="32" l="1"/>
  <c r="AR11" i="32" s="1"/>
  <c r="AS11" i="32" s="1"/>
  <c r="AO11" i="32"/>
  <c r="AU11" i="32" l="1"/>
  <c r="AV11" i="32" s="1"/>
  <c r="BJ12" i="5" l="1"/>
  <c r="AD12" i="5" l="1"/>
  <c r="AH12" i="5" l="1"/>
  <c r="AI12" i="5"/>
  <c r="AJ12" i="5" s="1"/>
  <c r="BC12" i="5"/>
  <c r="AZ12" i="5"/>
  <c r="AY12" i="5"/>
  <c r="AX12" i="5"/>
  <c r="BD12" i="5"/>
  <c r="BE12" i="5"/>
  <c r="BB12" i="5" l="1"/>
  <c r="BF12" i="5"/>
  <c r="AN12" i="5"/>
  <c r="AM12" i="5"/>
  <c r="AP12" i="5"/>
  <c r="AL12" i="5"/>
  <c r="AK12" i="5"/>
  <c r="AO12" i="5"/>
  <c r="AR12" i="5"/>
  <c r="AU12" i="5" l="1"/>
  <c r="AV12" i="5" s="1"/>
  <c r="BL12" i="5" l="1"/>
  <c r="BM12" i="5" s="1"/>
  <c r="BO12" i="5" l="1"/>
  <c r="V11" i="7"/>
  <c r="AD11" i="7"/>
  <c r="AI11" i="7"/>
  <c r="AY11" i="7"/>
  <c r="AZ11" i="7"/>
  <c r="BA11" i="7"/>
  <c r="BD11" i="7"/>
  <c r="BE11" i="7"/>
  <c r="BF11" i="7"/>
  <c r="BG11" i="7" l="1"/>
  <c r="BC11" i="7"/>
  <c r="AJ11" i="7"/>
  <c r="AH11" i="7"/>
  <c r="BK11" i="7"/>
  <c r="AO11" i="7" l="1"/>
  <c r="AP11" i="7"/>
  <c r="AQ11" i="7"/>
  <c r="AS11" i="7"/>
  <c r="AL11" i="7"/>
  <c r="AT11" i="7"/>
  <c r="AN11" i="7"/>
  <c r="AM11" i="7"/>
  <c r="AR11" i="7"/>
  <c r="AK11" i="7"/>
  <c r="AU11" i="7" l="1"/>
  <c r="AW11" i="7" l="1"/>
  <c r="AD14" i="8"/>
  <c r="BM11" i="7" l="1"/>
  <c r="V14" i="8"/>
  <c r="AH14" i="8" s="1"/>
  <c r="AJ14" i="8"/>
  <c r="BA14" i="8"/>
  <c r="BN11" i="7" l="1"/>
  <c r="BL14" i="8"/>
  <c r="BF14" i="8"/>
  <c r="AZ14" i="8"/>
  <c r="AR14" i="8"/>
  <c r="AS14" i="8"/>
  <c r="AK14" i="8"/>
  <c r="AT14" i="8"/>
  <c r="AM14" i="8"/>
  <c r="AU14" i="8"/>
  <c r="AN14" i="8"/>
  <c r="AO14" i="8"/>
  <c r="AP14" i="8"/>
  <c r="AQ14" i="8"/>
  <c r="BG14" i="8"/>
  <c r="BB14" i="8"/>
  <c r="BE14" i="8"/>
  <c r="BQ11" i="7" l="1"/>
  <c r="BH14" i="8"/>
  <c r="BD14" i="8"/>
  <c r="AV14" i="8"/>
  <c r="AX14" i="8" s="1"/>
  <c r="BM14" i="8" l="1"/>
  <c r="BN14" i="8" l="1"/>
  <c r="BO14" i="8" s="1"/>
  <c r="BR14" i="8" l="1"/>
  <c r="D6" i="26"/>
  <c r="C6" i="26"/>
  <c r="A6" i="26"/>
  <c r="D6" i="25"/>
  <c r="C6" i="25"/>
  <c r="A6" i="25"/>
  <c r="D6" i="27"/>
  <c r="J11" i="27" l="1"/>
  <c r="C6" i="27"/>
  <c r="A6" i="27"/>
  <c r="D6" i="28"/>
  <c r="C6" i="28"/>
  <c r="A6" i="28"/>
  <c r="T11" i="28"/>
  <c r="AG11" i="28"/>
  <c r="AF11" i="28"/>
  <c r="Q11" i="28"/>
  <c r="AL11" i="27"/>
  <c r="AG11" i="27"/>
  <c r="AF11" i="27"/>
  <c r="AC11" i="27"/>
  <c r="AB11" i="27"/>
  <c r="Q11" i="27"/>
  <c r="AL11" i="26"/>
  <c r="AG11" i="26"/>
  <c r="AF11" i="26"/>
  <c r="AI11" i="26" s="1"/>
  <c r="Q11" i="26"/>
  <c r="J11" i="26"/>
  <c r="S11" i="26" s="1"/>
  <c r="AL11" i="25"/>
  <c r="AF11" i="25"/>
  <c r="Q11" i="25"/>
  <c r="J11" i="25"/>
  <c r="S11" i="25" s="1"/>
  <c r="T11" i="25" s="1"/>
  <c r="S11" i="27" l="1"/>
  <c r="W11" i="27" s="1"/>
  <c r="AI11" i="27"/>
  <c r="AE11" i="27"/>
  <c r="AI11" i="28"/>
  <c r="W11" i="28"/>
  <c r="X11" i="28"/>
  <c r="U11" i="28"/>
  <c r="AB11" i="28"/>
  <c r="AC11" i="28"/>
  <c r="W11" i="26"/>
  <c r="U11" i="26"/>
  <c r="T11" i="26"/>
  <c r="X11" i="26"/>
  <c r="AB11" i="26"/>
  <c r="AC11" i="26"/>
  <c r="AB11" i="25"/>
  <c r="AC11" i="25"/>
  <c r="AG11" i="25"/>
  <c r="U11" i="25"/>
  <c r="W11" i="25"/>
  <c r="X11" i="25"/>
  <c r="X11" i="27" l="1"/>
  <c r="T11" i="27"/>
  <c r="U11" i="27"/>
  <c r="AI11" i="25"/>
  <c r="AE11" i="26"/>
  <c r="AE11" i="28"/>
  <c r="Y11" i="28"/>
  <c r="Y11" i="26"/>
  <c r="Z11" i="26" s="1"/>
  <c r="AE11" i="25"/>
  <c r="Y11" i="25"/>
  <c r="Z11" i="25" s="1"/>
  <c r="Y11" i="27" l="1"/>
  <c r="Z11" i="27" s="1"/>
  <c r="Z11" i="28"/>
  <c r="AN11" i="28" s="1"/>
  <c r="AN11" i="26"/>
  <c r="AQ11" i="26" s="1"/>
  <c r="AN11" i="25"/>
  <c r="AN11" i="27" l="1"/>
  <c r="AR11" i="28"/>
  <c r="AS11" i="28" s="1"/>
  <c r="AO11" i="28"/>
  <c r="AQ11" i="27"/>
  <c r="AR11" i="27" s="1"/>
  <c r="AS11" i="27" s="1"/>
  <c r="AO11" i="27"/>
  <c r="AR11" i="26"/>
  <c r="AS11" i="26" s="1"/>
  <c r="AO11" i="26"/>
  <c r="AO11" i="25"/>
  <c r="AQ11" i="25"/>
  <c r="AR11" i="25" s="1"/>
  <c r="AS11" i="25" s="1"/>
  <c r="AU11" i="28" l="1"/>
  <c r="AV16" i="28" s="1"/>
  <c r="AU11" i="25"/>
  <c r="AV11" i="25" s="1"/>
  <c r="AU11" i="27"/>
  <c r="AV11" i="27" s="1"/>
  <c r="AU11" i="26"/>
  <c r="AV11" i="28"/>
  <c r="D40" i="8"/>
  <c r="F22" i="6"/>
  <c r="G22" i="6"/>
  <c r="H22" i="6"/>
  <c r="I22" i="6"/>
  <c r="J22" i="6"/>
  <c r="K22" i="6"/>
  <c r="L22" i="6"/>
  <c r="M22" i="6"/>
  <c r="N22" i="6"/>
  <c r="O22" i="6"/>
  <c r="P22" i="6"/>
  <c r="R22" i="6"/>
  <c r="S22" i="6"/>
  <c r="T22" i="6"/>
  <c r="U22" i="6"/>
  <c r="W22" i="6"/>
  <c r="Y22" i="6"/>
  <c r="AA22" i="6"/>
  <c r="AB22" i="6"/>
  <c r="AE22" i="6"/>
  <c r="AG22" i="6"/>
  <c r="BG22" i="6"/>
  <c r="BH22" i="6"/>
  <c r="BI22" i="6"/>
  <c r="BN22" i="6"/>
  <c r="D22" i="6"/>
  <c r="D23" i="5"/>
  <c r="AV11" i="26" l="1"/>
  <c r="AV18" i="27" l="1"/>
  <c r="AX11" i="27"/>
  <c r="BJ10" i="5"/>
  <c r="AC22" i="6" l="1"/>
  <c r="AI13" i="5" l="1"/>
  <c r="AJ13" i="5" s="1"/>
  <c r="AD13" i="5"/>
  <c r="AH13" i="5" l="1"/>
  <c r="AM13" i="5"/>
  <c r="AN13" i="5"/>
  <c r="AP13" i="5"/>
  <c r="BJ13" i="5"/>
  <c r="AL13" i="5"/>
  <c r="AX13" i="5"/>
  <c r="AK13" i="5"/>
  <c r="AZ13" i="5"/>
  <c r="AR13" i="5"/>
  <c r="BE13" i="5"/>
  <c r="BD13" i="5"/>
  <c r="BC13" i="5"/>
  <c r="AY13" i="5"/>
  <c r="AE8" i="8"/>
  <c r="AE7" i="6"/>
  <c r="A4" i="7"/>
  <c r="A3" i="7"/>
  <c r="A4" i="8"/>
  <c r="A3" i="8"/>
  <c r="BB13" i="5" l="1"/>
  <c r="BF13" i="5"/>
  <c r="AU13" i="5"/>
  <c r="AV13" i="5" s="1"/>
  <c r="V21" i="7" l="1"/>
  <c r="AD21" i="7"/>
  <c r="AI21" i="7"/>
  <c r="AJ21" i="7" s="1"/>
  <c r="AD38" i="8"/>
  <c r="AJ38" i="8"/>
  <c r="BK13" i="5" l="1"/>
  <c r="BL13" i="5" s="1"/>
  <c r="BM13" i="5" s="1"/>
  <c r="AH38" i="8"/>
  <c r="BA21" i="7"/>
  <c r="AH21" i="7"/>
  <c r="BB38" i="8"/>
  <c r="BK21" i="7"/>
  <c r="BL38" i="8"/>
  <c r="BF21" i="7"/>
  <c r="BE21" i="7"/>
  <c r="AZ21" i="7"/>
  <c r="AY21" i="7"/>
  <c r="AR21" i="7"/>
  <c r="AK21" i="7"/>
  <c r="AS21" i="7"/>
  <c r="AL21" i="7"/>
  <c r="AT21" i="7"/>
  <c r="AM21" i="7"/>
  <c r="AN21" i="7"/>
  <c r="AQ21" i="7"/>
  <c r="AO21" i="7"/>
  <c r="AP21" i="7"/>
  <c r="BD21" i="7"/>
  <c r="BG38" i="8"/>
  <c r="BF38" i="8"/>
  <c r="BA38" i="8"/>
  <c r="BE38" i="8"/>
  <c r="AS38" i="8"/>
  <c r="AK38" i="8"/>
  <c r="AT38" i="8"/>
  <c r="AM38" i="8"/>
  <c r="AU38" i="8"/>
  <c r="AN38" i="8"/>
  <c r="AO38" i="8"/>
  <c r="AP38" i="8"/>
  <c r="AR38" i="8"/>
  <c r="AQ38" i="8"/>
  <c r="AZ38" i="8"/>
  <c r="BG21" i="7" l="1"/>
  <c r="BH38" i="8"/>
  <c r="BD38" i="8"/>
  <c r="BO13" i="5"/>
  <c r="BC21" i="7"/>
  <c r="AV38" i="8"/>
  <c r="AX38" i="8" s="1"/>
  <c r="AU21" i="7"/>
  <c r="AW21" i="7" s="1"/>
  <c r="BL21" i="7" l="1"/>
  <c r="V14" i="7"/>
  <c r="V15" i="7"/>
  <c r="V16" i="7"/>
  <c r="V17" i="7"/>
  <c r="V18" i="7"/>
  <c r="V19" i="7"/>
  <c r="V15" i="8"/>
  <c r="V17" i="8"/>
  <c r="AD18" i="5"/>
  <c r="AD10" i="5"/>
  <c r="V27" i="7" l="1"/>
  <c r="Z40" i="8"/>
  <c r="V40" i="8"/>
  <c r="X40" i="8"/>
  <c r="AH10" i="5"/>
  <c r="AD23" i="5"/>
  <c r="AH18" i="5"/>
  <c r="BM38" i="8"/>
  <c r="BN38" i="8" s="1"/>
  <c r="BO38" i="8" s="1"/>
  <c r="V22" i="6"/>
  <c r="X22" i="6"/>
  <c r="Z22" i="6"/>
  <c r="BR38" i="8" l="1"/>
  <c r="AH23" i="5"/>
  <c r="BM21" i="7"/>
  <c r="BN21" i="7" l="1"/>
  <c r="AI15" i="7"/>
  <c r="BQ21" i="7" l="1"/>
  <c r="AJ15" i="7"/>
  <c r="D27" i="7" l="1"/>
  <c r="AY15" i="7" l="1"/>
  <c r="AY17" i="7"/>
  <c r="AI14" i="7"/>
  <c r="AI16" i="7"/>
  <c r="AJ16" i="7" s="1"/>
  <c r="AI17" i="7"/>
  <c r="AI18" i="7"/>
  <c r="AJ18" i="7" s="1"/>
  <c r="AI19" i="7"/>
  <c r="AJ19" i="7" s="1"/>
  <c r="AI27" i="7" l="1"/>
  <c r="AJ14" i="7"/>
  <c r="BA19" i="7"/>
  <c r="AY16" i="7"/>
  <c r="AY14" i="7"/>
  <c r="BF18" i="7"/>
  <c r="AJ17" i="7"/>
  <c r="BF15" i="7"/>
  <c r="BE15" i="7"/>
  <c r="BF17" i="7"/>
  <c r="BF19" i="7"/>
  <c r="BE18" i="7"/>
  <c r="BE17" i="7"/>
  <c r="BD15" i="7"/>
  <c r="AY19" i="7"/>
  <c r="AN16" i="7"/>
  <c r="AT16" i="7"/>
  <c r="AR16" i="7"/>
  <c r="AL16" i="7"/>
  <c r="AM16" i="7"/>
  <c r="AS19" i="7"/>
  <c r="AR19" i="7"/>
  <c r="AP14" i="7"/>
  <c r="AR14" i="7"/>
  <c r="AO14" i="7"/>
  <c r="BD18" i="7"/>
  <c r="BD19" i="7"/>
  <c r="BD17" i="7"/>
  <c r="BA15" i="7"/>
  <c r="AZ19" i="7"/>
  <c r="BA18" i="7"/>
  <c r="BA17" i="7"/>
  <c r="AZ18" i="7"/>
  <c r="AY18" i="7"/>
  <c r="BF14" i="7"/>
  <c r="BE14" i="7"/>
  <c r="BD14" i="7"/>
  <c r="BF16" i="7"/>
  <c r="BE16" i="7"/>
  <c r="AZ15" i="7"/>
  <c r="BD16" i="7"/>
  <c r="BA14" i="7"/>
  <c r="BE19" i="7"/>
  <c r="AZ17" i="7"/>
  <c r="AZ14" i="7"/>
  <c r="BA16" i="7"/>
  <c r="AZ16" i="7"/>
  <c r="AR15" i="7"/>
  <c r="AS15" i="7"/>
  <c r="AT15" i="7"/>
  <c r="AM15" i="7"/>
  <c r="AQ15" i="7"/>
  <c r="AN15" i="7"/>
  <c r="AO15" i="7"/>
  <c r="AP15" i="7"/>
  <c r="AR18" i="7"/>
  <c r="AQ18" i="7"/>
  <c r="AK18" i="7"/>
  <c r="AS18" i="7"/>
  <c r="AL18" i="7"/>
  <c r="AT18" i="7"/>
  <c r="AM18" i="7"/>
  <c r="AN18" i="7"/>
  <c r="AO18" i="7"/>
  <c r="AP18" i="7"/>
  <c r="AQ19" i="7"/>
  <c r="AS16" i="7"/>
  <c r="AK16" i="7"/>
  <c r="AM14" i="7"/>
  <c r="AP19" i="7"/>
  <c r="AO19" i="7"/>
  <c r="AQ16" i="7"/>
  <c r="AK14" i="7"/>
  <c r="AN19" i="7"/>
  <c r="AP16" i="7"/>
  <c r="AM19" i="7"/>
  <c r="AO16" i="7"/>
  <c r="AQ14" i="7"/>
  <c r="AT19" i="7"/>
  <c r="AJ15" i="8"/>
  <c r="AJ17" i="8"/>
  <c r="AX9" i="6"/>
  <c r="BE9" i="6"/>
  <c r="AY14" i="6"/>
  <c r="BD27" i="7" l="1"/>
  <c r="AY27" i="7"/>
  <c r="AZ27" i="7"/>
  <c r="BE27" i="7"/>
  <c r="BF27" i="7"/>
  <c r="BA27" i="7"/>
  <c r="AJ27" i="7"/>
  <c r="BG14" i="7"/>
  <c r="AS14" i="7"/>
  <c r="AN14" i="7"/>
  <c r="AL14" i="7"/>
  <c r="AT14" i="7"/>
  <c r="BG17" i="7"/>
  <c r="BC17" i="7"/>
  <c r="BG19" i="7"/>
  <c r="BG15" i="7"/>
  <c r="BG18" i="7"/>
  <c r="BG16" i="7"/>
  <c r="BC18" i="7"/>
  <c r="BC14" i="7"/>
  <c r="BC15" i="7"/>
  <c r="BC16" i="7"/>
  <c r="BC19" i="7"/>
  <c r="AJ40" i="8"/>
  <c r="AZ17" i="8"/>
  <c r="BB15" i="8"/>
  <c r="AS17" i="7"/>
  <c r="AX12" i="6"/>
  <c r="AW22" i="6"/>
  <c r="AR17" i="7"/>
  <c r="AO17" i="7"/>
  <c r="AQ17" i="7"/>
  <c r="AT17" i="7"/>
  <c r="AP17" i="7"/>
  <c r="AN17" i="7"/>
  <c r="AM17" i="7"/>
  <c r="BD12" i="6"/>
  <c r="BE12" i="6"/>
  <c r="BC14" i="6"/>
  <c r="BE14" i="6"/>
  <c r="BD14" i="6"/>
  <c r="AZ14" i="6"/>
  <c r="AX14" i="6"/>
  <c r="BC12" i="6"/>
  <c r="AY12" i="6"/>
  <c r="AO15" i="8"/>
  <c r="AQ15" i="8"/>
  <c r="AR15" i="8"/>
  <c r="AP15" i="8"/>
  <c r="AS15" i="8"/>
  <c r="AT15" i="8"/>
  <c r="AM15" i="8"/>
  <c r="AU15" i="8"/>
  <c r="AN15" i="8"/>
  <c r="AR17" i="8"/>
  <c r="AT17" i="8"/>
  <c r="AU17" i="8"/>
  <c r="AS17" i="8"/>
  <c r="AN17" i="8"/>
  <c r="AO17" i="8"/>
  <c r="AP17" i="8"/>
  <c r="AQ17" i="8"/>
  <c r="AM17" i="8"/>
  <c r="AU16" i="7"/>
  <c r="BD9" i="6"/>
  <c r="AU18" i="7"/>
  <c r="AZ15" i="8"/>
  <c r="BG15" i="8"/>
  <c r="BA15" i="8"/>
  <c r="AK17" i="8"/>
  <c r="AK15" i="8"/>
  <c r="BG17" i="8"/>
  <c r="BF17" i="8"/>
  <c r="BE17" i="8"/>
  <c r="BF15" i="8"/>
  <c r="BB17" i="8"/>
  <c r="BE15" i="8"/>
  <c r="BA17" i="8"/>
  <c r="AZ12" i="6"/>
  <c r="BC9" i="6"/>
  <c r="AZ9" i="6"/>
  <c r="AY9" i="6"/>
  <c r="BB9" i="6" s="1"/>
  <c r="BC27" i="7" l="1"/>
  <c r="AM27" i="7"/>
  <c r="AT27" i="7"/>
  <c r="AN27" i="7"/>
  <c r="AS27" i="7"/>
  <c r="BG27" i="7"/>
  <c r="AO27" i="7"/>
  <c r="AQ27" i="7"/>
  <c r="AP27" i="7"/>
  <c r="AR27" i="7"/>
  <c r="AU14" i="7"/>
  <c r="BH15" i="8"/>
  <c r="BH17" i="8"/>
  <c r="BF12" i="6"/>
  <c r="BF14" i="6"/>
  <c r="BB12" i="6"/>
  <c r="BF9" i="6"/>
  <c r="BB14" i="6"/>
  <c r="BD17" i="8"/>
  <c r="BD15" i="8"/>
  <c r="BG40" i="8"/>
  <c r="BA40" i="8"/>
  <c r="AR40" i="8"/>
  <c r="AO40" i="8"/>
  <c r="AP40" i="8"/>
  <c r="AN40" i="8"/>
  <c r="AZ40" i="8"/>
  <c r="BB40" i="8"/>
  <c r="AU40" i="8"/>
  <c r="AS40" i="8"/>
  <c r="BE40" i="8"/>
  <c r="AM40" i="8"/>
  <c r="AK40" i="8"/>
  <c r="AT40" i="8"/>
  <c r="BF40" i="8"/>
  <c r="AQ40" i="8"/>
  <c r="BE22" i="6"/>
  <c r="BD22" i="6"/>
  <c r="AX22" i="6"/>
  <c r="AY22" i="6"/>
  <c r="BC22" i="6"/>
  <c r="AZ22" i="6"/>
  <c r="BJ12" i="6"/>
  <c r="BJ14" i="6"/>
  <c r="AV17" i="8"/>
  <c r="AV15" i="8"/>
  <c r="BB22" i="6" l="1"/>
  <c r="BH40" i="8"/>
  <c r="AV40" i="8"/>
  <c r="BD40" i="8"/>
  <c r="BF22" i="6"/>
  <c r="BJ9" i="6" l="1"/>
  <c r="BJ22" i="6" s="1"/>
  <c r="AL19" i="7"/>
  <c r="AL17" i="7"/>
  <c r="AL15" i="7"/>
  <c r="AL27" i="7" l="1"/>
  <c r="AU17" i="7"/>
  <c r="AU19" i="7"/>
  <c r="AU15" i="7"/>
  <c r="AK15" i="7"/>
  <c r="AK19" i="7"/>
  <c r="AK17" i="7"/>
  <c r="AK27" i="7" l="1"/>
  <c r="AU27" i="7"/>
  <c r="AD16" i="7"/>
  <c r="AD9" i="6"/>
  <c r="AH9" i="6" s="1"/>
  <c r="AH16" i="7" l="1"/>
  <c r="AH14" i="7"/>
  <c r="AJ9" i="6"/>
  <c r="BK16" i="7"/>
  <c r="BK14" i="7"/>
  <c r="AR9" i="6" l="1"/>
  <c r="AQ9" i="6"/>
  <c r="AP9" i="6"/>
  <c r="AW14" i="7"/>
  <c r="AW16" i="7"/>
  <c r="AO9" i="6"/>
  <c r="AN9" i="6"/>
  <c r="AM9" i="6"/>
  <c r="AL9" i="6"/>
  <c r="AS9" i="6"/>
  <c r="AK9" i="6"/>
  <c r="AT9" i="6"/>
  <c r="BL16" i="7" l="1"/>
  <c r="BM16" i="7" s="1"/>
  <c r="BN16" i="7" s="1"/>
  <c r="BL14" i="7"/>
  <c r="AU9" i="6"/>
  <c r="AV9" i="6" s="1"/>
  <c r="BM14" i="7" l="1"/>
  <c r="BQ16" i="7"/>
  <c r="BK9" i="6"/>
  <c r="BN14" i="7" l="1"/>
  <c r="AD12" i="6"/>
  <c r="AD14" i="6"/>
  <c r="BQ14" i="7" l="1"/>
  <c r="AH14" i="6"/>
  <c r="AH12" i="6"/>
  <c r="AD22" i="6"/>
  <c r="BL9" i="6"/>
  <c r="BM9" i="6" l="1"/>
  <c r="BO9" i="6" s="1"/>
  <c r="AH22" i="6"/>
  <c r="AI12" i="6" l="1"/>
  <c r="AI14" i="6"/>
  <c r="AI18" i="5"/>
  <c r="AI10" i="5"/>
  <c r="AI23" i="5" l="1"/>
  <c r="AJ10" i="5"/>
  <c r="AI22" i="6"/>
  <c r="AJ18" i="5"/>
  <c r="AJ23" i="5" l="1"/>
  <c r="AN18" i="5"/>
  <c r="AS18" i="5"/>
  <c r="AP10" i="5"/>
  <c r="AM10" i="5"/>
  <c r="AN10" i="5"/>
  <c r="AP18" i="5"/>
  <c r="AO18" i="5"/>
  <c r="AK18" i="5"/>
  <c r="AN23" i="5" l="1"/>
  <c r="AP23" i="5"/>
  <c r="AS23" i="5"/>
  <c r="AO23" i="5"/>
  <c r="AU10" i="5"/>
  <c r="AD17" i="8" l="1"/>
  <c r="AH17" i="8" l="1"/>
  <c r="BL17" i="8"/>
  <c r="AX17" i="8" l="1"/>
  <c r="BM17" i="8" l="1"/>
  <c r="BN17" i="8" s="1"/>
  <c r="BO17" i="8" s="1"/>
  <c r="BR17" i="8" l="1"/>
  <c r="AZ18" i="5" l="1"/>
  <c r="AZ23" i="5" s="1"/>
  <c r="AX18" i="5"/>
  <c r="AX23" i="5" l="1"/>
  <c r="AD15" i="8" l="1"/>
  <c r="AD40" i="8" l="1"/>
  <c r="AH15" i="8"/>
  <c r="AH40" i="8" s="1"/>
  <c r="BL15" i="8"/>
  <c r="BL40" i="8" s="1"/>
  <c r="AX15" i="8" l="1"/>
  <c r="AX40" i="8" l="1"/>
  <c r="BM15" i="8"/>
  <c r="BN15" i="8" s="1"/>
  <c r="BM40" i="8" l="1"/>
  <c r="BO15" i="8"/>
  <c r="BN40" i="8"/>
  <c r="BR15" i="8" l="1"/>
  <c r="BO40" i="8"/>
  <c r="AJ14" i="6"/>
  <c r="BR40" i="8" l="1"/>
  <c r="AK14" i="6"/>
  <c r="AT14" i="6"/>
  <c r="AS14" i="6"/>
  <c r="AR14" i="6"/>
  <c r="AQ14" i="6"/>
  <c r="AP14" i="6"/>
  <c r="AO14" i="6"/>
  <c r="AN14" i="6"/>
  <c r="AM14" i="6"/>
  <c r="AL14" i="6"/>
  <c r="BQ21" i="6" l="1"/>
  <c r="BT40" i="8"/>
  <c r="AU14" i="6"/>
  <c r="AV14" i="6" s="1"/>
  <c r="BK14" i="6" l="1"/>
  <c r="BL14" i="6" s="1"/>
  <c r="BM14" i="6" s="1"/>
  <c r="BO14" i="6" l="1"/>
  <c r="BQ14" i="6" l="1"/>
  <c r="BO22" i="6"/>
  <c r="BC18" i="5"/>
  <c r="BC23" i="5" l="1"/>
  <c r="AM18" i="5"/>
  <c r="AL18" i="5"/>
  <c r="BD18" i="5"/>
  <c r="BD23" i="5" s="1"/>
  <c r="AY18" i="5"/>
  <c r="AR18" i="5"/>
  <c r="BE18" i="5"/>
  <c r="BE23" i="5" s="1"/>
  <c r="AY23" i="5" l="1"/>
  <c r="BB18" i="5"/>
  <c r="BB23" i="5" s="1"/>
  <c r="BF18" i="5"/>
  <c r="AL23" i="5"/>
  <c r="AR23" i="5"/>
  <c r="AM23" i="5"/>
  <c r="AU18" i="5"/>
  <c r="AV18" i="5" l="1"/>
  <c r="AU23" i="5"/>
  <c r="BF23" i="5"/>
  <c r="BI10" i="5"/>
  <c r="BI23" i="5" s="1"/>
  <c r="AD15" i="7"/>
  <c r="AD17" i="7"/>
  <c r="AD18" i="7"/>
  <c r="AD19" i="7"/>
  <c r="AD27" i="7" l="1"/>
  <c r="BK18" i="5"/>
  <c r="BL18" i="5" s="1"/>
  <c r="BM18" i="5" s="1"/>
  <c r="AH19" i="7"/>
  <c r="AH18" i="7"/>
  <c r="AH17" i="7"/>
  <c r="AH15" i="7"/>
  <c r="BK19" i="7"/>
  <c r="BK18" i="7"/>
  <c r="BK17" i="7"/>
  <c r="BK15" i="7"/>
  <c r="AH27" i="7" l="1"/>
  <c r="BK27" i="7"/>
  <c r="BO18" i="5"/>
  <c r="AW17" i="7"/>
  <c r="AW18" i="7"/>
  <c r="AW19" i="7"/>
  <c r="AW15" i="7"/>
  <c r="AW27" i="7" l="1"/>
  <c r="BL17" i="7"/>
  <c r="BM17" i="7" s="1"/>
  <c r="BN17" i="7" s="1"/>
  <c r="BL18" i="7"/>
  <c r="BM18" i="7" s="1"/>
  <c r="BN18" i="7" s="1"/>
  <c r="BL19" i="7"/>
  <c r="BL15" i="7"/>
  <c r="BL27" i="7" l="1"/>
  <c r="BM19" i="7"/>
  <c r="BN19" i="7" s="1"/>
  <c r="BQ17" i="7"/>
  <c r="BQ18" i="7"/>
  <c r="BM15" i="7"/>
  <c r="BM27" i="7" l="1"/>
  <c r="BQ19" i="7"/>
  <c r="BN15" i="7"/>
  <c r="BN27" i="7" l="1"/>
  <c r="BQ15" i="7"/>
  <c r="AK10" i="5" l="1"/>
  <c r="AK23" i="5" s="1"/>
  <c r="AV10" i="5" l="1"/>
  <c r="AV23" i="5" l="1"/>
  <c r="BK10" i="5"/>
  <c r="BL10" i="5" l="1"/>
  <c r="AL12" i="1"/>
  <c r="Q12" i="1"/>
  <c r="AM11" i="1"/>
  <c r="AL11" i="1"/>
  <c r="AG11" i="1"/>
  <c r="AI11" i="1" s="1"/>
  <c r="AC11" i="1"/>
  <c r="AB11" i="1"/>
  <c r="Q11" i="1"/>
  <c r="J11" i="1"/>
  <c r="R11" i="1" s="1"/>
  <c r="S11" i="1" s="1"/>
  <c r="AJ12" i="6"/>
  <c r="AJ22" i="6" l="1"/>
  <c r="AB12" i="1"/>
  <c r="BM10" i="5"/>
  <c r="BO10" i="5" s="1"/>
  <c r="AE11" i="1"/>
  <c r="AK12" i="6"/>
  <c r="AN12" i="6"/>
  <c r="AP12" i="6"/>
  <c r="AM12" i="6"/>
  <c r="AL12" i="6"/>
  <c r="AO12" i="6"/>
  <c r="AC12" i="1"/>
  <c r="AF12" i="1"/>
  <c r="X11" i="1"/>
  <c r="W11" i="1"/>
  <c r="T11" i="1"/>
  <c r="U11" i="1"/>
  <c r="AG12" i="1"/>
  <c r="AT12" i="6"/>
  <c r="AS12" i="6"/>
  <c r="AR12" i="6"/>
  <c r="AQ12" i="6"/>
  <c r="AI12" i="1" l="1"/>
  <c r="AN22" i="6"/>
  <c r="AL22" i="6"/>
  <c r="AK22" i="6"/>
  <c r="AR22" i="6"/>
  <c r="AS22" i="6"/>
  <c r="AO22" i="6"/>
  <c r="AT22" i="6"/>
  <c r="AM22" i="6"/>
  <c r="AQ22" i="6"/>
  <c r="AP22" i="6"/>
  <c r="AE12" i="1"/>
  <c r="W12" i="1"/>
  <c r="Y11" i="1"/>
  <c r="AU12" i="6"/>
  <c r="AV12" i="6" s="1"/>
  <c r="AL23" i="1" l="1"/>
  <c r="AV22" i="6"/>
  <c r="BK12" i="6"/>
  <c r="AU22" i="6"/>
  <c r="U12" i="1"/>
  <c r="X12" i="1"/>
  <c r="Z11" i="1"/>
  <c r="BL12" i="6" l="1"/>
  <c r="Y12" i="1"/>
  <c r="AO11" i="1"/>
  <c r="AP11" i="1" s="1"/>
  <c r="AQ11" i="1" s="1"/>
  <c r="AR11" i="1" s="1"/>
  <c r="AN11" i="1"/>
  <c r="BK22" i="6" l="1"/>
  <c r="BM12" i="6"/>
  <c r="BL22" i="6"/>
  <c r="Z12" i="1"/>
  <c r="BM22" i="6" l="1"/>
  <c r="BO12" i="6"/>
  <c r="AN12" i="1"/>
  <c r="AO12" i="1" s="1"/>
  <c r="AP12" i="1" s="1"/>
  <c r="AQ12" i="1" l="1"/>
  <c r="AR12" i="1" s="1"/>
  <c r="BV40" i="8" l="1"/>
  <c r="BJ23" i="5" l="1"/>
  <c r="BL23" i="5" l="1"/>
  <c r="BK23" i="5"/>
  <c r="BM23" i="5" l="1"/>
  <c r="BO23" i="5" l="1"/>
  <c r="BQ23" i="5" s="1"/>
  <c r="AQ20" i="1"/>
  <c r="AQ19" i="1"/>
  <c r="BT47" i="8" l="1"/>
  <c r="BS4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T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Tháng 04, 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Q10" authorId="0" shapeId="0" xr:uid="{5B3299CD-A844-4C6A-AA0A-3EE014D85A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Giảm 15% lương trên tổng thu nhập</t>
        </r>
      </text>
    </comment>
    <comment ref="AA21" authorId="0" shapeId="0" xr:uid="{57660595-9118-47DE-B87D-D7BFFA24C78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Chi phí xe tải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U39" authorId="0" shapeId="0" xr:uid="{D02C9839-97F5-43ED-AF17-EFCC7D1B34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Phụ cấp nóng cho QC</t>
        </r>
      </text>
    </comment>
  </commentList>
</comments>
</file>

<file path=xl/sharedStrings.xml><?xml version="1.0" encoding="utf-8"?>
<sst xmlns="http://schemas.openxmlformats.org/spreadsheetml/2006/main" count="1229" uniqueCount="338">
  <si>
    <t>CÔNG TY TNHH SHINSUNG VINA</t>
  </si>
  <si>
    <t>Lô CN04, khu công nghiệp Cẩm Khê, TT.Cẩm Khê, H.Cẩm Khê, T.Phú Thọ</t>
  </si>
  <si>
    <t>STT
(No)</t>
  </si>
  <si>
    <t>Họ và tên
(First and last name)</t>
  </si>
  <si>
    <t>Vị trí
(Location)</t>
  </si>
  <si>
    <t>Giờ công cơ bản thực tế (The actual basic hourly)</t>
  </si>
  <si>
    <t xml:space="preserve">       Giờ công làm thêm      (Hours of overtime)</t>
  </si>
  <si>
    <t xml:space="preserve">Lương cơ bản  (Basic salary)
</t>
  </si>
  <si>
    <t>Các khoản phụ cấp (Allowances)</t>
  </si>
  <si>
    <t>Lương đóng bảo hiểm</t>
  </si>
  <si>
    <t xml:space="preserve">Lương giờ công </t>
  </si>
  <si>
    <t xml:space="preserve">Tổng lương giờ công cơ bản
</t>
  </si>
  <si>
    <t>Lương giờ công làm thêm</t>
  </si>
  <si>
    <t xml:space="preserve">Tổng lương 
</t>
  </si>
  <si>
    <t xml:space="preserve">BH tính vào chi phí / Isuarance payable by company </t>
  </si>
  <si>
    <t xml:space="preserve">BH khấu trừ lương  / Isuarance deductions from salary </t>
  </si>
  <si>
    <t>Ký nhận</t>
  </si>
  <si>
    <t>Tăng ca đêm</t>
  </si>
  <si>
    <t>Phụ cấp  trách nhiệm</t>
  </si>
  <si>
    <t>Tổng lương làm thêm</t>
  </si>
  <si>
    <t>Lương đóng bảo hiểm/Salary base for insurance</t>
  </si>
  <si>
    <t>BHXH / Social Insurance 17%</t>
  </si>
  <si>
    <t>BHYT / Health Insurance 3%건강보험
(회사분)</t>
  </si>
  <si>
    <t>BHTN / Unemployment Insurance 1%</t>
  </si>
  <si>
    <t xml:space="preserve">Cộng /Amount Isurance </t>
  </si>
  <si>
    <t>BHXH / Social Insurance 8%</t>
  </si>
  <si>
    <t xml:space="preserve">BHYT / Health Insurance 1,5% 건강보험
(개인분) </t>
  </si>
  <si>
    <t xml:space="preserve">Cộng 10.5%/Amount Isurance </t>
  </si>
  <si>
    <t>Số người phụ thuộc /Number Deduction family</t>
  </si>
  <si>
    <t xml:space="preserve"> Giảm trừ người phụ thuộc /deduction-family 4400000/1person </t>
  </si>
  <si>
    <t>Tax excemption</t>
  </si>
  <si>
    <t>Thu nhập chịu thuế</t>
  </si>
  <si>
    <r>
      <t>Thuế TNCN
(</t>
    </r>
    <r>
      <rPr>
        <b/>
        <sz val="9"/>
        <color indexed="10"/>
        <rFont val="바탕"/>
        <family val="1"/>
        <charset val="129"/>
      </rPr>
      <t>개인소득세</t>
    </r>
    <r>
      <rPr>
        <b/>
        <sz val="9"/>
        <color indexed="10"/>
        <rFont val="Times New Roman"/>
        <family val="1"/>
      </rPr>
      <t>)
( VND)</t>
    </r>
  </si>
  <si>
    <t>(5a)</t>
  </si>
  <si>
    <t>(11 a)</t>
  </si>
  <si>
    <t>(11b)</t>
  </si>
  <si>
    <t>(13)=10+11+11a+11b+ 12</t>
  </si>
  <si>
    <t>(14)=(8)+(9)</t>
  </si>
  <si>
    <t>(15)=(14)/4</t>
  </si>
  <si>
    <t>(20)= (17)+(18)+(19)</t>
  </si>
  <si>
    <t>(21)=(13)+(16)+ (20)</t>
  </si>
  <si>
    <t>(22)=(8)+ (10)</t>
  </si>
  <si>
    <t>(23)=(22)x17%</t>
  </si>
  <si>
    <t>(24)=(22)x3%</t>
  </si>
  <si>
    <t>(28)=(22)x1.5%</t>
  </si>
  <si>
    <t>(30)=(27)+(28)+(29)</t>
  </si>
  <si>
    <t>(31a)</t>
  </si>
  <si>
    <t>(32)= (31a)x4400000</t>
  </si>
  <si>
    <t>(34)=(21)-(33)</t>
  </si>
  <si>
    <t>(35)=(21)-(31)-(32)-(33)</t>
  </si>
  <si>
    <t>Scheduling</t>
  </si>
  <si>
    <t>Manager</t>
  </si>
  <si>
    <t>Director- general</t>
  </si>
  <si>
    <t>(27)=(22)x8%</t>
  </si>
  <si>
    <t>VND</t>
  </si>
  <si>
    <t>Tổng phụ cấp không đóng BH được nhận (Total allowances)</t>
  </si>
  <si>
    <t xml:space="preserve">Thuế TNCN </t>
  </si>
  <si>
    <t>Thực nhận</t>
  </si>
  <si>
    <t>Ca đêm</t>
  </si>
  <si>
    <t>Ngày lễ ngày</t>
  </si>
  <si>
    <t xml:space="preserve">Tăng ca ngày </t>
  </si>
  <si>
    <t>(11c)</t>
  </si>
  <si>
    <t>(25)=(22)x1%</t>
  </si>
  <si>
    <t>(26)=(23)+(24)+ (25)</t>
  </si>
  <si>
    <t>(29)=(22)x1%</t>
  </si>
  <si>
    <t>Ca ngày</t>
  </si>
  <si>
    <t>CN ngày</t>
  </si>
  <si>
    <t>CN đêm</t>
  </si>
  <si>
    <t>Tăng ca đêm CN</t>
  </si>
  <si>
    <t>Ngày lễ đêm</t>
  </si>
  <si>
    <t>TC lễ</t>
  </si>
  <si>
    <t>Tăng ca ngày CN</t>
  </si>
  <si>
    <t>(4a)</t>
  </si>
  <si>
    <t>(4b)</t>
  </si>
  <si>
    <t>(5b)</t>
  </si>
  <si>
    <t>(6a)</t>
  </si>
  <si>
    <t>(6b)</t>
  </si>
  <si>
    <t>(6c)</t>
  </si>
  <si>
    <t>(6d)</t>
  </si>
  <si>
    <t>6e</t>
  </si>
  <si>
    <t>7a</t>
  </si>
  <si>
    <t>17c=6b*15*200%*130%</t>
  </si>
  <si>
    <t>(18)=(6c)* (15)*200%*150%</t>
  </si>
  <si>
    <t>18a=6d*15*200%*150%*130%</t>
  </si>
  <si>
    <t>(19)=(6e)* (15)*300%</t>
  </si>
  <si>
    <t>19a=7*15*130%*300%</t>
  </si>
  <si>
    <t>19b=7a*15*150%*300%</t>
  </si>
  <si>
    <t>VPD</t>
  </si>
  <si>
    <t>VHXN</t>
  </si>
  <si>
    <t>VSS</t>
  </si>
  <si>
    <t>VSD</t>
  </si>
  <si>
    <t>TKD</t>
  </si>
  <si>
    <t>Số bữa phụ</t>
  </si>
  <si>
    <t>Lương đóng bảo hiểm /Salary for insurance</t>
  </si>
  <si>
    <t>Lương giờ công /Salary for insurance</t>
  </si>
  <si>
    <t>Tổng lương giờ công cơ bản
/Total base salary</t>
  </si>
  <si>
    <t>Bổ sung lương T11</t>
  </si>
  <si>
    <t>Tăng ca đêm 195%</t>
  </si>
  <si>
    <t>HT điện thoại /Phone charges</t>
  </si>
  <si>
    <t>HT xăng xe /Fuel costs for vehicles</t>
  </si>
  <si>
    <t>HT nhà ở /Housing support</t>
  </si>
  <si>
    <t>HT con nhỏ /Supporting children</t>
  </si>
  <si>
    <t>Thưởng Chuyên cần /Reward for diligence</t>
  </si>
  <si>
    <t>Trợ cấp bữa phụ /Snack allowance</t>
  </si>
  <si>
    <t>Thu nhập miễn thuế /Tax excemption</t>
  </si>
  <si>
    <t>(16)=(15)*(4a+4b*130%)</t>
  </si>
  <si>
    <t>(17)=(5a)* (15)*150%</t>
  </si>
  <si>
    <t>17a=5b*15*150%*130%</t>
  </si>
  <si>
    <t>17b=6a*15*200%</t>
  </si>
  <si>
    <t>(33)=(16)+(16a)</t>
  </si>
  <si>
    <t>Đinh Công Trường</t>
  </si>
  <si>
    <t>TT</t>
  </si>
  <si>
    <t>TP</t>
  </si>
  <si>
    <t>CN</t>
  </si>
  <si>
    <t>Nguyễn Việt Hưng</t>
  </si>
  <si>
    <t>(12a)</t>
  </si>
  <si>
    <t>(13)=10+11+11a+11b+ 12+12a</t>
  </si>
  <si>
    <t>TỔNG CỘNG</t>
  </si>
  <si>
    <t>Tổng các khoản phụ cấp (Total allowances)</t>
  </si>
  <si>
    <t>Thuế TNCN /Personal income tax</t>
  </si>
  <si>
    <t>Thực nhận (VND)</t>
  </si>
  <si>
    <t>Tăng ca ngày</t>
  </si>
  <si>
    <t>Tăng ca CN 200%</t>
  </si>
  <si>
    <t>Tăng ca ngày lễ 300%</t>
  </si>
  <si>
    <t>Phụ cấp điện thoại</t>
  </si>
  <si>
    <t>Phụ cấp xăng xe</t>
  </si>
  <si>
    <t>Phụ cấp nhà ở</t>
  </si>
  <si>
    <t>Phụ cấp đi lại</t>
  </si>
  <si>
    <t>Chuyên cần (Diligence)</t>
  </si>
  <si>
    <t>Tăng ca ngày 150%</t>
  </si>
  <si>
    <t>(16)=(15)*(4)</t>
  </si>
  <si>
    <t>(17)=(5)* (15)*150%</t>
  </si>
  <si>
    <t>(17a)</t>
  </si>
  <si>
    <t>(18)=(6)* (15)*200%</t>
  </si>
  <si>
    <t>(19)=(7)* (15)*300%</t>
  </si>
  <si>
    <t>(26)=(23)+(24)</t>
  </si>
  <si>
    <t>Shin Chun Ki</t>
  </si>
  <si>
    <t>TGĐ</t>
  </si>
  <si>
    <t>Thực nhận quy đổi ( USD)</t>
  </si>
  <si>
    <t>LĐKT</t>
  </si>
  <si>
    <t>Yang Dao Jun</t>
  </si>
  <si>
    <t>Moon Han Soo</t>
  </si>
  <si>
    <t>Phụ cấp  trách nhiệm/
Responsibility allowance</t>
  </si>
  <si>
    <t>PC ngoại ngữ/
Foreign language support</t>
  </si>
  <si>
    <t>HT đi lại/
Mobility assistance</t>
  </si>
  <si>
    <t>HT con nhỏ/
Support workers with small children</t>
  </si>
  <si>
    <t>Thưởng Chuyên cần /
Attendance Bonus</t>
  </si>
  <si>
    <t>Phụ cấp thâm niên/ Seniority allowances</t>
  </si>
  <si>
    <t xml:space="preserve"> CN </t>
  </si>
  <si>
    <t>(9a)</t>
  </si>
  <si>
    <t>(14)=(8)+ (9)+(9a)</t>
  </si>
  <si>
    <t>(35)=(34)-(30)-(31)-(32)</t>
  </si>
  <si>
    <t>Nguyễn Minh Đức</t>
  </si>
  <si>
    <t>Tổng quản lý</t>
  </si>
  <si>
    <t>Tạp vụ</t>
  </si>
  <si>
    <t>Nấu ăn</t>
  </si>
  <si>
    <t>Lái xe</t>
  </si>
  <si>
    <t>TKS</t>
  </si>
  <si>
    <t xml:space="preserve"> CN</t>
  </si>
  <si>
    <t>XNK</t>
  </si>
  <si>
    <t>Thợ điện</t>
  </si>
  <si>
    <t>Đào Văn Mạnh</t>
  </si>
  <si>
    <t xml:space="preserve"> QC</t>
  </si>
  <si>
    <t>QC (TT)</t>
  </si>
  <si>
    <t>Giờ công làm thêm      (Hours of overtime)</t>
  </si>
  <si>
    <t>Lương cơ bản  (Basic salary)
USD</t>
  </si>
  <si>
    <t>Choi Jin Sun</t>
  </si>
  <si>
    <t>NVKD</t>
  </si>
  <si>
    <t>TPKD</t>
  </si>
  <si>
    <t>CG</t>
  </si>
  <si>
    <t>BHXH / Social Insurance 17.5%</t>
  </si>
  <si>
    <t>(23)=(22)x17.5%</t>
  </si>
  <si>
    <t xml:space="preserve">Lương đóng bảo hiểm
</t>
  </si>
  <si>
    <t>Số tài khoản</t>
  </si>
  <si>
    <t>109871163330</t>
  </si>
  <si>
    <t>103873550905</t>
  </si>
  <si>
    <t xml:space="preserve">Số tài khoản </t>
  </si>
  <si>
    <t>Hoàng Lê Anh</t>
  </si>
  <si>
    <t>103875891817</t>
  </si>
  <si>
    <t>104871827327</t>
  </si>
  <si>
    <t>104872539680</t>
  </si>
  <si>
    <t>100875693796</t>
  </si>
  <si>
    <t>104872402810</t>
  </si>
  <si>
    <t>107876999632</t>
  </si>
  <si>
    <t>104877225771</t>
  </si>
  <si>
    <t>104873387926</t>
  </si>
  <si>
    <t>109878080755</t>
  </si>
  <si>
    <t>101876513499</t>
  </si>
  <si>
    <t>101874719380</t>
  </si>
  <si>
    <t>104875693792</t>
  </si>
  <si>
    <t>(16)=10+11+11a+11b+ 12</t>
  </si>
  <si>
    <t>103872539872</t>
  </si>
  <si>
    <t>101872993965</t>
  </si>
  <si>
    <t>104872771448</t>
  </si>
  <si>
    <t>105872771447</t>
  </si>
  <si>
    <t>103006386745</t>
  </si>
  <si>
    <t>103872994007</t>
  </si>
  <si>
    <t>105875696614</t>
  </si>
  <si>
    <t>101873372347</t>
  </si>
  <si>
    <t>102876026588</t>
  </si>
  <si>
    <t>106876025190</t>
  </si>
  <si>
    <t>106871378362</t>
  </si>
  <si>
    <t>100874719381</t>
  </si>
  <si>
    <t>101874719378</t>
  </si>
  <si>
    <t>103874058092</t>
  </si>
  <si>
    <t>105872539677</t>
  </si>
  <si>
    <t>106876052285</t>
  </si>
  <si>
    <t>109878078907</t>
  </si>
  <si>
    <t>105871206794</t>
  </si>
  <si>
    <t>105875872100</t>
  </si>
  <si>
    <t>101876323665</t>
  </si>
  <si>
    <t xml:space="preserve">Ca ngày </t>
  </si>
  <si>
    <t>Tổng giờ công chuẩn</t>
  </si>
  <si>
    <t>Số giờ công chuẩn</t>
  </si>
  <si>
    <t>HT điện thoại /Phone charges/ 26 Công</t>
  </si>
  <si>
    <t>HT xăng xe /Fuel costs for vehicles/ 26 Công</t>
  </si>
  <si>
    <t>HT nhà ở /Housing support/ 26 Công</t>
  </si>
  <si>
    <t>Tổng số giờ công chuẩn</t>
  </si>
  <si>
    <t>109878508547</t>
  </si>
  <si>
    <t>106878497832</t>
  </si>
  <si>
    <t>Kế toán</t>
  </si>
  <si>
    <t>Hwang Seungyun</t>
  </si>
  <si>
    <t>Tổng</t>
  </si>
  <si>
    <t>105875693791</t>
  </si>
  <si>
    <t>106875693790</t>
  </si>
  <si>
    <t>105878734423</t>
  </si>
  <si>
    <t>Tổng lương</t>
  </si>
  <si>
    <t>Hoàng Thị Huyền</t>
  </si>
  <si>
    <t>Ca ngày (100%)</t>
  </si>
  <si>
    <t>Ca đêm (130%)</t>
  </si>
  <si>
    <t>Tăng ca  150%</t>
  </si>
  <si>
    <t>Tiền thuê nhà thực tế</t>
  </si>
  <si>
    <t>15% TNCN</t>
  </si>
  <si>
    <t>Thu nhập chịu thuế bao gồm tiền thuê nhà</t>
  </si>
  <si>
    <t xml:space="preserve">Khấu trừ Thuế TNCN </t>
  </si>
  <si>
    <t>101883483888</t>
  </si>
  <si>
    <t>Nguyễn Hữu Lư</t>
  </si>
  <si>
    <t>Võ Thị Hồng Loan</t>
  </si>
  <si>
    <r>
      <t>Giảm trừ bản thân (</t>
    </r>
    <r>
      <rPr>
        <b/>
        <sz val="10"/>
        <rFont val="바탕"/>
        <family val="1"/>
        <charset val="129"/>
      </rPr>
      <t>기본공제금</t>
    </r>
    <r>
      <rPr>
        <b/>
        <sz val="10"/>
        <rFont val="Times New Roman"/>
        <family val="1"/>
      </rPr>
      <t xml:space="preserve"> )
(VND)</t>
    </r>
  </si>
  <si>
    <r>
      <t>Thu nhập tính thuế
(</t>
    </r>
    <r>
      <rPr>
        <b/>
        <sz val="10"/>
        <rFont val="바탕"/>
        <family val="1"/>
        <charset val="129"/>
      </rPr>
      <t>과세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대상</t>
    </r>
    <r>
      <rPr>
        <b/>
        <sz val="10"/>
        <rFont val="Times New Roman"/>
        <family val="1"/>
      </rPr>
      <t xml:space="preserve"> </t>
    </r>
    <r>
      <rPr>
        <b/>
        <sz val="10"/>
        <rFont val="바탕"/>
        <family val="1"/>
        <charset val="129"/>
      </rPr>
      <t>금액</t>
    </r>
    <r>
      <rPr>
        <b/>
        <sz val="10"/>
        <rFont val="Times New Roman"/>
        <family val="1"/>
      </rPr>
      <t>) VND</t>
    </r>
  </si>
  <si>
    <r>
      <t>Thuế TNCN
(</t>
    </r>
    <r>
      <rPr>
        <b/>
        <sz val="10"/>
        <rFont val="바탕"/>
        <family val="1"/>
        <charset val="129"/>
      </rPr>
      <t>개인소득세</t>
    </r>
    <r>
      <rPr>
        <b/>
        <sz val="10"/>
        <rFont val="Times New Roman"/>
        <family val="1"/>
      </rPr>
      <t>)
( VND)</t>
    </r>
  </si>
  <si>
    <t>Lim Heungsub</t>
  </si>
  <si>
    <t>Nguyễn Thị Khởi</t>
  </si>
  <si>
    <t>104879687511</t>
  </si>
  <si>
    <t>Nhà quản lý</t>
  </si>
  <si>
    <t>GĐĐH</t>
  </si>
  <si>
    <t>Nguyễn Thị Huyền</t>
  </si>
  <si>
    <t>Đinh Việt Anh</t>
  </si>
  <si>
    <t>Phạm Văn Sỹ</t>
  </si>
  <si>
    <t>Trần Thị Hoa</t>
  </si>
  <si>
    <t>Hoàng Thị Tuyết Nhung</t>
  </si>
  <si>
    <t>Hà Đăng Cao</t>
  </si>
  <si>
    <t>Nguyễn Hồng Quân</t>
  </si>
  <si>
    <t xml:space="preserve">Phan Thị Thanh Tâm </t>
  </si>
  <si>
    <t>QC</t>
  </si>
  <si>
    <t>Nguyễn Thanh Hải</t>
  </si>
  <si>
    <t>Phạm Thị Chín</t>
  </si>
  <si>
    <t>Nguyễn Thị Thu</t>
  </si>
  <si>
    <t>Hoàng Thị Bích Thành</t>
  </si>
  <si>
    <t xml:space="preserve">Đinh Thị Thu Thảo </t>
  </si>
  <si>
    <t>Đinh Thị Hải</t>
  </si>
  <si>
    <t xml:space="preserve">Phan Đức Toàn </t>
  </si>
  <si>
    <t>Vũ Hồng Sơn</t>
  </si>
  <si>
    <t>Nguyễn Khắc Linh</t>
  </si>
  <si>
    <t>TTT</t>
  </si>
  <si>
    <t>Nghiêm Thị Ngọc Ánh</t>
  </si>
  <si>
    <t>Vũ Thị Khánh Linh</t>
  </si>
  <si>
    <t>Hoàng Thị Luân</t>
  </si>
  <si>
    <t>Đinh Thị Thơm</t>
  </si>
  <si>
    <t>Quán Văn Công</t>
  </si>
  <si>
    <t>Bùi Xuân Huy</t>
  </si>
  <si>
    <t>CN ngày 200%</t>
  </si>
  <si>
    <t>CN đêm 260%</t>
  </si>
  <si>
    <t xml:space="preserve"> Tăng ca ngày CN 300%</t>
  </si>
  <si>
    <t>Tăng ca đêm CN 390%</t>
  </si>
  <si>
    <t>Ngày lễ ngày 300%</t>
  </si>
  <si>
    <t>Ngày lễ đêm 390%</t>
  </si>
  <si>
    <t>TC lễ
(450%)</t>
  </si>
  <si>
    <t>HCNS</t>
  </si>
  <si>
    <t>Dương Thị Đoàn</t>
  </si>
  <si>
    <t>Khấu trừ khác</t>
  </si>
  <si>
    <t>Hoàng Việt Dũng</t>
  </si>
  <si>
    <t>Nguyễn Thị Định</t>
  </si>
  <si>
    <t>Nguyễn Văn Đoàn</t>
  </si>
  <si>
    <t>Bùi Văn Tâm</t>
  </si>
  <si>
    <t>Nguyễn Ngọc Đông</t>
  </si>
  <si>
    <t>Bùi Di Kết</t>
  </si>
  <si>
    <t>Nguyễn Mạnh Hùng</t>
  </si>
  <si>
    <t>Hoàng Hương Hùng</t>
  </si>
  <si>
    <r>
      <t>Thuế TNCN
(</t>
    </r>
    <r>
      <rPr>
        <b/>
        <sz val="9"/>
        <rFont val="바탕"/>
        <family val="1"/>
        <charset val="129"/>
      </rPr>
      <t>개인소득세</t>
    </r>
    <r>
      <rPr>
        <b/>
        <sz val="9"/>
        <rFont val="Times New Roman"/>
        <family val="1"/>
      </rPr>
      <t>)
( VND)</t>
    </r>
  </si>
  <si>
    <t>Nguyễn Thị Hân</t>
  </si>
  <si>
    <t>Hà Đức Thịnh</t>
  </si>
  <si>
    <t>Lại Thị Huyền</t>
  </si>
  <si>
    <t>Hà Quang Nhất</t>
  </si>
  <si>
    <t>Lê Duy Công</t>
  </si>
  <si>
    <t>Nguyễn Công Kiên</t>
  </si>
  <si>
    <t>Trần Đức Hậu</t>
  </si>
  <si>
    <t>Đinh Ngọc Cương</t>
  </si>
  <si>
    <t>Lại Đức Long</t>
  </si>
  <si>
    <t>Hán Thế Trọng</t>
  </si>
  <si>
    <t>Trịnh Xuân Bồng</t>
  </si>
  <si>
    <t>HT làm thêm ngày lễ 01/05</t>
  </si>
  <si>
    <t>KPCĐ
2%</t>
  </si>
  <si>
    <t>KPCĐ 
2%</t>
  </si>
  <si>
    <t xml:space="preserve">Đoàn phí </t>
  </si>
  <si>
    <t>Đoàn phí</t>
  </si>
  <si>
    <t>Dương Thị Vân</t>
  </si>
  <si>
    <t>Trịnh Ngọc Tất</t>
  </si>
  <si>
    <t>Trần Mạnh Hùng</t>
  </si>
  <si>
    <t>Đinh Thị Hương</t>
  </si>
  <si>
    <t>Nguyễn Văn Sơn</t>
  </si>
  <si>
    <t>Đào Thị Thu Hằng</t>
  </si>
  <si>
    <t>Nguyễn Trang Điền</t>
  </si>
  <si>
    <t>Trịnh Bá Vàng</t>
  </si>
  <si>
    <t>Trần Văn Đoàn</t>
  </si>
  <si>
    <t>Hoàng Văn Đinh</t>
  </si>
  <si>
    <t>Thưởng Tết Âm lịch 20% (Ngày lễ 02/09)</t>
  </si>
  <si>
    <r>
      <t>Giảm trừ bản thân (</t>
    </r>
    <r>
      <rPr>
        <b/>
        <sz val="9"/>
        <rFont val="바탕"/>
        <family val="1"/>
        <charset val="129"/>
      </rPr>
      <t>기본공제금</t>
    </r>
    <r>
      <rPr>
        <b/>
        <sz val="9"/>
        <rFont val="Times New Roman"/>
        <family val="1"/>
      </rPr>
      <t xml:space="preserve"> )
(VND)</t>
    </r>
  </si>
  <si>
    <r>
      <t>Thu nhập tính thuế
(</t>
    </r>
    <r>
      <rPr>
        <b/>
        <sz val="9"/>
        <rFont val="바탕"/>
        <family val="1"/>
        <charset val="129"/>
      </rPr>
      <t>과세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대상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금액</t>
    </r>
    <r>
      <rPr>
        <b/>
        <sz val="9"/>
        <rFont val="Times New Roman"/>
        <family val="1"/>
      </rPr>
      <t>) VND</t>
    </r>
  </si>
  <si>
    <r>
      <t>Thu nhập tính thuế
(</t>
    </r>
    <r>
      <rPr>
        <b/>
        <sz val="9"/>
        <rFont val="바탕"/>
        <family val="1"/>
        <charset val="129"/>
      </rPr>
      <t>과세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대상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금액</t>
    </r>
    <r>
      <rPr>
        <b/>
        <sz val="9"/>
        <rFont val="Times New Roman"/>
        <family val="1"/>
      </rPr>
      <t>) (VND)</t>
    </r>
  </si>
  <si>
    <t xml:space="preserve">Thực nhận </t>
  </si>
  <si>
    <t>USD
(Quy đổi)</t>
  </si>
  <si>
    <t>USD 
(Quy đổi)</t>
  </si>
  <si>
    <t>Tỷ giá Vietinbank: 31/08/2024</t>
  </si>
  <si>
    <t>PAYROLL AUGUST 2024</t>
  </si>
  <si>
    <t>From 1st -31th August 2024</t>
  </si>
  <si>
    <t>Nguyễn Thị Kim Liên</t>
  </si>
  <si>
    <t>Mai Văn Sáng</t>
  </si>
  <si>
    <t>Hoàng Xuân Huy</t>
  </si>
  <si>
    <t>Ngô Quang Nam</t>
  </si>
  <si>
    <t>Đỗ Văn Hà</t>
  </si>
  <si>
    <t>Thưởng sinh nhật tháng 08 /Birthday in August</t>
  </si>
  <si>
    <t>Nguyễn Thị Lý (Từ 01-24/08)</t>
  </si>
  <si>
    <t>Nguyễn Thị Lý (Từ 25-31/08)</t>
  </si>
  <si>
    <t>Trần Đại Lượng (Từ ngày 01-12/08)</t>
  </si>
  <si>
    <t>Trần Đại Lượng (Từ ngày 13-31/08)</t>
  </si>
  <si>
    <t xml:space="preserve"> Đỗ Thị Kim Liên (Từ ngày 01-04/08)</t>
  </si>
  <si>
    <t xml:space="preserve"> Đỗ Thị Kim Liên (Từ ngày 05-31/08)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</si>
</sst>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_-* #,##0\ _₫_-;\-* #,##0\ _₫_-;_-* &quot;-&quot;??\ _₫_-;_-@_-"/>
    <numFmt numFmtId="166" formatCode="_-* #,##0_-;\-* #,##0_-;_-* &quot;-&quot;??_-;_-@_-"/>
    <numFmt numFmtId="167" formatCode="0_);[Red]\(0\)"/>
    <numFmt numFmtId="168" formatCode="_(* #,##0_);_(* \(#,##0\);_(* &quot;-&quot;??_);_(@_)"/>
    <numFmt numFmtId="169" formatCode="_-* #,##0.0_-;\-* #,##0.0_-;_-* &quot;-&quot;??_-;_-@_-"/>
    <numFmt numFmtId="170" formatCode="_(* #,##0.0_);_(* \(#,##0.0\);_(* &quot;-&quot;??_);_(@_)"/>
    <numFmt numFmtId="171" formatCode="0_);\(0\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8"/>
      <name val="돋움"/>
      <family val="3"/>
      <charset val="129"/>
    </font>
    <font>
      <b/>
      <sz val="8"/>
      <name val="돋움"/>
      <family val="3"/>
      <charset val="129"/>
    </font>
    <font>
      <sz val="7"/>
      <name val="돋움"/>
      <family val="3"/>
      <charset val="129"/>
    </font>
    <font>
      <b/>
      <sz val="14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9"/>
      <name val="돋움"/>
    </font>
    <font>
      <b/>
      <sz val="9"/>
      <name val="Times New Roman"/>
      <family val="1"/>
    </font>
    <font>
      <b/>
      <i/>
      <sz val="9"/>
      <name val="Times New Roman"/>
      <family val="1"/>
    </font>
    <font>
      <b/>
      <sz val="9"/>
      <name val="바탕"/>
      <family val="1"/>
      <charset val="129"/>
    </font>
    <font>
      <b/>
      <sz val="9"/>
      <color rgb="FFFF0000"/>
      <name val="Times New Roman"/>
      <family val="1"/>
    </font>
    <font>
      <b/>
      <sz val="9"/>
      <color indexed="10"/>
      <name val="바탕"/>
      <family val="1"/>
      <charset val="129"/>
    </font>
    <font>
      <b/>
      <sz val="9"/>
      <color indexed="10"/>
      <name val="Times New Roman"/>
      <family val="1"/>
    </font>
    <font>
      <sz val="10"/>
      <name val="돋움"/>
      <family val="3"/>
      <charset val="129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i/>
      <sz val="12"/>
      <name val="Times New Roman"/>
      <family val="1"/>
    </font>
    <font>
      <sz val="12"/>
      <name val="Times New Roman"/>
      <family val="1"/>
    </font>
    <font>
      <b/>
      <sz val="10"/>
      <name val="돋움"/>
      <family val="3"/>
      <charset val="129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9"/>
      <color rgb="FF333399"/>
      <name val="Arial"/>
      <family val="2"/>
    </font>
    <font>
      <sz val="16"/>
      <name val="돋움"/>
      <family val="3"/>
      <charset val="129"/>
    </font>
    <font>
      <b/>
      <sz val="8"/>
      <color theme="1"/>
      <name val="돋움"/>
      <family val="3"/>
      <charset val="129"/>
    </font>
    <font>
      <sz val="14"/>
      <name val="돋움"/>
      <family val="3"/>
      <charset val="129"/>
    </font>
    <font>
      <b/>
      <sz val="18"/>
      <name val="Times New Roman"/>
      <family val="1"/>
    </font>
    <font>
      <b/>
      <sz val="20"/>
      <name val="Times New Roman"/>
      <family val="1"/>
    </font>
    <font>
      <b/>
      <sz val="9"/>
      <color theme="1"/>
      <name val="Times New Roman"/>
      <family val="1"/>
    </font>
    <font>
      <sz val="20"/>
      <name val="돋움"/>
      <family val="3"/>
      <charset val="129"/>
    </font>
    <font>
      <b/>
      <sz val="20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6"/>
      <name val="Times New Roman"/>
      <family val="1"/>
    </font>
    <font>
      <sz val="18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b/>
      <sz val="12"/>
      <name val="돋움"/>
    </font>
    <font>
      <b/>
      <sz val="10"/>
      <name val="바탕"/>
      <family val="1"/>
      <charset val="129"/>
    </font>
    <font>
      <sz val="18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FF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5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/>
    <xf numFmtId="0" fontId="3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38" fontId="5" fillId="0" borderId="0" xfId="0" applyNumberFormat="1" applyFont="1" applyAlignment="1">
      <alignment vertical="center"/>
    </xf>
    <xf numFmtId="165" fontId="7" fillId="0" borderId="0" xfId="1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/>
    <xf numFmtId="0" fontId="10" fillId="2" borderId="0" xfId="0" applyFont="1" applyFill="1" applyAlignment="1">
      <alignment vertical="center"/>
    </xf>
    <xf numFmtId="38" fontId="10" fillId="0" borderId="0" xfId="0" applyNumberFormat="1" applyFont="1" applyAlignment="1">
      <alignment vertical="center"/>
    </xf>
    <xf numFmtId="38" fontId="1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9" fontId="13" fillId="3" borderId="6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9" fontId="13" fillId="3" borderId="1" xfId="0" applyNumberFormat="1" applyFont="1" applyFill="1" applyBorder="1" applyAlignment="1">
      <alignment horizontal="center" vertical="center" wrapText="1"/>
    </xf>
    <xf numFmtId="41" fontId="14" fillId="3" borderId="1" xfId="2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38" fontId="13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167" fontId="13" fillId="2" borderId="1" xfId="0" applyNumberFormat="1" applyFont="1" applyFill="1" applyBorder="1" applyAlignment="1">
      <alignment horizontal="center" vertical="center" wrapText="1"/>
    </xf>
    <xf numFmtId="38" fontId="13" fillId="0" borderId="1" xfId="0" applyNumberFormat="1" applyFont="1" applyBorder="1" applyAlignment="1">
      <alignment horizontal="center" vertical="center" wrapText="1"/>
    </xf>
    <xf numFmtId="3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3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22" fillId="0" borderId="0" xfId="0" applyFont="1"/>
    <xf numFmtId="164" fontId="19" fillId="0" borderId="0" xfId="0" applyNumberFormat="1" applyFont="1" applyAlignment="1">
      <alignment vertical="center"/>
    </xf>
    <xf numFmtId="166" fontId="4" fillId="0" borderId="0" xfId="1" applyNumberFormat="1" applyFont="1" applyAlignment="1"/>
    <xf numFmtId="38" fontId="25" fillId="0" borderId="0" xfId="0" applyNumberFormat="1" applyFont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64" fontId="25" fillId="0" borderId="0" xfId="0" applyNumberFormat="1" applyFont="1" applyAlignment="1">
      <alignment vertical="center"/>
    </xf>
    <xf numFmtId="0" fontId="26" fillId="0" borderId="0" xfId="0" applyFont="1"/>
    <xf numFmtId="0" fontId="26" fillId="2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3" fontId="25" fillId="0" borderId="0" xfId="0" applyNumberFormat="1" applyFont="1" applyAlignment="1">
      <alignment vertical="center"/>
    </xf>
    <xf numFmtId="3" fontId="25" fillId="2" borderId="0" xfId="0" applyNumberFormat="1" applyFont="1" applyFill="1" applyAlignment="1">
      <alignment vertical="center"/>
    </xf>
    <xf numFmtId="166" fontId="26" fillId="0" borderId="0" xfId="1" applyNumberFormat="1" applyFont="1" applyAlignment="1"/>
    <xf numFmtId="165" fontId="8" fillId="0" borderId="0" xfId="1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3" fontId="13" fillId="0" borderId="1" xfId="1" applyNumberFormat="1" applyFont="1" applyFill="1" applyBorder="1" applyAlignment="1">
      <alignment horizontal="center" vertical="center"/>
    </xf>
    <xf numFmtId="43" fontId="3" fillId="0" borderId="0" xfId="1" applyFont="1" applyFill="1" applyAlignment="1">
      <alignment vertical="center"/>
    </xf>
    <xf numFmtId="166" fontId="3" fillId="0" borderId="0" xfId="1" applyNumberFormat="1" applyFont="1" applyFill="1" applyAlignment="1">
      <alignment vertical="center"/>
    </xf>
    <xf numFmtId="166" fontId="3" fillId="0" borderId="0" xfId="1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38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>
      <alignment horizontal="left" vertical="center"/>
    </xf>
    <xf numFmtId="164" fontId="8" fillId="2" borderId="0" xfId="0" applyNumberFormat="1" applyFont="1" applyFill="1" applyAlignment="1">
      <alignment vertical="center"/>
    </xf>
    <xf numFmtId="0" fontId="22" fillId="2" borderId="0" xfId="0" applyFont="1" applyFill="1" applyAlignment="1">
      <alignment horizontal="right"/>
    </xf>
    <xf numFmtId="0" fontId="9" fillId="2" borderId="0" xfId="0" applyFont="1" applyFill="1" applyAlignment="1">
      <alignment vertical="center"/>
    </xf>
    <xf numFmtId="166" fontId="25" fillId="2" borderId="0" xfId="1" applyNumberFormat="1" applyFont="1" applyFill="1" applyAlignment="1">
      <alignment vertical="center"/>
    </xf>
    <xf numFmtId="0" fontId="25" fillId="2" borderId="0" xfId="1" applyNumberFormat="1" applyFont="1" applyFill="1" applyAlignment="1">
      <alignment vertical="center"/>
    </xf>
    <xf numFmtId="3" fontId="31" fillId="0" borderId="0" xfId="0" applyNumberFormat="1" applyFont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164" fontId="33" fillId="2" borderId="0" xfId="0" applyNumberFormat="1" applyFont="1" applyFill="1" applyAlignment="1">
      <alignment vertical="center"/>
    </xf>
    <xf numFmtId="0" fontId="32" fillId="2" borderId="0" xfId="0" applyFont="1" applyFill="1" applyAlignment="1">
      <alignment horizontal="right"/>
    </xf>
    <xf numFmtId="3" fontId="33" fillId="2" borderId="0" xfId="0" applyNumberFormat="1" applyFont="1" applyFill="1" applyAlignment="1">
      <alignment vertical="center"/>
    </xf>
    <xf numFmtId="38" fontId="3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3" fontId="2" fillId="0" borderId="0" xfId="1" applyNumberFormat="1" applyFont="1" applyFill="1" applyBorder="1" applyAlignment="1">
      <alignment horizontal="center" vertical="center"/>
    </xf>
    <xf numFmtId="3" fontId="34" fillId="0" borderId="0" xfId="0" applyNumberFormat="1" applyFont="1"/>
    <xf numFmtId="0" fontId="3" fillId="0" borderId="0" xfId="0" applyFont="1"/>
    <xf numFmtId="3" fontId="20" fillId="0" borderId="0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166" fontId="21" fillId="0" borderId="0" xfId="1" applyNumberFormat="1" applyFont="1" applyFill="1" applyBorder="1" applyAlignment="1">
      <alignment vertical="center"/>
    </xf>
    <xf numFmtId="3" fontId="21" fillId="0" borderId="0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7" fillId="0" borderId="0" xfId="0" applyFont="1" applyAlignment="1">
      <alignment vertical="center"/>
    </xf>
    <xf numFmtId="164" fontId="37" fillId="0" borderId="0" xfId="0" applyNumberFormat="1" applyFont="1" applyAlignment="1">
      <alignment vertical="center"/>
    </xf>
    <xf numFmtId="0" fontId="37" fillId="2" borderId="0" xfId="0" applyFont="1" applyFill="1" applyAlignment="1">
      <alignment horizontal="center" vertical="center"/>
    </xf>
    <xf numFmtId="3" fontId="37" fillId="0" borderId="0" xfId="0" applyNumberFormat="1" applyFont="1" applyAlignment="1">
      <alignment vertical="center"/>
    </xf>
    <xf numFmtId="0" fontId="6" fillId="0" borderId="0" xfId="0" applyFont="1"/>
    <xf numFmtId="0" fontId="36" fillId="0" borderId="0" xfId="0" applyFont="1" applyAlignment="1">
      <alignment vertical="center"/>
    </xf>
    <xf numFmtId="167" fontId="40" fillId="0" borderId="1" xfId="0" applyNumberFormat="1" applyFont="1" applyBorder="1" applyAlignment="1">
      <alignment horizontal="center" vertical="center" wrapText="1"/>
    </xf>
    <xf numFmtId="167" fontId="40" fillId="2" borderId="1" xfId="0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38" fontId="40" fillId="0" borderId="1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164" fontId="41" fillId="0" borderId="0" xfId="0" applyNumberFormat="1" applyFont="1" applyAlignment="1">
      <alignment vertical="center"/>
    </xf>
    <xf numFmtId="0" fontId="42" fillId="0" borderId="0" xfId="0" applyFont="1"/>
    <xf numFmtId="0" fontId="41" fillId="2" borderId="0" xfId="0" applyFont="1" applyFill="1" applyAlignment="1">
      <alignment vertical="center"/>
    </xf>
    <xf numFmtId="0" fontId="39" fillId="0" borderId="0" xfId="0" applyFont="1"/>
    <xf numFmtId="0" fontId="41" fillId="2" borderId="0" xfId="0" applyFont="1" applyFill="1" applyAlignment="1">
      <alignment horizontal="center" vertical="center"/>
    </xf>
    <xf numFmtId="3" fontId="41" fillId="2" borderId="0" xfId="0" applyNumberFormat="1" applyFont="1" applyFill="1" applyAlignment="1">
      <alignment vertical="center"/>
    </xf>
    <xf numFmtId="3" fontId="41" fillId="0" borderId="0" xfId="0" applyNumberFormat="1" applyFont="1" applyAlignment="1">
      <alignment vertical="center"/>
    </xf>
    <xf numFmtId="3" fontId="39" fillId="2" borderId="0" xfId="0" applyNumberFormat="1" applyFont="1" applyFill="1" applyAlignment="1">
      <alignment vertical="center"/>
    </xf>
    <xf numFmtId="3" fontId="6" fillId="0" borderId="0" xfId="0" applyNumberFormat="1" applyFont="1" applyAlignment="1">
      <alignment horizontal="center"/>
    </xf>
    <xf numFmtId="4" fontId="2" fillId="0" borderId="1" xfId="1" quotePrefix="1" applyNumberFormat="1" applyFont="1" applyFill="1" applyBorder="1" applyAlignment="1">
      <alignment horizontal="center" vertical="center"/>
    </xf>
    <xf numFmtId="49" fontId="33" fillId="2" borderId="0" xfId="0" applyNumberFormat="1" applyFont="1" applyFill="1" applyAlignment="1">
      <alignment vertical="center"/>
    </xf>
    <xf numFmtId="49" fontId="38" fillId="2" borderId="0" xfId="1" applyNumberFormat="1" applyFont="1" applyFill="1" applyAlignment="1">
      <alignment horizontal="center" vertical="center"/>
    </xf>
    <xf numFmtId="49" fontId="30" fillId="2" borderId="0" xfId="1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21" fillId="0" borderId="0" xfId="1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20" fillId="0" borderId="0" xfId="1" applyNumberFormat="1" applyFont="1" applyFill="1" applyBorder="1" applyAlignment="1">
      <alignment horizontal="center" vertical="center"/>
    </xf>
    <xf numFmtId="0" fontId="41" fillId="2" borderId="0" xfId="0" applyFont="1" applyFill="1" applyAlignment="1">
      <alignment horizontal="left" vertical="center"/>
    </xf>
    <xf numFmtId="164" fontId="41" fillId="2" borderId="0" xfId="0" applyNumberFormat="1" applyFont="1" applyFill="1" applyAlignment="1">
      <alignment vertical="center"/>
    </xf>
    <xf numFmtId="164" fontId="41" fillId="2" borderId="0" xfId="0" applyNumberFormat="1" applyFont="1" applyFill="1" applyAlignment="1">
      <alignment horizontal="right" vertical="center"/>
    </xf>
    <xf numFmtId="164" fontId="41" fillId="2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horizontal="center"/>
    </xf>
    <xf numFmtId="49" fontId="39" fillId="0" borderId="0" xfId="0" applyNumberFormat="1" applyFont="1"/>
    <xf numFmtId="0" fontId="39" fillId="2" borderId="0" xfId="0" applyFont="1" applyFill="1"/>
    <xf numFmtId="3" fontId="21" fillId="2" borderId="0" xfId="1" applyNumberFormat="1" applyFont="1" applyFill="1" applyBorder="1" applyAlignment="1">
      <alignment horizontal="center" vertical="center"/>
    </xf>
    <xf numFmtId="164" fontId="21" fillId="0" borderId="0" xfId="1" applyNumberFormat="1" applyFont="1" applyFill="1" applyBorder="1" applyAlignment="1">
      <alignment horizontal="center" vertical="center"/>
    </xf>
    <xf numFmtId="164" fontId="39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21" fillId="0" borderId="0" xfId="1" applyNumberFormat="1" applyFont="1" applyFill="1" applyBorder="1" applyAlignment="1">
      <alignment vertical="center"/>
    </xf>
    <xf numFmtId="164" fontId="39" fillId="2" borderId="0" xfId="0" applyNumberFormat="1" applyFont="1" applyFill="1" applyAlignment="1">
      <alignment horizontal="center"/>
    </xf>
    <xf numFmtId="3" fontId="13" fillId="0" borderId="0" xfId="1" applyNumberFormat="1" applyFont="1" applyFill="1" applyBorder="1" applyAlignment="1">
      <alignment horizontal="center" vertical="center"/>
    </xf>
    <xf numFmtId="0" fontId="29" fillId="3" borderId="0" xfId="0" applyFont="1" applyFill="1" applyAlignment="1">
      <alignment vertical="center"/>
    </xf>
    <xf numFmtId="3" fontId="25" fillId="2" borderId="0" xfId="0" applyNumberFormat="1" applyFont="1" applyFill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3" fontId="2" fillId="0" borderId="0" xfId="0" applyNumberFormat="1" applyFont="1"/>
    <xf numFmtId="3" fontId="8" fillId="2" borderId="0" xfId="0" applyNumberFormat="1" applyFont="1" applyFill="1" applyAlignment="1">
      <alignment horizontal="center" vertical="center"/>
    </xf>
    <xf numFmtId="3" fontId="31" fillId="2" borderId="0" xfId="0" applyNumberFormat="1" applyFont="1" applyFill="1" applyAlignment="1">
      <alignment vertical="center"/>
    </xf>
    <xf numFmtId="3" fontId="0" fillId="0" borderId="0" xfId="0" applyNumberFormat="1"/>
    <xf numFmtId="0" fontId="43" fillId="0" borderId="0" xfId="0" applyFont="1"/>
    <xf numFmtId="0" fontId="45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44" fillId="0" borderId="0" xfId="0" applyFont="1" applyAlignment="1">
      <alignment horizontal="center"/>
    </xf>
    <xf numFmtId="164" fontId="35" fillId="0" borderId="0" xfId="0" applyNumberFormat="1" applyFont="1" applyAlignment="1">
      <alignment vertical="center"/>
    </xf>
    <xf numFmtId="0" fontId="46" fillId="0" borderId="0" xfId="0" applyFont="1"/>
    <xf numFmtId="3" fontId="35" fillId="0" borderId="0" xfId="0" applyNumberFormat="1" applyFont="1" applyAlignment="1">
      <alignment vertical="center"/>
    </xf>
    <xf numFmtId="3" fontId="44" fillId="0" borderId="0" xfId="0" applyNumberFormat="1" applyFont="1" applyAlignment="1">
      <alignment vertical="center"/>
    </xf>
    <xf numFmtId="0" fontId="44" fillId="0" borderId="0" xfId="0" applyFont="1"/>
    <xf numFmtId="4" fontId="35" fillId="2" borderId="0" xfId="0" applyNumberFormat="1" applyFont="1" applyFill="1" applyAlignment="1">
      <alignment vertical="center"/>
    </xf>
    <xf numFmtId="0" fontId="38" fillId="0" borderId="0" xfId="0" applyFont="1" applyAlignment="1">
      <alignment horizontal="center"/>
    </xf>
    <xf numFmtId="164" fontId="45" fillId="0" borderId="0" xfId="0" applyNumberFormat="1" applyFont="1" applyAlignment="1">
      <alignment vertical="center"/>
    </xf>
    <xf numFmtId="0" fontId="47" fillId="0" borderId="0" xfId="0" applyFont="1"/>
    <xf numFmtId="0" fontId="45" fillId="2" borderId="0" xfId="0" applyFont="1" applyFill="1" applyAlignment="1">
      <alignment horizontal="center" vertical="center"/>
    </xf>
    <xf numFmtId="3" fontId="45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0" fontId="38" fillId="0" borderId="0" xfId="0" applyFont="1"/>
    <xf numFmtId="4" fontId="45" fillId="2" borderId="0" xfId="0" applyNumberFormat="1" applyFont="1" applyFill="1" applyAlignment="1">
      <alignment vertical="center"/>
    </xf>
    <xf numFmtId="166" fontId="35" fillId="2" borderId="0" xfId="0" applyNumberFormat="1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38" fontId="48" fillId="2" borderId="0" xfId="0" applyNumberFormat="1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9" fontId="2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41" fontId="7" fillId="3" borderId="1" xfId="2" applyFont="1" applyFill="1" applyBorder="1" applyAlignment="1">
      <alignment horizontal="center" vertical="center" wrapText="1"/>
    </xf>
    <xf numFmtId="38" fontId="2" fillId="3" borderId="1" xfId="0" applyNumberFormat="1" applyFont="1" applyFill="1" applyBorder="1" applyAlignment="1">
      <alignment horizontal="center" vertical="center" wrapText="1"/>
    </xf>
    <xf numFmtId="3" fontId="26" fillId="2" borderId="0" xfId="0" applyNumberFormat="1" applyFont="1" applyFill="1" applyAlignment="1">
      <alignment vertical="center"/>
    </xf>
    <xf numFmtId="164" fontId="20" fillId="0" borderId="1" xfId="0" applyNumberFormat="1" applyFont="1" applyBorder="1" applyAlignment="1">
      <alignment horizontal="center" vertical="center" wrapText="1"/>
    </xf>
    <xf numFmtId="38" fontId="48" fillId="0" borderId="0" xfId="0" applyNumberFormat="1" applyFont="1" applyAlignment="1">
      <alignment vertical="center"/>
    </xf>
    <xf numFmtId="167" fontId="20" fillId="0" borderId="1" xfId="0" applyNumberFormat="1" applyFont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center" vertical="center" wrapText="1"/>
    </xf>
    <xf numFmtId="167" fontId="20" fillId="2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7" fontId="20" fillId="2" borderId="1" xfId="0" quotePrefix="1" applyNumberFormat="1" applyFont="1" applyFill="1" applyBorder="1" applyAlignment="1">
      <alignment horizontal="center" vertical="center" wrapText="1"/>
    </xf>
    <xf numFmtId="38" fontId="20" fillId="2" borderId="1" xfId="0" applyNumberFormat="1" applyFont="1" applyFill="1" applyBorder="1" applyAlignment="1">
      <alignment horizontal="center" vertical="center" wrapText="1"/>
    </xf>
    <xf numFmtId="3" fontId="26" fillId="0" borderId="0" xfId="0" applyNumberFormat="1" applyFont="1" applyAlignment="1">
      <alignment vertical="center"/>
    </xf>
    <xf numFmtId="166" fontId="20" fillId="5" borderId="1" xfId="1" applyNumberFormat="1" applyFont="1" applyFill="1" applyBorder="1" applyAlignment="1">
      <alignment horizontal="center" vertical="center"/>
    </xf>
    <xf numFmtId="164" fontId="20" fillId="5" borderId="1" xfId="1" applyNumberFormat="1" applyFont="1" applyFill="1" applyBorder="1" applyAlignment="1">
      <alignment horizontal="center" vertical="center"/>
    </xf>
    <xf numFmtId="3" fontId="20" fillId="5" borderId="1" xfId="1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164" fontId="26" fillId="0" borderId="0" xfId="0" applyNumberFormat="1" applyFont="1" applyAlignment="1">
      <alignment vertical="center"/>
    </xf>
    <xf numFmtId="164" fontId="26" fillId="2" borderId="0" xfId="1" applyNumberFormat="1" applyFont="1" applyFill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38" fontId="26" fillId="0" borderId="0" xfId="0" applyNumberFormat="1" applyFont="1" applyAlignment="1">
      <alignment vertical="center"/>
    </xf>
    <xf numFmtId="3" fontId="26" fillId="5" borderId="0" xfId="0" applyNumberFormat="1" applyFont="1" applyFill="1" applyAlignment="1">
      <alignment vertical="center"/>
    </xf>
    <xf numFmtId="0" fontId="26" fillId="5" borderId="0" xfId="0" applyFont="1" applyFill="1" applyAlignment="1">
      <alignment vertical="center"/>
    </xf>
    <xf numFmtId="166" fontId="26" fillId="2" borderId="0" xfId="0" applyNumberFormat="1" applyFont="1" applyFill="1" applyAlignment="1">
      <alignment vertical="center"/>
    </xf>
    <xf numFmtId="0" fontId="42" fillId="0" borderId="0" xfId="0" applyFont="1" applyAlignment="1">
      <alignment vertical="center"/>
    </xf>
    <xf numFmtId="164" fontId="42" fillId="0" borderId="0" xfId="0" applyNumberFormat="1" applyFont="1" applyAlignment="1">
      <alignment vertical="center"/>
    </xf>
    <xf numFmtId="164" fontId="42" fillId="2" borderId="0" xfId="1" applyNumberFormat="1" applyFont="1" applyFill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0" fontId="42" fillId="2" borderId="0" xfId="0" applyFont="1" applyFill="1" applyAlignment="1">
      <alignment vertical="center"/>
    </xf>
    <xf numFmtId="0" fontId="42" fillId="2" borderId="0" xfId="0" applyFont="1" applyFill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3" fontId="42" fillId="2" borderId="0" xfId="0" applyNumberFormat="1" applyFont="1" applyFill="1" applyAlignment="1">
      <alignment vertical="center"/>
    </xf>
    <xf numFmtId="3" fontId="42" fillId="0" borderId="0" xfId="0" applyNumberFormat="1" applyFont="1" applyAlignment="1">
      <alignment vertical="center"/>
    </xf>
    <xf numFmtId="164" fontId="2" fillId="3" borderId="1" xfId="0" applyNumberFormat="1" applyFont="1" applyFill="1" applyBorder="1" applyAlignment="1">
      <alignment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3" fontId="21" fillId="3" borderId="6" xfId="0" applyNumberFormat="1" applyFont="1" applyFill="1" applyBorder="1" applyAlignment="1">
      <alignment horizontal="center" vertical="center" wrapText="1"/>
    </xf>
    <xf numFmtId="166" fontId="20" fillId="5" borderId="5" xfId="1" applyNumberFormat="1" applyFont="1" applyFill="1" applyBorder="1" applyAlignment="1">
      <alignment horizontal="center" vertical="center"/>
    </xf>
    <xf numFmtId="166" fontId="25" fillId="4" borderId="0" xfId="0" applyNumberFormat="1" applyFont="1" applyFill="1" applyAlignment="1">
      <alignment vertic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50" fillId="2" borderId="0" xfId="0" applyFont="1" applyFill="1" applyAlignment="1">
      <alignment horizontal="center" vertical="center"/>
    </xf>
    <xf numFmtId="3" fontId="50" fillId="2" borderId="0" xfId="0" applyNumberFormat="1" applyFont="1" applyFill="1" applyAlignment="1">
      <alignment horizontal="center" vertical="center"/>
    </xf>
    <xf numFmtId="3" fontId="50" fillId="0" borderId="0" xfId="0" applyNumberFormat="1" applyFont="1" applyAlignment="1">
      <alignment vertical="center"/>
    </xf>
    <xf numFmtId="4" fontId="50" fillId="2" borderId="0" xfId="0" applyNumberFormat="1" applyFont="1" applyFill="1" applyAlignment="1">
      <alignment vertical="center"/>
    </xf>
    <xf numFmtId="169" fontId="20" fillId="5" borderId="5" xfId="1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vertical="center" wrapText="1"/>
    </xf>
    <xf numFmtId="3" fontId="35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vertical="center"/>
    </xf>
    <xf numFmtId="4" fontId="0" fillId="0" borderId="0" xfId="0" applyNumberFormat="1"/>
    <xf numFmtId="166" fontId="28" fillId="0" borderId="0" xfId="1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166" fontId="31" fillId="0" borderId="0" xfId="1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0" fontId="32" fillId="0" borderId="0" xfId="0" applyFont="1"/>
    <xf numFmtId="38" fontId="33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3" fontId="38" fillId="0" borderId="0" xfId="0" applyNumberFormat="1" applyFont="1" applyAlignment="1">
      <alignment horizontal="center"/>
    </xf>
    <xf numFmtId="168" fontId="20" fillId="0" borderId="1" xfId="1" applyNumberFormat="1" applyFont="1" applyFill="1" applyBorder="1" applyAlignment="1">
      <alignment horizontal="left" vertical="center" wrapText="1"/>
    </xf>
    <xf numFmtId="164" fontId="20" fillId="0" borderId="1" xfId="1" applyNumberFormat="1" applyFont="1" applyFill="1" applyBorder="1" applyAlignment="1">
      <alignment horizontal="center" vertical="center" wrapText="1"/>
    </xf>
    <xf numFmtId="3" fontId="20" fillId="0" borderId="1" xfId="1" applyNumberFormat="1" applyFont="1" applyFill="1" applyBorder="1" applyAlignment="1">
      <alignment horizontal="right" vertical="center" wrapText="1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164" fontId="20" fillId="0" borderId="1" xfId="1" applyNumberFormat="1" applyFont="1" applyFill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3" fontId="20" fillId="0" borderId="6" xfId="1" applyNumberFormat="1" applyFont="1" applyFill="1" applyBorder="1" applyAlignment="1">
      <alignment horizontal="center" vertical="center"/>
    </xf>
    <xf numFmtId="3" fontId="20" fillId="0" borderId="3" xfId="1" applyNumberFormat="1" applyFont="1" applyFill="1" applyBorder="1" applyAlignment="1">
      <alignment horizontal="center" vertical="center"/>
    </xf>
    <xf numFmtId="3" fontId="20" fillId="0" borderId="3" xfId="1" quotePrefix="1" applyNumberFormat="1" applyFont="1" applyFill="1" applyBorder="1" applyAlignment="1">
      <alignment horizontal="center" vertical="center"/>
    </xf>
    <xf numFmtId="3" fontId="20" fillId="0" borderId="2" xfId="1" applyNumberFormat="1" applyFont="1" applyFill="1" applyBorder="1" applyAlignment="1">
      <alignment horizontal="center" vertical="center"/>
    </xf>
    <xf numFmtId="3" fontId="20" fillId="0" borderId="7" xfId="1" applyNumberFormat="1" applyFont="1" applyFill="1" applyBorder="1" applyAlignment="1">
      <alignment horizontal="center" vertical="center"/>
    </xf>
    <xf numFmtId="3" fontId="2" fillId="2" borderId="0" xfId="1" applyNumberFormat="1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164" fontId="13" fillId="3" borderId="6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4" fontId="20" fillId="0" borderId="1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164" fontId="10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/>
    </xf>
    <xf numFmtId="0" fontId="10" fillId="2" borderId="0" xfId="0" applyFont="1" applyFill="1" applyAlignment="1">
      <alignment horizontal="center" vertical="center"/>
    </xf>
    <xf numFmtId="3" fontId="10" fillId="2" borderId="0" xfId="0" applyNumberFormat="1" applyFont="1" applyFill="1" applyAlignment="1">
      <alignment vertical="center"/>
    </xf>
    <xf numFmtId="38" fontId="10" fillId="2" borderId="0" xfId="0" applyNumberFormat="1" applyFont="1" applyFill="1" applyAlignment="1">
      <alignment vertical="center"/>
    </xf>
    <xf numFmtId="38" fontId="13" fillId="2" borderId="0" xfId="0" applyNumberFormat="1" applyFont="1" applyFill="1" applyAlignment="1">
      <alignment vertical="center"/>
    </xf>
    <xf numFmtId="49" fontId="13" fillId="2" borderId="0" xfId="0" applyNumberFormat="1" applyFont="1" applyFill="1" applyAlignment="1">
      <alignment vertical="center"/>
    </xf>
    <xf numFmtId="3" fontId="13" fillId="3" borderId="6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/>
    </xf>
    <xf numFmtId="1" fontId="21" fillId="2" borderId="0" xfId="0" applyNumberFormat="1" applyFont="1" applyFill="1" applyAlignment="1">
      <alignment horizontal="center" vertical="center"/>
    </xf>
    <xf numFmtId="166" fontId="21" fillId="5" borderId="1" xfId="1" applyNumberFormat="1" applyFont="1" applyFill="1" applyBorder="1" applyAlignment="1">
      <alignment vertical="center"/>
    </xf>
    <xf numFmtId="169" fontId="21" fillId="5" borderId="1" xfId="1" applyNumberFormat="1" applyFont="1" applyFill="1" applyBorder="1" applyAlignment="1">
      <alignment vertical="center"/>
    </xf>
    <xf numFmtId="166" fontId="21" fillId="5" borderId="1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3" fontId="20" fillId="0" borderId="1" xfId="1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164" fontId="28" fillId="0" borderId="0" xfId="0" applyNumberFormat="1" applyFont="1" applyAlignment="1">
      <alignment vertical="center"/>
    </xf>
    <xf numFmtId="164" fontId="28" fillId="0" borderId="0" xfId="1" applyNumberFormat="1" applyFont="1" applyFill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20" fillId="0" borderId="0" xfId="0" applyFont="1"/>
    <xf numFmtId="38" fontId="28" fillId="0" borderId="0" xfId="0" applyNumberFormat="1" applyFont="1" applyAlignment="1">
      <alignment vertical="center"/>
    </xf>
    <xf numFmtId="1" fontId="28" fillId="0" borderId="0" xfId="0" applyNumberFormat="1" applyFont="1" applyAlignment="1">
      <alignment vertical="center"/>
    </xf>
    <xf numFmtId="0" fontId="25" fillId="0" borderId="0" xfId="0" applyFont="1" applyAlignment="1">
      <alignment vertical="center" wrapText="1"/>
    </xf>
    <xf numFmtId="164" fontId="25" fillId="0" borderId="0" xfId="1" applyNumberFormat="1" applyFon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" fontId="25" fillId="0" borderId="0" xfId="0" applyNumberFormat="1" applyFont="1" applyAlignment="1">
      <alignment vertical="center"/>
    </xf>
    <xf numFmtId="1" fontId="48" fillId="0" borderId="0" xfId="0" applyNumberFormat="1" applyFont="1" applyAlignment="1">
      <alignment vertical="center"/>
    </xf>
    <xf numFmtId="164" fontId="13" fillId="0" borderId="1" xfId="0" applyNumberFormat="1" applyFont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167" fontId="13" fillId="0" borderId="3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0" xfId="1" applyNumberFormat="1" applyFont="1" applyFill="1" applyAlignment="1">
      <alignment horizontal="center" vertical="center"/>
    </xf>
    <xf numFmtId="3" fontId="4" fillId="0" borderId="0" xfId="0" applyNumberFormat="1" applyFont="1"/>
    <xf numFmtId="3" fontId="3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64" fontId="41" fillId="0" borderId="0" xfId="1" applyNumberFormat="1" applyFont="1" applyFill="1" applyAlignment="1">
      <alignment horizontal="center" vertical="center"/>
    </xf>
    <xf numFmtId="3" fontId="42" fillId="0" borderId="0" xfId="0" applyNumberFormat="1" applyFont="1"/>
    <xf numFmtId="3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3" fontId="39" fillId="0" borderId="0" xfId="0" applyNumberFormat="1" applyFont="1" applyAlignment="1">
      <alignment horizontal="center" vertical="center"/>
    </xf>
    <xf numFmtId="3" fontId="39" fillId="0" borderId="0" xfId="0" applyNumberFormat="1" applyFont="1" applyAlignment="1">
      <alignment vertical="center"/>
    </xf>
    <xf numFmtId="3" fontId="20" fillId="5" borderId="1" xfId="0" applyNumberFormat="1" applyFont="1" applyFill="1" applyBorder="1" applyAlignment="1">
      <alignment vertical="center"/>
    </xf>
    <xf numFmtId="164" fontId="20" fillId="5" borderId="1" xfId="0" applyNumberFormat="1" applyFont="1" applyFill="1" applyBorder="1" applyAlignment="1">
      <alignment vertical="center"/>
    </xf>
    <xf numFmtId="3" fontId="20" fillId="5" borderId="6" xfId="0" applyNumberFormat="1" applyFont="1" applyFill="1" applyBorder="1" applyAlignment="1">
      <alignment horizontal="center" vertical="center"/>
    </xf>
    <xf numFmtId="3" fontId="20" fillId="5" borderId="1" xfId="0" applyNumberFormat="1" applyFont="1" applyFill="1" applyBorder="1" applyAlignment="1">
      <alignment horizontal="center" vertical="center"/>
    </xf>
    <xf numFmtId="4" fontId="3" fillId="0" borderId="0" xfId="0" applyNumberFormat="1" applyFont="1" applyAlignment="1">
      <alignment vertical="center"/>
    </xf>
    <xf numFmtId="3" fontId="20" fillId="0" borderId="1" xfId="0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164" fontId="20" fillId="6" borderId="1" xfId="1" applyNumberFormat="1" applyFont="1" applyFill="1" applyBorder="1" applyAlignment="1">
      <alignment horizontal="center" vertical="center" wrapText="1"/>
    </xf>
    <xf numFmtId="170" fontId="20" fillId="0" borderId="1" xfId="1" applyNumberFormat="1" applyFont="1" applyFill="1" applyBorder="1" applyAlignment="1">
      <alignment horizontal="left" vertical="center" wrapText="1"/>
    </xf>
    <xf numFmtId="168" fontId="21" fillId="0" borderId="1" xfId="1" applyNumberFormat="1" applyFont="1" applyFill="1" applyBorder="1" applyAlignment="1">
      <alignment horizontal="center" vertical="center" wrapText="1"/>
    </xf>
    <xf numFmtId="164" fontId="20" fillId="0" borderId="2" xfId="1" applyNumberFormat="1" applyFont="1" applyFill="1" applyBorder="1" applyAlignment="1">
      <alignment horizontal="center" vertical="center"/>
    </xf>
    <xf numFmtId="168" fontId="20" fillId="0" borderId="2" xfId="1" applyNumberFormat="1" applyFont="1" applyFill="1" applyBorder="1" applyAlignment="1">
      <alignment horizontal="center" vertical="center"/>
    </xf>
    <xf numFmtId="3" fontId="20" fillId="0" borderId="2" xfId="1" applyNumberFormat="1" applyFont="1" applyFill="1" applyBorder="1" applyAlignment="1">
      <alignment horizontal="right" vertical="center"/>
    </xf>
    <xf numFmtId="49" fontId="20" fillId="0" borderId="2" xfId="1" applyNumberFormat="1" applyFont="1" applyFill="1" applyBorder="1" applyAlignment="1">
      <alignment horizontal="center" vertical="center"/>
    </xf>
    <xf numFmtId="3" fontId="22" fillId="0" borderId="0" xfId="0" applyNumberFormat="1" applyFont="1"/>
    <xf numFmtId="0" fontId="52" fillId="0" borderId="0" xfId="0" applyFont="1"/>
    <xf numFmtId="3" fontId="52" fillId="0" borderId="0" xfId="0" applyNumberFormat="1" applyFont="1"/>
    <xf numFmtId="4" fontId="52" fillId="0" borderId="0" xfId="0" applyNumberFormat="1" applyFont="1"/>
    <xf numFmtId="171" fontId="13" fillId="0" borderId="1" xfId="0" applyNumberFormat="1" applyFont="1" applyBorder="1" applyAlignment="1">
      <alignment horizontal="center" vertical="center" wrapText="1"/>
    </xf>
    <xf numFmtId="171" fontId="13" fillId="2" borderId="1" xfId="0" applyNumberFormat="1" applyFont="1" applyFill="1" applyBorder="1" applyAlignment="1">
      <alignment horizontal="center" vertical="center" wrapText="1"/>
    </xf>
    <xf numFmtId="171" fontId="4" fillId="0" borderId="0" xfId="0" applyNumberFormat="1" applyFont="1" applyAlignment="1">
      <alignment vertical="center"/>
    </xf>
    <xf numFmtId="3" fontId="41" fillId="2" borderId="0" xfId="0" applyNumberFormat="1" applyFont="1" applyFill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0" fillId="0" borderId="3" xfId="1" applyNumberFormat="1" applyFont="1" applyFill="1" applyBorder="1" applyAlignment="1">
      <alignment horizontal="right" vertical="center" wrapText="1"/>
    </xf>
    <xf numFmtId="4" fontId="20" fillId="0" borderId="2" xfId="0" applyNumberFormat="1" applyFont="1" applyBorder="1" applyAlignment="1">
      <alignment vertical="center" wrapText="1"/>
    </xf>
    <xf numFmtId="3" fontId="20" fillId="6" borderId="1" xfId="1" applyNumberFormat="1" applyFont="1" applyFill="1" applyBorder="1" applyAlignment="1">
      <alignment horizontal="right" vertical="center" wrapText="1"/>
    </xf>
    <xf numFmtId="3" fontId="20" fillId="0" borderId="6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vertical="center"/>
    </xf>
    <xf numFmtId="164" fontId="28" fillId="0" borderId="1" xfId="0" applyNumberFormat="1" applyFont="1" applyBorder="1" applyAlignment="1">
      <alignment vertical="center"/>
    </xf>
    <xf numFmtId="3" fontId="20" fillId="0" borderId="1" xfId="0" applyNumberFormat="1" applyFont="1" applyBorder="1" applyAlignment="1">
      <alignment horizontal="right" vertical="center" wrapText="1"/>
    </xf>
    <xf numFmtId="168" fontId="20" fillId="6" borderId="1" xfId="1" applyNumberFormat="1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3" fontId="20" fillId="0" borderId="1" xfId="1" applyNumberFormat="1" applyFont="1" applyFill="1" applyBorder="1" applyAlignment="1">
      <alignment horizontal="right" vertical="center"/>
    </xf>
    <xf numFmtId="3" fontId="39" fillId="0" borderId="0" xfId="0" applyNumberFormat="1" applyFont="1" applyAlignment="1">
      <alignment horizontal="center"/>
    </xf>
    <xf numFmtId="168" fontId="20" fillId="0" borderId="1" xfId="1" applyNumberFormat="1" applyFont="1" applyFill="1" applyBorder="1" applyAlignment="1">
      <alignment horizontal="center" vertical="center" wrapText="1"/>
    </xf>
    <xf numFmtId="164" fontId="51" fillId="0" borderId="1" xfId="0" applyNumberFormat="1" applyFont="1" applyBorder="1" applyAlignment="1">
      <alignment horizontal="center" vertical="center" wrapText="1"/>
    </xf>
    <xf numFmtId="164" fontId="51" fillId="0" borderId="1" xfId="1" applyNumberFormat="1" applyFont="1" applyFill="1" applyBorder="1" applyAlignment="1">
      <alignment horizontal="center" vertical="center"/>
    </xf>
    <xf numFmtId="3" fontId="51" fillId="0" borderId="1" xfId="1" applyNumberFormat="1" applyFont="1" applyFill="1" applyBorder="1" applyAlignment="1">
      <alignment horizontal="center" vertical="center"/>
    </xf>
    <xf numFmtId="3" fontId="51" fillId="0" borderId="1" xfId="1" quotePrefix="1" applyNumberFormat="1" applyFont="1" applyFill="1" applyBorder="1" applyAlignment="1">
      <alignment horizontal="center" vertical="center"/>
    </xf>
    <xf numFmtId="3" fontId="51" fillId="0" borderId="2" xfId="1" applyNumberFormat="1" applyFont="1" applyFill="1" applyBorder="1" applyAlignment="1">
      <alignment horizontal="center" vertical="center"/>
    </xf>
    <xf numFmtId="49" fontId="51" fillId="0" borderId="1" xfId="0" quotePrefix="1" applyNumberFormat="1" applyFont="1" applyBorder="1" applyAlignment="1">
      <alignment horizontal="center" vertical="center" wrapText="1"/>
    </xf>
    <xf numFmtId="164" fontId="51" fillId="0" borderId="2" xfId="1" applyNumberFormat="1" applyFont="1" applyFill="1" applyBorder="1" applyAlignment="1">
      <alignment horizontal="center" vertical="center"/>
    </xf>
    <xf numFmtId="3" fontId="51" fillId="0" borderId="6" xfId="1" applyNumberFormat="1" applyFont="1" applyFill="1" applyBorder="1" applyAlignment="1">
      <alignment horizontal="center" vertical="center"/>
    </xf>
    <xf numFmtId="164" fontId="51" fillId="0" borderId="6" xfId="1" applyNumberFormat="1" applyFont="1" applyFill="1" applyBorder="1" applyAlignment="1">
      <alignment horizontal="center" vertical="center"/>
    </xf>
    <xf numFmtId="164" fontId="20" fillId="0" borderId="6" xfId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166" fontId="25" fillId="0" borderId="0" xfId="1" applyNumberFormat="1" applyFont="1" applyFill="1" applyAlignment="1">
      <alignment vertical="center"/>
    </xf>
    <xf numFmtId="4" fontId="21" fillId="0" borderId="1" xfId="0" applyNumberFormat="1" applyFont="1" applyBorder="1" applyAlignment="1">
      <alignment vertical="center"/>
    </xf>
    <xf numFmtId="4" fontId="21" fillId="0" borderId="1" xfId="0" applyNumberFormat="1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4" fontId="21" fillId="2" borderId="1" xfId="0" applyNumberFormat="1" applyFont="1" applyFill="1" applyBorder="1" applyAlignment="1">
      <alignment horizontal="center" vertical="center" wrapText="1"/>
    </xf>
    <xf numFmtId="164" fontId="21" fillId="2" borderId="1" xfId="0" applyNumberFormat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164" fontId="21" fillId="2" borderId="1" xfId="1" applyNumberFormat="1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vertical="center"/>
    </xf>
    <xf numFmtId="4" fontId="21" fillId="0" borderId="1" xfId="0" applyNumberFormat="1" applyFont="1" applyBorder="1" applyAlignment="1">
      <alignment vertical="center" wrapText="1"/>
    </xf>
    <xf numFmtId="4" fontId="21" fillId="2" borderId="1" xfId="0" applyNumberFormat="1" applyFont="1" applyFill="1" applyBorder="1" applyAlignment="1">
      <alignment vertical="center"/>
    </xf>
    <xf numFmtId="3" fontId="51" fillId="0" borderId="1" xfId="1" applyNumberFormat="1" applyFont="1" applyFill="1" applyBorder="1" applyAlignment="1">
      <alignment horizontal="right" vertical="center" wrapText="1"/>
    </xf>
    <xf numFmtId="164" fontId="53" fillId="0" borderId="1" xfId="0" applyNumberFormat="1" applyFont="1" applyBorder="1" applyAlignment="1">
      <alignment horizontal="center" vertical="center" wrapText="1"/>
    </xf>
    <xf numFmtId="164" fontId="54" fillId="0" borderId="1" xfId="1" applyNumberFormat="1" applyFont="1" applyFill="1" applyBorder="1" applyAlignment="1">
      <alignment horizontal="center" vertical="center"/>
    </xf>
    <xf numFmtId="3" fontId="53" fillId="0" borderId="1" xfId="0" applyNumberFormat="1" applyFont="1" applyBorder="1" applyAlignment="1">
      <alignment horizontal="center" vertical="center" wrapText="1"/>
    </xf>
    <xf numFmtId="3" fontId="53" fillId="2" borderId="1" xfId="0" applyNumberFormat="1" applyFont="1" applyFill="1" applyBorder="1" applyAlignment="1">
      <alignment horizontal="center" vertical="center" wrapText="1"/>
    </xf>
    <xf numFmtId="1" fontId="53" fillId="0" borderId="1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1" fontId="53" fillId="0" borderId="1" xfId="0" quotePrefix="1" applyNumberFormat="1" applyFont="1" applyBorder="1" applyAlignment="1">
      <alignment horizontal="center" vertical="center" wrapText="1"/>
    </xf>
    <xf numFmtId="164" fontId="53" fillId="2" borderId="1" xfId="0" applyNumberFormat="1" applyFont="1" applyFill="1" applyBorder="1" applyAlignment="1">
      <alignment horizontal="center" vertical="center" wrapText="1"/>
    </xf>
    <xf numFmtId="164" fontId="54" fillId="2" borderId="1" xfId="1" applyNumberFormat="1" applyFont="1" applyFill="1" applyBorder="1" applyAlignment="1">
      <alignment horizontal="center" vertical="center"/>
    </xf>
    <xf numFmtId="1" fontId="53" fillId="2" borderId="1" xfId="0" applyNumberFormat="1" applyFont="1" applyFill="1" applyBorder="1" applyAlignment="1">
      <alignment horizontal="center" vertical="center" wrapText="1"/>
    </xf>
    <xf numFmtId="0" fontId="55" fillId="2" borderId="0" xfId="0" applyFont="1" applyFill="1" applyAlignment="1">
      <alignment vertical="center"/>
    </xf>
    <xf numFmtId="168" fontId="20" fillId="0" borderId="6" xfId="1" applyNumberFormat="1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left" vertical="center" wrapText="1"/>
    </xf>
    <xf numFmtId="168" fontId="20" fillId="0" borderId="1" xfId="1" applyNumberFormat="1" applyFont="1" applyFill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vertical="center" wrapText="1"/>
    </xf>
    <xf numFmtId="4" fontId="20" fillId="0" borderId="6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 wrapText="1"/>
    </xf>
    <xf numFmtId="4" fontId="21" fillId="2" borderId="1" xfId="0" applyNumberFormat="1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4" fontId="20" fillId="0" borderId="6" xfId="0" applyNumberFormat="1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1" fontId="13" fillId="3" borderId="1" xfId="2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164" fontId="13" fillId="3" borderId="2" xfId="0" applyNumberFormat="1" applyFont="1" applyFill="1" applyBorder="1" applyAlignment="1">
      <alignment horizontal="center" vertical="center" wrapText="1"/>
    </xf>
    <xf numFmtId="164" fontId="13" fillId="3" borderId="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5" fontId="38" fillId="0" borderId="0" xfId="1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8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0" fontId="44" fillId="0" borderId="0" xfId="0" applyFont="1" applyAlignment="1">
      <alignment horizontal="center"/>
    </xf>
    <xf numFmtId="166" fontId="21" fillId="5" borderId="3" xfId="1" applyNumberFormat="1" applyFont="1" applyFill="1" applyBorder="1" applyAlignment="1">
      <alignment horizontal="center" vertical="center"/>
    </xf>
    <xf numFmtId="166" fontId="21" fillId="5" borderId="4" xfId="1" applyNumberFormat="1" applyFont="1" applyFill="1" applyBorder="1" applyAlignment="1">
      <alignment horizontal="center" vertical="center"/>
    </xf>
    <xf numFmtId="166" fontId="21" fillId="5" borderId="5" xfId="1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/>
    </xf>
    <xf numFmtId="0" fontId="21" fillId="3" borderId="2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5" fontId="38" fillId="2" borderId="0" xfId="1" applyNumberFormat="1" applyFont="1" applyFill="1" applyAlignment="1">
      <alignment horizontal="center" vertical="center"/>
    </xf>
    <xf numFmtId="165" fontId="38" fillId="6" borderId="0" xfId="1" applyNumberFormat="1" applyFont="1" applyFill="1" applyAlignment="1">
      <alignment horizontal="center" vertical="center"/>
    </xf>
    <xf numFmtId="165" fontId="30" fillId="2" borderId="0" xfId="1" applyNumberFormat="1" applyFont="1" applyFill="1" applyAlignment="1">
      <alignment horizontal="center" vertical="center"/>
    </xf>
    <xf numFmtId="165" fontId="30" fillId="6" borderId="0" xfId="1" applyNumberFormat="1" applyFont="1" applyFill="1" applyAlignment="1">
      <alignment horizontal="center" vertical="center"/>
    </xf>
    <xf numFmtId="41" fontId="2" fillId="3" borderId="1" xfId="2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2" xfId="1" applyNumberFormat="1" applyFont="1" applyFill="1" applyBorder="1" applyAlignment="1">
      <alignment horizontal="center" vertical="center" wrapText="1"/>
    </xf>
    <xf numFmtId="164" fontId="2" fillId="3" borderId="6" xfId="1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165" fontId="39" fillId="0" borderId="0" xfId="1" applyNumberFormat="1" applyFont="1" applyAlignment="1">
      <alignment horizontal="center" vertical="center"/>
    </xf>
    <xf numFmtId="165" fontId="27" fillId="0" borderId="0" xfId="1" applyNumberFormat="1" applyFont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166" fontId="20" fillId="5" borderId="3" xfId="1" applyNumberFormat="1" applyFont="1" applyFill="1" applyBorder="1" applyAlignment="1">
      <alignment horizontal="center" vertical="center"/>
    </xf>
    <xf numFmtId="166" fontId="20" fillId="5" borderId="4" xfId="1" applyNumberFormat="1" applyFont="1" applyFill="1" applyBorder="1" applyAlignment="1">
      <alignment horizontal="center" vertical="center"/>
    </xf>
    <xf numFmtId="166" fontId="20" fillId="5" borderId="5" xfId="1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3" fontId="39" fillId="2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20" fillId="5" borderId="1" xfId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3" fontId="20" fillId="5" borderId="3" xfId="0" applyNumberFormat="1" applyFont="1" applyFill="1" applyBorder="1" applyAlignment="1">
      <alignment horizontal="center" vertical="center"/>
    </xf>
    <xf numFmtId="3" fontId="20" fillId="5" borderId="4" xfId="0" applyNumberFormat="1" applyFont="1" applyFill="1" applyBorder="1" applyAlignment="1">
      <alignment horizontal="center" vertical="center"/>
    </xf>
    <xf numFmtId="165" fontId="39" fillId="0" borderId="0" xfId="1" applyNumberFormat="1" applyFont="1" applyFill="1" applyAlignment="1">
      <alignment horizontal="center" vertical="center"/>
    </xf>
    <xf numFmtId="1" fontId="39" fillId="0" borderId="0" xfId="1" applyNumberFormat="1" applyFont="1" applyFill="1" applyAlignment="1">
      <alignment horizontal="center" vertical="center"/>
    </xf>
    <xf numFmtId="165" fontId="27" fillId="0" borderId="0" xfId="1" applyNumberFormat="1" applyFont="1" applyFill="1" applyAlignment="1">
      <alignment horizontal="center" vertical="center"/>
    </xf>
    <xf numFmtId="1" fontId="27" fillId="0" borderId="0" xfId="1" applyNumberFormat="1" applyFont="1" applyFill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144709</xdr:colOff>
      <xdr:row>1</xdr:row>
      <xdr:rowOff>137584</xdr:rowOff>
    </xdr:from>
    <xdr:to>
      <xdr:col>17</xdr:col>
      <xdr:colOff>751039</xdr:colOff>
      <xdr:row>1</xdr:row>
      <xdr:rowOff>137584</xdr:rowOff>
    </xdr:to>
    <xdr:pic>
      <xdr:nvPicPr>
        <xdr:cNvPr id="6" name="Picture 5" descr="logo.jpg">
          <a:extLst>
            <a:ext uri="{FF2B5EF4-FFF2-40B4-BE49-F238E27FC236}">
              <a16:creationId xmlns:a16="http://schemas.microsoft.com/office/drawing/2014/main" id="{CCC6E5C9-FFDA-4E77-964E-F1B36A9D4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571" y="331972"/>
          <a:ext cx="5483068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25"/>
  <sheetViews>
    <sheetView view="pageBreakPreview" zoomScale="112" zoomScaleNormal="100" zoomScaleSheetLayoutView="112" workbookViewId="0">
      <selection activeCell="AF15" sqref="AF15:AL22"/>
    </sheetView>
  </sheetViews>
  <sheetFormatPr defaultRowHeight="10.5"/>
  <cols>
    <col min="1" max="1" width="5.42578125" style="2" customWidth="1"/>
    <col min="2" max="2" width="19.7109375" style="2" customWidth="1"/>
    <col min="3" max="3" width="10.7109375" style="2" customWidth="1"/>
    <col min="4" max="4" width="8.85546875" style="3" customWidth="1"/>
    <col min="5" max="8" width="5.5703125" style="3" hidden="1" customWidth="1"/>
    <col min="9" max="9" width="5.5703125" style="3" customWidth="1"/>
    <col min="10" max="10" width="11.7109375" style="4" customWidth="1"/>
    <col min="11" max="11" width="7.5703125" style="2" hidden="1" customWidth="1"/>
    <col min="12" max="12" width="8.85546875" style="2" hidden="1" customWidth="1"/>
    <col min="13" max="15" width="7.5703125" style="2" hidden="1" customWidth="1"/>
    <col min="16" max="16" width="8.85546875" style="2" hidden="1" customWidth="1"/>
    <col min="17" max="17" width="6.85546875" style="2" hidden="1" customWidth="1"/>
    <col min="18" max="18" width="11" style="2" hidden="1" customWidth="1"/>
    <col min="19" max="19" width="11.140625" style="2" customWidth="1"/>
    <col min="20" max="20" width="13.28515625" style="5" hidden="1" customWidth="1"/>
    <col min="21" max="25" width="8.7109375" style="5" hidden="1" customWidth="1"/>
    <col min="26" max="26" width="11.5703125" style="5" customWidth="1"/>
    <col min="27" max="27" width="10.28515625" style="2" customWidth="1"/>
    <col min="28" max="28" width="8.85546875" style="2" customWidth="1"/>
    <col min="29" max="29" width="9" style="2" customWidth="1"/>
    <col min="30" max="30" width="7" style="2" customWidth="1"/>
    <col min="31" max="31" width="9.85546875" style="2" customWidth="1"/>
    <col min="32" max="32" width="10.42578125" style="2" customWidth="1"/>
    <col min="33" max="33" width="8" style="2" customWidth="1"/>
    <col min="34" max="34" width="6.28515625" style="2" customWidth="1"/>
    <col min="35" max="35" width="10.85546875" style="2" customWidth="1"/>
    <col min="36" max="36" width="10.140625" style="2" customWidth="1"/>
    <col min="37" max="37" width="7.7109375" style="2" customWidth="1"/>
    <col min="38" max="38" width="14.42578125" style="6" customWidth="1"/>
    <col min="39" max="39" width="6.42578125" style="6" customWidth="1"/>
    <col min="40" max="40" width="12.42578125" style="7" customWidth="1"/>
    <col min="41" max="41" width="11.85546875" style="2" customWidth="1"/>
    <col min="42" max="42" width="10" style="2" customWidth="1"/>
    <col min="43" max="43" width="11" style="2" customWidth="1"/>
    <col min="44" max="44" width="8.85546875" style="2" customWidth="1"/>
    <col min="45" max="45" width="14.42578125" style="2" customWidth="1"/>
    <col min="46" max="46" width="15.5703125" style="2" customWidth="1"/>
    <col min="47" max="259" width="9.140625" style="2"/>
    <col min="260" max="260" width="0" style="2" hidden="1" customWidth="1"/>
    <col min="261" max="261" width="11.42578125" style="2" customWidth="1"/>
    <col min="262" max="262" width="7.5703125" style="2" customWidth="1"/>
    <col min="263" max="263" width="17.85546875" style="2" customWidth="1"/>
    <col min="264" max="264" width="3.5703125" style="2" customWidth="1"/>
    <col min="265" max="270" width="0" style="2" hidden="1" customWidth="1"/>
    <col min="271" max="271" width="11" style="2" customWidth="1"/>
    <col min="272" max="274" width="0" style="2" hidden="1" customWidth="1"/>
    <col min="275" max="275" width="10.7109375" style="2" customWidth="1"/>
    <col min="276" max="280" width="0" style="2" hidden="1" customWidth="1"/>
    <col min="281" max="281" width="13.140625" style="2" customWidth="1"/>
    <col min="282" max="282" width="10.42578125" style="2" customWidth="1"/>
    <col min="283" max="283" width="10.28515625" style="2" customWidth="1"/>
    <col min="284" max="284" width="9.85546875" style="2" customWidth="1"/>
    <col min="285" max="285" width="10.7109375" style="2" customWidth="1"/>
    <col min="286" max="286" width="10" style="2" customWidth="1"/>
    <col min="287" max="287" width="9.5703125" style="2" customWidth="1"/>
    <col min="288" max="288" width="10.7109375" style="2" customWidth="1"/>
    <col min="289" max="289" width="9.85546875" style="2" customWidth="1"/>
    <col min="290" max="293" width="0" style="2" hidden="1" customWidth="1"/>
    <col min="294" max="294" width="9.85546875" style="2" customWidth="1"/>
    <col min="295" max="295" width="10.85546875" style="2" customWidth="1"/>
    <col min="296" max="296" width="11.5703125" style="2" customWidth="1"/>
    <col min="297" max="298" width="0" style="2" hidden="1" customWidth="1"/>
    <col min="299" max="515" width="9.140625" style="2"/>
    <col min="516" max="516" width="0" style="2" hidden="1" customWidth="1"/>
    <col min="517" max="517" width="11.42578125" style="2" customWidth="1"/>
    <col min="518" max="518" width="7.5703125" style="2" customWidth="1"/>
    <col min="519" max="519" width="17.85546875" style="2" customWidth="1"/>
    <col min="520" max="520" width="3.5703125" style="2" customWidth="1"/>
    <col min="521" max="526" width="0" style="2" hidden="1" customWidth="1"/>
    <col min="527" max="527" width="11" style="2" customWidth="1"/>
    <col min="528" max="530" width="0" style="2" hidden="1" customWidth="1"/>
    <col min="531" max="531" width="10.7109375" style="2" customWidth="1"/>
    <col min="532" max="536" width="0" style="2" hidden="1" customWidth="1"/>
    <col min="537" max="537" width="13.140625" style="2" customWidth="1"/>
    <col min="538" max="538" width="10.42578125" style="2" customWidth="1"/>
    <col min="539" max="539" width="10.28515625" style="2" customWidth="1"/>
    <col min="540" max="540" width="9.85546875" style="2" customWidth="1"/>
    <col min="541" max="541" width="10.7109375" style="2" customWidth="1"/>
    <col min="542" max="542" width="10" style="2" customWidth="1"/>
    <col min="543" max="543" width="9.5703125" style="2" customWidth="1"/>
    <col min="544" max="544" width="10.7109375" style="2" customWidth="1"/>
    <col min="545" max="545" width="9.85546875" style="2" customWidth="1"/>
    <col min="546" max="549" width="0" style="2" hidden="1" customWidth="1"/>
    <col min="550" max="550" width="9.85546875" style="2" customWidth="1"/>
    <col min="551" max="551" width="10.85546875" style="2" customWidth="1"/>
    <col min="552" max="552" width="11.5703125" style="2" customWidth="1"/>
    <col min="553" max="554" width="0" style="2" hidden="1" customWidth="1"/>
    <col min="555" max="771" width="9.140625" style="2"/>
    <col min="772" max="772" width="0" style="2" hidden="1" customWidth="1"/>
    <col min="773" max="773" width="11.42578125" style="2" customWidth="1"/>
    <col min="774" max="774" width="7.5703125" style="2" customWidth="1"/>
    <col min="775" max="775" width="17.85546875" style="2" customWidth="1"/>
    <col min="776" max="776" width="3.5703125" style="2" customWidth="1"/>
    <col min="777" max="782" width="0" style="2" hidden="1" customWidth="1"/>
    <col min="783" max="783" width="11" style="2" customWidth="1"/>
    <col min="784" max="786" width="0" style="2" hidden="1" customWidth="1"/>
    <col min="787" max="787" width="10.7109375" style="2" customWidth="1"/>
    <col min="788" max="792" width="0" style="2" hidden="1" customWidth="1"/>
    <col min="793" max="793" width="13.140625" style="2" customWidth="1"/>
    <col min="794" max="794" width="10.42578125" style="2" customWidth="1"/>
    <col min="795" max="795" width="10.28515625" style="2" customWidth="1"/>
    <col min="796" max="796" width="9.85546875" style="2" customWidth="1"/>
    <col min="797" max="797" width="10.7109375" style="2" customWidth="1"/>
    <col min="798" max="798" width="10" style="2" customWidth="1"/>
    <col min="799" max="799" width="9.5703125" style="2" customWidth="1"/>
    <col min="800" max="800" width="10.7109375" style="2" customWidth="1"/>
    <col min="801" max="801" width="9.85546875" style="2" customWidth="1"/>
    <col min="802" max="805" width="0" style="2" hidden="1" customWidth="1"/>
    <col min="806" max="806" width="9.85546875" style="2" customWidth="1"/>
    <col min="807" max="807" width="10.85546875" style="2" customWidth="1"/>
    <col min="808" max="808" width="11.5703125" style="2" customWidth="1"/>
    <col min="809" max="810" width="0" style="2" hidden="1" customWidth="1"/>
    <col min="811" max="1027" width="9.140625" style="2"/>
    <col min="1028" max="1028" width="0" style="2" hidden="1" customWidth="1"/>
    <col min="1029" max="1029" width="11.42578125" style="2" customWidth="1"/>
    <col min="1030" max="1030" width="7.5703125" style="2" customWidth="1"/>
    <col min="1031" max="1031" width="17.85546875" style="2" customWidth="1"/>
    <col min="1032" max="1032" width="3.5703125" style="2" customWidth="1"/>
    <col min="1033" max="1038" width="0" style="2" hidden="1" customWidth="1"/>
    <col min="1039" max="1039" width="11" style="2" customWidth="1"/>
    <col min="1040" max="1042" width="0" style="2" hidden="1" customWidth="1"/>
    <col min="1043" max="1043" width="10.7109375" style="2" customWidth="1"/>
    <col min="1044" max="1048" width="0" style="2" hidden="1" customWidth="1"/>
    <col min="1049" max="1049" width="13.140625" style="2" customWidth="1"/>
    <col min="1050" max="1050" width="10.42578125" style="2" customWidth="1"/>
    <col min="1051" max="1051" width="10.28515625" style="2" customWidth="1"/>
    <col min="1052" max="1052" width="9.85546875" style="2" customWidth="1"/>
    <col min="1053" max="1053" width="10.7109375" style="2" customWidth="1"/>
    <col min="1054" max="1054" width="10" style="2" customWidth="1"/>
    <col min="1055" max="1055" width="9.5703125" style="2" customWidth="1"/>
    <col min="1056" max="1056" width="10.7109375" style="2" customWidth="1"/>
    <col min="1057" max="1057" width="9.85546875" style="2" customWidth="1"/>
    <col min="1058" max="1061" width="0" style="2" hidden="1" customWidth="1"/>
    <col min="1062" max="1062" width="9.85546875" style="2" customWidth="1"/>
    <col min="1063" max="1063" width="10.85546875" style="2" customWidth="1"/>
    <col min="1064" max="1064" width="11.5703125" style="2" customWidth="1"/>
    <col min="1065" max="1066" width="0" style="2" hidden="1" customWidth="1"/>
    <col min="1067" max="1283" width="9.140625" style="2"/>
    <col min="1284" max="1284" width="0" style="2" hidden="1" customWidth="1"/>
    <col min="1285" max="1285" width="11.42578125" style="2" customWidth="1"/>
    <col min="1286" max="1286" width="7.5703125" style="2" customWidth="1"/>
    <col min="1287" max="1287" width="17.85546875" style="2" customWidth="1"/>
    <col min="1288" max="1288" width="3.5703125" style="2" customWidth="1"/>
    <col min="1289" max="1294" width="0" style="2" hidden="1" customWidth="1"/>
    <col min="1295" max="1295" width="11" style="2" customWidth="1"/>
    <col min="1296" max="1298" width="0" style="2" hidden="1" customWidth="1"/>
    <col min="1299" max="1299" width="10.7109375" style="2" customWidth="1"/>
    <col min="1300" max="1304" width="0" style="2" hidden="1" customWidth="1"/>
    <col min="1305" max="1305" width="13.140625" style="2" customWidth="1"/>
    <col min="1306" max="1306" width="10.42578125" style="2" customWidth="1"/>
    <col min="1307" max="1307" width="10.28515625" style="2" customWidth="1"/>
    <col min="1308" max="1308" width="9.85546875" style="2" customWidth="1"/>
    <col min="1309" max="1309" width="10.7109375" style="2" customWidth="1"/>
    <col min="1310" max="1310" width="10" style="2" customWidth="1"/>
    <col min="1311" max="1311" width="9.5703125" style="2" customWidth="1"/>
    <col min="1312" max="1312" width="10.7109375" style="2" customWidth="1"/>
    <col min="1313" max="1313" width="9.85546875" style="2" customWidth="1"/>
    <col min="1314" max="1317" width="0" style="2" hidden="1" customWidth="1"/>
    <col min="1318" max="1318" width="9.85546875" style="2" customWidth="1"/>
    <col min="1319" max="1319" width="10.85546875" style="2" customWidth="1"/>
    <col min="1320" max="1320" width="11.5703125" style="2" customWidth="1"/>
    <col min="1321" max="1322" width="0" style="2" hidden="1" customWidth="1"/>
    <col min="1323" max="1539" width="9.140625" style="2"/>
    <col min="1540" max="1540" width="0" style="2" hidden="1" customWidth="1"/>
    <col min="1541" max="1541" width="11.42578125" style="2" customWidth="1"/>
    <col min="1542" max="1542" width="7.5703125" style="2" customWidth="1"/>
    <col min="1543" max="1543" width="17.85546875" style="2" customWidth="1"/>
    <col min="1544" max="1544" width="3.5703125" style="2" customWidth="1"/>
    <col min="1545" max="1550" width="0" style="2" hidden="1" customWidth="1"/>
    <col min="1551" max="1551" width="11" style="2" customWidth="1"/>
    <col min="1552" max="1554" width="0" style="2" hidden="1" customWidth="1"/>
    <col min="1555" max="1555" width="10.7109375" style="2" customWidth="1"/>
    <col min="1556" max="1560" width="0" style="2" hidden="1" customWidth="1"/>
    <col min="1561" max="1561" width="13.140625" style="2" customWidth="1"/>
    <col min="1562" max="1562" width="10.42578125" style="2" customWidth="1"/>
    <col min="1563" max="1563" width="10.28515625" style="2" customWidth="1"/>
    <col min="1564" max="1564" width="9.85546875" style="2" customWidth="1"/>
    <col min="1565" max="1565" width="10.7109375" style="2" customWidth="1"/>
    <col min="1566" max="1566" width="10" style="2" customWidth="1"/>
    <col min="1567" max="1567" width="9.5703125" style="2" customWidth="1"/>
    <col min="1568" max="1568" width="10.7109375" style="2" customWidth="1"/>
    <col min="1569" max="1569" width="9.85546875" style="2" customWidth="1"/>
    <col min="1570" max="1573" width="0" style="2" hidden="1" customWidth="1"/>
    <col min="1574" max="1574" width="9.85546875" style="2" customWidth="1"/>
    <col min="1575" max="1575" width="10.85546875" style="2" customWidth="1"/>
    <col min="1576" max="1576" width="11.5703125" style="2" customWidth="1"/>
    <col min="1577" max="1578" width="0" style="2" hidden="1" customWidth="1"/>
    <col min="1579" max="1795" width="9.140625" style="2"/>
    <col min="1796" max="1796" width="0" style="2" hidden="1" customWidth="1"/>
    <col min="1797" max="1797" width="11.42578125" style="2" customWidth="1"/>
    <col min="1798" max="1798" width="7.5703125" style="2" customWidth="1"/>
    <col min="1799" max="1799" width="17.85546875" style="2" customWidth="1"/>
    <col min="1800" max="1800" width="3.5703125" style="2" customWidth="1"/>
    <col min="1801" max="1806" width="0" style="2" hidden="1" customWidth="1"/>
    <col min="1807" max="1807" width="11" style="2" customWidth="1"/>
    <col min="1808" max="1810" width="0" style="2" hidden="1" customWidth="1"/>
    <col min="1811" max="1811" width="10.7109375" style="2" customWidth="1"/>
    <col min="1812" max="1816" width="0" style="2" hidden="1" customWidth="1"/>
    <col min="1817" max="1817" width="13.140625" style="2" customWidth="1"/>
    <col min="1818" max="1818" width="10.42578125" style="2" customWidth="1"/>
    <col min="1819" max="1819" width="10.28515625" style="2" customWidth="1"/>
    <col min="1820" max="1820" width="9.85546875" style="2" customWidth="1"/>
    <col min="1821" max="1821" width="10.7109375" style="2" customWidth="1"/>
    <col min="1822" max="1822" width="10" style="2" customWidth="1"/>
    <col min="1823" max="1823" width="9.5703125" style="2" customWidth="1"/>
    <col min="1824" max="1824" width="10.7109375" style="2" customWidth="1"/>
    <col min="1825" max="1825" width="9.85546875" style="2" customWidth="1"/>
    <col min="1826" max="1829" width="0" style="2" hidden="1" customWidth="1"/>
    <col min="1830" max="1830" width="9.85546875" style="2" customWidth="1"/>
    <col min="1831" max="1831" width="10.85546875" style="2" customWidth="1"/>
    <col min="1832" max="1832" width="11.5703125" style="2" customWidth="1"/>
    <col min="1833" max="1834" width="0" style="2" hidden="1" customWidth="1"/>
    <col min="1835" max="2051" width="9.140625" style="2"/>
    <col min="2052" max="2052" width="0" style="2" hidden="1" customWidth="1"/>
    <col min="2053" max="2053" width="11.42578125" style="2" customWidth="1"/>
    <col min="2054" max="2054" width="7.5703125" style="2" customWidth="1"/>
    <col min="2055" max="2055" width="17.85546875" style="2" customWidth="1"/>
    <col min="2056" max="2056" width="3.5703125" style="2" customWidth="1"/>
    <col min="2057" max="2062" width="0" style="2" hidden="1" customWidth="1"/>
    <col min="2063" max="2063" width="11" style="2" customWidth="1"/>
    <col min="2064" max="2066" width="0" style="2" hidden="1" customWidth="1"/>
    <col min="2067" max="2067" width="10.7109375" style="2" customWidth="1"/>
    <col min="2068" max="2072" width="0" style="2" hidden="1" customWidth="1"/>
    <col min="2073" max="2073" width="13.140625" style="2" customWidth="1"/>
    <col min="2074" max="2074" width="10.42578125" style="2" customWidth="1"/>
    <col min="2075" max="2075" width="10.28515625" style="2" customWidth="1"/>
    <col min="2076" max="2076" width="9.85546875" style="2" customWidth="1"/>
    <col min="2077" max="2077" width="10.7109375" style="2" customWidth="1"/>
    <col min="2078" max="2078" width="10" style="2" customWidth="1"/>
    <col min="2079" max="2079" width="9.5703125" style="2" customWidth="1"/>
    <col min="2080" max="2080" width="10.7109375" style="2" customWidth="1"/>
    <col min="2081" max="2081" width="9.85546875" style="2" customWidth="1"/>
    <col min="2082" max="2085" width="0" style="2" hidden="1" customWidth="1"/>
    <col min="2086" max="2086" width="9.85546875" style="2" customWidth="1"/>
    <col min="2087" max="2087" width="10.85546875" style="2" customWidth="1"/>
    <col min="2088" max="2088" width="11.5703125" style="2" customWidth="1"/>
    <col min="2089" max="2090" width="0" style="2" hidden="1" customWidth="1"/>
    <col min="2091" max="2307" width="9.140625" style="2"/>
    <col min="2308" max="2308" width="0" style="2" hidden="1" customWidth="1"/>
    <col min="2309" max="2309" width="11.42578125" style="2" customWidth="1"/>
    <col min="2310" max="2310" width="7.5703125" style="2" customWidth="1"/>
    <col min="2311" max="2311" width="17.85546875" style="2" customWidth="1"/>
    <col min="2312" max="2312" width="3.5703125" style="2" customWidth="1"/>
    <col min="2313" max="2318" width="0" style="2" hidden="1" customWidth="1"/>
    <col min="2319" max="2319" width="11" style="2" customWidth="1"/>
    <col min="2320" max="2322" width="0" style="2" hidden="1" customWidth="1"/>
    <col min="2323" max="2323" width="10.7109375" style="2" customWidth="1"/>
    <col min="2324" max="2328" width="0" style="2" hidden="1" customWidth="1"/>
    <col min="2329" max="2329" width="13.140625" style="2" customWidth="1"/>
    <col min="2330" max="2330" width="10.42578125" style="2" customWidth="1"/>
    <col min="2331" max="2331" width="10.28515625" style="2" customWidth="1"/>
    <col min="2332" max="2332" width="9.85546875" style="2" customWidth="1"/>
    <col min="2333" max="2333" width="10.7109375" style="2" customWidth="1"/>
    <col min="2334" max="2334" width="10" style="2" customWidth="1"/>
    <col min="2335" max="2335" width="9.5703125" style="2" customWidth="1"/>
    <col min="2336" max="2336" width="10.7109375" style="2" customWidth="1"/>
    <col min="2337" max="2337" width="9.85546875" style="2" customWidth="1"/>
    <col min="2338" max="2341" width="0" style="2" hidden="1" customWidth="1"/>
    <col min="2342" max="2342" width="9.85546875" style="2" customWidth="1"/>
    <col min="2343" max="2343" width="10.85546875" style="2" customWidth="1"/>
    <col min="2344" max="2344" width="11.5703125" style="2" customWidth="1"/>
    <col min="2345" max="2346" width="0" style="2" hidden="1" customWidth="1"/>
    <col min="2347" max="2563" width="9.140625" style="2"/>
    <col min="2564" max="2564" width="0" style="2" hidden="1" customWidth="1"/>
    <col min="2565" max="2565" width="11.42578125" style="2" customWidth="1"/>
    <col min="2566" max="2566" width="7.5703125" style="2" customWidth="1"/>
    <col min="2567" max="2567" width="17.85546875" style="2" customWidth="1"/>
    <col min="2568" max="2568" width="3.5703125" style="2" customWidth="1"/>
    <col min="2569" max="2574" width="0" style="2" hidden="1" customWidth="1"/>
    <col min="2575" max="2575" width="11" style="2" customWidth="1"/>
    <col min="2576" max="2578" width="0" style="2" hidden="1" customWidth="1"/>
    <col min="2579" max="2579" width="10.7109375" style="2" customWidth="1"/>
    <col min="2580" max="2584" width="0" style="2" hidden="1" customWidth="1"/>
    <col min="2585" max="2585" width="13.140625" style="2" customWidth="1"/>
    <col min="2586" max="2586" width="10.42578125" style="2" customWidth="1"/>
    <col min="2587" max="2587" width="10.28515625" style="2" customWidth="1"/>
    <col min="2588" max="2588" width="9.85546875" style="2" customWidth="1"/>
    <col min="2589" max="2589" width="10.7109375" style="2" customWidth="1"/>
    <col min="2590" max="2590" width="10" style="2" customWidth="1"/>
    <col min="2591" max="2591" width="9.5703125" style="2" customWidth="1"/>
    <col min="2592" max="2592" width="10.7109375" style="2" customWidth="1"/>
    <col min="2593" max="2593" width="9.85546875" style="2" customWidth="1"/>
    <col min="2594" max="2597" width="0" style="2" hidden="1" customWidth="1"/>
    <col min="2598" max="2598" width="9.85546875" style="2" customWidth="1"/>
    <col min="2599" max="2599" width="10.85546875" style="2" customWidth="1"/>
    <col min="2600" max="2600" width="11.5703125" style="2" customWidth="1"/>
    <col min="2601" max="2602" width="0" style="2" hidden="1" customWidth="1"/>
    <col min="2603" max="2819" width="9.140625" style="2"/>
    <col min="2820" max="2820" width="0" style="2" hidden="1" customWidth="1"/>
    <col min="2821" max="2821" width="11.42578125" style="2" customWidth="1"/>
    <col min="2822" max="2822" width="7.5703125" style="2" customWidth="1"/>
    <col min="2823" max="2823" width="17.85546875" style="2" customWidth="1"/>
    <col min="2824" max="2824" width="3.5703125" style="2" customWidth="1"/>
    <col min="2825" max="2830" width="0" style="2" hidden="1" customWidth="1"/>
    <col min="2831" max="2831" width="11" style="2" customWidth="1"/>
    <col min="2832" max="2834" width="0" style="2" hidden="1" customWidth="1"/>
    <col min="2835" max="2835" width="10.7109375" style="2" customWidth="1"/>
    <col min="2836" max="2840" width="0" style="2" hidden="1" customWidth="1"/>
    <col min="2841" max="2841" width="13.140625" style="2" customWidth="1"/>
    <col min="2842" max="2842" width="10.42578125" style="2" customWidth="1"/>
    <col min="2843" max="2843" width="10.28515625" style="2" customWidth="1"/>
    <col min="2844" max="2844" width="9.85546875" style="2" customWidth="1"/>
    <col min="2845" max="2845" width="10.7109375" style="2" customWidth="1"/>
    <col min="2846" max="2846" width="10" style="2" customWidth="1"/>
    <col min="2847" max="2847" width="9.5703125" style="2" customWidth="1"/>
    <col min="2848" max="2848" width="10.7109375" style="2" customWidth="1"/>
    <col min="2849" max="2849" width="9.85546875" style="2" customWidth="1"/>
    <col min="2850" max="2853" width="0" style="2" hidden="1" customWidth="1"/>
    <col min="2854" max="2854" width="9.85546875" style="2" customWidth="1"/>
    <col min="2855" max="2855" width="10.85546875" style="2" customWidth="1"/>
    <col min="2856" max="2856" width="11.5703125" style="2" customWidth="1"/>
    <col min="2857" max="2858" width="0" style="2" hidden="1" customWidth="1"/>
    <col min="2859" max="3075" width="9.140625" style="2"/>
    <col min="3076" max="3076" width="0" style="2" hidden="1" customWidth="1"/>
    <col min="3077" max="3077" width="11.42578125" style="2" customWidth="1"/>
    <col min="3078" max="3078" width="7.5703125" style="2" customWidth="1"/>
    <col min="3079" max="3079" width="17.85546875" style="2" customWidth="1"/>
    <col min="3080" max="3080" width="3.5703125" style="2" customWidth="1"/>
    <col min="3081" max="3086" width="0" style="2" hidden="1" customWidth="1"/>
    <col min="3087" max="3087" width="11" style="2" customWidth="1"/>
    <col min="3088" max="3090" width="0" style="2" hidden="1" customWidth="1"/>
    <col min="3091" max="3091" width="10.7109375" style="2" customWidth="1"/>
    <col min="3092" max="3096" width="0" style="2" hidden="1" customWidth="1"/>
    <col min="3097" max="3097" width="13.140625" style="2" customWidth="1"/>
    <col min="3098" max="3098" width="10.42578125" style="2" customWidth="1"/>
    <col min="3099" max="3099" width="10.28515625" style="2" customWidth="1"/>
    <col min="3100" max="3100" width="9.85546875" style="2" customWidth="1"/>
    <col min="3101" max="3101" width="10.7109375" style="2" customWidth="1"/>
    <col min="3102" max="3102" width="10" style="2" customWidth="1"/>
    <col min="3103" max="3103" width="9.5703125" style="2" customWidth="1"/>
    <col min="3104" max="3104" width="10.7109375" style="2" customWidth="1"/>
    <col min="3105" max="3105" width="9.85546875" style="2" customWidth="1"/>
    <col min="3106" max="3109" width="0" style="2" hidden="1" customWidth="1"/>
    <col min="3110" max="3110" width="9.85546875" style="2" customWidth="1"/>
    <col min="3111" max="3111" width="10.85546875" style="2" customWidth="1"/>
    <col min="3112" max="3112" width="11.5703125" style="2" customWidth="1"/>
    <col min="3113" max="3114" width="0" style="2" hidden="1" customWidth="1"/>
    <col min="3115" max="3331" width="9.140625" style="2"/>
    <col min="3332" max="3332" width="0" style="2" hidden="1" customWidth="1"/>
    <col min="3333" max="3333" width="11.42578125" style="2" customWidth="1"/>
    <col min="3334" max="3334" width="7.5703125" style="2" customWidth="1"/>
    <col min="3335" max="3335" width="17.85546875" style="2" customWidth="1"/>
    <col min="3336" max="3336" width="3.5703125" style="2" customWidth="1"/>
    <col min="3337" max="3342" width="0" style="2" hidden="1" customWidth="1"/>
    <col min="3343" max="3343" width="11" style="2" customWidth="1"/>
    <col min="3344" max="3346" width="0" style="2" hidden="1" customWidth="1"/>
    <col min="3347" max="3347" width="10.7109375" style="2" customWidth="1"/>
    <col min="3348" max="3352" width="0" style="2" hidden="1" customWidth="1"/>
    <col min="3353" max="3353" width="13.140625" style="2" customWidth="1"/>
    <col min="3354" max="3354" width="10.42578125" style="2" customWidth="1"/>
    <col min="3355" max="3355" width="10.28515625" style="2" customWidth="1"/>
    <col min="3356" max="3356" width="9.85546875" style="2" customWidth="1"/>
    <col min="3357" max="3357" width="10.7109375" style="2" customWidth="1"/>
    <col min="3358" max="3358" width="10" style="2" customWidth="1"/>
    <col min="3359" max="3359" width="9.5703125" style="2" customWidth="1"/>
    <col min="3360" max="3360" width="10.7109375" style="2" customWidth="1"/>
    <col min="3361" max="3361" width="9.85546875" style="2" customWidth="1"/>
    <col min="3362" max="3365" width="0" style="2" hidden="1" customWidth="1"/>
    <col min="3366" max="3366" width="9.85546875" style="2" customWidth="1"/>
    <col min="3367" max="3367" width="10.85546875" style="2" customWidth="1"/>
    <col min="3368" max="3368" width="11.5703125" style="2" customWidth="1"/>
    <col min="3369" max="3370" width="0" style="2" hidden="1" customWidth="1"/>
    <col min="3371" max="3587" width="9.140625" style="2"/>
    <col min="3588" max="3588" width="0" style="2" hidden="1" customWidth="1"/>
    <col min="3589" max="3589" width="11.42578125" style="2" customWidth="1"/>
    <col min="3590" max="3590" width="7.5703125" style="2" customWidth="1"/>
    <col min="3591" max="3591" width="17.85546875" style="2" customWidth="1"/>
    <col min="3592" max="3592" width="3.5703125" style="2" customWidth="1"/>
    <col min="3593" max="3598" width="0" style="2" hidden="1" customWidth="1"/>
    <col min="3599" max="3599" width="11" style="2" customWidth="1"/>
    <col min="3600" max="3602" width="0" style="2" hidden="1" customWidth="1"/>
    <col min="3603" max="3603" width="10.7109375" style="2" customWidth="1"/>
    <col min="3604" max="3608" width="0" style="2" hidden="1" customWidth="1"/>
    <col min="3609" max="3609" width="13.140625" style="2" customWidth="1"/>
    <col min="3610" max="3610" width="10.42578125" style="2" customWidth="1"/>
    <col min="3611" max="3611" width="10.28515625" style="2" customWidth="1"/>
    <col min="3612" max="3612" width="9.85546875" style="2" customWidth="1"/>
    <col min="3613" max="3613" width="10.7109375" style="2" customWidth="1"/>
    <col min="3614" max="3614" width="10" style="2" customWidth="1"/>
    <col min="3615" max="3615" width="9.5703125" style="2" customWidth="1"/>
    <col min="3616" max="3616" width="10.7109375" style="2" customWidth="1"/>
    <col min="3617" max="3617" width="9.85546875" style="2" customWidth="1"/>
    <col min="3618" max="3621" width="0" style="2" hidden="1" customWidth="1"/>
    <col min="3622" max="3622" width="9.85546875" style="2" customWidth="1"/>
    <col min="3623" max="3623" width="10.85546875" style="2" customWidth="1"/>
    <col min="3624" max="3624" width="11.5703125" style="2" customWidth="1"/>
    <col min="3625" max="3626" width="0" style="2" hidden="1" customWidth="1"/>
    <col min="3627" max="3843" width="9.140625" style="2"/>
    <col min="3844" max="3844" width="0" style="2" hidden="1" customWidth="1"/>
    <col min="3845" max="3845" width="11.42578125" style="2" customWidth="1"/>
    <col min="3846" max="3846" width="7.5703125" style="2" customWidth="1"/>
    <col min="3847" max="3847" width="17.85546875" style="2" customWidth="1"/>
    <col min="3848" max="3848" width="3.5703125" style="2" customWidth="1"/>
    <col min="3849" max="3854" width="0" style="2" hidden="1" customWidth="1"/>
    <col min="3855" max="3855" width="11" style="2" customWidth="1"/>
    <col min="3856" max="3858" width="0" style="2" hidden="1" customWidth="1"/>
    <col min="3859" max="3859" width="10.7109375" style="2" customWidth="1"/>
    <col min="3860" max="3864" width="0" style="2" hidden="1" customWidth="1"/>
    <col min="3865" max="3865" width="13.140625" style="2" customWidth="1"/>
    <col min="3866" max="3866" width="10.42578125" style="2" customWidth="1"/>
    <col min="3867" max="3867" width="10.28515625" style="2" customWidth="1"/>
    <col min="3868" max="3868" width="9.85546875" style="2" customWidth="1"/>
    <col min="3869" max="3869" width="10.7109375" style="2" customWidth="1"/>
    <col min="3870" max="3870" width="10" style="2" customWidth="1"/>
    <col min="3871" max="3871" width="9.5703125" style="2" customWidth="1"/>
    <col min="3872" max="3872" width="10.7109375" style="2" customWidth="1"/>
    <col min="3873" max="3873" width="9.85546875" style="2" customWidth="1"/>
    <col min="3874" max="3877" width="0" style="2" hidden="1" customWidth="1"/>
    <col min="3878" max="3878" width="9.85546875" style="2" customWidth="1"/>
    <col min="3879" max="3879" width="10.85546875" style="2" customWidth="1"/>
    <col min="3880" max="3880" width="11.5703125" style="2" customWidth="1"/>
    <col min="3881" max="3882" width="0" style="2" hidden="1" customWidth="1"/>
    <col min="3883" max="4099" width="9.140625" style="2"/>
    <col min="4100" max="4100" width="0" style="2" hidden="1" customWidth="1"/>
    <col min="4101" max="4101" width="11.42578125" style="2" customWidth="1"/>
    <col min="4102" max="4102" width="7.5703125" style="2" customWidth="1"/>
    <col min="4103" max="4103" width="17.85546875" style="2" customWidth="1"/>
    <col min="4104" max="4104" width="3.5703125" style="2" customWidth="1"/>
    <col min="4105" max="4110" width="0" style="2" hidden="1" customWidth="1"/>
    <col min="4111" max="4111" width="11" style="2" customWidth="1"/>
    <col min="4112" max="4114" width="0" style="2" hidden="1" customWidth="1"/>
    <col min="4115" max="4115" width="10.7109375" style="2" customWidth="1"/>
    <col min="4116" max="4120" width="0" style="2" hidden="1" customWidth="1"/>
    <col min="4121" max="4121" width="13.140625" style="2" customWidth="1"/>
    <col min="4122" max="4122" width="10.42578125" style="2" customWidth="1"/>
    <col min="4123" max="4123" width="10.28515625" style="2" customWidth="1"/>
    <col min="4124" max="4124" width="9.85546875" style="2" customWidth="1"/>
    <col min="4125" max="4125" width="10.7109375" style="2" customWidth="1"/>
    <col min="4126" max="4126" width="10" style="2" customWidth="1"/>
    <col min="4127" max="4127" width="9.5703125" style="2" customWidth="1"/>
    <col min="4128" max="4128" width="10.7109375" style="2" customWidth="1"/>
    <col min="4129" max="4129" width="9.85546875" style="2" customWidth="1"/>
    <col min="4130" max="4133" width="0" style="2" hidden="1" customWidth="1"/>
    <col min="4134" max="4134" width="9.85546875" style="2" customWidth="1"/>
    <col min="4135" max="4135" width="10.85546875" style="2" customWidth="1"/>
    <col min="4136" max="4136" width="11.5703125" style="2" customWidth="1"/>
    <col min="4137" max="4138" width="0" style="2" hidden="1" customWidth="1"/>
    <col min="4139" max="4355" width="9.140625" style="2"/>
    <col min="4356" max="4356" width="0" style="2" hidden="1" customWidth="1"/>
    <col min="4357" max="4357" width="11.42578125" style="2" customWidth="1"/>
    <col min="4358" max="4358" width="7.5703125" style="2" customWidth="1"/>
    <col min="4359" max="4359" width="17.85546875" style="2" customWidth="1"/>
    <col min="4360" max="4360" width="3.5703125" style="2" customWidth="1"/>
    <col min="4361" max="4366" width="0" style="2" hidden="1" customWidth="1"/>
    <col min="4367" max="4367" width="11" style="2" customWidth="1"/>
    <col min="4368" max="4370" width="0" style="2" hidden="1" customWidth="1"/>
    <col min="4371" max="4371" width="10.7109375" style="2" customWidth="1"/>
    <col min="4372" max="4376" width="0" style="2" hidden="1" customWidth="1"/>
    <col min="4377" max="4377" width="13.140625" style="2" customWidth="1"/>
    <col min="4378" max="4378" width="10.42578125" style="2" customWidth="1"/>
    <col min="4379" max="4379" width="10.28515625" style="2" customWidth="1"/>
    <col min="4380" max="4380" width="9.85546875" style="2" customWidth="1"/>
    <col min="4381" max="4381" width="10.7109375" style="2" customWidth="1"/>
    <col min="4382" max="4382" width="10" style="2" customWidth="1"/>
    <col min="4383" max="4383" width="9.5703125" style="2" customWidth="1"/>
    <col min="4384" max="4384" width="10.7109375" style="2" customWidth="1"/>
    <col min="4385" max="4385" width="9.85546875" style="2" customWidth="1"/>
    <col min="4386" max="4389" width="0" style="2" hidden="1" customWidth="1"/>
    <col min="4390" max="4390" width="9.85546875" style="2" customWidth="1"/>
    <col min="4391" max="4391" width="10.85546875" style="2" customWidth="1"/>
    <col min="4392" max="4392" width="11.5703125" style="2" customWidth="1"/>
    <col min="4393" max="4394" width="0" style="2" hidden="1" customWidth="1"/>
    <col min="4395" max="4611" width="9.140625" style="2"/>
    <col min="4612" max="4612" width="0" style="2" hidden="1" customWidth="1"/>
    <col min="4613" max="4613" width="11.42578125" style="2" customWidth="1"/>
    <col min="4614" max="4614" width="7.5703125" style="2" customWidth="1"/>
    <col min="4615" max="4615" width="17.85546875" style="2" customWidth="1"/>
    <col min="4616" max="4616" width="3.5703125" style="2" customWidth="1"/>
    <col min="4617" max="4622" width="0" style="2" hidden="1" customWidth="1"/>
    <col min="4623" max="4623" width="11" style="2" customWidth="1"/>
    <col min="4624" max="4626" width="0" style="2" hidden="1" customWidth="1"/>
    <col min="4627" max="4627" width="10.7109375" style="2" customWidth="1"/>
    <col min="4628" max="4632" width="0" style="2" hidden="1" customWidth="1"/>
    <col min="4633" max="4633" width="13.140625" style="2" customWidth="1"/>
    <col min="4634" max="4634" width="10.42578125" style="2" customWidth="1"/>
    <col min="4635" max="4635" width="10.28515625" style="2" customWidth="1"/>
    <col min="4636" max="4636" width="9.85546875" style="2" customWidth="1"/>
    <col min="4637" max="4637" width="10.7109375" style="2" customWidth="1"/>
    <col min="4638" max="4638" width="10" style="2" customWidth="1"/>
    <col min="4639" max="4639" width="9.5703125" style="2" customWidth="1"/>
    <col min="4640" max="4640" width="10.7109375" style="2" customWidth="1"/>
    <col min="4641" max="4641" width="9.85546875" style="2" customWidth="1"/>
    <col min="4642" max="4645" width="0" style="2" hidden="1" customWidth="1"/>
    <col min="4646" max="4646" width="9.85546875" style="2" customWidth="1"/>
    <col min="4647" max="4647" width="10.85546875" style="2" customWidth="1"/>
    <col min="4648" max="4648" width="11.5703125" style="2" customWidth="1"/>
    <col min="4649" max="4650" width="0" style="2" hidden="1" customWidth="1"/>
    <col min="4651" max="4867" width="9.140625" style="2"/>
    <col min="4868" max="4868" width="0" style="2" hidden="1" customWidth="1"/>
    <col min="4869" max="4869" width="11.42578125" style="2" customWidth="1"/>
    <col min="4870" max="4870" width="7.5703125" style="2" customWidth="1"/>
    <col min="4871" max="4871" width="17.85546875" style="2" customWidth="1"/>
    <col min="4872" max="4872" width="3.5703125" style="2" customWidth="1"/>
    <col min="4873" max="4878" width="0" style="2" hidden="1" customWidth="1"/>
    <col min="4879" max="4879" width="11" style="2" customWidth="1"/>
    <col min="4880" max="4882" width="0" style="2" hidden="1" customWidth="1"/>
    <col min="4883" max="4883" width="10.7109375" style="2" customWidth="1"/>
    <col min="4884" max="4888" width="0" style="2" hidden="1" customWidth="1"/>
    <col min="4889" max="4889" width="13.140625" style="2" customWidth="1"/>
    <col min="4890" max="4890" width="10.42578125" style="2" customWidth="1"/>
    <col min="4891" max="4891" width="10.28515625" style="2" customWidth="1"/>
    <col min="4892" max="4892" width="9.85546875" style="2" customWidth="1"/>
    <col min="4893" max="4893" width="10.7109375" style="2" customWidth="1"/>
    <col min="4894" max="4894" width="10" style="2" customWidth="1"/>
    <col min="4895" max="4895" width="9.5703125" style="2" customWidth="1"/>
    <col min="4896" max="4896" width="10.7109375" style="2" customWidth="1"/>
    <col min="4897" max="4897" width="9.85546875" style="2" customWidth="1"/>
    <col min="4898" max="4901" width="0" style="2" hidden="1" customWidth="1"/>
    <col min="4902" max="4902" width="9.85546875" style="2" customWidth="1"/>
    <col min="4903" max="4903" width="10.85546875" style="2" customWidth="1"/>
    <col min="4904" max="4904" width="11.5703125" style="2" customWidth="1"/>
    <col min="4905" max="4906" width="0" style="2" hidden="1" customWidth="1"/>
    <col min="4907" max="5123" width="9.140625" style="2"/>
    <col min="5124" max="5124" width="0" style="2" hidden="1" customWidth="1"/>
    <col min="5125" max="5125" width="11.42578125" style="2" customWidth="1"/>
    <col min="5126" max="5126" width="7.5703125" style="2" customWidth="1"/>
    <col min="5127" max="5127" width="17.85546875" style="2" customWidth="1"/>
    <col min="5128" max="5128" width="3.5703125" style="2" customWidth="1"/>
    <col min="5129" max="5134" width="0" style="2" hidden="1" customWidth="1"/>
    <col min="5135" max="5135" width="11" style="2" customWidth="1"/>
    <col min="5136" max="5138" width="0" style="2" hidden="1" customWidth="1"/>
    <col min="5139" max="5139" width="10.7109375" style="2" customWidth="1"/>
    <col min="5140" max="5144" width="0" style="2" hidden="1" customWidth="1"/>
    <col min="5145" max="5145" width="13.140625" style="2" customWidth="1"/>
    <col min="5146" max="5146" width="10.42578125" style="2" customWidth="1"/>
    <col min="5147" max="5147" width="10.28515625" style="2" customWidth="1"/>
    <col min="5148" max="5148" width="9.85546875" style="2" customWidth="1"/>
    <col min="5149" max="5149" width="10.7109375" style="2" customWidth="1"/>
    <col min="5150" max="5150" width="10" style="2" customWidth="1"/>
    <col min="5151" max="5151" width="9.5703125" style="2" customWidth="1"/>
    <col min="5152" max="5152" width="10.7109375" style="2" customWidth="1"/>
    <col min="5153" max="5153" width="9.85546875" style="2" customWidth="1"/>
    <col min="5154" max="5157" width="0" style="2" hidden="1" customWidth="1"/>
    <col min="5158" max="5158" width="9.85546875" style="2" customWidth="1"/>
    <col min="5159" max="5159" width="10.85546875" style="2" customWidth="1"/>
    <col min="5160" max="5160" width="11.5703125" style="2" customWidth="1"/>
    <col min="5161" max="5162" width="0" style="2" hidden="1" customWidth="1"/>
    <col min="5163" max="5379" width="9.140625" style="2"/>
    <col min="5380" max="5380" width="0" style="2" hidden="1" customWidth="1"/>
    <col min="5381" max="5381" width="11.42578125" style="2" customWidth="1"/>
    <col min="5382" max="5382" width="7.5703125" style="2" customWidth="1"/>
    <col min="5383" max="5383" width="17.85546875" style="2" customWidth="1"/>
    <col min="5384" max="5384" width="3.5703125" style="2" customWidth="1"/>
    <col min="5385" max="5390" width="0" style="2" hidden="1" customWidth="1"/>
    <col min="5391" max="5391" width="11" style="2" customWidth="1"/>
    <col min="5392" max="5394" width="0" style="2" hidden="1" customWidth="1"/>
    <col min="5395" max="5395" width="10.7109375" style="2" customWidth="1"/>
    <col min="5396" max="5400" width="0" style="2" hidden="1" customWidth="1"/>
    <col min="5401" max="5401" width="13.140625" style="2" customWidth="1"/>
    <col min="5402" max="5402" width="10.42578125" style="2" customWidth="1"/>
    <col min="5403" max="5403" width="10.28515625" style="2" customWidth="1"/>
    <col min="5404" max="5404" width="9.85546875" style="2" customWidth="1"/>
    <col min="5405" max="5405" width="10.7109375" style="2" customWidth="1"/>
    <col min="5406" max="5406" width="10" style="2" customWidth="1"/>
    <col min="5407" max="5407" width="9.5703125" style="2" customWidth="1"/>
    <col min="5408" max="5408" width="10.7109375" style="2" customWidth="1"/>
    <col min="5409" max="5409" width="9.85546875" style="2" customWidth="1"/>
    <col min="5410" max="5413" width="0" style="2" hidden="1" customWidth="1"/>
    <col min="5414" max="5414" width="9.85546875" style="2" customWidth="1"/>
    <col min="5415" max="5415" width="10.85546875" style="2" customWidth="1"/>
    <col min="5416" max="5416" width="11.5703125" style="2" customWidth="1"/>
    <col min="5417" max="5418" width="0" style="2" hidden="1" customWidth="1"/>
    <col min="5419" max="5635" width="9.140625" style="2"/>
    <col min="5636" max="5636" width="0" style="2" hidden="1" customWidth="1"/>
    <col min="5637" max="5637" width="11.42578125" style="2" customWidth="1"/>
    <col min="5638" max="5638" width="7.5703125" style="2" customWidth="1"/>
    <col min="5639" max="5639" width="17.85546875" style="2" customWidth="1"/>
    <col min="5640" max="5640" width="3.5703125" style="2" customWidth="1"/>
    <col min="5641" max="5646" width="0" style="2" hidden="1" customWidth="1"/>
    <col min="5647" max="5647" width="11" style="2" customWidth="1"/>
    <col min="5648" max="5650" width="0" style="2" hidden="1" customWidth="1"/>
    <col min="5651" max="5651" width="10.7109375" style="2" customWidth="1"/>
    <col min="5652" max="5656" width="0" style="2" hidden="1" customWidth="1"/>
    <col min="5657" max="5657" width="13.140625" style="2" customWidth="1"/>
    <col min="5658" max="5658" width="10.42578125" style="2" customWidth="1"/>
    <col min="5659" max="5659" width="10.28515625" style="2" customWidth="1"/>
    <col min="5660" max="5660" width="9.85546875" style="2" customWidth="1"/>
    <col min="5661" max="5661" width="10.7109375" style="2" customWidth="1"/>
    <col min="5662" max="5662" width="10" style="2" customWidth="1"/>
    <col min="5663" max="5663" width="9.5703125" style="2" customWidth="1"/>
    <col min="5664" max="5664" width="10.7109375" style="2" customWidth="1"/>
    <col min="5665" max="5665" width="9.85546875" style="2" customWidth="1"/>
    <col min="5666" max="5669" width="0" style="2" hidden="1" customWidth="1"/>
    <col min="5670" max="5670" width="9.85546875" style="2" customWidth="1"/>
    <col min="5671" max="5671" width="10.85546875" style="2" customWidth="1"/>
    <col min="5672" max="5672" width="11.5703125" style="2" customWidth="1"/>
    <col min="5673" max="5674" width="0" style="2" hidden="1" customWidth="1"/>
    <col min="5675" max="5891" width="9.140625" style="2"/>
    <col min="5892" max="5892" width="0" style="2" hidden="1" customWidth="1"/>
    <col min="5893" max="5893" width="11.42578125" style="2" customWidth="1"/>
    <col min="5894" max="5894" width="7.5703125" style="2" customWidth="1"/>
    <col min="5895" max="5895" width="17.85546875" style="2" customWidth="1"/>
    <col min="5896" max="5896" width="3.5703125" style="2" customWidth="1"/>
    <col min="5897" max="5902" width="0" style="2" hidden="1" customWidth="1"/>
    <col min="5903" max="5903" width="11" style="2" customWidth="1"/>
    <col min="5904" max="5906" width="0" style="2" hidden="1" customWidth="1"/>
    <col min="5907" max="5907" width="10.7109375" style="2" customWidth="1"/>
    <col min="5908" max="5912" width="0" style="2" hidden="1" customWidth="1"/>
    <col min="5913" max="5913" width="13.140625" style="2" customWidth="1"/>
    <col min="5914" max="5914" width="10.42578125" style="2" customWidth="1"/>
    <col min="5915" max="5915" width="10.28515625" style="2" customWidth="1"/>
    <col min="5916" max="5916" width="9.85546875" style="2" customWidth="1"/>
    <col min="5917" max="5917" width="10.7109375" style="2" customWidth="1"/>
    <col min="5918" max="5918" width="10" style="2" customWidth="1"/>
    <col min="5919" max="5919" width="9.5703125" style="2" customWidth="1"/>
    <col min="5920" max="5920" width="10.7109375" style="2" customWidth="1"/>
    <col min="5921" max="5921" width="9.85546875" style="2" customWidth="1"/>
    <col min="5922" max="5925" width="0" style="2" hidden="1" customWidth="1"/>
    <col min="5926" max="5926" width="9.85546875" style="2" customWidth="1"/>
    <col min="5927" max="5927" width="10.85546875" style="2" customWidth="1"/>
    <col min="5928" max="5928" width="11.5703125" style="2" customWidth="1"/>
    <col min="5929" max="5930" width="0" style="2" hidden="1" customWidth="1"/>
    <col min="5931" max="6147" width="9.140625" style="2"/>
    <col min="6148" max="6148" width="0" style="2" hidden="1" customWidth="1"/>
    <col min="6149" max="6149" width="11.42578125" style="2" customWidth="1"/>
    <col min="6150" max="6150" width="7.5703125" style="2" customWidth="1"/>
    <col min="6151" max="6151" width="17.85546875" style="2" customWidth="1"/>
    <col min="6152" max="6152" width="3.5703125" style="2" customWidth="1"/>
    <col min="6153" max="6158" width="0" style="2" hidden="1" customWidth="1"/>
    <col min="6159" max="6159" width="11" style="2" customWidth="1"/>
    <col min="6160" max="6162" width="0" style="2" hidden="1" customWidth="1"/>
    <col min="6163" max="6163" width="10.7109375" style="2" customWidth="1"/>
    <col min="6164" max="6168" width="0" style="2" hidden="1" customWidth="1"/>
    <col min="6169" max="6169" width="13.140625" style="2" customWidth="1"/>
    <col min="6170" max="6170" width="10.42578125" style="2" customWidth="1"/>
    <col min="6171" max="6171" width="10.28515625" style="2" customWidth="1"/>
    <col min="6172" max="6172" width="9.85546875" style="2" customWidth="1"/>
    <col min="6173" max="6173" width="10.7109375" style="2" customWidth="1"/>
    <col min="6174" max="6174" width="10" style="2" customWidth="1"/>
    <col min="6175" max="6175" width="9.5703125" style="2" customWidth="1"/>
    <col min="6176" max="6176" width="10.7109375" style="2" customWidth="1"/>
    <col min="6177" max="6177" width="9.85546875" style="2" customWidth="1"/>
    <col min="6178" max="6181" width="0" style="2" hidden="1" customWidth="1"/>
    <col min="6182" max="6182" width="9.85546875" style="2" customWidth="1"/>
    <col min="6183" max="6183" width="10.85546875" style="2" customWidth="1"/>
    <col min="6184" max="6184" width="11.5703125" style="2" customWidth="1"/>
    <col min="6185" max="6186" width="0" style="2" hidden="1" customWidth="1"/>
    <col min="6187" max="6403" width="9.140625" style="2"/>
    <col min="6404" max="6404" width="0" style="2" hidden="1" customWidth="1"/>
    <col min="6405" max="6405" width="11.42578125" style="2" customWidth="1"/>
    <col min="6406" max="6406" width="7.5703125" style="2" customWidth="1"/>
    <col min="6407" max="6407" width="17.85546875" style="2" customWidth="1"/>
    <col min="6408" max="6408" width="3.5703125" style="2" customWidth="1"/>
    <col min="6409" max="6414" width="0" style="2" hidden="1" customWidth="1"/>
    <col min="6415" max="6415" width="11" style="2" customWidth="1"/>
    <col min="6416" max="6418" width="0" style="2" hidden="1" customWidth="1"/>
    <col min="6419" max="6419" width="10.7109375" style="2" customWidth="1"/>
    <col min="6420" max="6424" width="0" style="2" hidden="1" customWidth="1"/>
    <col min="6425" max="6425" width="13.140625" style="2" customWidth="1"/>
    <col min="6426" max="6426" width="10.42578125" style="2" customWidth="1"/>
    <col min="6427" max="6427" width="10.28515625" style="2" customWidth="1"/>
    <col min="6428" max="6428" width="9.85546875" style="2" customWidth="1"/>
    <col min="6429" max="6429" width="10.7109375" style="2" customWidth="1"/>
    <col min="6430" max="6430" width="10" style="2" customWidth="1"/>
    <col min="6431" max="6431" width="9.5703125" style="2" customWidth="1"/>
    <col min="6432" max="6432" width="10.7109375" style="2" customWidth="1"/>
    <col min="6433" max="6433" width="9.85546875" style="2" customWidth="1"/>
    <col min="6434" max="6437" width="0" style="2" hidden="1" customWidth="1"/>
    <col min="6438" max="6438" width="9.85546875" style="2" customWidth="1"/>
    <col min="6439" max="6439" width="10.85546875" style="2" customWidth="1"/>
    <col min="6440" max="6440" width="11.5703125" style="2" customWidth="1"/>
    <col min="6441" max="6442" width="0" style="2" hidden="1" customWidth="1"/>
    <col min="6443" max="6659" width="9.140625" style="2"/>
    <col min="6660" max="6660" width="0" style="2" hidden="1" customWidth="1"/>
    <col min="6661" max="6661" width="11.42578125" style="2" customWidth="1"/>
    <col min="6662" max="6662" width="7.5703125" style="2" customWidth="1"/>
    <col min="6663" max="6663" width="17.85546875" style="2" customWidth="1"/>
    <col min="6664" max="6664" width="3.5703125" style="2" customWidth="1"/>
    <col min="6665" max="6670" width="0" style="2" hidden="1" customWidth="1"/>
    <col min="6671" max="6671" width="11" style="2" customWidth="1"/>
    <col min="6672" max="6674" width="0" style="2" hidden="1" customWidth="1"/>
    <col min="6675" max="6675" width="10.7109375" style="2" customWidth="1"/>
    <col min="6676" max="6680" width="0" style="2" hidden="1" customWidth="1"/>
    <col min="6681" max="6681" width="13.140625" style="2" customWidth="1"/>
    <col min="6682" max="6682" width="10.42578125" style="2" customWidth="1"/>
    <col min="6683" max="6683" width="10.28515625" style="2" customWidth="1"/>
    <col min="6684" max="6684" width="9.85546875" style="2" customWidth="1"/>
    <col min="6685" max="6685" width="10.7109375" style="2" customWidth="1"/>
    <col min="6686" max="6686" width="10" style="2" customWidth="1"/>
    <col min="6687" max="6687" width="9.5703125" style="2" customWidth="1"/>
    <col min="6688" max="6688" width="10.7109375" style="2" customWidth="1"/>
    <col min="6689" max="6689" width="9.85546875" style="2" customWidth="1"/>
    <col min="6690" max="6693" width="0" style="2" hidden="1" customWidth="1"/>
    <col min="6694" max="6694" width="9.85546875" style="2" customWidth="1"/>
    <col min="6695" max="6695" width="10.85546875" style="2" customWidth="1"/>
    <col min="6696" max="6696" width="11.5703125" style="2" customWidth="1"/>
    <col min="6697" max="6698" width="0" style="2" hidden="1" customWidth="1"/>
    <col min="6699" max="6915" width="9.140625" style="2"/>
    <col min="6916" max="6916" width="0" style="2" hidden="1" customWidth="1"/>
    <col min="6917" max="6917" width="11.42578125" style="2" customWidth="1"/>
    <col min="6918" max="6918" width="7.5703125" style="2" customWidth="1"/>
    <col min="6919" max="6919" width="17.85546875" style="2" customWidth="1"/>
    <col min="6920" max="6920" width="3.5703125" style="2" customWidth="1"/>
    <col min="6921" max="6926" width="0" style="2" hidden="1" customWidth="1"/>
    <col min="6927" max="6927" width="11" style="2" customWidth="1"/>
    <col min="6928" max="6930" width="0" style="2" hidden="1" customWidth="1"/>
    <col min="6931" max="6931" width="10.7109375" style="2" customWidth="1"/>
    <col min="6932" max="6936" width="0" style="2" hidden="1" customWidth="1"/>
    <col min="6937" max="6937" width="13.140625" style="2" customWidth="1"/>
    <col min="6938" max="6938" width="10.42578125" style="2" customWidth="1"/>
    <col min="6939" max="6939" width="10.28515625" style="2" customWidth="1"/>
    <col min="6940" max="6940" width="9.85546875" style="2" customWidth="1"/>
    <col min="6941" max="6941" width="10.7109375" style="2" customWidth="1"/>
    <col min="6942" max="6942" width="10" style="2" customWidth="1"/>
    <col min="6943" max="6943" width="9.5703125" style="2" customWidth="1"/>
    <col min="6944" max="6944" width="10.7109375" style="2" customWidth="1"/>
    <col min="6945" max="6945" width="9.85546875" style="2" customWidth="1"/>
    <col min="6946" max="6949" width="0" style="2" hidden="1" customWidth="1"/>
    <col min="6950" max="6950" width="9.85546875" style="2" customWidth="1"/>
    <col min="6951" max="6951" width="10.85546875" style="2" customWidth="1"/>
    <col min="6952" max="6952" width="11.5703125" style="2" customWidth="1"/>
    <col min="6953" max="6954" width="0" style="2" hidden="1" customWidth="1"/>
    <col min="6955" max="7171" width="9.140625" style="2"/>
    <col min="7172" max="7172" width="0" style="2" hidden="1" customWidth="1"/>
    <col min="7173" max="7173" width="11.42578125" style="2" customWidth="1"/>
    <col min="7174" max="7174" width="7.5703125" style="2" customWidth="1"/>
    <col min="7175" max="7175" width="17.85546875" style="2" customWidth="1"/>
    <col min="7176" max="7176" width="3.5703125" style="2" customWidth="1"/>
    <col min="7177" max="7182" width="0" style="2" hidden="1" customWidth="1"/>
    <col min="7183" max="7183" width="11" style="2" customWidth="1"/>
    <col min="7184" max="7186" width="0" style="2" hidden="1" customWidth="1"/>
    <col min="7187" max="7187" width="10.7109375" style="2" customWidth="1"/>
    <col min="7188" max="7192" width="0" style="2" hidden="1" customWidth="1"/>
    <col min="7193" max="7193" width="13.140625" style="2" customWidth="1"/>
    <col min="7194" max="7194" width="10.42578125" style="2" customWidth="1"/>
    <col min="7195" max="7195" width="10.28515625" style="2" customWidth="1"/>
    <col min="7196" max="7196" width="9.85546875" style="2" customWidth="1"/>
    <col min="7197" max="7197" width="10.7109375" style="2" customWidth="1"/>
    <col min="7198" max="7198" width="10" style="2" customWidth="1"/>
    <col min="7199" max="7199" width="9.5703125" style="2" customWidth="1"/>
    <col min="7200" max="7200" width="10.7109375" style="2" customWidth="1"/>
    <col min="7201" max="7201" width="9.85546875" style="2" customWidth="1"/>
    <col min="7202" max="7205" width="0" style="2" hidden="1" customWidth="1"/>
    <col min="7206" max="7206" width="9.85546875" style="2" customWidth="1"/>
    <col min="7207" max="7207" width="10.85546875" style="2" customWidth="1"/>
    <col min="7208" max="7208" width="11.5703125" style="2" customWidth="1"/>
    <col min="7209" max="7210" width="0" style="2" hidden="1" customWidth="1"/>
    <col min="7211" max="7427" width="9.140625" style="2"/>
    <col min="7428" max="7428" width="0" style="2" hidden="1" customWidth="1"/>
    <col min="7429" max="7429" width="11.42578125" style="2" customWidth="1"/>
    <col min="7430" max="7430" width="7.5703125" style="2" customWidth="1"/>
    <col min="7431" max="7431" width="17.85546875" style="2" customWidth="1"/>
    <col min="7432" max="7432" width="3.5703125" style="2" customWidth="1"/>
    <col min="7433" max="7438" width="0" style="2" hidden="1" customWidth="1"/>
    <col min="7439" max="7439" width="11" style="2" customWidth="1"/>
    <col min="7440" max="7442" width="0" style="2" hidden="1" customWidth="1"/>
    <col min="7443" max="7443" width="10.7109375" style="2" customWidth="1"/>
    <col min="7444" max="7448" width="0" style="2" hidden="1" customWidth="1"/>
    <col min="7449" max="7449" width="13.140625" style="2" customWidth="1"/>
    <col min="7450" max="7450" width="10.42578125" style="2" customWidth="1"/>
    <col min="7451" max="7451" width="10.28515625" style="2" customWidth="1"/>
    <col min="7452" max="7452" width="9.85546875" style="2" customWidth="1"/>
    <col min="7453" max="7453" width="10.7109375" style="2" customWidth="1"/>
    <col min="7454" max="7454" width="10" style="2" customWidth="1"/>
    <col min="7455" max="7455" width="9.5703125" style="2" customWidth="1"/>
    <col min="7456" max="7456" width="10.7109375" style="2" customWidth="1"/>
    <col min="7457" max="7457" width="9.85546875" style="2" customWidth="1"/>
    <col min="7458" max="7461" width="0" style="2" hidden="1" customWidth="1"/>
    <col min="7462" max="7462" width="9.85546875" style="2" customWidth="1"/>
    <col min="7463" max="7463" width="10.85546875" style="2" customWidth="1"/>
    <col min="7464" max="7464" width="11.5703125" style="2" customWidth="1"/>
    <col min="7465" max="7466" width="0" style="2" hidden="1" customWidth="1"/>
    <col min="7467" max="7683" width="9.140625" style="2"/>
    <col min="7684" max="7684" width="0" style="2" hidden="1" customWidth="1"/>
    <col min="7685" max="7685" width="11.42578125" style="2" customWidth="1"/>
    <col min="7686" max="7686" width="7.5703125" style="2" customWidth="1"/>
    <col min="7687" max="7687" width="17.85546875" style="2" customWidth="1"/>
    <col min="7688" max="7688" width="3.5703125" style="2" customWidth="1"/>
    <col min="7689" max="7694" width="0" style="2" hidden="1" customWidth="1"/>
    <col min="7695" max="7695" width="11" style="2" customWidth="1"/>
    <col min="7696" max="7698" width="0" style="2" hidden="1" customWidth="1"/>
    <col min="7699" max="7699" width="10.7109375" style="2" customWidth="1"/>
    <col min="7700" max="7704" width="0" style="2" hidden="1" customWidth="1"/>
    <col min="7705" max="7705" width="13.140625" style="2" customWidth="1"/>
    <col min="7706" max="7706" width="10.42578125" style="2" customWidth="1"/>
    <col min="7707" max="7707" width="10.28515625" style="2" customWidth="1"/>
    <col min="7708" max="7708" width="9.85546875" style="2" customWidth="1"/>
    <col min="7709" max="7709" width="10.7109375" style="2" customWidth="1"/>
    <col min="7710" max="7710" width="10" style="2" customWidth="1"/>
    <col min="7711" max="7711" width="9.5703125" style="2" customWidth="1"/>
    <col min="7712" max="7712" width="10.7109375" style="2" customWidth="1"/>
    <col min="7713" max="7713" width="9.85546875" style="2" customWidth="1"/>
    <col min="7714" max="7717" width="0" style="2" hidden="1" customWidth="1"/>
    <col min="7718" max="7718" width="9.85546875" style="2" customWidth="1"/>
    <col min="7719" max="7719" width="10.85546875" style="2" customWidth="1"/>
    <col min="7720" max="7720" width="11.5703125" style="2" customWidth="1"/>
    <col min="7721" max="7722" width="0" style="2" hidden="1" customWidth="1"/>
    <col min="7723" max="7939" width="9.140625" style="2"/>
    <col min="7940" max="7940" width="0" style="2" hidden="1" customWidth="1"/>
    <col min="7941" max="7941" width="11.42578125" style="2" customWidth="1"/>
    <col min="7942" max="7942" width="7.5703125" style="2" customWidth="1"/>
    <col min="7943" max="7943" width="17.85546875" style="2" customWidth="1"/>
    <col min="7944" max="7944" width="3.5703125" style="2" customWidth="1"/>
    <col min="7945" max="7950" width="0" style="2" hidden="1" customWidth="1"/>
    <col min="7951" max="7951" width="11" style="2" customWidth="1"/>
    <col min="7952" max="7954" width="0" style="2" hidden="1" customWidth="1"/>
    <col min="7955" max="7955" width="10.7109375" style="2" customWidth="1"/>
    <col min="7956" max="7960" width="0" style="2" hidden="1" customWidth="1"/>
    <col min="7961" max="7961" width="13.140625" style="2" customWidth="1"/>
    <col min="7962" max="7962" width="10.42578125" style="2" customWidth="1"/>
    <col min="7963" max="7963" width="10.28515625" style="2" customWidth="1"/>
    <col min="7964" max="7964" width="9.85546875" style="2" customWidth="1"/>
    <col min="7965" max="7965" width="10.7109375" style="2" customWidth="1"/>
    <col min="7966" max="7966" width="10" style="2" customWidth="1"/>
    <col min="7967" max="7967" width="9.5703125" style="2" customWidth="1"/>
    <col min="7968" max="7968" width="10.7109375" style="2" customWidth="1"/>
    <col min="7969" max="7969" width="9.85546875" style="2" customWidth="1"/>
    <col min="7970" max="7973" width="0" style="2" hidden="1" customWidth="1"/>
    <col min="7974" max="7974" width="9.85546875" style="2" customWidth="1"/>
    <col min="7975" max="7975" width="10.85546875" style="2" customWidth="1"/>
    <col min="7976" max="7976" width="11.5703125" style="2" customWidth="1"/>
    <col min="7977" max="7978" width="0" style="2" hidden="1" customWidth="1"/>
    <col min="7979" max="8195" width="9.140625" style="2"/>
    <col min="8196" max="8196" width="0" style="2" hidden="1" customWidth="1"/>
    <col min="8197" max="8197" width="11.42578125" style="2" customWidth="1"/>
    <col min="8198" max="8198" width="7.5703125" style="2" customWidth="1"/>
    <col min="8199" max="8199" width="17.85546875" style="2" customWidth="1"/>
    <col min="8200" max="8200" width="3.5703125" style="2" customWidth="1"/>
    <col min="8201" max="8206" width="0" style="2" hidden="1" customWidth="1"/>
    <col min="8207" max="8207" width="11" style="2" customWidth="1"/>
    <col min="8208" max="8210" width="0" style="2" hidden="1" customWidth="1"/>
    <col min="8211" max="8211" width="10.7109375" style="2" customWidth="1"/>
    <col min="8212" max="8216" width="0" style="2" hidden="1" customWidth="1"/>
    <col min="8217" max="8217" width="13.140625" style="2" customWidth="1"/>
    <col min="8218" max="8218" width="10.42578125" style="2" customWidth="1"/>
    <col min="8219" max="8219" width="10.28515625" style="2" customWidth="1"/>
    <col min="8220" max="8220" width="9.85546875" style="2" customWidth="1"/>
    <col min="8221" max="8221" width="10.7109375" style="2" customWidth="1"/>
    <col min="8222" max="8222" width="10" style="2" customWidth="1"/>
    <col min="8223" max="8223" width="9.5703125" style="2" customWidth="1"/>
    <col min="8224" max="8224" width="10.7109375" style="2" customWidth="1"/>
    <col min="8225" max="8225" width="9.85546875" style="2" customWidth="1"/>
    <col min="8226" max="8229" width="0" style="2" hidden="1" customWidth="1"/>
    <col min="8230" max="8230" width="9.85546875" style="2" customWidth="1"/>
    <col min="8231" max="8231" width="10.85546875" style="2" customWidth="1"/>
    <col min="8232" max="8232" width="11.5703125" style="2" customWidth="1"/>
    <col min="8233" max="8234" width="0" style="2" hidden="1" customWidth="1"/>
    <col min="8235" max="8451" width="9.140625" style="2"/>
    <col min="8452" max="8452" width="0" style="2" hidden="1" customWidth="1"/>
    <col min="8453" max="8453" width="11.42578125" style="2" customWidth="1"/>
    <col min="8454" max="8454" width="7.5703125" style="2" customWidth="1"/>
    <col min="8455" max="8455" width="17.85546875" style="2" customWidth="1"/>
    <col min="8456" max="8456" width="3.5703125" style="2" customWidth="1"/>
    <col min="8457" max="8462" width="0" style="2" hidden="1" customWidth="1"/>
    <col min="8463" max="8463" width="11" style="2" customWidth="1"/>
    <col min="8464" max="8466" width="0" style="2" hidden="1" customWidth="1"/>
    <col min="8467" max="8467" width="10.7109375" style="2" customWidth="1"/>
    <col min="8468" max="8472" width="0" style="2" hidden="1" customWidth="1"/>
    <col min="8473" max="8473" width="13.140625" style="2" customWidth="1"/>
    <col min="8474" max="8474" width="10.42578125" style="2" customWidth="1"/>
    <col min="8475" max="8475" width="10.28515625" style="2" customWidth="1"/>
    <col min="8476" max="8476" width="9.85546875" style="2" customWidth="1"/>
    <col min="8477" max="8477" width="10.7109375" style="2" customWidth="1"/>
    <col min="8478" max="8478" width="10" style="2" customWidth="1"/>
    <col min="8479" max="8479" width="9.5703125" style="2" customWidth="1"/>
    <col min="8480" max="8480" width="10.7109375" style="2" customWidth="1"/>
    <col min="8481" max="8481" width="9.85546875" style="2" customWidth="1"/>
    <col min="8482" max="8485" width="0" style="2" hidden="1" customWidth="1"/>
    <col min="8486" max="8486" width="9.85546875" style="2" customWidth="1"/>
    <col min="8487" max="8487" width="10.85546875" style="2" customWidth="1"/>
    <col min="8488" max="8488" width="11.5703125" style="2" customWidth="1"/>
    <col min="8489" max="8490" width="0" style="2" hidden="1" customWidth="1"/>
    <col min="8491" max="8707" width="9.140625" style="2"/>
    <col min="8708" max="8708" width="0" style="2" hidden="1" customWidth="1"/>
    <col min="8709" max="8709" width="11.42578125" style="2" customWidth="1"/>
    <col min="8710" max="8710" width="7.5703125" style="2" customWidth="1"/>
    <col min="8711" max="8711" width="17.85546875" style="2" customWidth="1"/>
    <col min="8712" max="8712" width="3.5703125" style="2" customWidth="1"/>
    <col min="8713" max="8718" width="0" style="2" hidden="1" customWidth="1"/>
    <col min="8719" max="8719" width="11" style="2" customWidth="1"/>
    <col min="8720" max="8722" width="0" style="2" hidden="1" customWidth="1"/>
    <col min="8723" max="8723" width="10.7109375" style="2" customWidth="1"/>
    <col min="8724" max="8728" width="0" style="2" hidden="1" customWidth="1"/>
    <col min="8729" max="8729" width="13.140625" style="2" customWidth="1"/>
    <col min="8730" max="8730" width="10.42578125" style="2" customWidth="1"/>
    <col min="8731" max="8731" width="10.28515625" style="2" customWidth="1"/>
    <col min="8732" max="8732" width="9.85546875" style="2" customWidth="1"/>
    <col min="8733" max="8733" width="10.7109375" style="2" customWidth="1"/>
    <col min="8734" max="8734" width="10" style="2" customWidth="1"/>
    <col min="8735" max="8735" width="9.5703125" style="2" customWidth="1"/>
    <col min="8736" max="8736" width="10.7109375" style="2" customWidth="1"/>
    <col min="8737" max="8737" width="9.85546875" style="2" customWidth="1"/>
    <col min="8738" max="8741" width="0" style="2" hidden="1" customWidth="1"/>
    <col min="8742" max="8742" width="9.85546875" style="2" customWidth="1"/>
    <col min="8743" max="8743" width="10.85546875" style="2" customWidth="1"/>
    <col min="8744" max="8744" width="11.5703125" style="2" customWidth="1"/>
    <col min="8745" max="8746" width="0" style="2" hidden="1" customWidth="1"/>
    <col min="8747" max="8963" width="9.140625" style="2"/>
    <col min="8964" max="8964" width="0" style="2" hidden="1" customWidth="1"/>
    <col min="8965" max="8965" width="11.42578125" style="2" customWidth="1"/>
    <col min="8966" max="8966" width="7.5703125" style="2" customWidth="1"/>
    <col min="8967" max="8967" width="17.85546875" style="2" customWidth="1"/>
    <col min="8968" max="8968" width="3.5703125" style="2" customWidth="1"/>
    <col min="8969" max="8974" width="0" style="2" hidden="1" customWidth="1"/>
    <col min="8975" max="8975" width="11" style="2" customWidth="1"/>
    <col min="8976" max="8978" width="0" style="2" hidden="1" customWidth="1"/>
    <col min="8979" max="8979" width="10.7109375" style="2" customWidth="1"/>
    <col min="8980" max="8984" width="0" style="2" hidden="1" customWidth="1"/>
    <col min="8985" max="8985" width="13.140625" style="2" customWidth="1"/>
    <col min="8986" max="8986" width="10.42578125" style="2" customWidth="1"/>
    <col min="8987" max="8987" width="10.28515625" style="2" customWidth="1"/>
    <col min="8988" max="8988" width="9.85546875" style="2" customWidth="1"/>
    <col min="8989" max="8989" width="10.7109375" style="2" customWidth="1"/>
    <col min="8990" max="8990" width="10" style="2" customWidth="1"/>
    <col min="8991" max="8991" width="9.5703125" style="2" customWidth="1"/>
    <col min="8992" max="8992" width="10.7109375" style="2" customWidth="1"/>
    <col min="8993" max="8993" width="9.85546875" style="2" customWidth="1"/>
    <col min="8994" max="8997" width="0" style="2" hidden="1" customWidth="1"/>
    <col min="8998" max="8998" width="9.85546875" style="2" customWidth="1"/>
    <col min="8999" max="8999" width="10.85546875" style="2" customWidth="1"/>
    <col min="9000" max="9000" width="11.5703125" style="2" customWidth="1"/>
    <col min="9001" max="9002" width="0" style="2" hidden="1" customWidth="1"/>
    <col min="9003" max="9219" width="9.140625" style="2"/>
    <col min="9220" max="9220" width="0" style="2" hidden="1" customWidth="1"/>
    <col min="9221" max="9221" width="11.42578125" style="2" customWidth="1"/>
    <col min="9222" max="9222" width="7.5703125" style="2" customWidth="1"/>
    <col min="9223" max="9223" width="17.85546875" style="2" customWidth="1"/>
    <col min="9224" max="9224" width="3.5703125" style="2" customWidth="1"/>
    <col min="9225" max="9230" width="0" style="2" hidden="1" customWidth="1"/>
    <col min="9231" max="9231" width="11" style="2" customWidth="1"/>
    <col min="9232" max="9234" width="0" style="2" hidden="1" customWidth="1"/>
    <col min="9235" max="9235" width="10.7109375" style="2" customWidth="1"/>
    <col min="9236" max="9240" width="0" style="2" hidden="1" customWidth="1"/>
    <col min="9241" max="9241" width="13.140625" style="2" customWidth="1"/>
    <col min="9242" max="9242" width="10.42578125" style="2" customWidth="1"/>
    <col min="9243" max="9243" width="10.28515625" style="2" customWidth="1"/>
    <col min="9244" max="9244" width="9.85546875" style="2" customWidth="1"/>
    <col min="9245" max="9245" width="10.7109375" style="2" customWidth="1"/>
    <col min="9246" max="9246" width="10" style="2" customWidth="1"/>
    <col min="9247" max="9247" width="9.5703125" style="2" customWidth="1"/>
    <col min="9248" max="9248" width="10.7109375" style="2" customWidth="1"/>
    <col min="9249" max="9249" width="9.85546875" style="2" customWidth="1"/>
    <col min="9250" max="9253" width="0" style="2" hidden="1" customWidth="1"/>
    <col min="9254" max="9254" width="9.85546875" style="2" customWidth="1"/>
    <col min="9255" max="9255" width="10.85546875" style="2" customWidth="1"/>
    <col min="9256" max="9256" width="11.5703125" style="2" customWidth="1"/>
    <col min="9257" max="9258" width="0" style="2" hidden="1" customWidth="1"/>
    <col min="9259" max="9475" width="9.140625" style="2"/>
    <col min="9476" max="9476" width="0" style="2" hidden="1" customWidth="1"/>
    <col min="9477" max="9477" width="11.42578125" style="2" customWidth="1"/>
    <col min="9478" max="9478" width="7.5703125" style="2" customWidth="1"/>
    <col min="9479" max="9479" width="17.85546875" style="2" customWidth="1"/>
    <col min="9480" max="9480" width="3.5703125" style="2" customWidth="1"/>
    <col min="9481" max="9486" width="0" style="2" hidden="1" customWidth="1"/>
    <col min="9487" max="9487" width="11" style="2" customWidth="1"/>
    <col min="9488" max="9490" width="0" style="2" hidden="1" customWidth="1"/>
    <col min="9491" max="9491" width="10.7109375" style="2" customWidth="1"/>
    <col min="9492" max="9496" width="0" style="2" hidden="1" customWidth="1"/>
    <col min="9497" max="9497" width="13.140625" style="2" customWidth="1"/>
    <col min="9498" max="9498" width="10.42578125" style="2" customWidth="1"/>
    <col min="9499" max="9499" width="10.28515625" style="2" customWidth="1"/>
    <col min="9500" max="9500" width="9.85546875" style="2" customWidth="1"/>
    <col min="9501" max="9501" width="10.7109375" style="2" customWidth="1"/>
    <col min="9502" max="9502" width="10" style="2" customWidth="1"/>
    <col min="9503" max="9503" width="9.5703125" style="2" customWidth="1"/>
    <col min="9504" max="9504" width="10.7109375" style="2" customWidth="1"/>
    <col min="9505" max="9505" width="9.85546875" style="2" customWidth="1"/>
    <col min="9506" max="9509" width="0" style="2" hidden="1" customWidth="1"/>
    <col min="9510" max="9510" width="9.85546875" style="2" customWidth="1"/>
    <col min="9511" max="9511" width="10.85546875" style="2" customWidth="1"/>
    <col min="9512" max="9512" width="11.5703125" style="2" customWidth="1"/>
    <col min="9513" max="9514" width="0" style="2" hidden="1" customWidth="1"/>
    <col min="9515" max="9731" width="9.140625" style="2"/>
    <col min="9732" max="9732" width="0" style="2" hidden="1" customWidth="1"/>
    <col min="9733" max="9733" width="11.42578125" style="2" customWidth="1"/>
    <col min="9734" max="9734" width="7.5703125" style="2" customWidth="1"/>
    <col min="9735" max="9735" width="17.85546875" style="2" customWidth="1"/>
    <col min="9736" max="9736" width="3.5703125" style="2" customWidth="1"/>
    <col min="9737" max="9742" width="0" style="2" hidden="1" customWidth="1"/>
    <col min="9743" max="9743" width="11" style="2" customWidth="1"/>
    <col min="9744" max="9746" width="0" style="2" hidden="1" customWidth="1"/>
    <col min="9747" max="9747" width="10.7109375" style="2" customWidth="1"/>
    <col min="9748" max="9752" width="0" style="2" hidden="1" customWidth="1"/>
    <col min="9753" max="9753" width="13.140625" style="2" customWidth="1"/>
    <col min="9754" max="9754" width="10.42578125" style="2" customWidth="1"/>
    <col min="9755" max="9755" width="10.28515625" style="2" customWidth="1"/>
    <col min="9756" max="9756" width="9.85546875" style="2" customWidth="1"/>
    <col min="9757" max="9757" width="10.7109375" style="2" customWidth="1"/>
    <col min="9758" max="9758" width="10" style="2" customWidth="1"/>
    <col min="9759" max="9759" width="9.5703125" style="2" customWidth="1"/>
    <col min="9760" max="9760" width="10.7109375" style="2" customWidth="1"/>
    <col min="9761" max="9761" width="9.85546875" style="2" customWidth="1"/>
    <col min="9762" max="9765" width="0" style="2" hidden="1" customWidth="1"/>
    <col min="9766" max="9766" width="9.85546875" style="2" customWidth="1"/>
    <col min="9767" max="9767" width="10.85546875" style="2" customWidth="1"/>
    <col min="9768" max="9768" width="11.5703125" style="2" customWidth="1"/>
    <col min="9769" max="9770" width="0" style="2" hidden="1" customWidth="1"/>
    <col min="9771" max="9987" width="9.140625" style="2"/>
    <col min="9988" max="9988" width="0" style="2" hidden="1" customWidth="1"/>
    <col min="9989" max="9989" width="11.42578125" style="2" customWidth="1"/>
    <col min="9990" max="9990" width="7.5703125" style="2" customWidth="1"/>
    <col min="9991" max="9991" width="17.85546875" style="2" customWidth="1"/>
    <col min="9992" max="9992" width="3.5703125" style="2" customWidth="1"/>
    <col min="9993" max="9998" width="0" style="2" hidden="1" customWidth="1"/>
    <col min="9999" max="9999" width="11" style="2" customWidth="1"/>
    <col min="10000" max="10002" width="0" style="2" hidden="1" customWidth="1"/>
    <col min="10003" max="10003" width="10.7109375" style="2" customWidth="1"/>
    <col min="10004" max="10008" width="0" style="2" hidden="1" customWidth="1"/>
    <col min="10009" max="10009" width="13.140625" style="2" customWidth="1"/>
    <col min="10010" max="10010" width="10.42578125" style="2" customWidth="1"/>
    <col min="10011" max="10011" width="10.28515625" style="2" customWidth="1"/>
    <col min="10012" max="10012" width="9.85546875" style="2" customWidth="1"/>
    <col min="10013" max="10013" width="10.7109375" style="2" customWidth="1"/>
    <col min="10014" max="10014" width="10" style="2" customWidth="1"/>
    <col min="10015" max="10015" width="9.5703125" style="2" customWidth="1"/>
    <col min="10016" max="10016" width="10.7109375" style="2" customWidth="1"/>
    <col min="10017" max="10017" width="9.85546875" style="2" customWidth="1"/>
    <col min="10018" max="10021" width="0" style="2" hidden="1" customWidth="1"/>
    <col min="10022" max="10022" width="9.85546875" style="2" customWidth="1"/>
    <col min="10023" max="10023" width="10.85546875" style="2" customWidth="1"/>
    <col min="10024" max="10024" width="11.5703125" style="2" customWidth="1"/>
    <col min="10025" max="10026" width="0" style="2" hidden="1" customWidth="1"/>
    <col min="10027" max="10243" width="9.140625" style="2"/>
    <col min="10244" max="10244" width="0" style="2" hidden="1" customWidth="1"/>
    <col min="10245" max="10245" width="11.42578125" style="2" customWidth="1"/>
    <col min="10246" max="10246" width="7.5703125" style="2" customWidth="1"/>
    <col min="10247" max="10247" width="17.85546875" style="2" customWidth="1"/>
    <col min="10248" max="10248" width="3.5703125" style="2" customWidth="1"/>
    <col min="10249" max="10254" width="0" style="2" hidden="1" customWidth="1"/>
    <col min="10255" max="10255" width="11" style="2" customWidth="1"/>
    <col min="10256" max="10258" width="0" style="2" hidden="1" customWidth="1"/>
    <col min="10259" max="10259" width="10.7109375" style="2" customWidth="1"/>
    <col min="10260" max="10264" width="0" style="2" hidden="1" customWidth="1"/>
    <col min="10265" max="10265" width="13.140625" style="2" customWidth="1"/>
    <col min="10266" max="10266" width="10.42578125" style="2" customWidth="1"/>
    <col min="10267" max="10267" width="10.28515625" style="2" customWidth="1"/>
    <col min="10268" max="10268" width="9.85546875" style="2" customWidth="1"/>
    <col min="10269" max="10269" width="10.7109375" style="2" customWidth="1"/>
    <col min="10270" max="10270" width="10" style="2" customWidth="1"/>
    <col min="10271" max="10271" width="9.5703125" style="2" customWidth="1"/>
    <col min="10272" max="10272" width="10.7109375" style="2" customWidth="1"/>
    <col min="10273" max="10273" width="9.85546875" style="2" customWidth="1"/>
    <col min="10274" max="10277" width="0" style="2" hidden="1" customWidth="1"/>
    <col min="10278" max="10278" width="9.85546875" style="2" customWidth="1"/>
    <col min="10279" max="10279" width="10.85546875" style="2" customWidth="1"/>
    <col min="10280" max="10280" width="11.5703125" style="2" customWidth="1"/>
    <col min="10281" max="10282" width="0" style="2" hidden="1" customWidth="1"/>
    <col min="10283" max="10499" width="9.140625" style="2"/>
    <col min="10500" max="10500" width="0" style="2" hidden="1" customWidth="1"/>
    <col min="10501" max="10501" width="11.42578125" style="2" customWidth="1"/>
    <col min="10502" max="10502" width="7.5703125" style="2" customWidth="1"/>
    <col min="10503" max="10503" width="17.85546875" style="2" customWidth="1"/>
    <col min="10504" max="10504" width="3.5703125" style="2" customWidth="1"/>
    <col min="10505" max="10510" width="0" style="2" hidden="1" customWidth="1"/>
    <col min="10511" max="10511" width="11" style="2" customWidth="1"/>
    <col min="10512" max="10514" width="0" style="2" hidden="1" customWidth="1"/>
    <col min="10515" max="10515" width="10.7109375" style="2" customWidth="1"/>
    <col min="10516" max="10520" width="0" style="2" hidden="1" customWidth="1"/>
    <col min="10521" max="10521" width="13.140625" style="2" customWidth="1"/>
    <col min="10522" max="10522" width="10.42578125" style="2" customWidth="1"/>
    <col min="10523" max="10523" width="10.28515625" style="2" customWidth="1"/>
    <col min="10524" max="10524" width="9.85546875" style="2" customWidth="1"/>
    <col min="10525" max="10525" width="10.7109375" style="2" customWidth="1"/>
    <col min="10526" max="10526" width="10" style="2" customWidth="1"/>
    <col min="10527" max="10527" width="9.5703125" style="2" customWidth="1"/>
    <col min="10528" max="10528" width="10.7109375" style="2" customWidth="1"/>
    <col min="10529" max="10529" width="9.85546875" style="2" customWidth="1"/>
    <col min="10530" max="10533" width="0" style="2" hidden="1" customWidth="1"/>
    <col min="10534" max="10534" width="9.85546875" style="2" customWidth="1"/>
    <col min="10535" max="10535" width="10.85546875" style="2" customWidth="1"/>
    <col min="10536" max="10536" width="11.5703125" style="2" customWidth="1"/>
    <col min="10537" max="10538" width="0" style="2" hidden="1" customWidth="1"/>
    <col min="10539" max="10755" width="9.140625" style="2"/>
    <col min="10756" max="10756" width="0" style="2" hidden="1" customWidth="1"/>
    <col min="10757" max="10757" width="11.42578125" style="2" customWidth="1"/>
    <col min="10758" max="10758" width="7.5703125" style="2" customWidth="1"/>
    <col min="10759" max="10759" width="17.85546875" style="2" customWidth="1"/>
    <col min="10760" max="10760" width="3.5703125" style="2" customWidth="1"/>
    <col min="10761" max="10766" width="0" style="2" hidden="1" customWidth="1"/>
    <col min="10767" max="10767" width="11" style="2" customWidth="1"/>
    <col min="10768" max="10770" width="0" style="2" hidden="1" customWidth="1"/>
    <col min="10771" max="10771" width="10.7109375" style="2" customWidth="1"/>
    <col min="10772" max="10776" width="0" style="2" hidden="1" customWidth="1"/>
    <col min="10777" max="10777" width="13.140625" style="2" customWidth="1"/>
    <col min="10778" max="10778" width="10.42578125" style="2" customWidth="1"/>
    <col min="10779" max="10779" width="10.28515625" style="2" customWidth="1"/>
    <col min="10780" max="10780" width="9.85546875" style="2" customWidth="1"/>
    <col min="10781" max="10781" width="10.7109375" style="2" customWidth="1"/>
    <col min="10782" max="10782" width="10" style="2" customWidth="1"/>
    <col min="10783" max="10783" width="9.5703125" style="2" customWidth="1"/>
    <col min="10784" max="10784" width="10.7109375" style="2" customWidth="1"/>
    <col min="10785" max="10785" width="9.85546875" style="2" customWidth="1"/>
    <col min="10786" max="10789" width="0" style="2" hidden="1" customWidth="1"/>
    <col min="10790" max="10790" width="9.85546875" style="2" customWidth="1"/>
    <col min="10791" max="10791" width="10.85546875" style="2" customWidth="1"/>
    <col min="10792" max="10792" width="11.5703125" style="2" customWidth="1"/>
    <col min="10793" max="10794" width="0" style="2" hidden="1" customWidth="1"/>
    <col min="10795" max="11011" width="9.140625" style="2"/>
    <col min="11012" max="11012" width="0" style="2" hidden="1" customWidth="1"/>
    <col min="11013" max="11013" width="11.42578125" style="2" customWidth="1"/>
    <col min="11014" max="11014" width="7.5703125" style="2" customWidth="1"/>
    <col min="11015" max="11015" width="17.85546875" style="2" customWidth="1"/>
    <col min="11016" max="11016" width="3.5703125" style="2" customWidth="1"/>
    <col min="11017" max="11022" width="0" style="2" hidden="1" customWidth="1"/>
    <col min="11023" max="11023" width="11" style="2" customWidth="1"/>
    <col min="11024" max="11026" width="0" style="2" hidden="1" customWidth="1"/>
    <col min="11027" max="11027" width="10.7109375" style="2" customWidth="1"/>
    <col min="11028" max="11032" width="0" style="2" hidden="1" customWidth="1"/>
    <col min="11033" max="11033" width="13.140625" style="2" customWidth="1"/>
    <col min="11034" max="11034" width="10.42578125" style="2" customWidth="1"/>
    <col min="11035" max="11035" width="10.28515625" style="2" customWidth="1"/>
    <col min="11036" max="11036" width="9.85546875" style="2" customWidth="1"/>
    <col min="11037" max="11037" width="10.7109375" style="2" customWidth="1"/>
    <col min="11038" max="11038" width="10" style="2" customWidth="1"/>
    <col min="11039" max="11039" width="9.5703125" style="2" customWidth="1"/>
    <col min="11040" max="11040" width="10.7109375" style="2" customWidth="1"/>
    <col min="11041" max="11041" width="9.85546875" style="2" customWidth="1"/>
    <col min="11042" max="11045" width="0" style="2" hidden="1" customWidth="1"/>
    <col min="11046" max="11046" width="9.85546875" style="2" customWidth="1"/>
    <col min="11047" max="11047" width="10.85546875" style="2" customWidth="1"/>
    <col min="11048" max="11048" width="11.5703125" style="2" customWidth="1"/>
    <col min="11049" max="11050" width="0" style="2" hidden="1" customWidth="1"/>
    <col min="11051" max="11267" width="9.140625" style="2"/>
    <col min="11268" max="11268" width="0" style="2" hidden="1" customWidth="1"/>
    <col min="11269" max="11269" width="11.42578125" style="2" customWidth="1"/>
    <col min="11270" max="11270" width="7.5703125" style="2" customWidth="1"/>
    <col min="11271" max="11271" width="17.85546875" style="2" customWidth="1"/>
    <col min="11272" max="11272" width="3.5703125" style="2" customWidth="1"/>
    <col min="11273" max="11278" width="0" style="2" hidden="1" customWidth="1"/>
    <col min="11279" max="11279" width="11" style="2" customWidth="1"/>
    <col min="11280" max="11282" width="0" style="2" hidden="1" customWidth="1"/>
    <col min="11283" max="11283" width="10.7109375" style="2" customWidth="1"/>
    <col min="11284" max="11288" width="0" style="2" hidden="1" customWidth="1"/>
    <col min="11289" max="11289" width="13.140625" style="2" customWidth="1"/>
    <col min="11290" max="11290" width="10.42578125" style="2" customWidth="1"/>
    <col min="11291" max="11291" width="10.28515625" style="2" customWidth="1"/>
    <col min="11292" max="11292" width="9.85546875" style="2" customWidth="1"/>
    <col min="11293" max="11293" width="10.7109375" style="2" customWidth="1"/>
    <col min="11294" max="11294" width="10" style="2" customWidth="1"/>
    <col min="11295" max="11295" width="9.5703125" style="2" customWidth="1"/>
    <col min="11296" max="11296" width="10.7109375" style="2" customWidth="1"/>
    <col min="11297" max="11297" width="9.85546875" style="2" customWidth="1"/>
    <col min="11298" max="11301" width="0" style="2" hidden="1" customWidth="1"/>
    <col min="11302" max="11302" width="9.85546875" style="2" customWidth="1"/>
    <col min="11303" max="11303" width="10.85546875" style="2" customWidth="1"/>
    <col min="11304" max="11304" width="11.5703125" style="2" customWidth="1"/>
    <col min="11305" max="11306" width="0" style="2" hidden="1" customWidth="1"/>
    <col min="11307" max="11523" width="9.140625" style="2"/>
    <col min="11524" max="11524" width="0" style="2" hidden="1" customWidth="1"/>
    <col min="11525" max="11525" width="11.42578125" style="2" customWidth="1"/>
    <col min="11526" max="11526" width="7.5703125" style="2" customWidth="1"/>
    <col min="11527" max="11527" width="17.85546875" style="2" customWidth="1"/>
    <col min="11528" max="11528" width="3.5703125" style="2" customWidth="1"/>
    <col min="11529" max="11534" width="0" style="2" hidden="1" customWidth="1"/>
    <col min="11535" max="11535" width="11" style="2" customWidth="1"/>
    <col min="11536" max="11538" width="0" style="2" hidden="1" customWidth="1"/>
    <col min="11539" max="11539" width="10.7109375" style="2" customWidth="1"/>
    <col min="11540" max="11544" width="0" style="2" hidden="1" customWidth="1"/>
    <col min="11545" max="11545" width="13.140625" style="2" customWidth="1"/>
    <col min="11546" max="11546" width="10.42578125" style="2" customWidth="1"/>
    <col min="11547" max="11547" width="10.28515625" style="2" customWidth="1"/>
    <col min="11548" max="11548" width="9.85546875" style="2" customWidth="1"/>
    <col min="11549" max="11549" width="10.7109375" style="2" customWidth="1"/>
    <col min="11550" max="11550" width="10" style="2" customWidth="1"/>
    <col min="11551" max="11551" width="9.5703125" style="2" customWidth="1"/>
    <col min="11552" max="11552" width="10.7109375" style="2" customWidth="1"/>
    <col min="11553" max="11553" width="9.85546875" style="2" customWidth="1"/>
    <col min="11554" max="11557" width="0" style="2" hidden="1" customWidth="1"/>
    <col min="11558" max="11558" width="9.85546875" style="2" customWidth="1"/>
    <col min="11559" max="11559" width="10.85546875" style="2" customWidth="1"/>
    <col min="11560" max="11560" width="11.5703125" style="2" customWidth="1"/>
    <col min="11561" max="11562" width="0" style="2" hidden="1" customWidth="1"/>
    <col min="11563" max="11779" width="9.140625" style="2"/>
    <col min="11780" max="11780" width="0" style="2" hidden="1" customWidth="1"/>
    <col min="11781" max="11781" width="11.42578125" style="2" customWidth="1"/>
    <col min="11782" max="11782" width="7.5703125" style="2" customWidth="1"/>
    <col min="11783" max="11783" width="17.85546875" style="2" customWidth="1"/>
    <col min="11784" max="11784" width="3.5703125" style="2" customWidth="1"/>
    <col min="11785" max="11790" width="0" style="2" hidden="1" customWidth="1"/>
    <col min="11791" max="11791" width="11" style="2" customWidth="1"/>
    <col min="11792" max="11794" width="0" style="2" hidden="1" customWidth="1"/>
    <col min="11795" max="11795" width="10.7109375" style="2" customWidth="1"/>
    <col min="11796" max="11800" width="0" style="2" hidden="1" customWidth="1"/>
    <col min="11801" max="11801" width="13.140625" style="2" customWidth="1"/>
    <col min="11802" max="11802" width="10.42578125" style="2" customWidth="1"/>
    <col min="11803" max="11803" width="10.28515625" style="2" customWidth="1"/>
    <col min="11804" max="11804" width="9.85546875" style="2" customWidth="1"/>
    <col min="11805" max="11805" width="10.7109375" style="2" customWidth="1"/>
    <col min="11806" max="11806" width="10" style="2" customWidth="1"/>
    <col min="11807" max="11807" width="9.5703125" style="2" customWidth="1"/>
    <col min="11808" max="11808" width="10.7109375" style="2" customWidth="1"/>
    <col min="11809" max="11809" width="9.85546875" style="2" customWidth="1"/>
    <col min="11810" max="11813" width="0" style="2" hidden="1" customWidth="1"/>
    <col min="11814" max="11814" width="9.85546875" style="2" customWidth="1"/>
    <col min="11815" max="11815" width="10.85546875" style="2" customWidth="1"/>
    <col min="11816" max="11816" width="11.5703125" style="2" customWidth="1"/>
    <col min="11817" max="11818" width="0" style="2" hidden="1" customWidth="1"/>
    <col min="11819" max="12035" width="9.140625" style="2"/>
    <col min="12036" max="12036" width="0" style="2" hidden="1" customWidth="1"/>
    <col min="12037" max="12037" width="11.42578125" style="2" customWidth="1"/>
    <col min="12038" max="12038" width="7.5703125" style="2" customWidth="1"/>
    <col min="12039" max="12039" width="17.85546875" style="2" customWidth="1"/>
    <col min="12040" max="12040" width="3.5703125" style="2" customWidth="1"/>
    <col min="12041" max="12046" width="0" style="2" hidden="1" customWidth="1"/>
    <col min="12047" max="12047" width="11" style="2" customWidth="1"/>
    <col min="12048" max="12050" width="0" style="2" hidden="1" customWidth="1"/>
    <col min="12051" max="12051" width="10.7109375" style="2" customWidth="1"/>
    <col min="12052" max="12056" width="0" style="2" hidden="1" customWidth="1"/>
    <col min="12057" max="12057" width="13.140625" style="2" customWidth="1"/>
    <col min="12058" max="12058" width="10.42578125" style="2" customWidth="1"/>
    <col min="12059" max="12059" width="10.28515625" style="2" customWidth="1"/>
    <col min="12060" max="12060" width="9.85546875" style="2" customWidth="1"/>
    <col min="12061" max="12061" width="10.7109375" style="2" customWidth="1"/>
    <col min="12062" max="12062" width="10" style="2" customWidth="1"/>
    <col min="12063" max="12063" width="9.5703125" style="2" customWidth="1"/>
    <col min="12064" max="12064" width="10.7109375" style="2" customWidth="1"/>
    <col min="12065" max="12065" width="9.85546875" style="2" customWidth="1"/>
    <col min="12066" max="12069" width="0" style="2" hidden="1" customWidth="1"/>
    <col min="12070" max="12070" width="9.85546875" style="2" customWidth="1"/>
    <col min="12071" max="12071" width="10.85546875" style="2" customWidth="1"/>
    <col min="12072" max="12072" width="11.5703125" style="2" customWidth="1"/>
    <col min="12073" max="12074" width="0" style="2" hidden="1" customWidth="1"/>
    <col min="12075" max="12291" width="9.140625" style="2"/>
    <col min="12292" max="12292" width="0" style="2" hidden="1" customWidth="1"/>
    <col min="12293" max="12293" width="11.42578125" style="2" customWidth="1"/>
    <col min="12294" max="12294" width="7.5703125" style="2" customWidth="1"/>
    <col min="12295" max="12295" width="17.85546875" style="2" customWidth="1"/>
    <col min="12296" max="12296" width="3.5703125" style="2" customWidth="1"/>
    <col min="12297" max="12302" width="0" style="2" hidden="1" customWidth="1"/>
    <col min="12303" max="12303" width="11" style="2" customWidth="1"/>
    <col min="12304" max="12306" width="0" style="2" hidden="1" customWidth="1"/>
    <col min="12307" max="12307" width="10.7109375" style="2" customWidth="1"/>
    <col min="12308" max="12312" width="0" style="2" hidden="1" customWidth="1"/>
    <col min="12313" max="12313" width="13.140625" style="2" customWidth="1"/>
    <col min="12314" max="12314" width="10.42578125" style="2" customWidth="1"/>
    <col min="12315" max="12315" width="10.28515625" style="2" customWidth="1"/>
    <col min="12316" max="12316" width="9.85546875" style="2" customWidth="1"/>
    <col min="12317" max="12317" width="10.7109375" style="2" customWidth="1"/>
    <col min="12318" max="12318" width="10" style="2" customWidth="1"/>
    <col min="12319" max="12319" width="9.5703125" style="2" customWidth="1"/>
    <col min="12320" max="12320" width="10.7109375" style="2" customWidth="1"/>
    <col min="12321" max="12321" width="9.85546875" style="2" customWidth="1"/>
    <col min="12322" max="12325" width="0" style="2" hidden="1" customWidth="1"/>
    <col min="12326" max="12326" width="9.85546875" style="2" customWidth="1"/>
    <col min="12327" max="12327" width="10.85546875" style="2" customWidth="1"/>
    <col min="12328" max="12328" width="11.5703125" style="2" customWidth="1"/>
    <col min="12329" max="12330" width="0" style="2" hidden="1" customWidth="1"/>
    <col min="12331" max="12547" width="9.140625" style="2"/>
    <col min="12548" max="12548" width="0" style="2" hidden="1" customWidth="1"/>
    <col min="12549" max="12549" width="11.42578125" style="2" customWidth="1"/>
    <col min="12550" max="12550" width="7.5703125" style="2" customWidth="1"/>
    <col min="12551" max="12551" width="17.85546875" style="2" customWidth="1"/>
    <col min="12552" max="12552" width="3.5703125" style="2" customWidth="1"/>
    <col min="12553" max="12558" width="0" style="2" hidden="1" customWidth="1"/>
    <col min="12559" max="12559" width="11" style="2" customWidth="1"/>
    <col min="12560" max="12562" width="0" style="2" hidden="1" customWidth="1"/>
    <col min="12563" max="12563" width="10.7109375" style="2" customWidth="1"/>
    <col min="12564" max="12568" width="0" style="2" hidden="1" customWidth="1"/>
    <col min="12569" max="12569" width="13.140625" style="2" customWidth="1"/>
    <col min="12570" max="12570" width="10.42578125" style="2" customWidth="1"/>
    <col min="12571" max="12571" width="10.28515625" style="2" customWidth="1"/>
    <col min="12572" max="12572" width="9.85546875" style="2" customWidth="1"/>
    <col min="12573" max="12573" width="10.7109375" style="2" customWidth="1"/>
    <col min="12574" max="12574" width="10" style="2" customWidth="1"/>
    <col min="12575" max="12575" width="9.5703125" style="2" customWidth="1"/>
    <col min="12576" max="12576" width="10.7109375" style="2" customWidth="1"/>
    <col min="12577" max="12577" width="9.85546875" style="2" customWidth="1"/>
    <col min="12578" max="12581" width="0" style="2" hidden="1" customWidth="1"/>
    <col min="12582" max="12582" width="9.85546875" style="2" customWidth="1"/>
    <col min="12583" max="12583" width="10.85546875" style="2" customWidth="1"/>
    <col min="12584" max="12584" width="11.5703125" style="2" customWidth="1"/>
    <col min="12585" max="12586" width="0" style="2" hidden="1" customWidth="1"/>
    <col min="12587" max="12803" width="9.140625" style="2"/>
    <col min="12804" max="12804" width="0" style="2" hidden="1" customWidth="1"/>
    <col min="12805" max="12805" width="11.42578125" style="2" customWidth="1"/>
    <col min="12806" max="12806" width="7.5703125" style="2" customWidth="1"/>
    <col min="12807" max="12807" width="17.85546875" style="2" customWidth="1"/>
    <col min="12808" max="12808" width="3.5703125" style="2" customWidth="1"/>
    <col min="12809" max="12814" width="0" style="2" hidden="1" customWidth="1"/>
    <col min="12815" max="12815" width="11" style="2" customWidth="1"/>
    <col min="12816" max="12818" width="0" style="2" hidden="1" customWidth="1"/>
    <col min="12819" max="12819" width="10.7109375" style="2" customWidth="1"/>
    <col min="12820" max="12824" width="0" style="2" hidden="1" customWidth="1"/>
    <col min="12825" max="12825" width="13.140625" style="2" customWidth="1"/>
    <col min="12826" max="12826" width="10.42578125" style="2" customWidth="1"/>
    <col min="12827" max="12827" width="10.28515625" style="2" customWidth="1"/>
    <col min="12828" max="12828" width="9.85546875" style="2" customWidth="1"/>
    <col min="12829" max="12829" width="10.7109375" style="2" customWidth="1"/>
    <col min="12830" max="12830" width="10" style="2" customWidth="1"/>
    <col min="12831" max="12831" width="9.5703125" style="2" customWidth="1"/>
    <col min="12832" max="12832" width="10.7109375" style="2" customWidth="1"/>
    <col min="12833" max="12833" width="9.85546875" style="2" customWidth="1"/>
    <col min="12834" max="12837" width="0" style="2" hidden="1" customWidth="1"/>
    <col min="12838" max="12838" width="9.85546875" style="2" customWidth="1"/>
    <col min="12839" max="12839" width="10.85546875" style="2" customWidth="1"/>
    <col min="12840" max="12840" width="11.5703125" style="2" customWidth="1"/>
    <col min="12841" max="12842" width="0" style="2" hidden="1" customWidth="1"/>
    <col min="12843" max="13059" width="9.140625" style="2"/>
    <col min="13060" max="13060" width="0" style="2" hidden="1" customWidth="1"/>
    <col min="13061" max="13061" width="11.42578125" style="2" customWidth="1"/>
    <col min="13062" max="13062" width="7.5703125" style="2" customWidth="1"/>
    <col min="13063" max="13063" width="17.85546875" style="2" customWidth="1"/>
    <col min="13064" max="13064" width="3.5703125" style="2" customWidth="1"/>
    <col min="13065" max="13070" width="0" style="2" hidden="1" customWidth="1"/>
    <col min="13071" max="13071" width="11" style="2" customWidth="1"/>
    <col min="13072" max="13074" width="0" style="2" hidden="1" customWidth="1"/>
    <col min="13075" max="13075" width="10.7109375" style="2" customWidth="1"/>
    <col min="13076" max="13080" width="0" style="2" hidden="1" customWidth="1"/>
    <col min="13081" max="13081" width="13.140625" style="2" customWidth="1"/>
    <col min="13082" max="13082" width="10.42578125" style="2" customWidth="1"/>
    <col min="13083" max="13083" width="10.28515625" style="2" customWidth="1"/>
    <col min="13084" max="13084" width="9.85546875" style="2" customWidth="1"/>
    <col min="13085" max="13085" width="10.7109375" style="2" customWidth="1"/>
    <col min="13086" max="13086" width="10" style="2" customWidth="1"/>
    <col min="13087" max="13087" width="9.5703125" style="2" customWidth="1"/>
    <col min="13088" max="13088" width="10.7109375" style="2" customWidth="1"/>
    <col min="13089" max="13089" width="9.85546875" style="2" customWidth="1"/>
    <col min="13090" max="13093" width="0" style="2" hidden="1" customWidth="1"/>
    <col min="13094" max="13094" width="9.85546875" style="2" customWidth="1"/>
    <col min="13095" max="13095" width="10.85546875" style="2" customWidth="1"/>
    <col min="13096" max="13096" width="11.5703125" style="2" customWidth="1"/>
    <col min="13097" max="13098" width="0" style="2" hidden="1" customWidth="1"/>
    <col min="13099" max="13315" width="9.140625" style="2"/>
    <col min="13316" max="13316" width="0" style="2" hidden="1" customWidth="1"/>
    <col min="13317" max="13317" width="11.42578125" style="2" customWidth="1"/>
    <col min="13318" max="13318" width="7.5703125" style="2" customWidth="1"/>
    <col min="13319" max="13319" width="17.85546875" style="2" customWidth="1"/>
    <col min="13320" max="13320" width="3.5703125" style="2" customWidth="1"/>
    <col min="13321" max="13326" width="0" style="2" hidden="1" customWidth="1"/>
    <col min="13327" max="13327" width="11" style="2" customWidth="1"/>
    <col min="13328" max="13330" width="0" style="2" hidden="1" customWidth="1"/>
    <col min="13331" max="13331" width="10.7109375" style="2" customWidth="1"/>
    <col min="13332" max="13336" width="0" style="2" hidden="1" customWidth="1"/>
    <col min="13337" max="13337" width="13.140625" style="2" customWidth="1"/>
    <col min="13338" max="13338" width="10.42578125" style="2" customWidth="1"/>
    <col min="13339" max="13339" width="10.28515625" style="2" customWidth="1"/>
    <col min="13340" max="13340" width="9.85546875" style="2" customWidth="1"/>
    <col min="13341" max="13341" width="10.7109375" style="2" customWidth="1"/>
    <col min="13342" max="13342" width="10" style="2" customWidth="1"/>
    <col min="13343" max="13343" width="9.5703125" style="2" customWidth="1"/>
    <col min="13344" max="13344" width="10.7109375" style="2" customWidth="1"/>
    <col min="13345" max="13345" width="9.85546875" style="2" customWidth="1"/>
    <col min="13346" max="13349" width="0" style="2" hidden="1" customWidth="1"/>
    <col min="13350" max="13350" width="9.85546875" style="2" customWidth="1"/>
    <col min="13351" max="13351" width="10.85546875" style="2" customWidth="1"/>
    <col min="13352" max="13352" width="11.5703125" style="2" customWidth="1"/>
    <col min="13353" max="13354" width="0" style="2" hidden="1" customWidth="1"/>
    <col min="13355" max="13571" width="9.140625" style="2"/>
    <col min="13572" max="13572" width="0" style="2" hidden="1" customWidth="1"/>
    <col min="13573" max="13573" width="11.42578125" style="2" customWidth="1"/>
    <col min="13574" max="13574" width="7.5703125" style="2" customWidth="1"/>
    <col min="13575" max="13575" width="17.85546875" style="2" customWidth="1"/>
    <col min="13576" max="13576" width="3.5703125" style="2" customWidth="1"/>
    <col min="13577" max="13582" width="0" style="2" hidden="1" customWidth="1"/>
    <col min="13583" max="13583" width="11" style="2" customWidth="1"/>
    <col min="13584" max="13586" width="0" style="2" hidden="1" customWidth="1"/>
    <col min="13587" max="13587" width="10.7109375" style="2" customWidth="1"/>
    <col min="13588" max="13592" width="0" style="2" hidden="1" customWidth="1"/>
    <col min="13593" max="13593" width="13.140625" style="2" customWidth="1"/>
    <col min="13594" max="13594" width="10.42578125" style="2" customWidth="1"/>
    <col min="13595" max="13595" width="10.28515625" style="2" customWidth="1"/>
    <col min="13596" max="13596" width="9.85546875" style="2" customWidth="1"/>
    <col min="13597" max="13597" width="10.7109375" style="2" customWidth="1"/>
    <col min="13598" max="13598" width="10" style="2" customWidth="1"/>
    <col min="13599" max="13599" width="9.5703125" style="2" customWidth="1"/>
    <col min="13600" max="13600" width="10.7109375" style="2" customWidth="1"/>
    <col min="13601" max="13601" width="9.85546875" style="2" customWidth="1"/>
    <col min="13602" max="13605" width="0" style="2" hidden="1" customWidth="1"/>
    <col min="13606" max="13606" width="9.85546875" style="2" customWidth="1"/>
    <col min="13607" max="13607" width="10.85546875" style="2" customWidth="1"/>
    <col min="13608" max="13608" width="11.5703125" style="2" customWidth="1"/>
    <col min="13609" max="13610" width="0" style="2" hidden="1" customWidth="1"/>
    <col min="13611" max="13827" width="9.140625" style="2"/>
    <col min="13828" max="13828" width="0" style="2" hidden="1" customWidth="1"/>
    <col min="13829" max="13829" width="11.42578125" style="2" customWidth="1"/>
    <col min="13830" max="13830" width="7.5703125" style="2" customWidth="1"/>
    <col min="13831" max="13831" width="17.85546875" style="2" customWidth="1"/>
    <col min="13832" max="13832" width="3.5703125" style="2" customWidth="1"/>
    <col min="13833" max="13838" width="0" style="2" hidden="1" customWidth="1"/>
    <col min="13839" max="13839" width="11" style="2" customWidth="1"/>
    <col min="13840" max="13842" width="0" style="2" hidden="1" customWidth="1"/>
    <col min="13843" max="13843" width="10.7109375" style="2" customWidth="1"/>
    <col min="13844" max="13848" width="0" style="2" hidden="1" customWidth="1"/>
    <col min="13849" max="13849" width="13.140625" style="2" customWidth="1"/>
    <col min="13850" max="13850" width="10.42578125" style="2" customWidth="1"/>
    <col min="13851" max="13851" width="10.28515625" style="2" customWidth="1"/>
    <col min="13852" max="13852" width="9.85546875" style="2" customWidth="1"/>
    <col min="13853" max="13853" width="10.7109375" style="2" customWidth="1"/>
    <col min="13854" max="13854" width="10" style="2" customWidth="1"/>
    <col min="13855" max="13855" width="9.5703125" style="2" customWidth="1"/>
    <col min="13856" max="13856" width="10.7109375" style="2" customWidth="1"/>
    <col min="13857" max="13857" width="9.85546875" style="2" customWidth="1"/>
    <col min="13858" max="13861" width="0" style="2" hidden="1" customWidth="1"/>
    <col min="13862" max="13862" width="9.85546875" style="2" customWidth="1"/>
    <col min="13863" max="13863" width="10.85546875" style="2" customWidth="1"/>
    <col min="13864" max="13864" width="11.5703125" style="2" customWidth="1"/>
    <col min="13865" max="13866" width="0" style="2" hidden="1" customWidth="1"/>
    <col min="13867" max="14083" width="9.140625" style="2"/>
    <col min="14084" max="14084" width="0" style="2" hidden="1" customWidth="1"/>
    <col min="14085" max="14085" width="11.42578125" style="2" customWidth="1"/>
    <col min="14086" max="14086" width="7.5703125" style="2" customWidth="1"/>
    <col min="14087" max="14087" width="17.85546875" style="2" customWidth="1"/>
    <col min="14088" max="14088" width="3.5703125" style="2" customWidth="1"/>
    <col min="14089" max="14094" width="0" style="2" hidden="1" customWidth="1"/>
    <col min="14095" max="14095" width="11" style="2" customWidth="1"/>
    <col min="14096" max="14098" width="0" style="2" hidden="1" customWidth="1"/>
    <col min="14099" max="14099" width="10.7109375" style="2" customWidth="1"/>
    <col min="14100" max="14104" width="0" style="2" hidden="1" customWidth="1"/>
    <col min="14105" max="14105" width="13.140625" style="2" customWidth="1"/>
    <col min="14106" max="14106" width="10.42578125" style="2" customWidth="1"/>
    <col min="14107" max="14107" width="10.28515625" style="2" customWidth="1"/>
    <col min="14108" max="14108" width="9.85546875" style="2" customWidth="1"/>
    <col min="14109" max="14109" width="10.7109375" style="2" customWidth="1"/>
    <col min="14110" max="14110" width="10" style="2" customWidth="1"/>
    <col min="14111" max="14111" width="9.5703125" style="2" customWidth="1"/>
    <col min="14112" max="14112" width="10.7109375" style="2" customWidth="1"/>
    <col min="14113" max="14113" width="9.85546875" style="2" customWidth="1"/>
    <col min="14114" max="14117" width="0" style="2" hidden="1" customWidth="1"/>
    <col min="14118" max="14118" width="9.85546875" style="2" customWidth="1"/>
    <col min="14119" max="14119" width="10.85546875" style="2" customWidth="1"/>
    <col min="14120" max="14120" width="11.5703125" style="2" customWidth="1"/>
    <col min="14121" max="14122" width="0" style="2" hidden="1" customWidth="1"/>
    <col min="14123" max="14339" width="9.140625" style="2"/>
    <col min="14340" max="14340" width="0" style="2" hidden="1" customWidth="1"/>
    <col min="14341" max="14341" width="11.42578125" style="2" customWidth="1"/>
    <col min="14342" max="14342" width="7.5703125" style="2" customWidth="1"/>
    <col min="14343" max="14343" width="17.85546875" style="2" customWidth="1"/>
    <col min="14344" max="14344" width="3.5703125" style="2" customWidth="1"/>
    <col min="14345" max="14350" width="0" style="2" hidden="1" customWidth="1"/>
    <col min="14351" max="14351" width="11" style="2" customWidth="1"/>
    <col min="14352" max="14354" width="0" style="2" hidden="1" customWidth="1"/>
    <col min="14355" max="14355" width="10.7109375" style="2" customWidth="1"/>
    <col min="14356" max="14360" width="0" style="2" hidden="1" customWidth="1"/>
    <col min="14361" max="14361" width="13.140625" style="2" customWidth="1"/>
    <col min="14362" max="14362" width="10.42578125" style="2" customWidth="1"/>
    <col min="14363" max="14363" width="10.28515625" style="2" customWidth="1"/>
    <col min="14364" max="14364" width="9.85546875" style="2" customWidth="1"/>
    <col min="14365" max="14365" width="10.7109375" style="2" customWidth="1"/>
    <col min="14366" max="14366" width="10" style="2" customWidth="1"/>
    <col min="14367" max="14367" width="9.5703125" style="2" customWidth="1"/>
    <col min="14368" max="14368" width="10.7109375" style="2" customWidth="1"/>
    <col min="14369" max="14369" width="9.85546875" style="2" customWidth="1"/>
    <col min="14370" max="14373" width="0" style="2" hidden="1" customWidth="1"/>
    <col min="14374" max="14374" width="9.85546875" style="2" customWidth="1"/>
    <col min="14375" max="14375" width="10.85546875" style="2" customWidth="1"/>
    <col min="14376" max="14376" width="11.5703125" style="2" customWidth="1"/>
    <col min="14377" max="14378" width="0" style="2" hidden="1" customWidth="1"/>
    <col min="14379" max="14595" width="9.140625" style="2"/>
    <col min="14596" max="14596" width="0" style="2" hidden="1" customWidth="1"/>
    <col min="14597" max="14597" width="11.42578125" style="2" customWidth="1"/>
    <col min="14598" max="14598" width="7.5703125" style="2" customWidth="1"/>
    <col min="14599" max="14599" width="17.85546875" style="2" customWidth="1"/>
    <col min="14600" max="14600" width="3.5703125" style="2" customWidth="1"/>
    <col min="14601" max="14606" width="0" style="2" hidden="1" customWidth="1"/>
    <col min="14607" max="14607" width="11" style="2" customWidth="1"/>
    <col min="14608" max="14610" width="0" style="2" hidden="1" customWidth="1"/>
    <col min="14611" max="14611" width="10.7109375" style="2" customWidth="1"/>
    <col min="14612" max="14616" width="0" style="2" hidden="1" customWidth="1"/>
    <col min="14617" max="14617" width="13.140625" style="2" customWidth="1"/>
    <col min="14618" max="14618" width="10.42578125" style="2" customWidth="1"/>
    <col min="14619" max="14619" width="10.28515625" style="2" customWidth="1"/>
    <col min="14620" max="14620" width="9.85546875" style="2" customWidth="1"/>
    <col min="14621" max="14621" width="10.7109375" style="2" customWidth="1"/>
    <col min="14622" max="14622" width="10" style="2" customWidth="1"/>
    <col min="14623" max="14623" width="9.5703125" style="2" customWidth="1"/>
    <col min="14624" max="14624" width="10.7109375" style="2" customWidth="1"/>
    <col min="14625" max="14625" width="9.85546875" style="2" customWidth="1"/>
    <col min="14626" max="14629" width="0" style="2" hidden="1" customWidth="1"/>
    <col min="14630" max="14630" width="9.85546875" style="2" customWidth="1"/>
    <col min="14631" max="14631" width="10.85546875" style="2" customWidth="1"/>
    <col min="14632" max="14632" width="11.5703125" style="2" customWidth="1"/>
    <col min="14633" max="14634" width="0" style="2" hidden="1" customWidth="1"/>
    <col min="14635" max="14851" width="9.140625" style="2"/>
    <col min="14852" max="14852" width="0" style="2" hidden="1" customWidth="1"/>
    <col min="14853" max="14853" width="11.42578125" style="2" customWidth="1"/>
    <col min="14854" max="14854" width="7.5703125" style="2" customWidth="1"/>
    <col min="14855" max="14855" width="17.85546875" style="2" customWidth="1"/>
    <col min="14856" max="14856" width="3.5703125" style="2" customWidth="1"/>
    <col min="14857" max="14862" width="0" style="2" hidden="1" customWidth="1"/>
    <col min="14863" max="14863" width="11" style="2" customWidth="1"/>
    <col min="14864" max="14866" width="0" style="2" hidden="1" customWidth="1"/>
    <col min="14867" max="14867" width="10.7109375" style="2" customWidth="1"/>
    <col min="14868" max="14872" width="0" style="2" hidden="1" customWidth="1"/>
    <col min="14873" max="14873" width="13.140625" style="2" customWidth="1"/>
    <col min="14874" max="14874" width="10.42578125" style="2" customWidth="1"/>
    <col min="14875" max="14875" width="10.28515625" style="2" customWidth="1"/>
    <col min="14876" max="14876" width="9.85546875" style="2" customWidth="1"/>
    <col min="14877" max="14877" width="10.7109375" style="2" customWidth="1"/>
    <col min="14878" max="14878" width="10" style="2" customWidth="1"/>
    <col min="14879" max="14879" width="9.5703125" style="2" customWidth="1"/>
    <col min="14880" max="14880" width="10.7109375" style="2" customWidth="1"/>
    <col min="14881" max="14881" width="9.85546875" style="2" customWidth="1"/>
    <col min="14882" max="14885" width="0" style="2" hidden="1" customWidth="1"/>
    <col min="14886" max="14886" width="9.85546875" style="2" customWidth="1"/>
    <col min="14887" max="14887" width="10.85546875" style="2" customWidth="1"/>
    <col min="14888" max="14888" width="11.5703125" style="2" customWidth="1"/>
    <col min="14889" max="14890" width="0" style="2" hidden="1" customWidth="1"/>
    <col min="14891" max="15107" width="9.140625" style="2"/>
    <col min="15108" max="15108" width="0" style="2" hidden="1" customWidth="1"/>
    <col min="15109" max="15109" width="11.42578125" style="2" customWidth="1"/>
    <col min="15110" max="15110" width="7.5703125" style="2" customWidth="1"/>
    <col min="15111" max="15111" width="17.85546875" style="2" customWidth="1"/>
    <col min="15112" max="15112" width="3.5703125" style="2" customWidth="1"/>
    <col min="15113" max="15118" width="0" style="2" hidden="1" customWidth="1"/>
    <col min="15119" max="15119" width="11" style="2" customWidth="1"/>
    <col min="15120" max="15122" width="0" style="2" hidden="1" customWidth="1"/>
    <col min="15123" max="15123" width="10.7109375" style="2" customWidth="1"/>
    <col min="15124" max="15128" width="0" style="2" hidden="1" customWidth="1"/>
    <col min="15129" max="15129" width="13.140625" style="2" customWidth="1"/>
    <col min="15130" max="15130" width="10.42578125" style="2" customWidth="1"/>
    <col min="15131" max="15131" width="10.28515625" style="2" customWidth="1"/>
    <col min="15132" max="15132" width="9.85546875" style="2" customWidth="1"/>
    <col min="15133" max="15133" width="10.7109375" style="2" customWidth="1"/>
    <col min="15134" max="15134" width="10" style="2" customWidth="1"/>
    <col min="15135" max="15135" width="9.5703125" style="2" customWidth="1"/>
    <col min="15136" max="15136" width="10.7109375" style="2" customWidth="1"/>
    <col min="15137" max="15137" width="9.85546875" style="2" customWidth="1"/>
    <col min="15138" max="15141" width="0" style="2" hidden="1" customWidth="1"/>
    <col min="15142" max="15142" width="9.85546875" style="2" customWidth="1"/>
    <col min="15143" max="15143" width="10.85546875" style="2" customWidth="1"/>
    <col min="15144" max="15144" width="11.5703125" style="2" customWidth="1"/>
    <col min="15145" max="15146" width="0" style="2" hidden="1" customWidth="1"/>
    <col min="15147" max="15363" width="9.140625" style="2"/>
    <col min="15364" max="15364" width="0" style="2" hidden="1" customWidth="1"/>
    <col min="15365" max="15365" width="11.42578125" style="2" customWidth="1"/>
    <col min="15366" max="15366" width="7.5703125" style="2" customWidth="1"/>
    <col min="15367" max="15367" width="17.85546875" style="2" customWidth="1"/>
    <col min="15368" max="15368" width="3.5703125" style="2" customWidth="1"/>
    <col min="15369" max="15374" width="0" style="2" hidden="1" customWidth="1"/>
    <col min="15375" max="15375" width="11" style="2" customWidth="1"/>
    <col min="15376" max="15378" width="0" style="2" hidden="1" customWidth="1"/>
    <col min="15379" max="15379" width="10.7109375" style="2" customWidth="1"/>
    <col min="15380" max="15384" width="0" style="2" hidden="1" customWidth="1"/>
    <col min="15385" max="15385" width="13.140625" style="2" customWidth="1"/>
    <col min="15386" max="15386" width="10.42578125" style="2" customWidth="1"/>
    <col min="15387" max="15387" width="10.28515625" style="2" customWidth="1"/>
    <col min="15388" max="15388" width="9.85546875" style="2" customWidth="1"/>
    <col min="15389" max="15389" width="10.7109375" style="2" customWidth="1"/>
    <col min="15390" max="15390" width="10" style="2" customWidth="1"/>
    <col min="15391" max="15391" width="9.5703125" style="2" customWidth="1"/>
    <col min="15392" max="15392" width="10.7109375" style="2" customWidth="1"/>
    <col min="15393" max="15393" width="9.85546875" style="2" customWidth="1"/>
    <col min="15394" max="15397" width="0" style="2" hidden="1" customWidth="1"/>
    <col min="15398" max="15398" width="9.85546875" style="2" customWidth="1"/>
    <col min="15399" max="15399" width="10.85546875" style="2" customWidth="1"/>
    <col min="15400" max="15400" width="11.5703125" style="2" customWidth="1"/>
    <col min="15401" max="15402" width="0" style="2" hidden="1" customWidth="1"/>
    <col min="15403" max="15619" width="9.140625" style="2"/>
    <col min="15620" max="15620" width="0" style="2" hidden="1" customWidth="1"/>
    <col min="15621" max="15621" width="11.42578125" style="2" customWidth="1"/>
    <col min="15622" max="15622" width="7.5703125" style="2" customWidth="1"/>
    <col min="15623" max="15623" width="17.85546875" style="2" customWidth="1"/>
    <col min="15624" max="15624" width="3.5703125" style="2" customWidth="1"/>
    <col min="15625" max="15630" width="0" style="2" hidden="1" customWidth="1"/>
    <col min="15631" max="15631" width="11" style="2" customWidth="1"/>
    <col min="15632" max="15634" width="0" style="2" hidden="1" customWidth="1"/>
    <col min="15635" max="15635" width="10.7109375" style="2" customWidth="1"/>
    <col min="15636" max="15640" width="0" style="2" hidden="1" customWidth="1"/>
    <col min="15641" max="15641" width="13.140625" style="2" customWidth="1"/>
    <col min="15642" max="15642" width="10.42578125" style="2" customWidth="1"/>
    <col min="15643" max="15643" width="10.28515625" style="2" customWidth="1"/>
    <col min="15644" max="15644" width="9.85546875" style="2" customWidth="1"/>
    <col min="15645" max="15645" width="10.7109375" style="2" customWidth="1"/>
    <col min="15646" max="15646" width="10" style="2" customWidth="1"/>
    <col min="15647" max="15647" width="9.5703125" style="2" customWidth="1"/>
    <col min="15648" max="15648" width="10.7109375" style="2" customWidth="1"/>
    <col min="15649" max="15649" width="9.85546875" style="2" customWidth="1"/>
    <col min="15650" max="15653" width="0" style="2" hidden="1" customWidth="1"/>
    <col min="15654" max="15654" width="9.85546875" style="2" customWidth="1"/>
    <col min="15655" max="15655" width="10.85546875" style="2" customWidth="1"/>
    <col min="15656" max="15656" width="11.5703125" style="2" customWidth="1"/>
    <col min="15657" max="15658" width="0" style="2" hidden="1" customWidth="1"/>
    <col min="15659" max="15875" width="9.140625" style="2"/>
    <col min="15876" max="15876" width="0" style="2" hidden="1" customWidth="1"/>
    <col min="15877" max="15877" width="11.42578125" style="2" customWidth="1"/>
    <col min="15878" max="15878" width="7.5703125" style="2" customWidth="1"/>
    <col min="15879" max="15879" width="17.85546875" style="2" customWidth="1"/>
    <col min="15880" max="15880" width="3.5703125" style="2" customWidth="1"/>
    <col min="15881" max="15886" width="0" style="2" hidden="1" customWidth="1"/>
    <col min="15887" max="15887" width="11" style="2" customWidth="1"/>
    <col min="15888" max="15890" width="0" style="2" hidden="1" customWidth="1"/>
    <col min="15891" max="15891" width="10.7109375" style="2" customWidth="1"/>
    <col min="15892" max="15896" width="0" style="2" hidden="1" customWidth="1"/>
    <col min="15897" max="15897" width="13.140625" style="2" customWidth="1"/>
    <col min="15898" max="15898" width="10.42578125" style="2" customWidth="1"/>
    <col min="15899" max="15899" width="10.28515625" style="2" customWidth="1"/>
    <col min="15900" max="15900" width="9.85546875" style="2" customWidth="1"/>
    <col min="15901" max="15901" width="10.7109375" style="2" customWidth="1"/>
    <col min="15902" max="15902" width="10" style="2" customWidth="1"/>
    <col min="15903" max="15903" width="9.5703125" style="2" customWidth="1"/>
    <col min="15904" max="15904" width="10.7109375" style="2" customWidth="1"/>
    <col min="15905" max="15905" width="9.85546875" style="2" customWidth="1"/>
    <col min="15906" max="15909" width="0" style="2" hidden="1" customWidth="1"/>
    <col min="15910" max="15910" width="9.85546875" style="2" customWidth="1"/>
    <col min="15911" max="15911" width="10.85546875" style="2" customWidth="1"/>
    <col min="15912" max="15912" width="11.5703125" style="2" customWidth="1"/>
    <col min="15913" max="15914" width="0" style="2" hidden="1" customWidth="1"/>
    <col min="15915" max="16131" width="9.140625" style="2"/>
    <col min="16132" max="16132" width="0" style="2" hidden="1" customWidth="1"/>
    <col min="16133" max="16133" width="11.42578125" style="2" customWidth="1"/>
    <col min="16134" max="16134" width="7.5703125" style="2" customWidth="1"/>
    <col min="16135" max="16135" width="17.85546875" style="2" customWidth="1"/>
    <col min="16136" max="16136" width="3.5703125" style="2" customWidth="1"/>
    <col min="16137" max="16142" width="0" style="2" hidden="1" customWidth="1"/>
    <col min="16143" max="16143" width="11" style="2" customWidth="1"/>
    <col min="16144" max="16146" width="0" style="2" hidden="1" customWidth="1"/>
    <col min="16147" max="16147" width="10.7109375" style="2" customWidth="1"/>
    <col min="16148" max="16152" width="0" style="2" hidden="1" customWidth="1"/>
    <col min="16153" max="16153" width="13.140625" style="2" customWidth="1"/>
    <col min="16154" max="16154" width="10.42578125" style="2" customWidth="1"/>
    <col min="16155" max="16155" width="10.28515625" style="2" customWidth="1"/>
    <col min="16156" max="16156" width="9.85546875" style="2" customWidth="1"/>
    <col min="16157" max="16157" width="10.7109375" style="2" customWidth="1"/>
    <col min="16158" max="16158" width="10" style="2" customWidth="1"/>
    <col min="16159" max="16159" width="9.5703125" style="2" customWidth="1"/>
    <col min="16160" max="16160" width="10.7109375" style="2" customWidth="1"/>
    <col min="16161" max="16161" width="9.85546875" style="2" customWidth="1"/>
    <col min="16162" max="16165" width="0" style="2" hidden="1" customWidth="1"/>
    <col min="16166" max="16166" width="9.85546875" style="2" customWidth="1"/>
    <col min="16167" max="16167" width="10.85546875" style="2" customWidth="1"/>
    <col min="16168" max="16168" width="11.5703125" style="2" customWidth="1"/>
    <col min="16169" max="16170" width="0" style="2" hidden="1" customWidth="1"/>
    <col min="16171" max="16384" width="9.140625" style="2"/>
  </cols>
  <sheetData>
    <row r="1" spans="1:46" ht="21.75" customHeight="1">
      <c r="A1" s="1" t="s">
        <v>0</v>
      </c>
    </row>
    <row r="2" spans="1:46" ht="21.75" customHeight="1">
      <c r="A2" s="1" t="s">
        <v>1</v>
      </c>
    </row>
    <row r="3" spans="1:46" s="145" customFormat="1" ht="31.5" customHeight="1">
      <c r="A3" s="398" t="s">
        <v>324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</row>
    <row r="4" spans="1:46" ht="24" customHeight="1">
      <c r="A4" s="399" t="s">
        <v>325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</row>
    <row r="5" spans="1:46" ht="13.5" hidden="1">
      <c r="A5" s="8"/>
      <c r="B5" s="49"/>
      <c r="C5" s="49"/>
      <c r="D5" s="4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spans="1:46" s="87" customFormat="1" ht="15">
      <c r="A6" s="400" t="s">
        <v>323</v>
      </c>
      <c r="B6" s="400"/>
      <c r="C6" s="224">
        <v>24520</v>
      </c>
      <c r="D6" s="70">
        <v>25020</v>
      </c>
      <c r="E6" s="225"/>
      <c r="F6" s="225"/>
      <c r="G6" s="225"/>
      <c r="H6" s="225"/>
      <c r="I6" s="225"/>
      <c r="J6" s="226"/>
      <c r="T6" s="71"/>
      <c r="U6" s="71"/>
      <c r="V6" s="71"/>
      <c r="W6" s="71"/>
      <c r="X6" s="71"/>
      <c r="Y6" s="71"/>
      <c r="Z6" s="71"/>
      <c r="AN6" s="227"/>
      <c r="AR6" s="228"/>
      <c r="AS6" s="228"/>
    </row>
    <row r="7" spans="1:46" ht="11.25">
      <c r="A7" s="10"/>
      <c r="B7" s="10"/>
      <c r="C7" s="10"/>
      <c r="D7" s="11"/>
      <c r="E7" s="11"/>
      <c r="F7" s="11"/>
      <c r="G7" s="11"/>
      <c r="H7" s="11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3"/>
      <c r="U7" s="13"/>
      <c r="V7" s="13"/>
      <c r="W7" s="13"/>
      <c r="X7" s="13"/>
      <c r="Y7" s="13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/>
      <c r="AO7" s="10"/>
      <c r="AP7" s="10"/>
      <c r="AQ7" s="15"/>
      <c r="AR7" s="15"/>
      <c r="AS7" s="15"/>
      <c r="AT7" s="15"/>
    </row>
    <row r="8" spans="1:46" s="16" customFormat="1" ht="31.5" customHeight="1">
      <c r="A8" s="394" t="s">
        <v>2</v>
      </c>
      <c r="B8" s="394" t="s">
        <v>3</v>
      </c>
      <c r="C8" s="394" t="s">
        <v>4</v>
      </c>
      <c r="D8" s="395" t="s">
        <v>5</v>
      </c>
      <c r="E8" s="388" t="s">
        <v>6</v>
      </c>
      <c r="F8" s="388"/>
      <c r="G8" s="388"/>
      <c r="H8" s="388"/>
      <c r="I8" s="392" t="s">
        <v>165</v>
      </c>
      <c r="J8" s="392" t="s">
        <v>7</v>
      </c>
      <c r="K8" s="389" t="s">
        <v>8</v>
      </c>
      <c r="L8" s="390"/>
      <c r="M8" s="390"/>
      <c r="N8" s="390"/>
      <c r="O8" s="390"/>
      <c r="P8" s="391"/>
      <c r="Q8" s="392" t="s">
        <v>118</v>
      </c>
      <c r="R8" s="394" t="s">
        <v>9</v>
      </c>
      <c r="S8" s="392" t="s">
        <v>10</v>
      </c>
      <c r="T8" s="394" t="s">
        <v>11</v>
      </c>
      <c r="U8" s="389" t="s">
        <v>12</v>
      </c>
      <c r="V8" s="390"/>
      <c r="W8" s="390"/>
      <c r="X8" s="390"/>
      <c r="Y8" s="391"/>
      <c r="Z8" s="394" t="s">
        <v>13</v>
      </c>
      <c r="AA8" s="387" t="s">
        <v>14</v>
      </c>
      <c r="AB8" s="387"/>
      <c r="AC8" s="387"/>
      <c r="AD8" s="387"/>
      <c r="AE8" s="387"/>
      <c r="AF8" s="387" t="s">
        <v>15</v>
      </c>
      <c r="AG8" s="387"/>
      <c r="AH8" s="387"/>
      <c r="AI8" s="387"/>
      <c r="AJ8" s="389" t="s">
        <v>119</v>
      </c>
      <c r="AK8" s="390"/>
      <c r="AL8" s="390"/>
      <c r="AM8" s="390"/>
      <c r="AN8" s="390"/>
      <c r="AO8" s="390"/>
      <c r="AP8" s="391"/>
      <c r="AQ8" s="389" t="s">
        <v>320</v>
      </c>
      <c r="AR8" s="391"/>
      <c r="AS8" s="392" t="s">
        <v>173</v>
      </c>
      <c r="AT8" s="394" t="s">
        <v>16</v>
      </c>
    </row>
    <row r="9" spans="1:46" s="16" customFormat="1" ht="108">
      <c r="A9" s="394"/>
      <c r="B9" s="394"/>
      <c r="C9" s="394"/>
      <c r="D9" s="396"/>
      <c r="E9" s="17" t="s">
        <v>121</v>
      </c>
      <c r="F9" s="17" t="s">
        <v>17</v>
      </c>
      <c r="G9" s="17" t="s">
        <v>122</v>
      </c>
      <c r="H9" s="17" t="s">
        <v>123</v>
      </c>
      <c r="I9" s="393"/>
      <c r="J9" s="393"/>
      <c r="K9" s="18" t="s">
        <v>18</v>
      </c>
      <c r="L9" s="18" t="s">
        <v>124</v>
      </c>
      <c r="M9" s="18" t="s">
        <v>125</v>
      </c>
      <c r="N9" s="18" t="s">
        <v>126</v>
      </c>
      <c r="O9" s="18" t="s">
        <v>127</v>
      </c>
      <c r="P9" s="18" t="s">
        <v>128</v>
      </c>
      <c r="Q9" s="393"/>
      <c r="R9" s="394"/>
      <c r="S9" s="393"/>
      <c r="T9" s="394"/>
      <c r="U9" s="19" t="s">
        <v>129</v>
      </c>
      <c r="V9" s="19" t="s">
        <v>17</v>
      </c>
      <c r="W9" s="19" t="s">
        <v>122</v>
      </c>
      <c r="X9" s="19" t="s">
        <v>123</v>
      </c>
      <c r="Y9" s="18" t="s">
        <v>19</v>
      </c>
      <c r="Z9" s="394"/>
      <c r="AA9" s="18" t="s">
        <v>20</v>
      </c>
      <c r="AB9" s="18" t="s">
        <v>170</v>
      </c>
      <c r="AC9" s="18" t="s">
        <v>22</v>
      </c>
      <c r="AD9" s="18" t="s">
        <v>23</v>
      </c>
      <c r="AE9" s="20" t="s">
        <v>24</v>
      </c>
      <c r="AF9" s="20" t="s">
        <v>25</v>
      </c>
      <c r="AG9" s="20" t="s">
        <v>26</v>
      </c>
      <c r="AH9" s="20" t="s">
        <v>23</v>
      </c>
      <c r="AI9" s="20" t="s">
        <v>27</v>
      </c>
      <c r="AJ9" s="18" t="s">
        <v>317</v>
      </c>
      <c r="AK9" s="18" t="s">
        <v>28</v>
      </c>
      <c r="AL9" s="18" t="s">
        <v>29</v>
      </c>
      <c r="AM9" s="18" t="s">
        <v>30</v>
      </c>
      <c r="AN9" s="21" t="s">
        <v>31</v>
      </c>
      <c r="AO9" s="22" t="s">
        <v>319</v>
      </c>
      <c r="AP9" s="18" t="s">
        <v>289</v>
      </c>
      <c r="AQ9" s="18" t="s">
        <v>54</v>
      </c>
      <c r="AR9" s="18" t="s">
        <v>322</v>
      </c>
      <c r="AS9" s="393"/>
      <c r="AT9" s="394"/>
    </row>
    <row r="10" spans="1:46" s="97" customFormat="1" ht="48" hidden="1">
      <c r="A10" s="98">
        <v>-1</v>
      </c>
      <c r="B10" s="98">
        <v>-2</v>
      </c>
      <c r="C10" s="98">
        <v>-3</v>
      </c>
      <c r="D10" s="98">
        <v>-4</v>
      </c>
      <c r="E10" s="98">
        <v>-5</v>
      </c>
      <c r="F10" s="98" t="s">
        <v>33</v>
      </c>
      <c r="G10" s="98">
        <v>-6</v>
      </c>
      <c r="H10" s="98">
        <v>-7</v>
      </c>
      <c r="I10" s="98"/>
      <c r="J10" s="98">
        <v>-8</v>
      </c>
      <c r="K10" s="98">
        <v>-9</v>
      </c>
      <c r="L10" s="98">
        <v>-10</v>
      </c>
      <c r="M10" s="98">
        <v>-11</v>
      </c>
      <c r="N10" s="98" t="s">
        <v>34</v>
      </c>
      <c r="O10" s="98" t="s">
        <v>35</v>
      </c>
      <c r="P10" s="98">
        <v>-12</v>
      </c>
      <c r="Q10" s="98" t="s">
        <v>36</v>
      </c>
      <c r="R10" s="98" t="s">
        <v>37</v>
      </c>
      <c r="S10" s="98" t="s">
        <v>38</v>
      </c>
      <c r="T10" s="99" t="s">
        <v>130</v>
      </c>
      <c r="U10" s="99" t="s">
        <v>131</v>
      </c>
      <c r="V10" s="99" t="s">
        <v>132</v>
      </c>
      <c r="W10" s="99" t="s">
        <v>133</v>
      </c>
      <c r="X10" s="99" t="s">
        <v>134</v>
      </c>
      <c r="Y10" s="99" t="s">
        <v>39</v>
      </c>
      <c r="Z10" s="99" t="s">
        <v>40</v>
      </c>
      <c r="AA10" s="98" t="s">
        <v>41</v>
      </c>
      <c r="AB10" s="98" t="s">
        <v>42</v>
      </c>
      <c r="AC10" s="98" t="s">
        <v>43</v>
      </c>
      <c r="AD10" s="98">
        <v>25</v>
      </c>
      <c r="AE10" s="100" t="s">
        <v>135</v>
      </c>
      <c r="AF10" s="100">
        <v>27</v>
      </c>
      <c r="AG10" s="100" t="s">
        <v>44</v>
      </c>
      <c r="AH10" s="100">
        <v>29</v>
      </c>
      <c r="AI10" s="100" t="s">
        <v>45</v>
      </c>
      <c r="AJ10" s="98">
        <v>-31</v>
      </c>
      <c r="AK10" s="98" t="s">
        <v>46</v>
      </c>
      <c r="AL10" s="98" t="s">
        <v>47</v>
      </c>
      <c r="AM10" s="98">
        <v>-33</v>
      </c>
      <c r="AN10" s="98" t="s">
        <v>48</v>
      </c>
      <c r="AO10" s="101" t="s">
        <v>49</v>
      </c>
      <c r="AP10" s="98">
        <v>-36</v>
      </c>
      <c r="AQ10" s="98">
        <v>-37</v>
      </c>
      <c r="AR10" s="98">
        <v>-38</v>
      </c>
      <c r="AS10" s="98">
        <v>-39</v>
      </c>
      <c r="AT10" s="98">
        <v>-40</v>
      </c>
    </row>
    <row r="11" spans="1:46" s="55" customFormat="1" ht="12.75" hidden="1">
      <c r="A11" s="51">
        <v>1</v>
      </c>
      <c r="B11" s="52" t="s">
        <v>136</v>
      </c>
      <c r="C11" s="53" t="s">
        <v>137</v>
      </c>
      <c r="D11" s="27">
        <v>208</v>
      </c>
      <c r="E11" s="28"/>
      <c r="F11" s="28"/>
      <c r="G11" s="27"/>
      <c r="H11" s="27"/>
      <c r="I11" s="27"/>
      <c r="J11" s="27">
        <f>2500*D6</f>
        <v>62550000</v>
      </c>
      <c r="K11" s="27"/>
      <c r="L11" s="27"/>
      <c r="M11" s="27"/>
      <c r="N11" s="27"/>
      <c r="O11" s="27"/>
      <c r="P11" s="27"/>
      <c r="Q11" s="27">
        <f>SUM(L11:P11)</f>
        <v>0</v>
      </c>
      <c r="R11" s="27">
        <f>J11+K11</f>
        <v>62550000</v>
      </c>
      <c r="S11" s="27">
        <f>R11/D11</f>
        <v>300721.15384615387</v>
      </c>
      <c r="T11" s="29">
        <f>S11*D11</f>
        <v>62550000.000000007</v>
      </c>
      <c r="U11" s="29">
        <f>S11*E11*150%</f>
        <v>0</v>
      </c>
      <c r="V11" s="29"/>
      <c r="W11" s="29">
        <f>S11*G11*200%</f>
        <v>0</v>
      </c>
      <c r="X11" s="29">
        <f>S11*H11*300%</f>
        <v>0</v>
      </c>
      <c r="Y11" s="29">
        <f>SUM(U11:X11)</f>
        <v>0</v>
      </c>
      <c r="Z11" s="29">
        <f>Q11+T11+Y11</f>
        <v>62550000.000000007</v>
      </c>
      <c r="AA11" s="27">
        <v>29800000</v>
      </c>
      <c r="AB11" s="27">
        <f>AA11*5%</f>
        <v>1490000</v>
      </c>
      <c r="AC11" s="27">
        <f>AA11*3%</f>
        <v>894000</v>
      </c>
      <c r="AD11" s="27"/>
      <c r="AE11" s="27">
        <f>AB11+AC11+AD11</f>
        <v>2384000</v>
      </c>
      <c r="AF11" s="27"/>
      <c r="AG11" s="27">
        <f>AA11*1.5%</f>
        <v>447000</v>
      </c>
      <c r="AH11" s="27"/>
      <c r="AI11" s="27">
        <f>AF11+AG11+AH11</f>
        <v>447000</v>
      </c>
      <c r="AJ11" s="27">
        <v>11000000</v>
      </c>
      <c r="AK11" s="27">
        <v>3</v>
      </c>
      <c r="AL11" s="27">
        <f>AK11*4400000</f>
        <v>13200000</v>
      </c>
      <c r="AM11" s="27">
        <f>L11</f>
        <v>0</v>
      </c>
      <c r="AN11" s="27">
        <f>Z11-AM11</f>
        <v>62550000.000000007</v>
      </c>
      <c r="AO11" s="27">
        <f>(Z11-AJ11-AL11-AM11-AI11)</f>
        <v>37903000.000000007</v>
      </c>
      <c r="AP11" s="27">
        <f>ROUND(IF(AO11&lt;=5000000,AO11*5%,IF(AND(AO11&gt;5000000,AO11&lt;=10000000),AO11*10%-250000,IF(AND(AO11&gt;10000000,AO11&lt;=18000000),AO11*15%-750000,IF(AND(AO11&gt;18000000,AO11&lt;=32000000),AO11*20%-1650000,IF(AND(AO11&gt;32000000,AO11&lt;=52000000),AO11*25%-3250000,IF(AND(AO11&gt;52000000,AO11&lt;80000000),AO11*30%-5850000,IF(AO11&gt;80000000,AO11*35%-9850000))))))),0)</f>
        <v>6225750</v>
      </c>
      <c r="AQ11" s="27">
        <f>Z11-AI11-AP11</f>
        <v>55877250.000000007</v>
      </c>
      <c r="AR11" s="54">
        <f>+AQ11/D6</f>
        <v>2233.3033573141488</v>
      </c>
      <c r="AS11" s="54"/>
      <c r="AT11" s="54"/>
    </row>
    <row r="12" spans="1:46" s="55" customFormat="1" ht="36" customHeight="1">
      <c r="A12" s="51">
        <v>1</v>
      </c>
      <c r="B12" s="52" t="s">
        <v>136</v>
      </c>
      <c r="C12" s="53" t="s">
        <v>244</v>
      </c>
      <c r="D12" s="27">
        <v>216</v>
      </c>
      <c r="E12" s="28"/>
      <c r="F12" s="28"/>
      <c r="G12" s="27"/>
      <c r="H12" s="27"/>
      <c r="I12" s="27">
        <f>6000*0.85</f>
        <v>5100</v>
      </c>
      <c r="J12" s="27">
        <f>I12*D6</f>
        <v>127602000</v>
      </c>
      <c r="K12" s="27"/>
      <c r="L12" s="27"/>
      <c r="M12" s="27"/>
      <c r="N12" s="27"/>
      <c r="O12" s="27"/>
      <c r="P12" s="27"/>
      <c r="Q12" s="27">
        <f>SUM(L12:P12)</f>
        <v>0</v>
      </c>
      <c r="R12" s="27">
        <f>J12+K12</f>
        <v>127602000</v>
      </c>
      <c r="S12" s="27">
        <f>R12/D12</f>
        <v>590750</v>
      </c>
      <c r="T12" s="29">
        <f>S12*D12</f>
        <v>127602000</v>
      </c>
      <c r="U12" s="29">
        <f>S12*E12*150%</f>
        <v>0</v>
      </c>
      <c r="V12" s="29"/>
      <c r="W12" s="29">
        <f>S12*G12*200%</f>
        <v>0</v>
      </c>
      <c r="X12" s="29">
        <f>S12*H12*300%</f>
        <v>0</v>
      </c>
      <c r="Y12" s="29">
        <f>SUM(U12:X12)</f>
        <v>0</v>
      </c>
      <c r="Z12" s="29">
        <f>Q12+T12+Y12</f>
        <v>127602000</v>
      </c>
      <c r="AA12" s="29">
        <v>46800000</v>
      </c>
      <c r="AB12" s="27">
        <f>AA12*17.5%</f>
        <v>8189999.9999999991</v>
      </c>
      <c r="AC12" s="27">
        <f>+AA12*3%</f>
        <v>1404000</v>
      </c>
      <c r="AD12" s="27"/>
      <c r="AE12" s="27">
        <f>AB12+AC12+AD12</f>
        <v>9594000</v>
      </c>
      <c r="AF12" s="27">
        <f>AA12*8%</f>
        <v>3744000</v>
      </c>
      <c r="AG12" s="27">
        <f>+AA12*1.5%</f>
        <v>702000</v>
      </c>
      <c r="AH12" s="27"/>
      <c r="AI12" s="27">
        <f>AF12+AG12+AH12</f>
        <v>4446000</v>
      </c>
      <c r="AJ12" s="27">
        <v>11000000</v>
      </c>
      <c r="AK12" s="27">
        <v>3</v>
      </c>
      <c r="AL12" s="27">
        <f>+AK12*4400000</f>
        <v>13200000</v>
      </c>
      <c r="AM12" s="27"/>
      <c r="AN12" s="27">
        <f>Z12-AM12</f>
        <v>127602000</v>
      </c>
      <c r="AO12" s="27">
        <f>(AN12-AJ12-AL12-AI12)</f>
        <v>98956000</v>
      </c>
      <c r="AP12" s="56">
        <f>ROUND(IF(AO12&lt;=5000000,AO12*5%,IF(AND(AO12&gt;5000000,AO12&lt;=10000000),AO12*10%-250000,IF(AND(AO12&gt;10000000,AO12&lt;=18000000),AO12*15%-750000,IF(AND(AO12&gt;18000000,AO12&lt;=32000000),AO12*20%-1650000,IF(AND(AO12&gt;32000000,AO12&lt;=52000000),AO12*25%-3250000,IF(AND(AO12&gt;52000000,AO12&lt;80000000),AO12*30%-5850000,IF(AO12&gt;80000000,AO12*35%-9850000))))))),0)</f>
        <v>24784600</v>
      </c>
      <c r="AQ12" s="27">
        <f>Z12-AI12-AP12</f>
        <v>98371400</v>
      </c>
      <c r="AR12" s="54">
        <f>AQ12/D6</f>
        <v>3931.7106314948041</v>
      </c>
      <c r="AS12" s="113" t="s">
        <v>174</v>
      </c>
      <c r="AT12" s="54"/>
    </row>
    <row r="13" spans="1:46">
      <c r="AR13" s="303"/>
    </row>
    <row r="14" spans="1:46" s="92" customFormat="1" ht="24" customHeight="1">
      <c r="B14" s="397" t="s">
        <v>50</v>
      </c>
      <c r="C14" s="397"/>
      <c r="D14" s="93"/>
      <c r="E14" s="93"/>
      <c r="F14" s="93"/>
      <c r="G14" s="93"/>
      <c r="H14" s="93"/>
      <c r="I14" s="93"/>
      <c r="J14" s="139"/>
      <c r="S14" s="112"/>
      <c r="T14" s="242"/>
      <c r="U14" s="94"/>
      <c r="V14" s="397" t="s">
        <v>51</v>
      </c>
      <c r="W14" s="397"/>
      <c r="X14" s="94"/>
      <c r="Y14" s="94"/>
      <c r="Z14" s="140"/>
      <c r="AB14" s="95"/>
      <c r="AD14" s="95"/>
      <c r="AE14" s="95"/>
      <c r="AG14" s="102" t="s">
        <v>51</v>
      </c>
      <c r="AI14" s="95"/>
      <c r="AO14" s="96"/>
      <c r="AP14" s="134"/>
      <c r="AQ14" s="96"/>
      <c r="AS14" s="96" t="s">
        <v>52</v>
      </c>
    </row>
    <row r="15" spans="1:46" ht="12.75">
      <c r="D15" s="32"/>
      <c r="E15" s="32"/>
      <c r="F15" s="32"/>
      <c r="G15" s="32"/>
      <c r="H15" s="32"/>
      <c r="I15" s="32"/>
      <c r="J15" s="33"/>
      <c r="K15" s="9"/>
      <c r="L15" s="9"/>
      <c r="T15" s="37"/>
      <c r="AH15" s="31"/>
      <c r="AL15" s="220"/>
      <c r="AP15" s="134"/>
      <c r="AQ15" s="31"/>
      <c r="AR15" s="31"/>
      <c r="AS15" s="31"/>
      <c r="AT15" s="31"/>
    </row>
    <row r="16" spans="1:46" ht="12.75">
      <c r="D16" s="32"/>
      <c r="E16" s="32"/>
      <c r="F16" s="32"/>
      <c r="G16" s="32"/>
      <c r="H16" s="32"/>
      <c r="I16" s="32"/>
      <c r="J16" s="33"/>
      <c r="K16" s="9"/>
      <c r="L16" s="9"/>
      <c r="AB16" s="31"/>
      <c r="AE16" s="31"/>
      <c r="AP16" s="58"/>
    </row>
    <row r="17" spans="2:45" ht="12">
      <c r="B17" s="386"/>
      <c r="C17" s="386"/>
      <c r="D17" s="34"/>
      <c r="E17" s="34"/>
      <c r="F17" s="34"/>
      <c r="G17" s="34"/>
      <c r="H17" s="34"/>
      <c r="I17" s="34"/>
      <c r="J17" s="35"/>
      <c r="AC17" s="31"/>
      <c r="AL17" s="220"/>
    </row>
    <row r="18" spans="2:45">
      <c r="AC18" s="31"/>
      <c r="AE18" s="31"/>
      <c r="AF18" s="31"/>
      <c r="AQ18" s="59"/>
    </row>
    <row r="19" spans="2:45">
      <c r="AL19" s="220"/>
      <c r="AQ19" s="31">
        <f>AP12+'Mr. Lim'!AS11+Mr.Moon!AS11+'Mr. Yang'!AS11+'Mr. Choi'!AS11+'Mr. Hwang'!AS11+'Payroll Office'!BM23+'Payroll of factory (SOI) '!BN27</f>
        <v>67940860</v>
      </c>
      <c r="AS19" s="303">
        <f>AR12+'Mr. Lim'!AV11+'Mr. Yang'!AV11</f>
        <v>7759.2389288569148</v>
      </c>
    </row>
    <row r="20" spans="2:45">
      <c r="AE20" s="31"/>
      <c r="AG20" s="31"/>
      <c r="AQ20" s="31">
        <f>AP12+'Mr. Lim'!AS11+Mr.Moon!AS11+'Mr. Yang'!AS11+'Mr. Choi'!AS11+'Mr. Hwang'!AS11+'Payroll Office'!BM23+'Payroll of factory (SOI) '!BN27+'Payroll of factory  '!BM22</f>
        <v>67940860</v>
      </c>
    </row>
    <row r="21" spans="2:45">
      <c r="AL21" s="220"/>
    </row>
    <row r="22" spans="2:45">
      <c r="AE22" s="31"/>
      <c r="AL22" s="220"/>
    </row>
    <row r="23" spans="2:45">
      <c r="AL23" s="220">
        <f>AE12+'Mr. Lim'!AE11+'Mr. Yang'!AE11+'Mr. Hwang'!AE11+'Payroll Office'!BB23+'Payroll of factory  '!BB22+'Payroll of factory (SOI) '!BC27+'Payroll of factory (DET).1'!BD40</f>
        <v>116191080</v>
      </c>
    </row>
    <row r="24" spans="2:45">
      <c r="J24" s="85"/>
    </row>
    <row r="25" spans="2:45" ht="12">
      <c r="J25" s="84"/>
    </row>
  </sheetData>
  <mergeCells count="26">
    <mergeCell ref="A3:AT3"/>
    <mergeCell ref="A4:AT4"/>
    <mergeCell ref="AT8:AT9"/>
    <mergeCell ref="R8:R9"/>
    <mergeCell ref="S8:S9"/>
    <mergeCell ref="T8:T9"/>
    <mergeCell ref="U8:Y8"/>
    <mergeCell ref="Z8:Z9"/>
    <mergeCell ref="AA8:AE8"/>
    <mergeCell ref="AS8:AS9"/>
    <mergeCell ref="J8:J9"/>
    <mergeCell ref="AJ8:AP8"/>
    <mergeCell ref="I8:I9"/>
    <mergeCell ref="A8:A9"/>
    <mergeCell ref="AQ8:AR8"/>
    <mergeCell ref="A6:B6"/>
    <mergeCell ref="B17:C17"/>
    <mergeCell ref="AF8:AI8"/>
    <mergeCell ref="E8:H8"/>
    <mergeCell ref="K8:P8"/>
    <mergeCell ref="Q8:Q9"/>
    <mergeCell ref="B8:B9"/>
    <mergeCell ref="C8:C9"/>
    <mergeCell ref="D8:D9"/>
    <mergeCell ref="B14:C14"/>
    <mergeCell ref="V14:W14"/>
  </mergeCells>
  <pageMargins left="0.45" right="0.45" top="0.5" bottom="0.75" header="0.3" footer="0.3"/>
  <pageSetup paperSize="8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3110-0A35-4320-92EE-CCEAB4CE5271}">
  <sheetPr codeName="Sheet6">
    <pageSetUpPr fitToPage="1"/>
  </sheetPr>
  <dimension ref="A1:AX14"/>
  <sheetViews>
    <sheetView view="pageBreakPreview" topLeftCell="AE1" zoomScale="96" zoomScaleNormal="106" zoomScaleSheetLayoutView="96" workbookViewId="0">
      <selection activeCell="BG17" sqref="BG17"/>
    </sheetView>
  </sheetViews>
  <sheetFormatPr defaultRowHeight="15"/>
  <cols>
    <col min="2" max="2" width="17.85546875" customWidth="1"/>
    <col min="5" max="8" width="0" hidden="1" customWidth="1"/>
    <col min="10" max="10" width="10.42578125" customWidth="1"/>
    <col min="11" max="18" width="0" hidden="1" customWidth="1"/>
    <col min="20" max="20" width="10.85546875" hidden="1" customWidth="1"/>
    <col min="21" max="25" width="0" hidden="1" customWidth="1"/>
    <col min="26" max="27" width="11" customWidth="1"/>
    <col min="36" max="36" width="11.85546875" customWidth="1"/>
    <col min="40" max="40" width="10.85546875" customWidth="1"/>
    <col min="41" max="41" width="11.28515625" customWidth="1"/>
    <col min="43" max="43" width="10.42578125" customWidth="1"/>
    <col min="44" max="44" width="10.28515625" customWidth="1"/>
    <col min="46" max="46" width="0" hidden="1" customWidth="1"/>
    <col min="47" max="47" width="10" customWidth="1"/>
    <col min="49" max="49" width="14.85546875" customWidth="1"/>
    <col min="50" max="50" width="17.140625" customWidth="1"/>
  </cols>
  <sheetData>
    <row r="1" spans="1:50" s="2" customFormat="1" ht="24" customHeight="1">
      <c r="A1" s="1" t="s">
        <v>0</v>
      </c>
      <c r="D1" s="3"/>
      <c r="E1" s="3"/>
      <c r="F1" s="3"/>
      <c r="G1" s="3"/>
      <c r="H1" s="3"/>
      <c r="I1" s="3"/>
      <c r="J1" s="4"/>
      <c r="T1" s="5"/>
      <c r="U1" s="5"/>
      <c r="V1" s="5"/>
      <c r="W1" s="5"/>
      <c r="X1" s="5"/>
      <c r="Y1" s="5"/>
      <c r="Z1" s="5"/>
      <c r="AL1" s="6"/>
      <c r="AM1" s="6"/>
      <c r="AN1" s="7"/>
      <c r="AO1" s="7"/>
      <c r="AP1" s="7"/>
      <c r="AQ1" s="7"/>
    </row>
    <row r="2" spans="1:50" s="2" customFormat="1" ht="24" customHeight="1">
      <c r="A2" s="1" t="s">
        <v>1</v>
      </c>
      <c r="D2" s="3"/>
      <c r="E2" s="3"/>
      <c r="F2" s="3"/>
      <c r="G2" s="3"/>
      <c r="H2" s="3"/>
      <c r="I2" s="3"/>
      <c r="J2" s="4"/>
      <c r="T2" s="5"/>
      <c r="U2" s="5"/>
      <c r="V2" s="5"/>
      <c r="W2" s="5"/>
      <c r="X2" s="5"/>
      <c r="Y2" s="5"/>
      <c r="Z2" s="5"/>
      <c r="AL2" s="6"/>
      <c r="AM2" s="6"/>
      <c r="AN2" s="7"/>
      <c r="AO2" s="7"/>
      <c r="AP2" s="7"/>
      <c r="AQ2" s="7"/>
    </row>
    <row r="3" spans="1:50" s="144" customFormat="1" ht="30" customHeight="1">
      <c r="A3" s="398" t="s">
        <v>324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</row>
    <row r="4" spans="1:50" s="2" customFormat="1" ht="23.25" customHeight="1">
      <c r="A4" s="399" t="s">
        <v>325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</row>
    <row r="5" spans="1:50" s="2" customFormat="1" ht="13.5">
      <c r="A5" s="8"/>
      <c r="B5" s="49"/>
      <c r="C5" s="49"/>
      <c r="D5" s="4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87" customFormat="1" ht="16.5" customHeight="1">
      <c r="A6" s="402" t="str">
        <f>'Payroll Mr Shin'!A6</f>
        <v>Tỷ giá Vietinbank: 31/08/2024</v>
      </c>
      <c r="B6" s="402"/>
      <c r="C6" s="224">
        <f>'Payroll Mr Shin'!C6</f>
        <v>24520</v>
      </c>
      <c r="D6" s="70">
        <f>'Payroll Mr Shin'!D6</f>
        <v>25020</v>
      </c>
      <c r="E6" s="225"/>
      <c r="F6" s="225"/>
      <c r="G6" s="225"/>
      <c r="H6" s="225"/>
      <c r="I6" s="225"/>
      <c r="J6" s="226"/>
      <c r="T6" s="71"/>
      <c r="U6" s="71"/>
      <c r="V6" s="71"/>
      <c r="W6" s="71"/>
      <c r="X6" s="71"/>
      <c r="Y6" s="71"/>
      <c r="Z6" s="71"/>
      <c r="AN6" s="227"/>
      <c r="AO6" s="227"/>
      <c r="AP6" s="227"/>
      <c r="AQ6" s="227"/>
      <c r="AU6" s="228"/>
    </row>
    <row r="7" spans="1:50" s="2" customFormat="1" ht="11.25">
      <c r="A7" s="10"/>
      <c r="B7" s="10"/>
      <c r="C7" s="10"/>
      <c r="D7" s="11"/>
      <c r="E7" s="11"/>
      <c r="F7" s="11"/>
      <c r="G7" s="11"/>
      <c r="H7" s="11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3"/>
      <c r="U7" s="13"/>
      <c r="V7" s="13"/>
      <c r="W7" s="13"/>
      <c r="X7" s="13"/>
      <c r="Y7" s="13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/>
      <c r="AO7" s="14"/>
      <c r="AP7" s="14"/>
      <c r="AQ7" s="14"/>
      <c r="AR7" s="10"/>
      <c r="AS7" s="10"/>
      <c r="AT7" s="10"/>
      <c r="AU7" s="15"/>
      <c r="AV7" s="15"/>
      <c r="AW7" s="15"/>
      <c r="AX7" s="15"/>
    </row>
    <row r="8" spans="1:50" s="16" customFormat="1" ht="24" customHeight="1">
      <c r="A8" s="394" t="s">
        <v>2</v>
      </c>
      <c r="B8" s="394" t="s">
        <v>3</v>
      </c>
      <c r="C8" s="394" t="s">
        <v>4</v>
      </c>
      <c r="D8" s="395" t="s">
        <v>5</v>
      </c>
      <c r="E8" s="388" t="s">
        <v>6</v>
      </c>
      <c r="F8" s="388"/>
      <c r="G8" s="388"/>
      <c r="H8" s="388"/>
      <c r="I8" s="394" t="s">
        <v>165</v>
      </c>
      <c r="J8" s="394" t="s">
        <v>7</v>
      </c>
      <c r="K8" s="389" t="s">
        <v>8</v>
      </c>
      <c r="L8" s="390"/>
      <c r="M8" s="390"/>
      <c r="N8" s="390"/>
      <c r="O8" s="390"/>
      <c r="P8" s="391"/>
      <c r="Q8" s="392" t="s">
        <v>118</v>
      </c>
      <c r="R8" s="394" t="s">
        <v>9</v>
      </c>
      <c r="S8" s="392" t="s">
        <v>10</v>
      </c>
      <c r="T8" s="394" t="s">
        <v>11</v>
      </c>
      <c r="U8" s="389" t="s">
        <v>12</v>
      </c>
      <c r="V8" s="390"/>
      <c r="W8" s="390"/>
      <c r="X8" s="390"/>
      <c r="Y8" s="391"/>
      <c r="Z8" s="394" t="s">
        <v>13</v>
      </c>
      <c r="AA8" s="387" t="s">
        <v>14</v>
      </c>
      <c r="AB8" s="387"/>
      <c r="AC8" s="387"/>
      <c r="AD8" s="387"/>
      <c r="AE8" s="387"/>
      <c r="AF8" s="387" t="s">
        <v>15</v>
      </c>
      <c r="AG8" s="387"/>
      <c r="AH8" s="387"/>
      <c r="AI8" s="387"/>
      <c r="AJ8" s="389" t="s">
        <v>119</v>
      </c>
      <c r="AK8" s="390"/>
      <c r="AL8" s="390"/>
      <c r="AM8" s="390"/>
      <c r="AN8" s="390"/>
      <c r="AO8" s="390"/>
      <c r="AP8" s="390"/>
      <c r="AQ8" s="390"/>
      <c r="AR8" s="390"/>
      <c r="AS8" s="391"/>
      <c r="AT8" s="392" t="s">
        <v>234</v>
      </c>
      <c r="AU8" s="389" t="s">
        <v>57</v>
      </c>
      <c r="AV8" s="391"/>
      <c r="AW8" s="392" t="s">
        <v>173</v>
      </c>
      <c r="AX8" s="394" t="s">
        <v>16</v>
      </c>
    </row>
    <row r="9" spans="1:50" s="16" customFormat="1" ht="84">
      <c r="A9" s="394"/>
      <c r="B9" s="394"/>
      <c r="C9" s="394"/>
      <c r="D9" s="396"/>
      <c r="E9" s="17" t="s">
        <v>121</v>
      </c>
      <c r="F9" s="17" t="s">
        <v>17</v>
      </c>
      <c r="G9" s="17" t="s">
        <v>122</v>
      </c>
      <c r="H9" s="17" t="s">
        <v>123</v>
      </c>
      <c r="I9" s="394"/>
      <c r="J9" s="394"/>
      <c r="K9" s="18" t="s">
        <v>18</v>
      </c>
      <c r="L9" s="18" t="s">
        <v>124</v>
      </c>
      <c r="M9" s="18" t="s">
        <v>125</v>
      </c>
      <c r="N9" s="18" t="s">
        <v>126</v>
      </c>
      <c r="O9" s="18" t="s">
        <v>127</v>
      </c>
      <c r="P9" s="18" t="s">
        <v>128</v>
      </c>
      <c r="Q9" s="393"/>
      <c r="R9" s="394"/>
      <c r="S9" s="393"/>
      <c r="T9" s="394"/>
      <c r="U9" s="19" t="s">
        <v>129</v>
      </c>
      <c r="V9" s="19" t="s">
        <v>17</v>
      </c>
      <c r="W9" s="19" t="s">
        <v>122</v>
      </c>
      <c r="X9" s="19" t="s">
        <v>123</v>
      </c>
      <c r="Y9" s="18" t="s">
        <v>19</v>
      </c>
      <c r="Z9" s="394"/>
      <c r="AA9" s="18" t="s">
        <v>20</v>
      </c>
      <c r="AB9" s="18" t="s">
        <v>21</v>
      </c>
      <c r="AC9" s="18" t="s">
        <v>22</v>
      </c>
      <c r="AD9" s="18" t="s">
        <v>23</v>
      </c>
      <c r="AE9" s="20" t="s">
        <v>24</v>
      </c>
      <c r="AF9" s="20" t="s">
        <v>25</v>
      </c>
      <c r="AG9" s="20" t="s">
        <v>26</v>
      </c>
      <c r="AH9" s="20" t="s">
        <v>23</v>
      </c>
      <c r="AI9" s="20" t="s">
        <v>27</v>
      </c>
      <c r="AJ9" s="18" t="s">
        <v>317</v>
      </c>
      <c r="AK9" s="18" t="s">
        <v>28</v>
      </c>
      <c r="AL9" s="18" t="s">
        <v>29</v>
      </c>
      <c r="AM9" s="18" t="s">
        <v>30</v>
      </c>
      <c r="AN9" s="21" t="s">
        <v>31</v>
      </c>
      <c r="AO9" s="21" t="s">
        <v>232</v>
      </c>
      <c r="AP9" s="21" t="s">
        <v>231</v>
      </c>
      <c r="AQ9" s="21" t="s">
        <v>233</v>
      </c>
      <c r="AR9" s="22" t="s">
        <v>318</v>
      </c>
      <c r="AS9" s="23" t="s">
        <v>32</v>
      </c>
      <c r="AT9" s="393"/>
      <c r="AU9" s="18" t="s">
        <v>54</v>
      </c>
      <c r="AV9" s="18" t="s">
        <v>321</v>
      </c>
      <c r="AW9" s="393"/>
      <c r="AX9" s="394"/>
    </row>
    <row r="10" spans="1:50" s="16" customFormat="1" ht="36" hidden="1">
      <c r="A10" s="24">
        <v>-1</v>
      </c>
      <c r="B10" s="24">
        <v>-2</v>
      </c>
      <c r="C10" s="24">
        <v>-3</v>
      </c>
      <c r="D10" s="24">
        <v>-4</v>
      </c>
      <c r="E10" s="24">
        <v>-5</v>
      </c>
      <c r="F10" s="24" t="s">
        <v>33</v>
      </c>
      <c r="G10" s="24">
        <v>-6</v>
      </c>
      <c r="H10" s="24">
        <v>-7</v>
      </c>
      <c r="I10" s="24"/>
      <c r="J10" s="24">
        <v>-8</v>
      </c>
      <c r="K10" s="24">
        <v>-9</v>
      </c>
      <c r="L10" s="24">
        <v>-10</v>
      </c>
      <c r="M10" s="24">
        <v>-11</v>
      </c>
      <c r="N10" s="24" t="s">
        <v>34</v>
      </c>
      <c r="O10" s="24" t="s">
        <v>35</v>
      </c>
      <c r="P10" s="24">
        <v>-12</v>
      </c>
      <c r="Q10" s="24" t="s">
        <v>36</v>
      </c>
      <c r="R10" s="24" t="s">
        <v>37</v>
      </c>
      <c r="S10" s="24" t="s">
        <v>38</v>
      </c>
      <c r="T10" s="25" t="s">
        <v>130</v>
      </c>
      <c r="U10" s="25" t="s">
        <v>131</v>
      </c>
      <c r="V10" s="25" t="s">
        <v>132</v>
      </c>
      <c r="W10" s="25" t="s">
        <v>133</v>
      </c>
      <c r="X10" s="25" t="s">
        <v>134</v>
      </c>
      <c r="Y10" s="25" t="s">
        <v>39</v>
      </c>
      <c r="Z10" s="25" t="s">
        <v>40</v>
      </c>
      <c r="AA10" s="24" t="s">
        <v>41</v>
      </c>
      <c r="AB10" s="24" t="s">
        <v>171</v>
      </c>
      <c r="AC10" s="24" t="s">
        <v>43</v>
      </c>
      <c r="AD10" s="24">
        <v>25</v>
      </c>
      <c r="AE10" s="50" t="s">
        <v>135</v>
      </c>
      <c r="AF10" s="24" t="s">
        <v>53</v>
      </c>
      <c r="AG10" s="50" t="s">
        <v>44</v>
      </c>
      <c r="AH10" s="50">
        <v>29</v>
      </c>
      <c r="AI10" s="50" t="s">
        <v>45</v>
      </c>
      <c r="AJ10" s="24">
        <v>-31</v>
      </c>
      <c r="AK10" s="24" t="s">
        <v>46</v>
      </c>
      <c r="AL10" s="24" t="s">
        <v>47</v>
      </c>
      <c r="AM10" s="24">
        <v>-33</v>
      </c>
      <c r="AN10" s="24" t="s">
        <v>48</v>
      </c>
      <c r="AO10" s="24">
        <v>-32</v>
      </c>
      <c r="AP10" s="24" t="s">
        <v>48</v>
      </c>
      <c r="AQ10" s="24">
        <v>-31</v>
      </c>
      <c r="AR10" s="26" t="s">
        <v>49</v>
      </c>
      <c r="AS10" s="24">
        <v>-36</v>
      </c>
      <c r="AT10" s="24">
        <v>-36</v>
      </c>
      <c r="AU10" s="24">
        <v>-37</v>
      </c>
      <c r="AV10" s="24">
        <v>-38</v>
      </c>
      <c r="AW10" s="24">
        <v>-39</v>
      </c>
      <c r="AX10" s="24">
        <v>-40</v>
      </c>
    </row>
    <row r="11" spans="1:50" s="55" customFormat="1" ht="33" customHeight="1">
      <c r="A11" s="51">
        <v>1</v>
      </c>
      <c r="B11" s="52" t="s">
        <v>241</v>
      </c>
      <c r="C11" s="53" t="s">
        <v>169</v>
      </c>
      <c r="D11" s="27">
        <v>216</v>
      </c>
      <c r="E11" s="28"/>
      <c r="F11" s="28"/>
      <c r="G11" s="27"/>
      <c r="H11" s="27"/>
      <c r="I11" s="27">
        <f>3500*0.85</f>
        <v>2975</v>
      </c>
      <c r="J11" s="27">
        <f>I11*D6</f>
        <v>74434500</v>
      </c>
      <c r="K11" s="27"/>
      <c r="L11" s="27"/>
      <c r="M11" s="27"/>
      <c r="N11" s="27"/>
      <c r="O11" s="27"/>
      <c r="P11" s="27"/>
      <c r="Q11" s="27">
        <f t="shared" ref="Q11" si="0">SUM(L11:P11)</f>
        <v>0</v>
      </c>
      <c r="R11" s="27"/>
      <c r="S11" s="27">
        <f>J11/D11</f>
        <v>344604.16666666669</v>
      </c>
      <c r="T11" s="29">
        <f>S11*D11</f>
        <v>74434500</v>
      </c>
      <c r="U11" s="29">
        <f t="shared" ref="U11" si="1">S11*E11*150%</f>
        <v>0</v>
      </c>
      <c r="V11" s="29"/>
      <c r="W11" s="29">
        <f t="shared" ref="W11" si="2">S11*G11*200%</f>
        <v>0</v>
      </c>
      <c r="X11" s="29">
        <f t="shared" ref="X11" si="3">S11*H11*300%</f>
        <v>0</v>
      </c>
      <c r="Y11" s="29">
        <f t="shared" ref="Y11" si="4">SUM(U11:X11)</f>
        <v>0</v>
      </c>
      <c r="Z11" s="29">
        <f t="shared" ref="Z11" si="5">Q11+T11+Y11</f>
        <v>74434500</v>
      </c>
      <c r="AA11" s="29">
        <v>46800000</v>
      </c>
      <c r="AB11" s="27">
        <f>AA11*17.5%</f>
        <v>8189999.9999999991</v>
      </c>
      <c r="AC11" s="27">
        <f>+AA11*3%</f>
        <v>1404000</v>
      </c>
      <c r="AD11" s="27"/>
      <c r="AE11" s="27">
        <f>AB11+AC11+AD11</f>
        <v>9594000</v>
      </c>
      <c r="AF11" s="27">
        <f>AA11*0.08</f>
        <v>3744000</v>
      </c>
      <c r="AG11" s="27">
        <f>+AA11*1.5%</f>
        <v>702000</v>
      </c>
      <c r="AH11" s="27"/>
      <c r="AI11" s="27">
        <f>AF11+AG11+AH11</f>
        <v>4446000</v>
      </c>
      <c r="AJ11" s="27">
        <v>11000000</v>
      </c>
      <c r="AK11" s="27">
        <v>1</v>
      </c>
      <c r="AL11" s="27">
        <f>+AK11*4400000</f>
        <v>4400000</v>
      </c>
      <c r="AM11" s="27"/>
      <c r="AN11" s="27">
        <f>Z11-AM11</f>
        <v>74434500</v>
      </c>
      <c r="AO11" s="27">
        <f>AN11*15%</f>
        <v>11165175</v>
      </c>
      <c r="AP11" s="27">
        <f>2000000/5</f>
        <v>400000</v>
      </c>
      <c r="AQ11" s="27">
        <f>AN11+AP11</f>
        <v>74834500</v>
      </c>
      <c r="AR11" s="27">
        <f>(AQ11-AJ11-AL11-AI11)</f>
        <v>54988500</v>
      </c>
      <c r="AS11" s="56">
        <f>ROUND(IF(AR11&lt;=5000000,AR11*5%,IF(AND(AR11&gt;5000000,AR11&lt;=10000000),AR11*10%-250000,IF(AND(AR11&gt;10000000,AR11&lt;=18000000),AR11*15%-750000,IF(AND(AR11&gt;18000000,AR11&lt;=32000000),AR11*20%-1650000,IF(AND(AR11&gt;32000000,AR11&lt;=52000000),AR11*25%-3250000,IF(AND(AR11&gt;52000000,AR11&lt;80000000),AR11*30%-5850000,IF(AR11&gt;80000000,AR11*35%-9850000))))))),0)</f>
        <v>10646550</v>
      </c>
      <c r="AT11" s="56">
        <v>0</v>
      </c>
      <c r="AU11" s="27">
        <f>Z11-AI11-AS11-AT11</f>
        <v>59341950</v>
      </c>
      <c r="AV11" s="54">
        <f>AU11/D6</f>
        <v>2371.7805755395684</v>
      </c>
      <c r="AW11" s="113" t="s">
        <v>175</v>
      </c>
      <c r="AX11" s="54"/>
    </row>
    <row r="12" spans="1:50" s="2" customFormat="1" ht="10.5">
      <c r="D12" s="3"/>
      <c r="E12" s="3"/>
      <c r="F12" s="3"/>
      <c r="G12" s="3"/>
      <c r="H12" s="3"/>
      <c r="I12" s="3"/>
      <c r="J12" s="4"/>
      <c r="T12" s="5"/>
      <c r="U12" s="5"/>
      <c r="V12" s="5"/>
      <c r="W12" s="5"/>
      <c r="X12" s="5"/>
      <c r="Y12" s="5"/>
      <c r="Z12" s="5"/>
      <c r="AL12" s="6"/>
      <c r="AM12" s="6"/>
      <c r="AN12" s="7"/>
      <c r="AO12" s="7"/>
      <c r="AP12" s="7"/>
      <c r="AQ12" s="7"/>
    </row>
    <row r="13" spans="1:50" s="144" customFormat="1" ht="23.25">
      <c r="B13" s="401" t="s">
        <v>50</v>
      </c>
      <c r="C13" s="401"/>
      <c r="D13" s="155"/>
      <c r="E13" s="155"/>
      <c r="F13" s="155"/>
      <c r="G13" s="155"/>
      <c r="H13" s="155"/>
      <c r="I13" s="155"/>
      <c r="J13" s="156"/>
      <c r="S13" s="154"/>
      <c r="T13" s="157"/>
      <c r="U13" s="157"/>
      <c r="V13" s="401"/>
      <c r="W13" s="401"/>
      <c r="X13" s="157"/>
      <c r="Y13" s="157"/>
      <c r="Z13" s="157"/>
      <c r="AA13" s="158"/>
      <c r="AB13" s="158"/>
      <c r="AD13" s="159"/>
      <c r="AE13" s="158"/>
      <c r="AF13" s="158"/>
      <c r="AI13" s="159" t="s">
        <v>51</v>
      </c>
      <c r="AN13" s="160"/>
      <c r="AO13" s="160"/>
      <c r="AP13" s="160"/>
      <c r="AQ13" s="160"/>
      <c r="AR13" s="160"/>
      <c r="AS13" s="160"/>
      <c r="AT13" s="161"/>
      <c r="AU13" s="160"/>
      <c r="AW13" s="160" t="s">
        <v>52</v>
      </c>
    </row>
    <row r="14" spans="1:50" s="2" customFormat="1" ht="12.75">
      <c r="D14" s="32"/>
      <c r="E14" s="32"/>
      <c r="F14" s="32"/>
      <c r="G14" s="32"/>
      <c r="H14" s="32"/>
      <c r="I14" s="32"/>
      <c r="J14" s="33"/>
      <c r="K14" s="9"/>
      <c r="L14" s="9"/>
      <c r="T14" s="5"/>
      <c r="U14" s="5"/>
      <c r="V14" s="5"/>
      <c r="W14" s="5"/>
      <c r="X14" s="5"/>
      <c r="Y14" s="5"/>
      <c r="Z14" s="5"/>
      <c r="AH14" s="31"/>
      <c r="AL14" s="6"/>
      <c r="AM14" s="6"/>
      <c r="AN14" s="7"/>
      <c r="AO14" s="7"/>
      <c r="AP14" s="7"/>
      <c r="AQ14" s="7"/>
      <c r="AS14" s="57"/>
      <c r="AT14" s="57"/>
      <c r="AU14" s="31"/>
      <c r="AV14" s="31"/>
      <c r="AW14" s="31"/>
      <c r="AX14" s="31"/>
    </row>
  </sheetData>
  <mergeCells count="26">
    <mergeCell ref="A3:AX3"/>
    <mergeCell ref="A4:AX4"/>
    <mergeCell ref="A8:A9"/>
    <mergeCell ref="B8:B9"/>
    <mergeCell ref="C8:C9"/>
    <mergeCell ref="D8:D9"/>
    <mergeCell ref="E8:H8"/>
    <mergeCell ref="I8:I9"/>
    <mergeCell ref="J8:J9"/>
    <mergeCell ref="K8:P8"/>
    <mergeCell ref="AW8:AW9"/>
    <mergeCell ref="AX8:AX9"/>
    <mergeCell ref="AT8:AT9"/>
    <mergeCell ref="A6:B6"/>
    <mergeCell ref="AU8:AV8"/>
    <mergeCell ref="B13:C13"/>
    <mergeCell ref="V13:W13"/>
    <mergeCell ref="AA8:AE8"/>
    <mergeCell ref="AF8:AI8"/>
    <mergeCell ref="AJ8:AS8"/>
    <mergeCell ref="Q8:Q9"/>
    <mergeCell ref="R8:R9"/>
    <mergeCell ref="S8:S9"/>
    <mergeCell ref="T8:T9"/>
    <mergeCell ref="U8:Y8"/>
    <mergeCell ref="Z8:Z9"/>
  </mergeCells>
  <pageMargins left="0.7" right="0.7" top="0.75" bottom="0.75" header="0.3" footer="0.3"/>
  <pageSetup paperSize="8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X19"/>
  <sheetViews>
    <sheetView view="pageBreakPreview" zoomScale="98" zoomScaleNormal="100" zoomScaleSheetLayoutView="98" workbookViewId="0">
      <selection activeCell="S14" sqref="S14:AX21"/>
    </sheetView>
  </sheetViews>
  <sheetFormatPr defaultRowHeight="15"/>
  <cols>
    <col min="2" max="2" width="17.85546875" customWidth="1"/>
    <col min="5" max="8" width="0" hidden="1" customWidth="1"/>
    <col min="10" max="10" width="10.42578125" customWidth="1"/>
    <col min="11" max="17" width="0" hidden="1" customWidth="1"/>
    <col min="18" max="18" width="10" hidden="1" customWidth="1"/>
    <col min="20" max="20" width="10.85546875" hidden="1" customWidth="1"/>
    <col min="21" max="25" width="0" hidden="1" customWidth="1"/>
    <col min="26" max="26" width="12.42578125" customWidth="1"/>
    <col min="27" max="27" width="13.5703125" customWidth="1"/>
    <col min="28" max="28" width="18.140625" bestFit="1" customWidth="1"/>
    <col min="36" max="36" width="11.85546875" customWidth="1"/>
    <col min="40" max="40" width="10.85546875" customWidth="1"/>
    <col min="41" max="41" width="11.28515625" customWidth="1"/>
    <col min="43" max="43" width="10.42578125" customWidth="1"/>
    <col min="44" max="44" width="10.28515625" customWidth="1"/>
    <col min="46" max="46" width="9.140625" hidden="1" customWidth="1"/>
    <col min="47" max="47" width="11.5703125" customWidth="1"/>
    <col min="49" max="49" width="16" customWidth="1"/>
    <col min="50" max="50" width="19.28515625" customWidth="1"/>
  </cols>
  <sheetData>
    <row r="1" spans="1:50" s="2" customFormat="1" ht="19.5" customHeight="1">
      <c r="A1" s="1" t="s">
        <v>0</v>
      </c>
      <c r="D1" s="3"/>
      <c r="E1" s="3"/>
      <c r="F1" s="3"/>
      <c r="G1" s="3"/>
      <c r="H1" s="3"/>
      <c r="I1" s="3"/>
      <c r="J1" s="4"/>
      <c r="T1" s="5"/>
      <c r="U1" s="5"/>
      <c r="V1" s="5"/>
      <c r="W1" s="5"/>
      <c r="X1" s="5"/>
      <c r="Y1" s="5"/>
      <c r="Z1" s="5"/>
      <c r="AL1" s="6"/>
      <c r="AM1" s="6"/>
      <c r="AN1" s="7"/>
      <c r="AO1" s="7"/>
      <c r="AP1" s="7"/>
      <c r="AQ1" s="7"/>
    </row>
    <row r="2" spans="1:50" s="2" customFormat="1" ht="19.5" customHeight="1">
      <c r="A2" s="1" t="s">
        <v>1</v>
      </c>
      <c r="D2" s="3"/>
      <c r="E2" s="3"/>
      <c r="F2" s="3"/>
      <c r="G2" s="3"/>
      <c r="H2" s="3"/>
      <c r="I2" s="3"/>
      <c r="J2" s="4"/>
      <c r="T2" s="5"/>
      <c r="U2" s="5"/>
      <c r="V2" s="5"/>
      <c r="W2" s="5"/>
      <c r="X2" s="5"/>
      <c r="Y2" s="5"/>
      <c r="Z2" s="5"/>
      <c r="AL2" s="6"/>
      <c r="AM2" s="6"/>
      <c r="AN2" s="7"/>
      <c r="AO2" s="7"/>
      <c r="AP2" s="7"/>
      <c r="AQ2" s="7"/>
    </row>
    <row r="3" spans="1:50" s="2" customFormat="1" ht="33" customHeight="1">
      <c r="A3" s="405" t="s">
        <v>324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405"/>
      <c r="AT3" s="405"/>
      <c r="AU3" s="405"/>
      <c r="AV3" s="405"/>
      <c r="AW3" s="405"/>
      <c r="AX3" s="405"/>
    </row>
    <row r="4" spans="1:50" s="2" customFormat="1" ht="22.5" customHeight="1">
      <c r="A4" s="399" t="s">
        <v>325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</row>
    <row r="5" spans="1:50" s="2" customFormat="1" ht="13.5">
      <c r="A5" s="8"/>
      <c r="B5" s="49"/>
      <c r="C5" s="49"/>
      <c r="D5" s="4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41" customFormat="1" ht="16.5" customHeight="1">
      <c r="A6" s="402" t="str">
        <f>'Payroll Mr Shin'!A6</f>
        <v>Tỷ giá Vietinbank: 31/08/2024</v>
      </c>
      <c r="B6" s="402"/>
      <c r="C6" s="222">
        <f>'Payroll Mr Shin'!C6</f>
        <v>24520</v>
      </c>
      <c r="D6" s="223">
        <f>'Payroll Mr Shin'!D6</f>
        <v>25020</v>
      </c>
      <c r="E6" s="42"/>
      <c r="F6" s="42"/>
      <c r="G6" s="42"/>
      <c r="H6" s="42"/>
      <c r="I6" s="42"/>
      <c r="J6" s="43"/>
      <c r="T6" s="39"/>
      <c r="U6" s="39"/>
      <c r="V6" s="39"/>
      <c r="W6" s="39"/>
      <c r="X6" s="39"/>
      <c r="Y6" s="39"/>
      <c r="Z6" s="39"/>
      <c r="AN6" s="36"/>
      <c r="AO6" s="36"/>
      <c r="AP6" s="36"/>
      <c r="AQ6" s="36"/>
      <c r="AU6" s="40"/>
    </row>
    <row r="7" spans="1:50" s="2" customFormat="1" ht="11.25">
      <c r="A7" s="10"/>
      <c r="B7" s="10"/>
      <c r="C7" s="10"/>
      <c r="D7" s="11"/>
      <c r="E7" s="11"/>
      <c r="F7" s="11"/>
      <c r="G7" s="11"/>
      <c r="H7" s="11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3"/>
      <c r="U7" s="13"/>
      <c r="V7" s="13"/>
      <c r="W7" s="13"/>
      <c r="X7" s="13"/>
      <c r="Y7" s="13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/>
      <c r="AO7" s="14"/>
      <c r="AP7" s="14"/>
      <c r="AQ7" s="14"/>
      <c r="AR7" s="10"/>
      <c r="AS7" s="10"/>
      <c r="AT7" s="10"/>
      <c r="AU7" s="15"/>
      <c r="AV7" s="15"/>
      <c r="AW7" s="15"/>
      <c r="AX7" s="15"/>
    </row>
    <row r="8" spans="1:50" s="16" customFormat="1" ht="24" customHeight="1">
      <c r="A8" s="394" t="s">
        <v>2</v>
      </c>
      <c r="B8" s="394" t="s">
        <v>3</v>
      </c>
      <c r="C8" s="394" t="s">
        <v>4</v>
      </c>
      <c r="D8" s="395" t="s">
        <v>5</v>
      </c>
      <c r="E8" s="388" t="s">
        <v>6</v>
      </c>
      <c r="F8" s="388"/>
      <c r="G8" s="388"/>
      <c r="H8" s="388"/>
      <c r="I8" s="394" t="s">
        <v>165</v>
      </c>
      <c r="J8" s="394" t="s">
        <v>7</v>
      </c>
      <c r="K8" s="389" t="s">
        <v>8</v>
      </c>
      <c r="L8" s="390"/>
      <c r="M8" s="390"/>
      <c r="N8" s="390"/>
      <c r="O8" s="390"/>
      <c r="P8" s="391"/>
      <c r="Q8" s="392" t="s">
        <v>118</v>
      </c>
      <c r="R8" s="394" t="s">
        <v>9</v>
      </c>
      <c r="S8" s="392" t="s">
        <v>10</v>
      </c>
      <c r="T8" s="394" t="s">
        <v>11</v>
      </c>
      <c r="U8" s="389" t="s">
        <v>12</v>
      </c>
      <c r="V8" s="390"/>
      <c r="W8" s="390"/>
      <c r="X8" s="390"/>
      <c r="Y8" s="391"/>
      <c r="Z8" s="394" t="s">
        <v>13</v>
      </c>
      <c r="AA8" s="387" t="s">
        <v>14</v>
      </c>
      <c r="AB8" s="387"/>
      <c r="AC8" s="387"/>
      <c r="AD8" s="387"/>
      <c r="AE8" s="387"/>
      <c r="AF8" s="387" t="s">
        <v>15</v>
      </c>
      <c r="AG8" s="387"/>
      <c r="AH8" s="387"/>
      <c r="AI8" s="387"/>
      <c r="AJ8" s="389" t="s">
        <v>119</v>
      </c>
      <c r="AK8" s="390"/>
      <c r="AL8" s="390"/>
      <c r="AM8" s="390"/>
      <c r="AN8" s="390"/>
      <c r="AO8" s="390"/>
      <c r="AP8" s="390"/>
      <c r="AQ8" s="390"/>
      <c r="AR8" s="390"/>
      <c r="AS8" s="391"/>
      <c r="AT8" s="392" t="s">
        <v>234</v>
      </c>
      <c r="AU8" s="403" t="s">
        <v>57</v>
      </c>
      <c r="AV8" s="404"/>
      <c r="AW8" s="392" t="s">
        <v>173</v>
      </c>
      <c r="AX8" s="394" t="s">
        <v>16</v>
      </c>
    </row>
    <row r="9" spans="1:50" s="16" customFormat="1" ht="84">
      <c r="A9" s="394"/>
      <c r="B9" s="394"/>
      <c r="C9" s="394"/>
      <c r="D9" s="396"/>
      <c r="E9" s="17" t="s">
        <v>121</v>
      </c>
      <c r="F9" s="17" t="s">
        <v>17</v>
      </c>
      <c r="G9" s="17" t="s">
        <v>122</v>
      </c>
      <c r="H9" s="17" t="s">
        <v>123</v>
      </c>
      <c r="I9" s="394"/>
      <c r="J9" s="394"/>
      <c r="K9" s="18" t="s">
        <v>18</v>
      </c>
      <c r="L9" s="18" t="s">
        <v>124</v>
      </c>
      <c r="M9" s="18" t="s">
        <v>125</v>
      </c>
      <c r="N9" s="18" t="s">
        <v>126</v>
      </c>
      <c r="O9" s="18" t="s">
        <v>127</v>
      </c>
      <c r="P9" s="18" t="s">
        <v>128</v>
      </c>
      <c r="Q9" s="393"/>
      <c r="R9" s="394"/>
      <c r="S9" s="393"/>
      <c r="T9" s="394"/>
      <c r="U9" s="19" t="s">
        <v>129</v>
      </c>
      <c r="V9" s="19" t="s">
        <v>17</v>
      </c>
      <c r="W9" s="19" t="s">
        <v>122</v>
      </c>
      <c r="X9" s="19" t="s">
        <v>123</v>
      </c>
      <c r="Y9" s="18" t="s">
        <v>19</v>
      </c>
      <c r="Z9" s="394"/>
      <c r="AA9" s="18" t="s">
        <v>20</v>
      </c>
      <c r="AB9" s="18" t="s">
        <v>21</v>
      </c>
      <c r="AC9" s="18" t="s">
        <v>22</v>
      </c>
      <c r="AD9" s="18" t="s">
        <v>23</v>
      </c>
      <c r="AE9" s="20" t="s">
        <v>24</v>
      </c>
      <c r="AF9" s="20" t="s">
        <v>25</v>
      </c>
      <c r="AG9" s="20" t="s">
        <v>26</v>
      </c>
      <c r="AH9" s="20" t="s">
        <v>23</v>
      </c>
      <c r="AI9" s="20" t="s">
        <v>27</v>
      </c>
      <c r="AJ9" s="18" t="s">
        <v>317</v>
      </c>
      <c r="AK9" s="18" t="s">
        <v>28</v>
      </c>
      <c r="AL9" s="18" t="s">
        <v>29</v>
      </c>
      <c r="AM9" s="18" t="s">
        <v>30</v>
      </c>
      <c r="AN9" s="21" t="s">
        <v>31</v>
      </c>
      <c r="AO9" s="21" t="s">
        <v>232</v>
      </c>
      <c r="AP9" s="21" t="s">
        <v>231</v>
      </c>
      <c r="AQ9" s="21" t="s">
        <v>233</v>
      </c>
      <c r="AR9" s="22" t="s">
        <v>318</v>
      </c>
      <c r="AS9" s="23" t="s">
        <v>32</v>
      </c>
      <c r="AT9" s="393"/>
      <c r="AU9" s="18" t="s">
        <v>54</v>
      </c>
      <c r="AV9" s="18" t="s">
        <v>322</v>
      </c>
      <c r="AW9" s="393"/>
      <c r="AX9" s="394"/>
    </row>
    <row r="10" spans="1:50" s="16" customFormat="1" ht="36" hidden="1">
      <c r="A10" s="24">
        <v>-1</v>
      </c>
      <c r="B10" s="24">
        <v>-2</v>
      </c>
      <c r="C10" s="24">
        <v>-3</v>
      </c>
      <c r="D10" s="24">
        <v>-4</v>
      </c>
      <c r="E10" s="24">
        <v>-5</v>
      </c>
      <c r="F10" s="24" t="s">
        <v>33</v>
      </c>
      <c r="G10" s="24">
        <v>-6</v>
      </c>
      <c r="H10" s="24">
        <v>-7</v>
      </c>
      <c r="I10" s="24"/>
      <c r="J10" s="24">
        <v>-8</v>
      </c>
      <c r="K10" s="24">
        <v>-9</v>
      </c>
      <c r="L10" s="24">
        <v>-10</v>
      </c>
      <c r="M10" s="24">
        <v>-11</v>
      </c>
      <c r="N10" s="24" t="s">
        <v>34</v>
      </c>
      <c r="O10" s="24" t="s">
        <v>35</v>
      </c>
      <c r="P10" s="24">
        <v>-12</v>
      </c>
      <c r="Q10" s="24" t="s">
        <v>36</v>
      </c>
      <c r="R10" s="24" t="s">
        <v>37</v>
      </c>
      <c r="S10" s="24" t="s">
        <v>38</v>
      </c>
      <c r="T10" s="25" t="s">
        <v>130</v>
      </c>
      <c r="U10" s="25" t="s">
        <v>131</v>
      </c>
      <c r="V10" s="25" t="s">
        <v>132</v>
      </c>
      <c r="W10" s="25" t="s">
        <v>133</v>
      </c>
      <c r="X10" s="25" t="s">
        <v>134</v>
      </c>
      <c r="Y10" s="25" t="s">
        <v>39</v>
      </c>
      <c r="Z10" s="25" t="s">
        <v>40</v>
      </c>
      <c r="AA10" s="24" t="s">
        <v>41</v>
      </c>
      <c r="AB10" s="24" t="s">
        <v>171</v>
      </c>
      <c r="AC10" s="24" t="s">
        <v>43</v>
      </c>
      <c r="AD10" s="24">
        <v>25</v>
      </c>
      <c r="AE10" s="50" t="s">
        <v>135</v>
      </c>
      <c r="AF10" s="24" t="s">
        <v>53</v>
      </c>
      <c r="AG10" s="50" t="s">
        <v>44</v>
      </c>
      <c r="AH10" s="50">
        <v>29</v>
      </c>
      <c r="AI10" s="50" t="s">
        <v>45</v>
      </c>
      <c r="AJ10" s="24">
        <v>-31</v>
      </c>
      <c r="AK10" s="24" t="s">
        <v>46</v>
      </c>
      <c r="AL10" s="24" t="s">
        <v>47</v>
      </c>
      <c r="AM10" s="24">
        <v>-33</v>
      </c>
      <c r="AN10" s="24" t="s">
        <v>48</v>
      </c>
      <c r="AO10" s="24">
        <v>-32</v>
      </c>
      <c r="AP10" s="24" t="s">
        <v>48</v>
      </c>
      <c r="AQ10" s="24">
        <v>-31</v>
      </c>
      <c r="AR10" s="26" t="s">
        <v>49</v>
      </c>
      <c r="AS10" s="24">
        <v>-36</v>
      </c>
      <c r="AT10" s="24">
        <v>-36</v>
      </c>
      <c r="AU10" s="24">
        <v>-37</v>
      </c>
      <c r="AV10" s="24">
        <v>-38</v>
      </c>
      <c r="AW10" s="24">
        <v>-39</v>
      </c>
      <c r="AX10" s="24">
        <v>-40</v>
      </c>
    </row>
    <row r="11" spans="1:50" s="55" customFormat="1" ht="33" customHeight="1">
      <c r="A11" s="51">
        <v>1</v>
      </c>
      <c r="B11" s="52" t="s">
        <v>141</v>
      </c>
      <c r="C11" s="53" t="s">
        <v>245</v>
      </c>
      <c r="D11" s="27">
        <v>216</v>
      </c>
      <c r="E11" s="28"/>
      <c r="F11" s="28"/>
      <c r="G11" s="27"/>
      <c r="H11" s="27"/>
      <c r="I11" s="27">
        <f>3500*0.85</f>
        <v>2975</v>
      </c>
      <c r="J11" s="27">
        <f>I11*D6</f>
        <v>74434500</v>
      </c>
      <c r="K11" s="27"/>
      <c r="L11" s="27"/>
      <c r="M11" s="27"/>
      <c r="N11" s="27"/>
      <c r="O11" s="27"/>
      <c r="P11" s="27"/>
      <c r="Q11" s="27">
        <f t="shared" ref="Q11" si="0">SUM(L11:P11)</f>
        <v>0</v>
      </c>
      <c r="R11" s="27"/>
      <c r="S11" s="27">
        <f>J11/D11</f>
        <v>344604.16666666669</v>
      </c>
      <c r="T11" s="29">
        <f>S11*D11</f>
        <v>74434500</v>
      </c>
      <c r="U11" s="29">
        <f t="shared" ref="U11" si="1">S11*E11*150%</f>
        <v>0</v>
      </c>
      <c r="V11" s="29"/>
      <c r="W11" s="29">
        <f t="shared" ref="W11" si="2">S11*G11*200%</f>
        <v>0</v>
      </c>
      <c r="X11" s="29">
        <f t="shared" ref="X11" si="3">S11*H11*300%</f>
        <v>0</v>
      </c>
      <c r="Y11" s="29">
        <f t="shared" ref="Y11" si="4">SUM(U11:X11)</f>
        <v>0</v>
      </c>
      <c r="Z11" s="29">
        <f>Q11+T11+Y11</f>
        <v>74434500</v>
      </c>
      <c r="AA11" s="27">
        <v>0</v>
      </c>
      <c r="AB11" s="27">
        <f>AA11*17.5%</f>
        <v>0</v>
      </c>
      <c r="AC11" s="27">
        <f>+AA11*3%</f>
        <v>0</v>
      </c>
      <c r="AD11" s="27"/>
      <c r="AE11" s="27">
        <f>AB11+AC11+AD11</f>
        <v>0</v>
      </c>
      <c r="AF11" s="27">
        <f>AA11*0.08</f>
        <v>0</v>
      </c>
      <c r="AG11" s="27">
        <f>+AA11*1.5%</f>
        <v>0</v>
      </c>
      <c r="AH11" s="27"/>
      <c r="AI11" s="27">
        <f>AF11+AG11+AH11</f>
        <v>0</v>
      </c>
      <c r="AJ11" s="27">
        <v>11000000</v>
      </c>
      <c r="AK11" s="27">
        <v>0</v>
      </c>
      <c r="AL11" s="27">
        <f>+AK11*4400000</f>
        <v>0</v>
      </c>
      <c r="AM11" s="27"/>
      <c r="AN11" s="27">
        <f>Z11-AM11</f>
        <v>74434500</v>
      </c>
      <c r="AO11" s="27">
        <f>AN11*15%</f>
        <v>11165175</v>
      </c>
      <c r="AP11" s="27">
        <f>2000000/5</f>
        <v>400000</v>
      </c>
      <c r="AQ11" s="27">
        <f>AN11+AP11</f>
        <v>74834500</v>
      </c>
      <c r="AR11" s="27">
        <f>(AQ11-AJ11-AL11-AI11)</f>
        <v>63834500</v>
      </c>
      <c r="AS11" s="56">
        <f>ROUND(IF(AR11&lt;=5000000,AR11*5%,IF(AND(AR11&gt;5000000,AR11&lt;=10000000),AR11*10%-250000,IF(AND(AR11&gt;10000000,AR11&lt;=18000000),AR11*15%-750000,IF(AND(AR11&gt;18000000,AR11&lt;=32000000),AR11*20%-1650000,IF(AND(AR11&gt;32000000,AR11&lt;=52000000),AR11*25%-3250000,IF(AND(AR11&gt;52000000,AR11&lt;80000000),AR11*30%-5850000,IF(AR11&gt;80000000,AR11*35%-9850000))))))),0)</f>
        <v>13300350</v>
      </c>
      <c r="AT11" s="56">
        <v>0</v>
      </c>
      <c r="AU11" s="27">
        <f>Z11-AI11-AS11-AT11</f>
        <v>61134150</v>
      </c>
      <c r="AV11" s="54">
        <f>AU11/D6</f>
        <v>2443.4112709832134</v>
      </c>
      <c r="AW11" s="113" t="s">
        <v>175</v>
      </c>
      <c r="AX11" s="54"/>
    </row>
    <row r="12" spans="1:50" s="2" customFormat="1" ht="10.5">
      <c r="D12" s="3"/>
      <c r="E12" s="3"/>
      <c r="F12" s="3"/>
      <c r="G12" s="3"/>
      <c r="H12" s="3"/>
      <c r="I12" s="3"/>
      <c r="J12" s="4"/>
      <c r="T12" s="5"/>
      <c r="U12" s="5"/>
      <c r="V12" s="5"/>
      <c r="W12" s="5"/>
      <c r="X12" s="5"/>
      <c r="Y12" s="5"/>
      <c r="Z12" s="37"/>
      <c r="AL12" s="6"/>
      <c r="AM12" s="6"/>
      <c r="AN12" s="7"/>
      <c r="AO12" s="7"/>
      <c r="AP12" s="7"/>
      <c r="AQ12" s="7"/>
    </row>
    <row r="13" spans="1:50" s="146" customFormat="1" ht="21">
      <c r="B13" s="406" t="s">
        <v>50</v>
      </c>
      <c r="C13" s="406"/>
      <c r="D13" s="148"/>
      <c r="E13" s="148"/>
      <c r="F13" s="148"/>
      <c r="G13" s="148"/>
      <c r="H13" s="148"/>
      <c r="I13" s="148"/>
      <c r="J13" s="149"/>
      <c r="S13" s="147"/>
      <c r="T13" s="91"/>
      <c r="U13" s="91"/>
      <c r="V13" s="406" t="s">
        <v>51</v>
      </c>
      <c r="W13" s="406"/>
      <c r="X13" s="91"/>
      <c r="Y13" s="91"/>
      <c r="Z13" s="219"/>
      <c r="AA13" s="150"/>
      <c r="AB13" s="150"/>
      <c r="AD13" s="150"/>
      <c r="AE13" s="150"/>
      <c r="AF13" s="150"/>
      <c r="AG13" s="151"/>
      <c r="AH13" s="151" t="s">
        <v>51</v>
      </c>
      <c r="AJ13" s="151"/>
      <c r="AN13" s="152"/>
      <c r="AO13" s="152"/>
      <c r="AP13" s="152"/>
      <c r="AQ13" s="152"/>
      <c r="AR13" s="152"/>
      <c r="AS13" s="152"/>
      <c r="AT13" s="153"/>
      <c r="AU13" s="152"/>
      <c r="AW13" s="152" t="s">
        <v>52</v>
      </c>
    </row>
    <row r="14" spans="1:50" s="2" customFormat="1" ht="12.75">
      <c r="D14" s="32"/>
      <c r="E14" s="32"/>
      <c r="F14" s="32"/>
      <c r="G14" s="32"/>
      <c r="H14" s="32"/>
      <c r="I14" s="32"/>
      <c r="J14" s="33"/>
      <c r="K14" s="9"/>
      <c r="L14" s="9"/>
      <c r="T14" s="5"/>
      <c r="U14" s="5"/>
      <c r="V14" s="5"/>
      <c r="W14" s="5"/>
      <c r="X14" s="5"/>
      <c r="Y14" s="5"/>
      <c r="Z14" s="5"/>
      <c r="AH14" s="31"/>
      <c r="AL14" s="6"/>
      <c r="AM14" s="6"/>
      <c r="AN14" s="7"/>
      <c r="AO14" s="7"/>
      <c r="AP14" s="7"/>
      <c r="AQ14" s="7"/>
      <c r="AS14" s="57"/>
      <c r="AT14" s="57"/>
      <c r="AU14" s="31"/>
      <c r="AV14" s="31"/>
      <c r="AW14" s="31"/>
      <c r="AX14" s="31"/>
    </row>
    <row r="15" spans="1:50">
      <c r="AU15" s="142"/>
    </row>
    <row r="16" spans="1:50">
      <c r="AW16" s="221"/>
    </row>
    <row r="18" spans="27:49">
      <c r="AA18" s="142"/>
      <c r="AB18" s="142"/>
      <c r="AW18" s="221"/>
    </row>
    <row r="19" spans="27:49">
      <c r="AA19" s="142"/>
    </row>
  </sheetData>
  <mergeCells count="26">
    <mergeCell ref="B13:C13"/>
    <mergeCell ref="V13:W13"/>
    <mergeCell ref="AA8:AE8"/>
    <mergeCell ref="AF8:AI8"/>
    <mergeCell ref="AJ8:AS8"/>
    <mergeCell ref="Q8:Q9"/>
    <mergeCell ref="R8:R9"/>
    <mergeCell ref="S8:S9"/>
    <mergeCell ref="T8:T9"/>
    <mergeCell ref="U8:Y8"/>
    <mergeCell ref="Z8:Z9"/>
    <mergeCell ref="AU8:AV8"/>
    <mergeCell ref="A3:AX3"/>
    <mergeCell ref="A4:AX4"/>
    <mergeCell ref="A8:A9"/>
    <mergeCell ref="B8:B9"/>
    <mergeCell ref="C8:C9"/>
    <mergeCell ref="D8:D9"/>
    <mergeCell ref="E8:H8"/>
    <mergeCell ref="I8:I9"/>
    <mergeCell ref="J8:J9"/>
    <mergeCell ref="K8:P8"/>
    <mergeCell ref="AW8:AW9"/>
    <mergeCell ref="AX8:AX9"/>
    <mergeCell ref="AT8:AT9"/>
    <mergeCell ref="A6:B6"/>
  </mergeCells>
  <pageMargins left="0.7" right="0.7" top="0.75" bottom="0.75" header="0.3" footer="0.3"/>
  <pageSetup paperSize="8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AX17"/>
  <sheetViews>
    <sheetView view="pageBreakPreview" topLeftCell="J1" zoomScale="98" zoomScaleNormal="100" zoomScaleSheetLayoutView="98" workbookViewId="0">
      <selection activeCell="AI13" sqref="AI13"/>
    </sheetView>
  </sheetViews>
  <sheetFormatPr defaultRowHeight="15"/>
  <cols>
    <col min="1" max="1" width="9.140625" style="315"/>
    <col min="2" max="2" width="18.42578125" style="315" customWidth="1"/>
    <col min="3" max="4" width="9.140625" style="315"/>
    <col min="5" max="8" width="0" style="315" hidden="1" customWidth="1"/>
    <col min="9" max="9" width="9.140625" style="315"/>
    <col min="10" max="10" width="10.42578125" style="315" customWidth="1"/>
    <col min="11" max="17" width="0" style="315" hidden="1" customWidth="1"/>
    <col min="18" max="18" width="11.140625" style="315" hidden="1" customWidth="1"/>
    <col min="19" max="19" width="9.140625" style="315"/>
    <col min="20" max="20" width="10.85546875" style="315" hidden="1" customWidth="1"/>
    <col min="21" max="25" width="0" style="315" hidden="1" customWidth="1"/>
    <col min="26" max="27" width="11" style="315" customWidth="1"/>
    <col min="28" max="28" width="9.140625" style="315"/>
    <col min="29" max="29" width="9.140625" style="315" customWidth="1"/>
    <col min="30" max="30" width="9.140625" style="315"/>
    <col min="31" max="31" width="9.140625" style="315" customWidth="1"/>
    <col min="32" max="35" width="9.140625" style="315"/>
    <col min="36" max="36" width="11.85546875" style="315" customWidth="1"/>
    <col min="37" max="38" width="9.140625" style="315"/>
    <col min="39" max="39" width="9.85546875" style="315" customWidth="1"/>
    <col min="40" max="40" width="10.85546875" style="315" customWidth="1"/>
    <col min="41" max="42" width="9.140625" style="315"/>
    <col min="43" max="43" width="10.42578125" style="315" customWidth="1"/>
    <col min="44" max="44" width="10.28515625" style="315" customWidth="1"/>
    <col min="45" max="45" width="9.140625" style="315"/>
    <col min="46" max="46" width="0" style="315" hidden="1" customWidth="1"/>
    <col min="47" max="47" width="10" style="315" customWidth="1"/>
    <col min="48" max="48" width="9.140625" style="315"/>
    <col min="49" max="49" width="19.140625" style="315" customWidth="1"/>
    <col min="50" max="50" width="19" style="315" customWidth="1"/>
    <col min="51" max="16384" width="9.140625" style="315"/>
  </cols>
  <sheetData>
    <row r="1" spans="1:50" s="2" customFormat="1" ht="25.5" customHeight="1">
      <c r="A1" s="1" t="s">
        <v>0</v>
      </c>
      <c r="D1" s="3"/>
      <c r="E1" s="3"/>
      <c r="F1" s="3"/>
      <c r="G1" s="3"/>
      <c r="H1" s="3"/>
      <c r="I1" s="3"/>
      <c r="J1" s="4"/>
      <c r="T1" s="5"/>
      <c r="U1" s="5"/>
      <c r="V1" s="5"/>
      <c r="W1" s="5"/>
      <c r="X1" s="5"/>
      <c r="Y1" s="5"/>
      <c r="Z1" s="5"/>
      <c r="AL1" s="6"/>
      <c r="AM1" s="6"/>
      <c r="AN1" s="7"/>
      <c r="AO1" s="7"/>
      <c r="AP1" s="7"/>
      <c r="AQ1" s="7"/>
    </row>
    <row r="2" spans="1:50" s="2" customFormat="1" ht="25.5" customHeight="1">
      <c r="A2" s="1" t="s">
        <v>1</v>
      </c>
      <c r="D2" s="3"/>
      <c r="E2" s="3"/>
      <c r="F2" s="3"/>
      <c r="G2" s="3"/>
      <c r="H2" s="3"/>
      <c r="I2" s="3"/>
      <c r="J2" s="4"/>
      <c r="T2" s="5"/>
      <c r="U2" s="5"/>
      <c r="V2" s="5"/>
      <c r="W2" s="5"/>
      <c r="X2" s="5"/>
      <c r="Y2" s="5"/>
      <c r="Z2" s="5"/>
      <c r="AL2" s="6"/>
      <c r="AM2" s="6"/>
      <c r="AN2" s="7"/>
      <c r="AO2" s="7"/>
      <c r="AP2" s="7"/>
      <c r="AQ2" s="7"/>
    </row>
    <row r="3" spans="1:50" s="144" customFormat="1" ht="31.5" customHeight="1">
      <c r="A3" s="398" t="s">
        <v>324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</row>
    <row r="4" spans="1:50" s="2" customFormat="1" ht="21" customHeight="1">
      <c r="A4" s="399" t="s">
        <v>325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</row>
    <row r="5" spans="1:50" s="2" customFormat="1" ht="13.5">
      <c r="A5" s="8"/>
      <c r="B5" s="49"/>
      <c r="C5" s="49"/>
      <c r="D5" s="4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2" customFormat="1" ht="27" customHeight="1">
      <c r="A6" s="402" t="str">
        <f>'Payroll Mr Shin'!A6</f>
        <v>Tỷ giá Vietinbank: 31/08/2024</v>
      </c>
      <c r="B6" s="402"/>
      <c r="C6" s="222">
        <f>'Payroll Mr Shin'!C6</f>
        <v>24520</v>
      </c>
      <c r="D6" s="223">
        <f>'Payroll Mr Shin'!D6</f>
        <v>25020</v>
      </c>
      <c r="E6" s="3"/>
      <c r="F6" s="3"/>
      <c r="G6" s="3"/>
      <c r="H6" s="3"/>
      <c r="I6" s="3"/>
      <c r="J6" s="4"/>
      <c r="T6" s="5"/>
      <c r="U6" s="5"/>
      <c r="V6" s="5"/>
      <c r="W6" s="5"/>
      <c r="X6" s="5"/>
      <c r="Y6" s="5"/>
      <c r="Z6" s="5"/>
      <c r="AL6" s="6"/>
      <c r="AM6" s="6"/>
      <c r="AN6" s="7"/>
      <c r="AO6" s="7"/>
      <c r="AP6" s="7"/>
      <c r="AQ6" s="7"/>
      <c r="AU6" s="1"/>
    </row>
    <row r="7" spans="1:50" s="2" customFormat="1" ht="11.25">
      <c r="A7" s="10"/>
      <c r="B7" s="10"/>
      <c r="C7" s="10"/>
      <c r="D7" s="11"/>
      <c r="E7" s="11"/>
      <c r="F7" s="11"/>
      <c r="G7" s="11"/>
      <c r="H7" s="11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3"/>
      <c r="U7" s="13"/>
      <c r="V7" s="13"/>
      <c r="W7" s="13"/>
      <c r="X7" s="13"/>
      <c r="Y7" s="13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/>
      <c r="AO7" s="14"/>
      <c r="AP7" s="14"/>
      <c r="AQ7" s="14"/>
      <c r="AR7" s="10"/>
      <c r="AS7" s="10"/>
      <c r="AT7" s="10"/>
      <c r="AU7" s="15"/>
      <c r="AV7" s="15"/>
      <c r="AW7" s="15"/>
      <c r="AX7" s="15"/>
    </row>
    <row r="8" spans="1:50" s="16" customFormat="1" ht="24" customHeight="1">
      <c r="A8" s="394" t="s">
        <v>2</v>
      </c>
      <c r="B8" s="394" t="s">
        <v>3</v>
      </c>
      <c r="C8" s="394" t="s">
        <v>4</v>
      </c>
      <c r="D8" s="395" t="s">
        <v>5</v>
      </c>
      <c r="E8" s="388" t="s">
        <v>6</v>
      </c>
      <c r="F8" s="388"/>
      <c r="G8" s="388"/>
      <c r="H8" s="388"/>
      <c r="I8" s="394" t="s">
        <v>165</v>
      </c>
      <c r="J8" s="394" t="s">
        <v>7</v>
      </c>
      <c r="K8" s="389" t="s">
        <v>8</v>
      </c>
      <c r="L8" s="390"/>
      <c r="M8" s="390"/>
      <c r="N8" s="390"/>
      <c r="O8" s="390"/>
      <c r="P8" s="391"/>
      <c r="Q8" s="392" t="s">
        <v>118</v>
      </c>
      <c r="R8" s="394" t="s">
        <v>9</v>
      </c>
      <c r="S8" s="392" t="s">
        <v>10</v>
      </c>
      <c r="T8" s="394" t="s">
        <v>11</v>
      </c>
      <c r="U8" s="389" t="s">
        <v>12</v>
      </c>
      <c r="V8" s="390"/>
      <c r="W8" s="390"/>
      <c r="X8" s="390"/>
      <c r="Y8" s="391"/>
      <c r="Z8" s="394" t="s">
        <v>13</v>
      </c>
      <c r="AA8" s="387" t="s">
        <v>14</v>
      </c>
      <c r="AB8" s="387"/>
      <c r="AC8" s="387"/>
      <c r="AD8" s="387"/>
      <c r="AE8" s="387"/>
      <c r="AF8" s="387" t="s">
        <v>15</v>
      </c>
      <c r="AG8" s="387"/>
      <c r="AH8" s="387"/>
      <c r="AI8" s="387"/>
      <c r="AJ8" s="389" t="s">
        <v>119</v>
      </c>
      <c r="AK8" s="390"/>
      <c r="AL8" s="390"/>
      <c r="AM8" s="390"/>
      <c r="AN8" s="390"/>
      <c r="AO8" s="390"/>
      <c r="AP8" s="390"/>
      <c r="AQ8" s="390"/>
      <c r="AR8" s="390"/>
      <c r="AS8" s="391"/>
      <c r="AT8" s="392" t="s">
        <v>234</v>
      </c>
      <c r="AU8" s="389" t="s">
        <v>57</v>
      </c>
      <c r="AV8" s="391"/>
      <c r="AW8" s="392" t="s">
        <v>173</v>
      </c>
      <c r="AX8" s="394" t="s">
        <v>16</v>
      </c>
    </row>
    <row r="9" spans="1:50" s="16" customFormat="1" ht="84">
      <c r="A9" s="394"/>
      <c r="B9" s="394"/>
      <c r="C9" s="394"/>
      <c r="D9" s="396"/>
      <c r="E9" s="17" t="s">
        <v>121</v>
      </c>
      <c r="F9" s="17" t="s">
        <v>17</v>
      </c>
      <c r="G9" s="17" t="s">
        <v>122</v>
      </c>
      <c r="H9" s="17" t="s">
        <v>123</v>
      </c>
      <c r="I9" s="394"/>
      <c r="J9" s="394"/>
      <c r="K9" s="18" t="s">
        <v>18</v>
      </c>
      <c r="L9" s="18" t="s">
        <v>124</v>
      </c>
      <c r="M9" s="18" t="s">
        <v>125</v>
      </c>
      <c r="N9" s="18" t="s">
        <v>126</v>
      </c>
      <c r="O9" s="18" t="s">
        <v>127</v>
      </c>
      <c r="P9" s="18" t="s">
        <v>128</v>
      </c>
      <c r="Q9" s="393"/>
      <c r="R9" s="394"/>
      <c r="S9" s="393"/>
      <c r="T9" s="394"/>
      <c r="U9" s="19" t="s">
        <v>129</v>
      </c>
      <c r="V9" s="19" t="s">
        <v>17</v>
      </c>
      <c r="W9" s="19" t="s">
        <v>122</v>
      </c>
      <c r="X9" s="19" t="s">
        <v>123</v>
      </c>
      <c r="Y9" s="18" t="s">
        <v>19</v>
      </c>
      <c r="Z9" s="394"/>
      <c r="AA9" s="18" t="s">
        <v>20</v>
      </c>
      <c r="AB9" s="18" t="s">
        <v>21</v>
      </c>
      <c r="AC9" s="18" t="s">
        <v>22</v>
      </c>
      <c r="AD9" s="18" t="s">
        <v>23</v>
      </c>
      <c r="AE9" s="20" t="s">
        <v>24</v>
      </c>
      <c r="AF9" s="20" t="s">
        <v>25</v>
      </c>
      <c r="AG9" s="20" t="s">
        <v>26</v>
      </c>
      <c r="AH9" s="20" t="s">
        <v>23</v>
      </c>
      <c r="AI9" s="20" t="s">
        <v>27</v>
      </c>
      <c r="AJ9" s="18" t="s">
        <v>317</v>
      </c>
      <c r="AK9" s="18" t="s">
        <v>28</v>
      </c>
      <c r="AL9" s="18" t="s">
        <v>29</v>
      </c>
      <c r="AM9" s="18" t="s">
        <v>30</v>
      </c>
      <c r="AN9" s="21" t="s">
        <v>31</v>
      </c>
      <c r="AO9" s="21" t="s">
        <v>232</v>
      </c>
      <c r="AP9" s="21" t="s">
        <v>231</v>
      </c>
      <c r="AQ9" s="21" t="s">
        <v>233</v>
      </c>
      <c r="AR9" s="22" t="s">
        <v>318</v>
      </c>
      <c r="AS9" s="18" t="s">
        <v>289</v>
      </c>
      <c r="AT9" s="393"/>
      <c r="AU9" s="18" t="s">
        <v>54</v>
      </c>
      <c r="AV9" s="18" t="s">
        <v>322</v>
      </c>
      <c r="AW9" s="393"/>
      <c r="AX9" s="394"/>
    </row>
    <row r="10" spans="1:50" s="320" customFormat="1" ht="36" hidden="1">
      <c r="A10" s="318">
        <v>-1</v>
      </c>
      <c r="B10" s="318">
        <v>-2</v>
      </c>
      <c r="C10" s="318">
        <v>-3</v>
      </c>
      <c r="D10" s="318">
        <v>-4</v>
      </c>
      <c r="E10" s="318">
        <v>-5</v>
      </c>
      <c r="F10" s="318" t="s">
        <v>33</v>
      </c>
      <c r="G10" s="318">
        <v>-6</v>
      </c>
      <c r="H10" s="318">
        <v>-7</v>
      </c>
      <c r="I10" s="318"/>
      <c r="J10" s="318">
        <v>-8</v>
      </c>
      <c r="K10" s="318">
        <v>-9</v>
      </c>
      <c r="L10" s="318">
        <v>-10</v>
      </c>
      <c r="M10" s="318">
        <v>-11</v>
      </c>
      <c r="N10" s="318" t="s">
        <v>34</v>
      </c>
      <c r="O10" s="318" t="s">
        <v>35</v>
      </c>
      <c r="P10" s="318">
        <v>-12</v>
      </c>
      <c r="Q10" s="318" t="s">
        <v>36</v>
      </c>
      <c r="R10" s="318" t="s">
        <v>37</v>
      </c>
      <c r="S10" s="318" t="s">
        <v>38</v>
      </c>
      <c r="T10" s="319" t="s">
        <v>130</v>
      </c>
      <c r="U10" s="319" t="s">
        <v>131</v>
      </c>
      <c r="V10" s="319" t="s">
        <v>132</v>
      </c>
      <c r="W10" s="319" t="s">
        <v>133</v>
      </c>
      <c r="X10" s="319" t="s">
        <v>134</v>
      </c>
      <c r="Y10" s="319" t="s">
        <v>39</v>
      </c>
      <c r="Z10" s="319" t="s">
        <v>40</v>
      </c>
      <c r="AA10" s="318" t="s">
        <v>41</v>
      </c>
      <c r="AB10" s="318" t="s">
        <v>171</v>
      </c>
      <c r="AC10" s="318" t="s">
        <v>43</v>
      </c>
      <c r="AD10" s="318">
        <v>25</v>
      </c>
      <c r="AE10" s="318" t="s">
        <v>135</v>
      </c>
      <c r="AF10" s="318" t="s">
        <v>53</v>
      </c>
      <c r="AG10" s="318" t="s">
        <v>44</v>
      </c>
      <c r="AH10" s="318">
        <v>29</v>
      </c>
      <c r="AI10" s="318" t="s">
        <v>45</v>
      </c>
      <c r="AJ10" s="318">
        <v>-31</v>
      </c>
      <c r="AK10" s="318" t="s">
        <v>46</v>
      </c>
      <c r="AL10" s="318" t="s">
        <v>47</v>
      </c>
      <c r="AM10" s="318">
        <v>-33</v>
      </c>
      <c r="AN10" s="318" t="s">
        <v>48</v>
      </c>
      <c r="AO10" s="318">
        <v>-32</v>
      </c>
      <c r="AP10" s="318" t="s">
        <v>48</v>
      </c>
      <c r="AQ10" s="318">
        <v>-31</v>
      </c>
      <c r="AR10" s="318" t="s">
        <v>49</v>
      </c>
      <c r="AS10" s="318">
        <v>-36</v>
      </c>
      <c r="AT10" s="318">
        <v>-36</v>
      </c>
      <c r="AU10" s="318">
        <v>-37</v>
      </c>
      <c r="AV10" s="318">
        <v>-38</v>
      </c>
      <c r="AW10" s="318">
        <v>-39</v>
      </c>
      <c r="AX10" s="318">
        <v>-40</v>
      </c>
    </row>
    <row r="11" spans="1:50" s="55" customFormat="1" ht="33" customHeight="1">
      <c r="A11" s="51">
        <v>1</v>
      </c>
      <c r="B11" s="52" t="s">
        <v>140</v>
      </c>
      <c r="C11" s="53" t="s">
        <v>139</v>
      </c>
      <c r="D11" s="27">
        <v>216</v>
      </c>
      <c r="E11" s="28"/>
      <c r="F11" s="28"/>
      <c r="G11" s="27"/>
      <c r="H11" s="27"/>
      <c r="I11" s="27">
        <f>2000*0.85</f>
        <v>1700</v>
      </c>
      <c r="J11" s="27">
        <f>I11*D6</f>
        <v>42534000</v>
      </c>
      <c r="K11" s="27"/>
      <c r="L11" s="27"/>
      <c r="M11" s="27"/>
      <c r="N11" s="27"/>
      <c r="O11" s="27"/>
      <c r="P11" s="27"/>
      <c r="Q11" s="27">
        <f t="shared" ref="Q11" si="0">SUM(L11:P11)</f>
        <v>0</v>
      </c>
      <c r="R11" s="27"/>
      <c r="S11" s="27">
        <f>J11/D11</f>
        <v>196916.66666666666</v>
      </c>
      <c r="T11" s="29">
        <f>S11*D11</f>
        <v>42534000</v>
      </c>
      <c r="U11" s="29">
        <f t="shared" ref="U11" si="1">S11*E11*150%</f>
        <v>0</v>
      </c>
      <c r="V11" s="29"/>
      <c r="W11" s="29">
        <f t="shared" ref="W11" si="2">S11*G11*200%</f>
        <v>0</v>
      </c>
      <c r="X11" s="29">
        <f t="shared" ref="X11" si="3">S11*H11*300%</f>
        <v>0</v>
      </c>
      <c r="Y11" s="29">
        <f t="shared" ref="Y11" si="4">SUM(U11:X11)</f>
        <v>0</v>
      </c>
      <c r="Z11" s="29">
        <f t="shared" ref="Z11" si="5">Q11+T11+Y11</f>
        <v>42534000</v>
      </c>
      <c r="AA11" s="29">
        <v>41242000</v>
      </c>
      <c r="AB11" s="27">
        <f>AA11*17.5%</f>
        <v>7217350</v>
      </c>
      <c r="AC11" s="27">
        <f>+AA11*3%</f>
        <v>1237260</v>
      </c>
      <c r="AD11" s="27"/>
      <c r="AE11" s="27">
        <f>AB11+AC11+AD11</f>
        <v>8454610</v>
      </c>
      <c r="AF11" s="27">
        <f>AA11*0.08</f>
        <v>3299360</v>
      </c>
      <c r="AG11" s="27">
        <f>+AA11*1.5%</f>
        <v>618630</v>
      </c>
      <c r="AH11" s="27"/>
      <c r="AI11" s="27">
        <f>AF11+AG11+AH11</f>
        <v>3917990</v>
      </c>
      <c r="AJ11" s="27">
        <v>11000000</v>
      </c>
      <c r="AK11" s="27">
        <v>2</v>
      </c>
      <c r="AL11" s="27">
        <f>+AK11*4400000</f>
        <v>8800000</v>
      </c>
      <c r="AM11" s="27"/>
      <c r="AN11" s="27">
        <f>Z11-AM11</f>
        <v>42534000</v>
      </c>
      <c r="AO11" s="27">
        <f>AN11*15%</f>
        <v>6380100</v>
      </c>
      <c r="AP11" s="27">
        <f>2000000/5</f>
        <v>400000</v>
      </c>
      <c r="AQ11" s="27">
        <f>AN11+AP11</f>
        <v>42934000</v>
      </c>
      <c r="AR11" s="27">
        <f>(AQ11-AJ11-AL11-AI11)</f>
        <v>19216010</v>
      </c>
      <c r="AS11" s="56">
        <f>ROUND(IF(AR11&lt;=5000000,AR11*5%,IF(AND(AR11&gt;5000000,AR11&lt;=10000000),AR11*10%-250000,IF(AND(AR11&gt;10000000,AR11&lt;=18000000),AR11*15%-750000,IF(AND(AR11&gt;18000000,AR11&lt;=32000000),AR11*20%-1650000,IF(AND(AR11&gt;32000000,AR11&lt;=52000000),AR11*25%-3250000,IF(AND(AR11&gt;52000000,AR11&lt;80000000),AR11*30%-5850000,IF(AR11&gt;80000000,AR11*35%-9850000))))))),0)</f>
        <v>2193202</v>
      </c>
      <c r="AT11" s="56">
        <v>0</v>
      </c>
      <c r="AU11" s="27">
        <f>Z11-AI11-AS11-AT11</f>
        <v>36422808</v>
      </c>
      <c r="AV11" s="54">
        <f>AU11/D6</f>
        <v>1455.747721822542</v>
      </c>
      <c r="AW11" s="113" t="s">
        <v>175</v>
      </c>
      <c r="AX11" s="54"/>
    </row>
    <row r="12" spans="1:50" s="2" customFormat="1" ht="10.5">
      <c r="D12" s="3"/>
      <c r="E12" s="3"/>
      <c r="F12" s="3"/>
      <c r="G12" s="3"/>
      <c r="H12" s="3"/>
      <c r="I12" s="3"/>
      <c r="J12" s="4"/>
      <c r="T12" s="5"/>
      <c r="U12" s="5"/>
      <c r="V12" s="5"/>
      <c r="W12" s="5"/>
      <c r="X12" s="5"/>
      <c r="Y12" s="5"/>
      <c r="Z12" s="37"/>
      <c r="AL12" s="6"/>
      <c r="AM12" s="6"/>
      <c r="AN12" s="7"/>
      <c r="AO12" s="7"/>
      <c r="AP12" s="7"/>
      <c r="AQ12" s="7"/>
    </row>
    <row r="13" spans="1:50" s="146" customFormat="1" ht="21">
      <c r="B13" s="406" t="s">
        <v>50</v>
      </c>
      <c r="C13" s="406"/>
      <c r="D13" s="148"/>
      <c r="E13" s="148"/>
      <c r="F13" s="148"/>
      <c r="G13" s="148"/>
      <c r="H13" s="148"/>
      <c r="I13" s="148"/>
      <c r="J13" s="149"/>
      <c r="S13" s="147"/>
      <c r="T13" s="91"/>
      <c r="U13" s="91"/>
      <c r="V13" s="406" t="s">
        <v>51</v>
      </c>
      <c r="W13" s="406"/>
      <c r="X13" s="91"/>
      <c r="Y13" s="91"/>
      <c r="Z13" s="91"/>
      <c r="AA13" s="150"/>
      <c r="AB13" s="150"/>
      <c r="AD13" s="150"/>
      <c r="AE13" s="150"/>
      <c r="AF13" s="150"/>
      <c r="AI13" s="151" t="s">
        <v>51</v>
      </c>
      <c r="AN13" s="152"/>
      <c r="AO13" s="152"/>
      <c r="AP13" s="152"/>
      <c r="AQ13" s="152"/>
      <c r="AR13" s="152"/>
      <c r="AS13" s="152"/>
      <c r="AT13" s="153"/>
      <c r="AU13" s="152"/>
      <c r="AW13" s="152" t="s">
        <v>52</v>
      </c>
    </row>
    <row r="14" spans="1:50" s="2" customFormat="1" ht="12.75">
      <c r="D14" s="32"/>
      <c r="E14" s="32"/>
      <c r="F14" s="32"/>
      <c r="G14" s="32"/>
      <c r="H14" s="32"/>
      <c r="I14" s="32"/>
      <c r="J14" s="33"/>
      <c r="K14" s="9"/>
      <c r="L14" s="9"/>
      <c r="T14" s="5"/>
      <c r="U14" s="5"/>
      <c r="V14" s="5"/>
      <c r="W14" s="5"/>
      <c r="X14" s="5"/>
      <c r="Y14" s="5"/>
      <c r="Z14" s="5"/>
      <c r="AH14" s="31"/>
      <c r="AL14" s="6"/>
      <c r="AM14" s="6"/>
      <c r="AN14" s="7"/>
      <c r="AO14" s="7"/>
      <c r="AP14" s="7"/>
      <c r="AQ14" s="7"/>
      <c r="AS14" s="57"/>
      <c r="AT14" s="57"/>
      <c r="AU14" s="31"/>
      <c r="AV14" s="31"/>
      <c r="AW14" s="31"/>
      <c r="AX14" s="31"/>
    </row>
    <row r="15" spans="1:50">
      <c r="Z15" s="316"/>
      <c r="AV15" s="317"/>
    </row>
    <row r="17" spans="18:20">
      <c r="R17" s="316"/>
      <c r="T17" s="316"/>
    </row>
  </sheetData>
  <mergeCells count="26">
    <mergeCell ref="B13:C13"/>
    <mergeCell ref="V13:W13"/>
    <mergeCell ref="AA8:AE8"/>
    <mergeCell ref="AF8:AI8"/>
    <mergeCell ref="AJ8:AS8"/>
    <mergeCell ref="Q8:Q9"/>
    <mergeCell ref="R8:R9"/>
    <mergeCell ref="S8:S9"/>
    <mergeCell ref="T8:T9"/>
    <mergeCell ref="U8:Y8"/>
    <mergeCell ref="Z8:Z9"/>
    <mergeCell ref="AU8:AV8"/>
    <mergeCell ref="A3:AX3"/>
    <mergeCell ref="A4:AX4"/>
    <mergeCell ref="A8:A9"/>
    <mergeCell ref="B8:B9"/>
    <mergeCell ref="C8:C9"/>
    <mergeCell ref="D8:D9"/>
    <mergeCell ref="E8:H8"/>
    <mergeCell ref="I8:I9"/>
    <mergeCell ref="J8:J9"/>
    <mergeCell ref="K8:P8"/>
    <mergeCell ref="AW8:AW9"/>
    <mergeCell ref="AX8:AX9"/>
    <mergeCell ref="AT8:AT9"/>
    <mergeCell ref="A6:B6"/>
  </mergeCells>
  <pageMargins left="0.45" right="0.45" top="0.75" bottom="0.75" header="0.3" footer="0.3"/>
  <pageSetup paperSize="8" scale="6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X21"/>
  <sheetViews>
    <sheetView view="pageBreakPreview" topLeftCell="I1" zoomScale="112" zoomScaleNormal="100" zoomScaleSheetLayoutView="112" workbookViewId="0">
      <selection activeCell="J14" sqref="J14"/>
    </sheetView>
  </sheetViews>
  <sheetFormatPr defaultRowHeight="15"/>
  <cols>
    <col min="2" max="2" width="17.85546875" customWidth="1"/>
    <col min="5" max="8" width="0" hidden="1" customWidth="1"/>
    <col min="10" max="10" width="11.5703125" customWidth="1"/>
    <col min="11" max="18" width="0" hidden="1" customWidth="1"/>
    <col min="19" max="19" width="11.140625" bestFit="1" customWidth="1"/>
    <col min="20" max="20" width="10.85546875" hidden="1" customWidth="1"/>
    <col min="21" max="25" width="0" hidden="1" customWidth="1"/>
    <col min="26" max="27" width="11" customWidth="1"/>
    <col min="36" max="36" width="11.85546875" customWidth="1"/>
    <col min="40" max="40" width="10.85546875" customWidth="1"/>
    <col min="41" max="41" width="11.28515625" customWidth="1"/>
    <col min="43" max="43" width="10.42578125" customWidth="1"/>
    <col min="44" max="44" width="10.28515625" customWidth="1"/>
    <col min="46" max="46" width="0" hidden="1" customWidth="1"/>
    <col min="47" max="47" width="10" customWidth="1"/>
    <col min="49" max="49" width="14.85546875" customWidth="1"/>
    <col min="50" max="50" width="17.140625" customWidth="1"/>
  </cols>
  <sheetData>
    <row r="1" spans="1:50" s="2" customFormat="1" ht="12.75">
      <c r="A1" s="1" t="s">
        <v>0</v>
      </c>
      <c r="D1" s="3"/>
      <c r="E1" s="3"/>
      <c r="F1" s="3"/>
      <c r="G1" s="3"/>
      <c r="H1" s="3"/>
      <c r="I1" s="3"/>
      <c r="J1" s="4"/>
      <c r="T1" s="5"/>
      <c r="U1" s="5"/>
      <c r="V1" s="5"/>
      <c r="W1" s="5"/>
      <c r="X1" s="5"/>
      <c r="Y1" s="5"/>
      <c r="Z1" s="5"/>
      <c r="AL1" s="6"/>
      <c r="AM1" s="6"/>
      <c r="AN1" s="7"/>
      <c r="AO1" s="7"/>
      <c r="AP1" s="7"/>
      <c r="AQ1" s="7"/>
    </row>
    <row r="2" spans="1:50" s="2" customFormat="1" ht="12.75">
      <c r="A2" s="1" t="s">
        <v>1</v>
      </c>
      <c r="D2" s="3"/>
      <c r="E2" s="3"/>
      <c r="F2" s="3"/>
      <c r="G2" s="3"/>
      <c r="H2" s="3"/>
      <c r="I2" s="3"/>
      <c r="J2" s="4"/>
      <c r="T2" s="5"/>
      <c r="U2" s="5"/>
      <c r="V2" s="5"/>
      <c r="W2" s="5"/>
      <c r="X2" s="5"/>
      <c r="Y2" s="5"/>
      <c r="Z2" s="5"/>
      <c r="AL2" s="6"/>
      <c r="AM2" s="6"/>
      <c r="AN2" s="7"/>
      <c r="AO2" s="7"/>
      <c r="AP2" s="7"/>
      <c r="AQ2" s="7"/>
    </row>
    <row r="3" spans="1:50" s="145" customFormat="1" ht="22.5">
      <c r="A3" s="398" t="s">
        <v>324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</row>
    <row r="4" spans="1:50" s="2" customFormat="1" ht="13.5">
      <c r="A4" s="399" t="s">
        <v>325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</row>
    <row r="5" spans="1:50" s="2" customFormat="1" ht="13.5">
      <c r="A5" s="8"/>
      <c r="B5" s="49"/>
      <c r="C5" s="49"/>
      <c r="D5" s="4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41" customFormat="1" ht="16.5" customHeight="1">
      <c r="A6" s="402" t="str">
        <f>'Payroll Mr Shin'!A6</f>
        <v>Tỷ giá Vietinbank: 31/08/2024</v>
      </c>
      <c r="B6" s="402"/>
      <c r="C6" s="222">
        <f>'Payroll Mr Shin'!C6</f>
        <v>24520</v>
      </c>
      <c r="D6" s="223">
        <f>'Payroll Mr Shin'!D6</f>
        <v>25020</v>
      </c>
      <c r="E6" s="42"/>
      <c r="F6" s="42"/>
      <c r="G6" s="42"/>
      <c r="H6" s="42"/>
      <c r="I6" s="42"/>
      <c r="J6" s="43"/>
      <c r="T6" s="39"/>
      <c r="U6" s="39"/>
      <c r="V6" s="39"/>
      <c r="W6" s="39"/>
      <c r="X6" s="39"/>
      <c r="Y6" s="39"/>
      <c r="Z6" s="39"/>
      <c r="AN6" s="36"/>
      <c r="AO6" s="36"/>
      <c r="AP6" s="36"/>
      <c r="AQ6" s="36"/>
      <c r="AU6" s="40"/>
    </row>
    <row r="7" spans="1:50" s="2" customFormat="1" ht="11.25">
      <c r="A7" s="10"/>
      <c r="B7" s="10"/>
      <c r="C7" s="10"/>
      <c r="D7" s="11"/>
      <c r="E7" s="11"/>
      <c r="F7" s="11"/>
      <c r="G7" s="11"/>
      <c r="H7" s="11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3"/>
      <c r="U7" s="13"/>
      <c r="V7" s="13"/>
      <c r="W7" s="13"/>
      <c r="X7" s="13"/>
      <c r="Y7" s="13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/>
      <c r="AO7" s="14"/>
      <c r="AP7" s="14"/>
      <c r="AQ7" s="14"/>
      <c r="AR7" s="10"/>
      <c r="AS7" s="10"/>
      <c r="AT7" s="10"/>
      <c r="AU7" s="15"/>
      <c r="AV7" s="15"/>
      <c r="AW7" s="15"/>
      <c r="AX7" s="15"/>
    </row>
    <row r="8" spans="1:50" s="16" customFormat="1" ht="24" customHeight="1">
      <c r="A8" s="394" t="s">
        <v>2</v>
      </c>
      <c r="B8" s="394" t="s">
        <v>3</v>
      </c>
      <c r="C8" s="394" t="s">
        <v>4</v>
      </c>
      <c r="D8" s="395" t="s">
        <v>5</v>
      </c>
      <c r="E8" s="388" t="s">
        <v>6</v>
      </c>
      <c r="F8" s="388"/>
      <c r="G8" s="388"/>
      <c r="H8" s="388"/>
      <c r="I8" s="394" t="s">
        <v>165</v>
      </c>
      <c r="J8" s="394" t="s">
        <v>7</v>
      </c>
      <c r="K8" s="389" t="s">
        <v>8</v>
      </c>
      <c r="L8" s="390"/>
      <c r="M8" s="390"/>
      <c r="N8" s="390"/>
      <c r="O8" s="390"/>
      <c r="P8" s="391"/>
      <c r="Q8" s="392" t="s">
        <v>118</v>
      </c>
      <c r="R8" s="394" t="s">
        <v>9</v>
      </c>
      <c r="S8" s="392" t="s">
        <v>10</v>
      </c>
      <c r="T8" s="394" t="s">
        <v>11</v>
      </c>
      <c r="U8" s="389" t="s">
        <v>12</v>
      </c>
      <c r="V8" s="390"/>
      <c r="W8" s="390"/>
      <c r="X8" s="390"/>
      <c r="Y8" s="391"/>
      <c r="Z8" s="394" t="s">
        <v>13</v>
      </c>
      <c r="AA8" s="387" t="s">
        <v>14</v>
      </c>
      <c r="AB8" s="387"/>
      <c r="AC8" s="387"/>
      <c r="AD8" s="387"/>
      <c r="AE8" s="387"/>
      <c r="AF8" s="387" t="s">
        <v>15</v>
      </c>
      <c r="AG8" s="387"/>
      <c r="AH8" s="387"/>
      <c r="AI8" s="387"/>
      <c r="AJ8" s="389" t="s">
        <v>119</v>
      </c>
      <c r="AK8" s="390"/>
      <c r="AL8" s="390"/>
      <c r="AM8" s="390"/>
      <c r="AN8" s="390"/>
      <c r="AO8" s="390"/>
      <c r="AP8" s="390"/>
      <c r="AQ8" s="390"/>
      <c r="AR8" s="390"/>
      <c r="AS8" s="391"/>
      <c r="AT8" s="392" t="s">
        <v>234</v>
      </c>
      <c r="AU8" s="389" t="s">
        <v>57</v>
      </c>
      <c r="AV8" s="391"/>
      <c r="AW8" s="392" t="s">
        <v>173</v>
      </c>
      <c r="AX8" s="394" t="s">
        <v>16</v>
      </c>
    </row>
    <row r="9" spans="1:50" s="16" customFormat="1" ht="84">
      <c r="A9" s="394"/>
      <c r="B9" s="394"/>
      <c r="C9" s="394"/>
      <c r="D9" s="396"/>
      <c r="E9" s="17" t="s">
        <v>121</v>
      </c>
      <c r="F9" s="17" t="s">
        <v>17</v>
      </c>
      <c r="G9" s="17" t="s">
        <v>122</v>
      </c>
      <c r="H9" s="17" t="s">
        <v>123</v>
      </c>
      <c r="I9" s="394"/>
      <c r="J9" s="394"/>
      <c r="K9" s="18" t="s">
        <v>18</v>
      </c>
      <c r="L9" s="18" t="s">
        <v>124</v>
      </c>
      <c r="M9" s="18" t="s">
        <v>125</v>
      </c>
      <c r="N9" s="18" t="s">
        <v>126</v>
      </c>
      <c r="O9" s="18" t="s">
        <v>127</v>
      </c>
      <c r="P9" s="18" t="s">
        <v>128</v>
      </c>
      <c r="Q9" s="393"/>
      <c r="R9" s="394"/>
      <c r="S9" s="393"/>
      <c r="T9" s="394"/>
      <c r="U9" s="19" t="s">
        <v>129</v>
      </c>
      <c r="V9" s="19" t="s">
        <v>17</v>
      </c>
      <c r="W9" s="19" t="s">
        <v>122</v>
      </c>
      <c r="X9" s="19" t="s">
        <v>123</v>
      </c>
      <c r="Y9" s="18" t="s">
        <v>19</v>
      </c>
      <c r="Z9" s="394"/>
      <c r="AA9" s="18" t="s">
        <v>20</v>
      </c>
      <c r="AB9" s="18" t="s">
        <v>21</v>
      </c>
      <c r="AC9" s="18" t="s">
        <v>22</v>
      </c>
      <c r="AD9" s="18" t="s">
        <v>23</v>
      </c>
      <c r="AE9" s="20" t="s">
        <v>24</v>
      </c>
      <c r="AF9" s="20" t="s">
        <v>25</v>
      </c>
      <c r="AG9" s="20" t="s">
        <v>26</v>
      </c>
      <c r="AH9" s="20" t="s">
        <v>23</v>
      </c>
      <c r="AI9" s="20" t="s">
        <v>27</v>
      </c>
      <c r="AJ9" s="18" t="s">
        <v>317</v>
      </c>
      <c r="AK9" s="18" t="s">
        <v>28</v>
      </c>
      <c r="AL9" s="18" t="s">
        <v>29</v>
      </c>
      <c r="AM9" s="18" t="s">
        <v>30</v>
      </c>
      <c r="AN9" s="21" t="s">
        <v>31</v>
      </c>
      <c r="AO9" s="21" t="s">
        <v>232</v>
      </c>
      <c r="AP9" s="21" t="s">
        <v>231</v>
      </c>
      <c r="AQ9" s="21" t="s">
        <v>233</v>
      </c>
      <c r="AR9" s="22" t="s">
        <v>318</v>
      </c>
      <c r="AS9" s="18" t="s">
        <v>289</v>
      </c>
      <c r="AT9" s="393"/>
      <c r="AU9" s="18" t="s">
        <v>54</v>
      </c>
      <c r="AV9" s="18" t="s">
        <v>322</v>
      </c>
      <c r="AW9" s="393"/>
      <c r="AX9" s="394"/>
    </row>
    <row r="10" spans="1:50" s="16" customFormat="1" ht="36">
      <c r="A10" s="24">
        <v>-1</v>
      </c>
      <c r="B10" s="24">
        <v>-2</v>
      </c>
      <c r="C10" s="24">
        <v>-3</v>
      </c>
      <c r="D10" s="24">
        <v>-4</v>
      </c>
      <c r="E10" s="24">
        <v>-5</v>
      </c>
      <c r="F10" s="24" t="s">
        <v>33</v>
      </c>
      <c r="G10" s="24">
        <v>-6</v>
      </c>
      <c r="H10" s="24">
        <v>-7</v>
      </c>
      <c r="I10" s="24"/>
      <c r="J10" s="24">
        <v>-8</v>
      </c>
      <c r="K10" s="24">
        <v>-9</v>
      </c>
      <c r="L10" s="24">
        <v>-10</v>
      </c>
      <c r="M10" s="24">
        <v>-11</v>
      </c>
      <c r="N10" s="24" t="s">
        <v>34</v>
      </c>
      <c r="O10" s="24" t="s">
        <v>35</v>
      </c>
      <c r="P10" s="24">
        <v>-12</v>
      </c>
      <c r="Q10" s="24" t="s">
        <v>36</v>
      </c>
      <c r="R10" s="24" t="s">
        <v>37</v>
      </c>
      <c r="S10" s="24" t="s">
        <v>38</v>
      </c>
      <c r="T10" s="25" t="s">
        <v>130</v>
      </c>
      <c r="U10" s="25" t="s">
        <v>131</v>
      </c>
      <c r="V10" s="25" t="s">
        <v>132</v>
      </c>
      <c r="W10" s="25" t="s">
        <v>133</v>
      </c>
      <c r="X10" s="25" t="s">
        <v>134</v>
      </c>
      <c r="Y10" s="25" t="s">
        <v>39</v>
      </c>
      <c r="Z10" s="25" t="s">
        <v>40</v>
      </c>
      <c r="AA10" s="24" t="s">
        <v>41</v>
      </c>
      <c r="AB10" s="24" t="s">
        <v>171</v>
      </c>
      <c r="AC10" s="24" t="s">
        <v>43</v>
      </c>
      <c r="AD10" s="24">
        <v>25</v>
      </c>
      <c r="AE10" s="50" t="s">
        <v>135</v>
      </c>
      <c r="AF10" s="24" t="s">
        <v>53</v>
      </c>
      <c r="AG10" s="50" t="s">
        <v>44</v>
      </c>
      <c r="AH10" s="50">
        <v>29</v>
      </c>
      <c r="AI10" s="50" t="s">
        <v>45</v>
      </c>
      <c r="AJ10" s="24">
        <v>-31</v>
      </c>
      <c r="AK10" s="24" t="s">
        <v>46</v>
      </c>
      <c r="AL10" s="24" t="s">
        <v>47</v>
      </c>
      <c r="AM10" s="24">
        <v>-33</v>
      </c>
      <c r="AN10" s="24" t="s">
        <v>48</v>
      </c>
      <c r="AO10" s="24">
        <v>-32</v>
      </c>
      <c r="AP10" s="24" t="s">
        <v>48</v>
      </c>
      <c r="AQ10" s="24">
        <v>-31</v>
      </c>
      <c r="AR10" s="26" t="s">
        <v>49</v>
      </c>
      <c r="AS10" s="24">
        <v>-36</v>
      </c>
      <c r="AT10" s="24">
        <v>-36</v>
      </c>
      <c r="AU10" s="24">
        <v>-37</v>
      </c>
      <c r="AV10" s="24">
        <v>-38</v>
      </c>
      <c r="AW10" s="24">
        <v>-39</v>
      </c>
      <c r="AX10" s="24">
        <v>-40</v>
      </c>
    </row>
    <row r="11" spans="1:50" s="55" customFormat="1" ht="33" customHeight="1">
      <c r="A11" s="51">
        <v>1</v>
      </c>
      <c r="B11" s="52" t="s">
        <v>166</v>
      </c>
      <c r="C11" s="53" t="s">
        <v>139</v>
      </c>
      <c r="D11" s="27">
        <v>216</v>
      </c>
      <c r="E11" s="28"/>
      <c r="F11" s="28"/>
      <c r="G11" s="27"/>
      <c r="H11" s="27"/>
      <c r="I11" s="27">
        <f>3500*0.85</f>
        <v>2975</v>
      </c>
      <c r="J11" s="27">
        <f>I11*D6</f>
        <v>74434500</v>
      </c>
      <c r="K11" s="27"/>
      <c r="L11" s="27"/>
      <c r="M11" s="27"/>
      <c r="N11" s="27"/>
      <c r="O11" s="27"/>
      <c r="P11" s="27"/>
      <c r="Q11" s="27">
        <f t="shared" ref="Q11" si="0">SUM(L11:P11)</f>
        <v>0</v>
      </c>
      <c r="R11" s="27"/>
      <c r="S11" s="27">
        <f>J11/D11</f>
        <v>344604.16666666669</v>
      </c>
      <c r="T11" s="29">
        <f>S11*D11</f>
        <v>74434500</v>
      </c>
      <c r="U11" s="29">
        <f t="shared" ref="U11" si="1">S11*E11*150%</f>
        <v>0</v>
      </c>
      <c r="V11" s="29"/>
      <c r="W11" s="29">
        <f t="shared" ref="W11" si="2">S11*G11*200%</f>
        <v>0</v>
      </c>
      <c r="X11" s="29">
        <f t="shared" ref="X11" si="3">S11*H11*300%</f>
        <v>0</v>
      </c>
      <c r="Y11" s="29">
        <f t="shared" ref="Y11" si="4">SUM(U11:X11)</f>
        <v>0</v>
      </c>
      <c r="Z11" s="29">
        <f t="shared" ref="Z11" si="5">Q11+T11+Y11</f>
        <v>74434500</v>
      </c>
      <c r="AA11" s="27">
        <v>0</v>
      </c>
      <c r="AB11" s="27">
        <f>AA11*17.5%</f>
        <v>0</v>
      </c>
      <c r="AC11" s="27">
        <f>+AA11*3%</f>
        <v>0</v>
      </c>
      <c r="AD11" s="27"/>
      <c r="AE11" s="27">
        <f>AB11+AC11+AD11</f>
        <v>0</v>
      </c>
      <c r="AF11" s="27">
        <f>AA11*0.08</f>
        <v>0</v>
      </c>
      <c r="AG11" s="27">
        <f>+AA11*1.5%</f>
        <v>0</v>
      </c>
      <c r="AH11" s="27"/>
      <c r="AI11" s="27">
        <f>AF11+AG11+AH11</f>
        <v>0</v>
      </c>
      <c r="AJ11" s="27">
        <v>11000000</v>
      </c>
      <c r="AK11" s="27">
        <v>1</v>
      </c>
      <c r="AL11" s="27">
        <f>+AK11*4400000</f>
        <v>4400000</v>
      </c>
      <c r="AM11" s="27"/>
      <c r="AN11" s="27">
        <f>Z11-AM11</f>
        <v>74434500</v>
      </c>
      <c r="AO11" s="27">
        <f>AN11*15%</f>
        <v>11165175</v>
      </c>
      <c r="AP11" s="27">
        <f>2000000/5</f>
        <v>400000</v>
      </c>
      <c r="AQ11" s="27">
        <f>AN11+AP11</f>
        <v>74834500</v>
      </c>
      <c r="AR11" s="27">
        <f>(AQ11-AJ11-AL11-AI11)</f>
        <v>59434500</v>
      </c>
      <c r="AS11" s="56">
        <f>ROUND(IF(AR11&lt;=5000000,AR11*5%,IF(AND(AR11&gt;5000000,AR11&lt;=10000000),AR11*10%-250000,IF(AND(AR11&gt;10000000,AR11&lt;=18000000),AR11*15%-750000,IF(AND(AR11&gt;18000000,AR11&lt;=32000000),AR11*20%-1650000,IF(AND(AR11&gt;32000000,AR11&lt;=52000000),AR11*25%-3250000,IF(AND(AR11&gt;52000000,AR11&lt;80000000),AR11*30%-5850000,IF(AR11&gt;80000000,AR11*35%-9850000))))))),0)</f>
        <v>11980350</v>
      </c>
      <c r="AT11" s="56">
        <v>0</v>
      </c>
      <c r="AU11" s="27">
        <f>Z11-AI11-AS11-AT11</f>
        <v>62454150</v>
      </c>
      <c r="AV11" s="54">
        <f>AU11/D6</f>
        <v>2496.1690647482014</v>
      </c>
      <c r="AW11" s="113" t="s">
        <v>175</v>
      </c>
      <c r="AX11" s="54">
        <f>AV11+Mr.Moon!AV11</f>
        <v>4939.5803357314144</v>
      </c>
    </row>
    <row r="12" spans="1:50" s="2" customFormat="1" ht="10.5">
      <c r="D12" s="3"/>
      <c r="E12" s="3"/>
      <c r="F12" s="3"/>
      <c r="G12" s="3"/>
      <c r="H12" s="3"/>
      <c r="I12" s="3"/>
      <c r="J12" s="4"/>
      <c r="T12" s="5"/>
      <c r="U12" s="5"/>
      <c r="V12" s="5"/>
      <c r="W12" s="5"/>
      <c r="X12" s="5"/>
      <c r="Y12" s="5"/>
      <c r="Z12" s="37"/>
      <c r="AL12" s="6"/>
      <c r="AM12" s="6"/>
      <c r="AN12" s="7"/>
      <c r="AO12" s="7"/>
      <c r="AP12" s="7"/>
      <c r="AQ12" s="7"/>
    </row>
    <row r="13" spans="1:50" s="144" customFormat="1" ht="22.5">
      <c r="B13" s="401" t="s">
        <v>50</v>
      </c>
      <c r="C13" s="401"/>
      <c r="D13" s="155"/>
      <c r="E13" s="155"/>
      <c r="F13" s="155"/>
      <c r="G13" s="155"/>
      <c r="H13" s="155"/>
      <c r="I13" s="155"/>
      <c r="S13" s="154"/>
      <c r="T13" s="157"/>
      <c r="U13" s="157"/>
      <c r="V13" s="401"/>
      <c r="W13" s="401"/>
      <c r="X13" s="157"/>
      <c r="Y13" s="157"/>
      <c r="Z13" s="157"/>
      <c r="AA13" s="158"/>
      <c r="AB13" s="158"/>
      <c r="AD13" s="159"/>
      <c r="AE13" s="158"/>
      <c r="AF13" s="158"/>
      <c r="AI13" s="159" t="s">
        <v>51</v>
      </c>
      <c r="AN13" s="160"/>
      <c r="AO13" s="160"/>
      <c r="AP13" s="160"/>
      <c r="AQ13" s="160"/>
      <c r="AR13" s="160"/>
      <c r="AS13" s="160"/>
      <c r="AT13" s="161"/>
      <c r="AU13" s="160"/>
      <c r="AW13" s="160" t="s">
        <v>52</v>
      </c>
    </row>
    <row r="14" spans="1:50" s="2" customFormat="1" ht="12.75">
      <c r="D14" s="32"/>
      <c r="E14" s="32"/>
      <c r="F14" s="32"/>
      <c r="G14" s="32"/>
      <c r="H14" s="32"/>
      <c r="I14" s="32"/>
      <c r="J14" s="314"/>
      <c r="K14" s="9"/>
      <c r="L14" s="9"/>
      <c r="T14" s="5"/>
      <c r="U14" s="5"/>
      <c r="V14" s="5"/>
      <c r="W14" s="5"/>
      <c r="X14" s="5"/>
      <c r="Y14" s="5"/>
      <c r="Z14" s="5"/>
      <c r="AH14" s="31"/>
      <c r="AL14" s="6"/>
      <c r="AM14" s="6"/>
      <c r="AN14" s="7"/>
      <c r="AO14" s="7"/>
      <c r="AP14" s="7"/>
      <c r="AQ14" s="7"/>
      <c r="AS14" s="57"/>
      <c r="AT14" s="57"/>
      <c r="AU14" s="31"/>
      <c r="AV14" s="31"/>
      <c r="AW14" s="31"/>
      <c r="AX14" s="31"/>
    </row>
    <row r="15" spans="1:50">
      <c r="S15" s="142"/>
      <c r="Z15" s="142"/>
      <c r="AX15" s="221"/>
    </row>
    <row r="18" spans="27:48">
      <c r="AA18" s="142"/>
      <c r="AV18" s="221">
        <f>AV11+Mr.Moon!AV11</f>
        <v>4939.5803357314144</v>
      </c>
    </row>
    <row r="21" spans="27:48">
      <c r="AV21" s="221">
        <f>AV11+Mr.Moon!AV11</f>
        <v>4939.5803357314144</v>
      </c>
    </row>
  </sheetData>
  <mergeCells count="26">
    <mergeCell ref="B13:C13"/>
    <mergeCell ref="V13:W13"/>
    <mergeCell ref="AA8:AE8"/>
    <mergeCell ref="AF8:AI8"/>
    <mergeCell ref="AJ8:AS8"/>
    <mergeCell ref="Q8:Q9"/>
    <mergeCell ref="R8:R9"/>
    <mergeCell ref="S8:S9"/>
    <mergeCell ref="T8:T9"/>
    <mergeCell ref="U8:Y8"/>
    <mergeCell ref="Z8:Z9"/>
    <mergeCell ref="AU8:AV8"/>
    <mergeCell ref="A3:AX3"/>
    <mergeCell ref="A4:AX4"/>
    <mergeCell ref="A8:A9"/>
    <mergeCell ref="B8:B9"/>
    <mergeCell ref="C8:C9"/>
    <mergeCell ref="D8:D9"/>
    <mergeCell ref="E8:H8"/>
    <mergeCell ref="I8:I9"/>
    <mergeCell ref="J8:J9"/>
    <mergeCell ref="K8:P8"/>
    <mergeCell ref="AW8:AW9"/>
    <mergeCell ref="AX8:AX9"/>
    <mergeCell ref="AT8:AT9"/>
    <mergeCell ref="A6:B6"/>
  </mergeCells>
  <pageMargins left="0.45" right="0.45" top="0.75" bottom="0.75" header="0.3" footer="0.3"/>
  <pageSetup paperSize="8" scale="6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X19"/>
  <sheetViews>
    <sheetView view="pageBreakPreview" zoomScale="106" zoomScaleNormal="100" zoomScaleSheetLayoutView="106" workbookViewId="0">
      <selection activeCell="T15" sqref="T15:AA17"/>
    </sheetView>
  </sheetViews>
  <sheetFormatPr defaultRowHeight="15"/>
  <cols>
    <col min="2" max="2" width="19.5703125" customWidth="1"/>
    <col min="3" max="3" width="10.7109375" customWidth="1"/>
    <col min="5" max="9" width="0" hidden="1" customWidth="1"/>
    <col min="10" max="10" width="10.42578125" customWidth="1"/>
    <col min="11" max="16" width="0" hidden="1" customWidth="1"/>
    <col min="18" max="18" width="9.85546875" hidden="1" customWidth="1"/>
    <col min="19" max="19" width="11.7109375" customWidth="1"/>
    <col min="20" max="20" width="10.85546875" customWidth="1"/>
    <col min="21" max="25" width="0" hidden="1" customWidth="1"/>
    <col min="26" max="26" width="12.28515625" customWidth="1"/>
    <col min="27" max="27" width="11" customWidth="1"/>
    <col min="36" max="36" width="11.85546875" customWidth="1"/>
    <col min="40" max="40" width="10.85546875" customWidth="1"/>
    <col min="41" max="41" width="11.28515625" customWidth="1"/>
    <col min="43" max="43" width="10.42578125" customWidth="1"/>
    <col min="44" max="44" width="10.28515625" customWidth="1"/>
    <col min="45" max="45" width="11.140625" bestFit="1" customWidth="1"/>
    <col min="46" max="46" width="11.140625" hidden="1" customWidth="1"/>
    <col min="47" max="47" width="10" customWidth="1"/>
    <col min="48" max="48" width="11.7109375" hidden="1" customWidth="1"/>
    <col min="49" max="49" width="16.140625" customWidth="1"/>
    <col min="50" max="50" width="14.85546875" customWidth="1"/>
  </cols>
  <sheetData>
    <row r="1" spans="1:50" s="2" customFormat="1" ht="12.75">
      <c r="A1" s="1" t="s">
        <v>0</v>
      </c>
      <c r="D1" s="3"/>
      <c r="E1" s="3"/>
      <c r="F1" s="3"/>
      <c r="G1" s="3"/>
      <c r="H1" s="3"/>
      <c r="I1" s="3"/>
      <c r="J1" s="4"/>
      <c r="T1" s="5"/>
      <c r="U1" s="5"/>
      <c r="V1" s="5"/>
      <c r="W1" s="5"/>
      <c r="X1" s="5"/>
      <c r="Y1" s="5"/>
      <c r="Z1" s="5"/>
      <c r="AL1" s="6"/>
      <c r="AM1" s="6"/>
      <c r="AN1" s="7"/>
      <c r="AO1" s="7"/>
      <c r="AP1" s="7"/>
      <c r="AQ1" s="7"/>
    </row>
    <row r="2" spans="1:50" s="2" customFormat="1" ht="12.75">
      <c r="A2" s="1" t="s">
        <v>1</v>
      </c>
      <c r="D2" s="3"/>
      <c r="E2" s="3"/>
      <c r="F2" s="3"/>
      <c r="G2" s="3"/>
      <c r="H2" s="3"/>
      <c r="I2" s="3"/>
      <c r="J2" s="4"/>
      <c r="T2" s="5"/>
      <c r="U2" s="5"/>
      <c r="V2" s="5"/>
      <c r="W2" s="5"/>
      <c r="X2" s="5"/>
      <c r="Y2" s="5"/>
      <c r="Z2" s="5"/>
      <c r="AL2" s="6"/>
      <c r="AM2" s="6"/>
      <c r="AN2" s="7"/>
      <c r="AO2" s="7"/>
      <c r="AP2" s="7"/>
      <c r="AQ2" s="7"/>
    </row>
    <row r="3" spans="1:50" s="144" customFormat="1" ht="22.5">
      <c r="A3" s="398" t="s">
        <v>324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</row>
    <row r="4" spans="1:50" s="2" customFormat="1" ht="13.5">
      <c r="A4" s="399" t="s">
        <v>325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</row>
    <row r="5" spans="1:50" s="2" customFormat="1" ht="13.5">
      <c r="A5" s="8"/>
      <c r="B5" s="49"/>
      <c r="C5" s="49"/>
      <c r="D5" s="4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s="41" customFormat="1" ht="16.5" customHeight="1">
      <c r="A6" s="402" t="str">
        <f>'Payroll Mr Shin'!A6</f>
        <v>Tỷ giá Vietinbank: 31/08/2024</v>
      </c>
      <c r="B6" s="402"/>
      <c r="C6" s="222">
        <f>'Payroll Mr Shin'!C6</f>
        <v>24520</v>
      </c>
      <c r="D6" s="223">
        <f>'Payroll Mr Shin'!D6</f>
        <v>25020</v>
      </c>
      <c r="E6" s="42"/>
      <c r="F6" s="42"/>
      <c r="G6" s="42"/>
      <c r="H6" s="42"/>
      <c r="I6" s="42"/>
      <c r="J6" s="43"/>
      <c r="T6" s="39"/>
      <c r="U6" s="39"/>
      <c r="V6" s="39"/>
      <c r="W6" s="39"/>
      <c r="X6" s="39"/>
      <c r="Y6" s="39"/>
      <c r="Z6" s="39"/>
      <c r="AN6" s="36"/>
      <c r="AO6" s="36"/>
      <c r="AP6" s="36"/>
      <c r="AQ6" s="36"/>
      <c r="AU6" s="40"/>
    </row>
    <row r="7" spans="1:50" s="2" customFormat="1" ht="11.25">
      <c r="A7" s="10"/>
      <c r="B7" s="10"/>
      <c r="C7" s="10"/>
      <c r="D7" s="11"/>
      <c r="E7" s="11"/>
      <c r="F7" s="11"/>
      <c r="G7" s="11"/>
      <c r="H7" s="11"/>
      <c r="I7" s="11"/>
      <c r="J7" s="12"/>
      <c r="K7" s="10"/>
      <c r="L7" s="10"/>
      <c r="M7" s="10"/>
      <c r="N7" s="10"/>
      <c r="O7" s="10"/>
      <c r="P7" s="10"/>
      <c r="Q7" s="10"/>
      <c r="R7" s="10"/>
      <c r="S7" s="10"/>
      <c r="T7" s="13"/>
      <c r="U7" s="13"/>
      <c r="V7" s="13"/>
      <c r="W7" s="13"/>
      <c r="X7" s="13"/>
      <c r="Y7" s="13"/>
      <c r="Z7" s="13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4"/>
      <c r="AO7" s="14"/>
      <c r="AP7" s="14"/>
      <c r="AQ7" s="14"/>
      <c r="AR7" s="10"/>
      <c r="AS7" s="10"/>
      <c r="AT7" s="10"/>
      <c r="AU7" s="15"/>
      <c r="AV7" s="15"/>
      <c r="AW7" s="15"/>
      <c r="AX7" s="15"/>
    </row>
    <row r="8" spans="1:50" s="16" customFormat="1" ht="24" customHeight="1">
      <c r="A8" s="394" t="s">
        <v>2</v>
      </c>
      <c r="B8" s="394" t="s">
        <v>3</v>
      </c>
      <c r="C8" s="394" t="s">
        <v>4</v>
      </c>
      <c r="D8" s="395" t="s">
        <v>5</v>
      </c>
      <c r="E8" s="388" t="s">
        <v>6</v>
      </c>
      <c r="F8" s="388"/>
      <c r="G8" s="388"/>
      <c r="H8" s="388"/>
      <c r="I8" s="394" t="s">
        <v>165</v>
      </c>
      <c r="J8" s="394" t="s">
        <v>7</v>
      </c>
      <c r="K8" s="389" t="s">
        <v>8</v>
      </c>
      <c r="L8" s="390"/>
      <c r="M8" s="390"/>
      <c r="N8" s="390"/>
      <c r="O8" s="390"/>
      <c r="P8" s="391"/>
      <c r="Q8" s="392" t="s">
        <v>118</v>
      </c>
      <c r="R8" s="394" t="s">
        <v>9</v>
      </c>
      <c r="S8" s="392" t="s">
        <v>10</v>
      </c>
      <c r="T8" s="394" t="s">
        <v>11</v>
      </c>
      <c r="U8" s="389" t="s">
        <v>12</v>
      </c>
      <c r="V8" s="390"/>
      <c r="W8" s="390"/>
      <c r="X8" s="390"/>
      <c r="Y8" s="391"/>
      <c r="Z8" s="394" t="s">
        <v>13</v>
      </c>
      <c r="AA8" s="387" t="s">
        <v>14</v>
      </c>
      <c r="AB8" s="387"/>
      <c r="AC8" s="387"/>
      <c r="AD8" s="387"/>
      <c r="AE8" s="387"/>
      <c r="AF8" s="387" t="s">
        <v>15</v>
      </c>
      <c r="AG8" s="387"/>
      <c r="AH8" s="387"/>
      <c r="AI8" s="387"/>
      <c r="AJ8" s="389" t="s">
        <v>119</v>
      </c>
      <c r="AK8" s="390"/>
      <c r="AL8" s="390"/>
      <c r="AM8" s="390"/>
      <c r="AN8" s="390"/>
      <c r="AO8" s="390"/>
      <c r="AP8" s="390"/>
      <c r="AQ8" s="390"/>
      <c r="AR8" s="390"/>
      <c r="AS8" s="391"/>
      <c r="AT8" s="392" t="s">
        <v>234</v>
      </c>
      <c r="AU8" s="394" t="s">
        <v>120</v>
      </c>
      <c r="AV8" s="394" t="s">
        <v>138</v>
      </c>
      <c r="AW8" s="392" t="s">
        <v>173</v>
      </c>
      <c r="AX8" s="394" t="s">
        <v>16</v>
      </c>
    </row>
    <row r="9" spans="1:50" s="16" customFormat="1" ht="84">
      <c r="A9" s="394"/>
      <c r="B9" s="394"/>
      <c r="C9" s="394"/>
      <c r="D9" s="396"/>
      <c r="E9" s="17" t="s">
        <v>121</v>
      </c>
      <c r="F9" s="17" t="s">
        <v>17</v>
      </c>
      <c r="G9" s="17" t="s">
        <v>122</v>
      </c>
      <c r="H9" s="17" t="s">
        <v>123</v>
      </c>
      <c r="I9" s="394"/>
      <c r="J9" s="394"/>
      <c r="K9" s="18" t="s">
        <v>18</v>
      </c>
      <c r="L9" s="18" t="s">
        <v>124</v>
      </c>
      <c r="M9" s="18" t="s">
        <v>125</v>
      </c>
      <c r="N9" s="18" t="s">
        <v>126</v>
      </c>
      <c r="O9" s="18" t="s">
        <v>127</v>
      </c>
      <c r="P9" s="18" t="s">
        <v>128</v>
      </c>
      <c r="Q9" s="393"/>
      <c r="R9" s="394"/>
      <c r="S9" s="393"/>
      <c r="T9" s="394"/>
      <c r="U9" s="19" t="s">
        <v>129</v>
      </c>
      <c r="V9" s="19" t="s">
        <v>17</v>
      </c>
      <c r="W9" s="19" t="s">
        <v>122</v>
      </c>
      <c r="X9" s="19" t="s">
        <v>123</v>
      </c>
      <c r="Y9" s="18" t="s">
        <v>19</v>
      </c>
      <c r="Z9" s="394"/>
      <c r="AA9" s="18" t="s">
        <v>20</v>
      </c>
      <c r="AB9" s="18" t="s">
        <v>21</v>
      </c>
      <c r="AC9" s="18" t="s">
        <v>22</v>
      </c>
      <c r="AD9" s="18" t="s">
        <v>23</v>
      </c>
      <c r="AE9" s="20" t="s">
        <v>24</v>
      </c>
      <c r="AF9" s="20" t="s">
        <v>25</v>
      </c>
      <c r="AG9" s="20" t="s">
        <v>26</v>
      </c>
      <c r="AH9" s="20" t="s">
        <v>23</v>
      </c>
      <c r="AI9" s="20" t="s">
        <v>27</v>
      </c>
      <c r="AJ9" s="18" t="s">
        <v>317</v>
      </c>
      <c r="AK9" s="18" t="s">
        <v>28</v>
      </c>
      <c r="AL9" s="18" t="s">
        <v>29</v>
      </c>
      <c r="AM9" s="18" t="s">
        <v>30</v>
      </c>
      <c r="AN9" s="21" t="s">
        <v>31</v>
      </c>
      <c r="AO9" s="21" t="s">
        <v>232</v>
      </c>
      <c r="AP9" s="21" t="s">
        <v>231</v>
      </c>
      <c r="AQ9" s="21" t="s">
        <v>233</v>
      </c>
      <c r="AR9" s="22" t="s">
        <v>318</v>
      </c>
      <c r="AS9" s="18" t="s">
        <v>289</v>
      </c>
      <c r="AT9" s="393"/>
      <c r="AU9" s="394"/>
      <c r="AV9" s="394"/>
      <c r="AW9" s="393"/>
      <c r="AX9" s="394"/>
    </row>
    <row r="10" spans="1:50" s="16" customFormat="1" ht="36" hidden="1">
      <c r="A10" s="24">
        <v>-1</v>
      </c>
      <c r="B10" s="24">
        <v>-2</v>
      </c>
      <c r="C10" s="24">
        <v>-3</v>
      </c>
      <c r="D10" s="24">
        <v>-4</v>
      </c>
      <c r="E10" s="24">
        <v>-5</v>
      </c>
      <c r="F10" s="24" t="s">
        <v>33</v>
      </c>
      <c r="G10" s="24">
        <v>-6</v>
      </c>
      <c r="H10" s="24">
        <v>-7</v>
      </c>
      <c r="I10" s="24"/>
      <c r="J10" s="24">
        <v>-8</v>
      </c>
      <c r="K10" s="24">
        <v>-9</v>
      </c>
      <c r="L10" s="24">
        <v>-10</v>
      </c>
      <c r="M10" s="24">
        <v>-11</v>
      </c>
      <c r="N10" s="24" t="s">
        <v>34</v>
      </c>
      <c r="O10" s="24" t="s">
        <v>35</v>
      </c>
      <c r="P10" s="24">
        <v>-12</v>
      </c>
      <c r="Q10" s="24" t="s">
        <v>36</v>
      </c>
      <c r="R10" s="24" t="s">
        <v>37</v>
      </c>
      <c r="S10" s="24" t="s">
        <v>38</v>
      </c>
      <c r="T10" s="25" t="s">
        <v>130</v>
      </c>
      <c r="U10" s="25" t="s">
        <v>131</v>
      </c>
      <c r="V10" s="25" t="s">
        <v>132</v>
      </c>
      <c r="W10" s="25" t="s">
        <v>133</v>
      </c>
      <c r="X10" s="25" t="s">
        <v>134</v>
      </c>
      <c r="Y10" s="25" t="s">
        <v>39</v>
      </c>
      <c r="Z10" s="25" t="s">
        <v>40</v>
      </c>
      <c r="AA10" s="24" t="s">
        <v>41</v>
      </c>
      <c r="AB10" s="24" t="s">
        <v>171</v>
      </c>
      <c r="AC10" s="24" t="s">
        <v>43</v>
      </c>
      <c r="AD10" s="24">
        <v>25</v>
      </c>
      <c r="AE10" s="50" t="s">
        <v>135</v>
      </c>
      <c r="AF10" s="24" t="s">
        <v>53</v>
      </c>
      <c r="AG10" s="50" t="s">
        <v>44</v>
      </c>
      <c r="AH10" s="50">
        <v>29</v>
      </c>
      <c r="AI10" s="50" t="s">
        <v>45</v>
      </c>
      <c r="AJ10" s="24">
        <v>-31</v>
      </c>
      <c r="AK10" s="24" t="s">
        <v>46</v>
      </c>
      <c r="AL10" s="24" t="s">
        <v>47</v>
      </c>
      <c r="AM10" s="24">
        <v>-33</v>
      </c>
      <c r="AN10" s="24" t="s">
        <v>48</v>
      </c>
      <c r="AO10" s="24">
        <v>-32</v>
      </c>
      <c r="AP10" s="24" t="s">
        <v>48</v>
      </c>
      <c r="AQ10" s="24">
        <v>-31</v>
      </c>
      <c r="AR10" s="26" t="s">
        <v>49</v>
      </c>
      <c r="AS10" s="24">
        <v>-36</v>
      </c>
      <c r="AT10" s="24">
        <v>-36</v>
      </c>
      <c r="AU10" s="24">
        <v>-37</v>
      </c>
      <c r="AV10" s="24">
        <v>-37.3333333333333</v>
      </c>
      <c r="AW10" s="24">
        <v>-37.8333333333333</v>
      </c>
      <c r="AX10" s="24">
        <v>-39</v>
      </c>
    </row>
    <row r="11" spans="1:50" s="55" customFormat="1" ht="33" customHeight="1">
      <c r="A11" s="51">
        <v>1</v>
      </c>
      <c r="B11" s="53" t="s">
        <v>221</v>
      </c>
      <c r="C11" s="53" t="s">
        <v>139</v>
      </c>
      <c r="D11" s="27">
        <v>216</v>
      </c>
      <c r="E11" s="28"/>
      <c r="F11" s="28"/>
      <c r="G11" s="27"/>
      <c r="H11" s="27"/>
      <c r="I11" s="27"/>
      <c r="J11" s="27">
        <f>50000000*0.85</f>
        <v>42500000</v>
      </c>
      <c r="K11" s="27"/>
      <c r="L11" s="27"/>
      <c r="M11" s="27"/>
      <c r="N11" s="27"/>
      <c r="O11" s="27"/>
      <c r="P11" s="27"/>
      <c r="Q11" s="27">
        <f t="shared" ref="Q11" si="0">SUM(L11:P11)</f>
        <v>0</v>
      </c>
      <c r="R11" s="27"/>
      <c r="S11" s="27">
        <f>J11/D11</f>
        <v>196759.25925925927</v>
      </c>
      <c r="T11" s="29">
        <f>S11*D11</f>
        <v>42500000</v>
      </c>
      <c r="U11" s="29">
        <f t="shared" ref="U11" si="1">S11*E11*150%</f>
        <v>0</v>
      </c>
      <c r="V11" s="29"/>
      <c r="W11" s="29">
        <f t="shared" ref="W11" si="2">S11*G11*200%</f>
        <v>0</v>
      </c>
      <c r="X11" s="29">
        <f t="shared" ref="X11" si="3">S11*H11*300%</f>
        <v>0</v>
      </c>
      <c r="Y11" s="29">
        <f t="shared" ref="Y11" si="4">SUM(U11:X11)</f>
        <v>0</v>
      </c>
      <c r="Z11" s="29">
        <f t="shared" ref="Z11" si="5">Q11+T11+Y11</f>
        <v>42500000</v>
      </c>
      <c r="AA11" s="29">
        <v>0</v>
      </c>
      <c r="AB11" s="27">
        <f>AA11*17.5%</f>
        <v>0</v>
      </c>
      <c r="AC11" s="27">
        <f>+AA11*3%</f>
        <v>0</v>
      </c>
      <c r="AD11" s="27"/>
      <c r="AE11" s="27">
        <f>AB11+AC11+AD11</f>
        <v>0</v>
      </c>
      <c r="AF11" s="27">
        <f>AA11*0.08</f>
        <v>0</v>
      </c>
      <c r="AG11" s="27">
        <f>+AA11*1.5%</f>
        <v>0</v>
      </c>
      <c r="AH11" s="27"/>
      <c r="AI11" s="27">
        <f>AF11+AG11+AH11</f>
        <v>0</v>
      </c>
      <c r="AJ11" s="27">
        <v>11000000</v>
      </c>
      <c r="AK11" s="27">
        <v>0</v>
      </c>
      <c r="AL11" s="27">
        <v>0</v>
      </c>
      <c r="AM11" s="27"/>
      <c r="AN11" s="27">
        <f>Z11-AM11</f>
        <v>42500000</v>
      </c>
      <c r="AO11" s="27">
        <f>AN11*15%</f>
        <v>6375000</v>
      </c>
      <c r="AP11" s="27">
        <f>2000000/5</f>
        <v>400000</v>
      </c>
      <c r="AQ11" s="27">
        <f>AN11+AP11</f>
        <v>42900000</v>
      </c>
      <c r="AR11" s="27">
        <f>(AQ11-AJ11-AL11-AI11)</f>
        <v>31900000</v>
      </c>
      <c r="AS11" s="56">
        <f>ROUND(IF(AR11&lt;=5000000,AR11*5%,IF(AND(AR11&gt;5000000,AR11&lt;=10000000),AR11*10%-250000,IF(AND(AR11&gt;10000000,AR11&lt;=18000000),AR11*15%-750000,IF(AND(AR11&gt;18000000,AR11&lt;=32000000),AR11*20%-1650000,IF(AND(AR11&gt;32000000,AR11&lt;=52000000),AR11*25%-3250000,IF(AND(AR11&gt;52000000,AR11&lt;80000000),AR11*30%-5850000,IF(AR11&gt;80000000,AR11*35%-9850000))))))),0)</f>
        <v>4730000</v>
      </c>
      <c r="AT11" s="56">
        <v>0</v>
      </c>
      <c r="AU11" s="27">
        <f>Z11-AI11-AS11-AT11</f>
        <v>37770000</v>
      </c>
      <c r="AV11" s="54">
        <f>AU11/D6</f>
        <v>1509.5923261390888</v>
      </c>
      <c r="AW11" s="113" t="s">
        <v>175</v>
      </c>
      <c r="AX11" s="54"/>
    </row>
    <row r="12" spans="1:50" s="2" customFormat="1" ht="10.5">
      <c r="D12" s="3"/>
      <c r="E12" s="3"/>
      <c r="F12" s="3"/>
      <c r="G12" s="3"/>
      <c r="H12" s="3"/>
      <c r="I12" s="3"/>
      <c r="J12" s="4"/>
      <c r="T12" s="5"/>
      <c r="U12" s="5"/>
      <c r="V12" s="5"/>
      <c r="W12" s="5"/>
      <c r="X12" s="5"/>
      <c r="Y12" s="5"/>
      <c r="Z12" s="5"/>
      <c r="AA12" s="31"/>
      <c r="AL12" s="6"/>
      <c r="AM12" s="6"/>
      <c r="AN12" s="7"/>
      <c r="AO12" s="7"/>
      <c r="AP12" s="7"/>
      <c r="AQ12" s="7"/>
    </row>
    <row r="13" spans="1:50" s="211" customFormat="1" ht="23.25">
      <c r="B13" s="401" t="s">
        <v>50</v>
      </c>
      <c r="C13" s="401"/>
      <c r="D13" s="212"/>
      <c r="E13" s="212"/>
      <c r="F13" s="212"/>
      <c r="G13" s="212"/>
      <c r="H13" s="212"/>
      <c r="I13" s="212"/>
      <c r="J13" s="160"/>
      <c r="S13" s="229"/>
      <c r="T13" s="213"/>
      <c r="U13" s="213"/>
      <c r="V13" s="401" t="s">
        <v>51</v>
      </c>
      <c r="W13" s="401"/>
      <c r="X13" s="213"/>
      <c r="Y13" s="213"/>
      <c r="Z13" s="214"/>
      <c r="AA13" s="215"/>
      <c r="AB13" s="215"/>
      <c r="AD13" s="215"/>
      <c r="AE13" s="215"/>
      <c r="AF13" s="215"/>
      <c r="AH13" s="159" t="s">
        <v>51</v>
      </c>
      <c r="AN13" s="160"/>
      <c r="AO13" s="160"/>
      <c r="AP13" s="160"/>
      <c r="AQ13" s="160"/>
      <c r="AR13" s="160"/>
      <c r="AS13" s="160"/>
      <c r="AT13" s="216"/>
      <c r="AU13" s="160"/>
      <c r="AW13" s="160" t="s">
        <v>52</v>
      </c>
    </row>
    <row r="14" spans="1:50" s="2" customFormat="1" ht="12.75">
      <c r="D14" s="32"/>
      <c r="E14" s="32"/>
      <c r="F14" s="32"/>
      <c r="G14" s="32"/>
      <c r="H14" s="32"/>
      <c r="I14" s="32"/>
      <c r="J14" s="33"/>
      <c r="K14" s="9"/>
      <c r="L14" s="9"/>
      <c r="T14" s="5"/>
      <c r="U14" s="5"/>
      <c r="V14" s="5"/>
      <c r="W14" s="5"/>
      <c r="X14" s="5"/>
      <c r="Y14" s="5"/>
      <c r="Z14" s="5"/>
      <c r="AH14" s="31"/>
      <c r="AL14" s="6"/>
      <c r="AM14" s="6"/>
      <c r="AN14" s="7"/>
      <c r="AO14" s="7"/>
      <c r="AP14" s="7"/>
      <c r="AQ14" s="7"/>
      <c r="AS14" s="57"/>
      <c r="AT14" s="57"/>
      <c r="AU14" s="31"/>
      <c r="AV14" s="31"/>
      <c r="AW14" s="31"/>
      <c r="AX14" s="31"/>
    </row>
    <row r="15" spans="1:50">
      <c r="AU15" s="142"/>
    </row>
    <row r="16" spans="1:50">
      <c r="Z16" s="142"/>
      <c r="AV16" s="142" t="e">
        <f>AU11+#REF!</f>
        <v>#REF!</v>
      </c>
    </row>
    <row r="17" spans="44:46">
      <c r="AR17" s="143"/>
      <c r="AT17" s="142"/>
    </row>
    <row r="19" spans="44:46">
      <c r="AS19" s="142"/>
    </row>
  </sheetData>
  <mergeCells count="27">
    <mergeCell ref="B13:C13"/>
    <mergeCell ref="V13:W13"/>
    <mergeCell ref="AA8:AE8"/>
    <mergeCell ref="AF8:AI8"/>
    <mergeCell ref="AJ8:AS8"/>
    <mergeCell ref="Q8:Q9"/>
    <mergeCell ref="R8:R9"/>
    <mergeCell ref="S8:S9"/>
    <mergeCell ref="T8:T9"/>
    <mergeCell ref="U8:Y8"/>
    <mergeCell ref="Z8:Z9"/>
    <mergeCell ref="A3:AX3"/>
    <mergeCell ref="A4:AX4"/>
    <mergeCell ref="A8:A9"/>
    <mergeCell ref="B8:B9"/>
    <mergeCell ref="C8:C9"/>
    <mergeCell ref="D8:D9"/>
    <mergeCell ref="E8:H8"/>
    <mergeCell ref="I8:I9"/>
    <mergeCell ref="J8:J9"/>
    <mergeCell ref="K8:P8"/>
    <mergeCell ref="AW8:AW9"/>
    <mergeCell ref="AX8:AX9"/>
    <mergeCell ref="AT8:AT9"/>
    <mergeCell ref="AU8:AU9"/>
    <mergeCell ref="AV8:AV9"/>
    <mergeCell ref="A6:B6"/>
  </mergeCells>
  <pageMargins left="0.45" right="0.45" top="0.75" bottom="0.75" header="0.3" footer="0.3"/>
  <pageSetup paperSize="8" scale="58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0000"/>
    <pageSetUpPr fitToPage="1"/>
  </sheetPr>
  <dimension ref="A1:WXV38"/>
  <sheetViews>
    <sheetView view="pageBreakPreview" zoomScale="96" zoomScaleNormal="100" zoomScaleSheetLayoutView="96" workbookViewId="0">
      <pane xSplit="2" ySplit="8" topLeftCell="AE28" activePane="bottomRight" state="frozen"/>
      <selection pane="topRight" activeCell="C1" sqref="C1"/>
      <selection pane="bottomLeft" activeCell="A9" sqref="A9"/>
      <selection pane="bottomRight" activeCell="AJ24" sqref="AJ24:BM29"/>
    </sheetView>
  </sheetViews>
  <sheetFormatPr defaultRowHeight="15"/>
  <cols>
    <col min="1" max="1" width="6.85546875" style="64" customWidth="1"/>
    <col min="2" max="2" width="23.5703125" style="5" customWidth="1"/>
    <col min="3" max="3" width="10.28515625" style="5" customWidth="1"/>
    <col min="4" max="4" width="10.7109375" style="60" hidden="1" customWidth="1"/>
    <col min="5" max="5" width="10.28515625" style="60" customWidth="1"/>
    <col min="6" max="7" width="6.7109375" style="60" hidden="1" customWidth="1"/>
    <col min="8" max="8" width="7.42578125" style="60" customWidth="1"/>
    <col min="9" max="9" width="7" style="60" customWidth="1"/>
    <col min="10" max="11" width="6.7109375" style="60" customWidth="1"/>
    <col min="12" max="16" width="6.7109375" style="60" hidden="1" customWidth="1"/>
    <col min="17" max="17" width="14.85546875" style="63" customWidth="1"/>
    <col min="18" max="18" width="12" style="30" customWidth="1"/>
    <col min="19" max="19" width="11.140625" style="5" customWidth="1"/>
    <col min="20" max="20" width="11.28515625" style="5" customWidth="1"/>
    <col min="21" max="21" width="12.7109375" style="5" hidden="1" customWidth="1"/>
    <col min="22" max="22" width="12.42578125" style="5" customWidth="1"/>
    <col min="23" max="23" width="13.7109375" style="5" hidden="1" customWidth="1"/>
    <col min="24" max="24" width="12" style="5" customWidth="1"/>
    <col min="25" max="25" width="12.7109375" style="5" hidden="1" customWidth="1"/>
    <col min="26" max="26" width="11.85546875" style="5" customWidth="1"/>
    <col min="27" max="27" width="12" style="37" customWidth="1"/>
    <col min="28" max="28" width="9.7109375" style="5" customWidth="1"/>
    <col min="29" max="29" width="11.7109375" style="5" customWidth="1"/>
    <col min="30" max="30" width="9.85546875" style="5" hidden="1" customWidth="1"/>
    <col min="31" max="31" width="11.85546875" style="5" customWidth="1"/>
    <col min="32" max="32" width="12.140625" style="5" hidden="1" customWidth="1"/>
    <col min="33" max="33" width="10" style="5" hidden="1" customWidth="1"/>
    <col min="34" max="34" width="15.140625" style="5" customWidth="1"/>
    <col min="35" max="35" width="15.42578125" style="5" customWidth="1"/>
    <col min="36" max="36" width="11" style="5" customWidth="1"/>
    <col min="37" max="37" width="14.7109375" style="5" customWidth="1"/>
    <col min="38" max="38" width="13.28515625" style="5" customWidth="1"/>
    <col min="39" max="39" width="9.7109375" style="5" hidden="1" customWidth="1"/>
    <col min="40" max="40" width="11.7109375" style="5" hidden="1" customWidth="1"/>
    <col min="41" max="41" width="11" style="5" hidden="1" customWidth="1"/>
    <col min="42" max="42" width="12.28515625" style="5" hidden="1" customWidth="1"/>
    <col min="43" max="43" width="11" style="5" hidden="1" customWidth="1"/>
    <col min="44" max="44" width="12.28515625" style="5" hidden="1" customWidth="1"/>
    <col min="45" max="45" width="14.7109375" style="5" hidden="1" customWidth="1"/>
    <col min="46" max="46" width="12.28515625" style="5" hidden="1" customWidth="1"/>
    <col min="47" max="47" width="12.42578125" style="5" customWidth="1"/>
    <col min="48" max="48" width="15" style="2" customWidth="1"/>
    <col min="49" max="49" width="15" style="5" customWidth="1"/>
    <col min="50" max="50" width="13.140625" style="5" customWidth="1"/>
    <col min="51" max="51" width="11.140625" style="5" hidden="1" customWidth="1"/>
    <col min="52" max="52" width="10.140625" style="5" hidden="1" customWidth="1"/>
    <col min="53" max="53" width="11" style="5" hidden="1" customWidth="1"/>
    <col min="54" max="54" width="12.5703125" style="5" customWidth="1"/>
    <col min="55" max="55" width="11" style="5" hidden="1" customWidth="1"/>
    <col min="56" max="57" width="11.42578125" style="5" hidden="1" customWidth="1"/>
    <col min="58" max="58" width="13.5703125" style="5" customWidth="1"/>
    <col min="59" max="59" width="15.28515625" style="5" hidden="1" customWidth="1"/>
    <col min="60" max="60" width="10.5703125" style="5" hidden="1" customWidth="1"/>
    <col min="61" max="62" width="14.28515625" style="61" hidden="1" customWidth="1"/>
    <col min="63" max="63" width="13.5703125" style="62" hidden="1" customWidth="1"/>
    <col min="64" max="64" width="15.5703125" style="5" hidden="1" customWidth="1"/>
    <col min="65" max="65" width="13.28515625" style="5" customWidth="1"/>
    <col min="66" max="66" width="12" style="5" customWidth="1"/>
    <col min="67" max="67" width="13.5703125" style="5" customWidth="1"/>
    <col min="68" max="68" width="23.7109375" style="117" hidden="1" customWidth="1"/>
    <col min="69" max="69" width="16.5703125" style="72" customWidth="1"/>
    <col min="70" max="70" width="19.5703125" style="5" customWidth="1"/>
    <col min="71" max="71" width="11.28515625" style="5" bestFit="1" customWidth="1"/>
    <col min="72" max="72" width="9.7109375" style="5" bestFit="1" customWidth="1"/>
    <col min="73" max="73" width="9.28515625" style="5" bestFit="1" customWidth="1"/>
    <col min="74" max="283" width="9.140625" style="5"/>
    <col min="284" max="284" width="0" style="5" hidden="1" customWidth="1"/>
    <col min="285" max="285" width="11.42578125" style="5" customWidth="1"/>
    <col min="286" max="286" width="7.5703125" style="5" customWidth="1"/>
    <col min="287" max="287" width="17.85546875" style="5" customWidth="1"/>
    <col min="288" max="288" width="3.5703125" style="5" customWidth="1"/>
    <col min="289" max="294" width="0" style="5" hidden="1" customWidth="1"/>
    <col min="295" max="295" width="11" style="5" customWidth="1"/>
    <col min="296" max="298" width="0" style="5" hidden="1" customWidth="1"/>
    <col min="299" max="299" width="10.7109375" style="5" customWidth="1"/>
    <col min="300" max="304" width="0" style="5" hidden="1" customWidth="1"/>
    <col min="305" max="305" width="13.140625" style="5" customWidth="1"/>
    <col min="306" max="306" width="10.42578125" style="5" customWidth="1"/>
    <col min="307" max="307" width="10.28515625" style="5" customWidth="1"/>
    <col min="308" max="308" width="9.85546875" style="5" customWidth="1"/>
    <col min="309" max="309" width="10.7109375" style="5" customWidth="1"/>
    <col min="310" max="310" width="10" style="5" customWidth="1"/>
    <col min="311" max="311" width="9.5703125" style="5" customWidth="1"/>
    <col min="312" max="312" width="10.7109375" style="5" customWidth="1"/>
    <col min="313" max="313" width="9.85546875" style="5" customWidth="1"/>
    <col min="314" max="317" width="0" style="5" hidden="1" customWidth="1"/>
    <col min="318" max="318" width="9.85546875" style="5" customWidth="1"/>
    <col min="319" max="319" width="10.85546875" style="5" customWidth="1"/>
    <col min="320" max="320" width="11.5703125" style="5" customWidth="1"/>
    <col min="321" max="322" width="0" style="5" hidden="1" customWidth="1"/>
    <col min="323" max="539" width="9.140625" style="5"/>
    <col min="540" max="540" width="0" style="5" hidden="1" customWidth="1"/>
    <col min="541" max="541" width="11.42578125" style="5" customWidth="1"/>
    <col min="542" max="542" width="7.5703125" style="5" customWidth="1"/>
    <col min="543" max="543" width="17.85546875" style="5" customWidth="1"/>
    <col min="544" max="544" width="3.5703125" style="5" customWidth="1"/>
    <col min="545" max="550" width="0" style="5" hidden="1" customWidth="1"/>
    <col min="551" max="551" width="11" style="5" customWidth="1"/>
    <col min="552" max="554" width="0" style="5" hidden="1" customWidth="1"/>
    <col min="555" max="555" width="10.7109375" style="5" customWidth="1"/>
    <col min="556" max="560" width="0" style="5" hidden="1" customWidth="1"/>
    <col min="561" max="561" width="13.140625" style="5" customWidth="1"/>
    <col min="562" max="562" width="10.42578125" style="5" customWidth="1"/>
    <col min="563" max="563" width="10.28515625" style="5" customWidth="1"/>
    <col min="564" max="564" width="9.85546875" style="5" customWidth="1"/>
    <col min="565" max="565" width="10.7109375" style="5" customWidth="1"/>
    <col min="566" max="566" width="10" style="5" customWidth="1"/>
    <col min="567" max="567" width="9.5703125" style="5" customWidth="1"/>
    <col min="568" max="568" width="10.7109375" style="5" customWidth="1"/>
    <col min="569" max="569" width="9.85546875" style="5" customWidth="1"/>
    <col min="570" max="573" width="0" style="5" hidden="1" customWidth="1"/>
    <col min="574" max="574" width="9.85546875" style="5" customWidth="1"/>
    <col min="575" max="575" width="10.85546875" style="5" customWidth="1"/>
    <col min="576" max="576" width="11.5703125" style="5" customWidth="1"/>
    <col min="577" max="578" width="0" style="5" hidden="1" customWidth="1"/>
    <col min="579" max="795" width="9.140625" style="5"/>
    <col min="796" max="796" width="0" style="5" hidden="1" customWidth="1"/>
    <col min="797" max="797" width="11.42578125" style="5" customWidth="1"/>
    <col min="798" max="798" width="7.5703125" style="5" customWidth="1"/>
    <col min="799" max="799" width="17.85546875" style="5" customWidth="1"/>
    <col min="800" max="800" width="3.5703125" style="5" customWidth="1"/>
    <col min="801" max="806" width="0" style="5" hidden="1" customWidth="1"/>
    <col min="807" max="807" width="11" style="5" customWidth="1"/>
    <col min="808" max="810" width="0" style="5" hidden="1" customWidth="1"/>
    <col min="811" max="811" width="10.7109375" style="5" customWidth="1"/>
    <col min="812" max="816" width="0" style="5" hidden="1" customWidth="1"/>
    <col min="817" max="817" width="13.140625" style="5" customWidth="1"/>
    <col min="818" max="818" width="10.42578125" style="5" customWidth="1"/>
    <col min="819" max="819" width="10.28515625" style="5" customWidth="1"/>
    <col min="820" max="820" width="9.85546875" style="5" customWidth="1"/>
    <col min="821" max="821" width="10.7109375" style="5" customWidth="1"/>
    <col min="822" max="822" width="10" style="5" customWidth="1"/>
    <col min="823" max="823" width="9.5703125" style="5" customWidth="1"/>
    <col min="824" max="824" width="10.7109375" style="5" customWidth="1"/>
    <col min="825" max="825" width="9.85546875" style="5" customWidth="1"/>
    <col min="826" max="829" width="0" style="5" hidden="1" customWidth="1"/>
    <col min="830" max="830" width="9.85546875" style="5" customWidth="1"/>
    <col min="831" max="831" width="10.85546875" style="5" customWidth="1"/>
    <col min="832" max="832" width="11.5703125" style="5" customWidth="1"/>
    <col min="833" max="834" width="0" style="5" hidden="1" customWidth="1"/>
    <col min="835" max="1051" width="9.140625" style="5"/>
    <col min="1052" max="1052" width="0" style="5" hidden="1" customWidth="1"/>
    <col min="1053" max="1053" width="11.42578125" style="5" customWidth="1"/>
    <col min="1054" max="1054" width="7.5703125" style="5" customWidth="1"/>
    <col min="1055" max="1055" width="17.85546875" style="5" customWidth="1"/>
    <col min="1056" max="1056" width="3.5703125" style="5" customWidth="1"/>
    <col min="1057" max="1062" width="0" style="5" hidden="1" customWidth="1"/>
    <col min="1063" max="1063" width="11" style="5" customWidth="1"/>
    <col min="1064" max="1066" width="0" style="5" hidden="1" customWidth="1"/>
    <col min="1067" max="1067" width="10.7109375" style="5" customWidth="1"/>
    <col min="1068" max="1072" width="0" style="5" hidden="1" customWidth="1"/>
    <col min="1073" max="1073" width="13.140625" style="5" customWidth="1"/>
    <col min="1074" max="1074" width="10.42578125" style="5" customWidth="1"/>
    <col min="1075" max="1075" width="10.28515625" style="5" customWidth="1"/>
    <col min="1076" max="1076" width="9.85546875" style="5" customWidth="1"/>
    <col min="1077" max="1077" width="10.7109375" style="5" customWidth="1"/>
    <col min="1078" max="1078" width="10" style="5" customWidth="1"/>
    <col min="1079" max="1079" width="9.5703125" style="5" customWidth="1"/>
    <col min="1080" max="1080" width="10.7109375" style="5" customWidth="1"/>
    <col min="1081" max="1081" width="9.85546875" style="5" customWidth="1"/>
    <col min="1082" max="1085" width="0" style="5" hidden="1" customWidth="1"/>
    <col min="1086" max="1086" width="9.85546875" style="5" customWidth="1"/>
    <col min="1087" max="1087" width="10.85546875" style="5" customWidth="1"/>
    <col min="1088" max="1088" width="11.5703125" style="5" customWidth="1"/>
    <col min="1089" max="1090" width="0" style="5" hidden="1" customWidth="1"/>
    <col min="1091" max="1307" width="9.140625" style="5"/>
    <col min="1308" max="1308" width="0" style="5" hidden="1" customWidth="1"/>
    <col min="1309" max="1309" width="11.42578125" style="5" customWidth="1"/>
    <col min="1310" max="1310" width="7.5703125" style="5" customWidth="1"/>
    <col min="1311" max="1311" width="17.85546875" style="5" customWidth="1"/>
    <col min="1312" max="1312" width="3.5703125" style="5" customWidth="1"/>
    <col min="1313" max="1318" width="0" style="5" hidden="1" customWidth="1"/>
    <col min="1319" max="1319" width="11" style="5" customWidth="1"/>
    <col min="1320" max="1322" width="0" style="5" hidden="1" customWidth="1"/>
    <col min="1323" max="1323" width="10.7109375" style="5" customWidth="1"/>
    <col min="1324" max="1328" width="0" style="5" hidden="1" customWidth="1"/>
    <col min="1329" max="1329" width="13.140625" style="5" customWidth="1"/>
    <col min="1330" max="1330" width="10.42578125" style="5" customWidth="1"/>
    <col min="1331" max="1331" width="10.28515625" style="5" customWidth="1"/>
    <col min="1332" max="1332" width="9.85546875" style="5" customWidth="1"/>
    <col min="1333" max="1333" width="10.7109375" style="5" customWidth="1"/>
    <col min="1334" max="1334" width="10" style="5" customWidth="1"/>
    <col min="1335" max="1335" width="9.5703125" style="5" customWidth="1"/>
    <col min="1336" max="1336" width="10.7109375" style="5" customWidth="1"/>
    <col min="1337" max="1337" width="9.85546875" style="5" customWidth="1"/>
    <col min="1338" max="1341" width="0" style="5" hidden="1" customWidth="1"/>
    <col min="1342" max="1342" width="9.85546875" style="5" customWidth="1"/>
    <col min="1343" max="1343" width="10.85546875" style="5" customWidth="1"/>
    <col min="1344" max="1344" width="11.5703125" style="5" customWidth="1"/>
    <col min="1345" max="1346" width="0" style="5" hidden="1" customWidth="1"/>
    <col min="1347" max="1563" width="9.140625" style="5"/>
    <col min="1564" max="1564" width="0" style="5" hidden="1" customWidth="1"/>
    <col min="1565" max="1565" width="11.42578125" style="5" customWidth="1"/>
    <col min="1566" max="1566" width="7.5703125" style="5" customWidth="1"/>
    <col min="1567" max="1567" width="17.85546875" style="5" customWidth="1"/>
    <col min="1568" max="1568" width="3.5703125" style="5" customWidth="1"/>
    <col min="1569" max="1574" width="0" style="5" hidden="1" customWidth="1"/>
    <col min="1575" max="1575" width="11" style="5" customWidth="1"/>
    <col min="1576" max="1578" width="0" style="5" hidden="1" customWidth="1"/>
    <col min="1579" max="1579" width="10.7109375" style="5" customWidth="1"/>
    <col min="1580" max="1584" width="0" style="5" hidden="1" customWidth="1"/>
    <col min="1585" max="1585" width="13.140625" style="5" customWidth="1"/>
    <col min="1586" max="1586" width="10.42578125" style="5" customWidth="1"/>
    <col min="1587" max="1587" width="10.28515625" style="5" customWidth="1"/>
    <col min="1588" max="1588" width="9.85546875" style="5" customWidth="1"/>
    <col min="1589" max="1589" width="10.7109375" style="5" customWidth="1"/>
    <col min="1590" max="1590" width="10" style="5" customWidth="1"/>
    <col min="1591" max="1591" width="9.5703125" style="5" customWidth="1"/>
    <col min="1592" max="1592" width="10.7109375" style="5" customWidth="1"/>
    <col min="1593" max="1593" width="9.85546875" style="5" customWidth="1"/>
    <col min="1594" max="1597" width="0" style="5" hidden="1" customWidth="1"/>
    <col min="1598" max="1598" width="9.85546875" style="5" customWidth="1"/>
    <col min="1599" max="1599" width="10.85546875" style="5" customWidth="1"/>
    <col min="1600" max="1600" width="11.5703125" style="5" customWidth="1"/>
    <col min="1601" max="1602" width="0" style="5" hidden="1" customWidth="1"/>
    <col min="1603" max="1819" width="9.140625" style="5"/>
    <col min="1820" max="1820" width="0" style="5" hidden="1" customWidth="1"/>
    <col min="1821" max="1821" width="11.42578125" style="5" customWidth="1"/>
    <col min="1822" max="1822" width="7.5703125" style="5" customWidth="1"/>
    <col min="1823" max="1823" width="17.85546875" style="5" customWidth="1"/>
    <col min="1824" max="1824" width="3.5703125" style="5" customWidth="1"/>
    <col min="1825" max="1830" width="0" style="5" hidden="1" customWidth="1"/>
    <col min="1831" max="1831" width="11" style="5" customWidth="1"/>
    <col min="1832" max="1834" width="0" style="5" hidden="1" customWidth="1"/>
    <col min="1835" max="1835" width="10.7109375" style="5" customWidth="1"/>
    <col min="1836" max="1840" width="0" style="5" hidden="1" customWidth="1"/>
    <col min="1841" max="1841" width="13.140625" style="5" customWidth="1"/>
    <col min="1842" max="1842" width="10.42578125" style="5" customWidth="1"/>
    <col min="1843" max="1843" width="10.28515625" style="5" customWidth="1"/>
    <col min="1844" max="1844" width="9.85546875" style="5" customWidth="1"/>
    <col min="1845" max="1845" width="10.7109375" style="5" customWidth="1"/>
    <col min="1846" max="1846" width="10" style="5" customWidth="1"/>
    <col min="1847" max="1847" width="9.5703125" style="5" customWidth="1"/>
    <col min="1848" max="1848" width="10.7109375" style="5" customWidth="1"/>
    <col min="1849" max="1849" width="9.85546875" style="5" customWidth="1"/>
    <col min="1850" max="1853" width="0" style="5" hidden="1" customWidth="1"/>
    <col min="1854" max="1854" width="9.85546875" style="5" customWidth="1"/>
    <col min="1855" max="1855" width="10.85546875" style="5" customWidth="1"/>
    <col min="1856" max="1856" width="11.5703125" style="5" customWidth="1"/>
    <col min="1857" max="1858" width="0" style="5" hidden="1" customWidth="1"/>
    <col min="1859" max="2075" width="9.140625" style="5"/>
    <col min="2076" max="2076" width="0" style="5" hidden="1" customWidth="1"/>
    <col min="2077" max="2077" width="11.42578125" style="5" customWidth="1"/>
    <col min="2078" max="2078" width="7.5703125" style="5" customWidth="1"/>
    <col min="2079" max="2079" width="17.85546875" style="5" customWidth="1"/>
    <col min="2080" max="2080" width="3.5703125" style="5" customWidth="1"/>
    <col min="2081" max="2086" width="0" style="5" hidden="1" customWidth="1"/>
    <col min="2087" max="2087" width="11" style="5" customWidth="1"/>
    <col min="2088" max="2090" width="0" style="5" hidden="1" customWidth="1"/>
    <col min="2091" max="2091" width="10.7109375" style="5" customWidth="1"/>
    <col min="2092" max="2096" width="0" style="5" hidden="1" customWidth="1"/>
    <col min="2097" max="2097" width="13.140625" style="5" customWidth="1"/>
    <col min="2098" max="2098" width="10.42578125" style="5" customWidth="1"/>
    <col min="2099" max="2099" width="10.28515625" style="5" customWidth="1"/>
    <col min="2100" max="2100" width="9.85546875" style="5" customWidth="1"/>
    <col min="2101" max="2101" width="10.7109375" style="5" customWidth="1"/>
    <col min="2102" max="2102" width="10" style="5" customWidth="1"/>
    <col min="2103" max="2103" width="9.5703125" style="5" customWidth="1"/>
    <col min="2104" max="2104" width="10.7109375" style="5" customWidth="1"/>
    <col min="2105" max="2105" width="9.85546875" style="5" customWidth="1"/>
    <col min="2106" max="2109" width="0" style="5" hidden="1" customWidth="1"/>
    <col min="2110" max="2110" width="9.85546875" style="5" customWidth="1"/>
    <col min="2111" max="2111" width="10.85546875" style="5" customWidth="1"/>
    <col min="2112" max="2112" width="11.5703125" style="5" customWidth="1"/>
    <col min="2113" max="2114" width="0" style="5" hidden="1" customWidth="1"/>
    <col min="2115" max="2331" width="9.140625" style="5"/>
    <col min="2332" max="2332" width="0" style="5" hidden="1" customWidth="1"/>
    <col min="2333" max="2333" width="11.42578125" style="5" customWidth="1"/>
    <col min="2334" max="2334" width="7.5703125" style="5" customWidth="1"/>
    <col min="2335" max="2335" width="17.85546875" style="5" customWidth="1"/>
    <col min="2336" max="2336" width="3.5703125" style="5" customWidth="1"/>
    <col min="2337" max="2342" width="0" style="5" hidden="1" customWidth="1"/>
    <col min="2343" max="2343" width="11" style="5" customWidth="1"/>
    <col min="2344" max="2346" width="0" style="5" hidden="1" customWidth="1"/>
    <col min="2347" max="2347" width="10.7109375" style="5" customWidth="1"/>
    <col min="2348" max="2352" width="0" style="5" hidden="1" customWidth="1"/>
    <col min="2353" max="2353" width="13.140625" style="5" customWidth="1"/>
    <col min="2354" max="2354" width="10.42578125" style="5" customWidth="1"/>
    <col min="2355" max="2355" width="10.28515625" style="5" customWidth="1"/>
    <col min="2356" max="2356" width="9.85546875" style="5" customWidth="1"/>
    <col min="2357" max="2357" width="10.7109375" style="5" customWidth="1"/>
    <col min="2358" max="2358" width="10" style="5" customWidth="1"/>
    <col min="2359" max="2359" width="9.5703125" style="5" customWidth="1"/>
    <col min="2360" max="2360" width="10.7109375" style="5" customWidth="1"/>
    <col min="2361" max="2361" width="9.85546875" style="5" customWidth="1"/>
    <col min="2362" max="2365" width="0" style="5" hidden="1" customWidth="1"/>
    <col min="2366" max="2366" width="9.85546875" style="5" customWidth="1"/>
    <col min="2367" max="2367" width="10.85546875" style="5" customWidth="1"/>
    <col min="2368" max="2368" width="11.5703125" style="5" customWidth="1"/>
    <col min="2369" max="2370" width="0" style="5" hidden="1" customWidth="1"/>
    <col min="2371" max="2587" width="9.140625" style="5"/>
    <col min="2588" max="2588" width="0" style="5" hidden="1" customWidth="1"/>
    <col min="2589" max="2589" width="11.42578125" style="5" customWidth="1"/>
    <col min="2590" max="2590" width="7.5703125" style="5" customWidth="1"/>
    <col min="2591" max="2591" width="17.85546875" style="5" customWidth="1"/>
    <col min="2592" max="2592" width="3.5703125" style="5" customWidth="1"/>
    <col min="2593" max="2598" width="0" style="5" hidden="1" customWidth="1"/>
    <col min="2599" max="2599" width="11" style="5" customWidth="1"/>
    <col min="2600" max="2602" width="0" style="5" hidden="1" customWidth="1"/>
    <col min="2603" max="2603" width="10.7109375" style="5" customWidth="1"/>
    <col min="2604" max="2608" width="0" style="5" hidden="1" customWidth="1"/>
    <col min="2609" max="2609" width="13.140625" style="5" customWidth="1"/>
    <col min="2610" max="2610" width="10.42578125" style="5" customWidth="1"/>
    <col min="2611" max="2611" width="10.28515625" style="5" customWidth="1"/>
    <col min="2612" max="2612" width="9.85546875" style="5" customWidth="1"/>
    <col min="2613" max="2613" width="10.7109375" style="5" customWidth="1"/>
    <col min="2614" max="2614" width="10" style="5" customWidth="1"/>
    <col min="2615" max="2615" width="9.5703125" style="5" customWidth="1"/>
    <col min="2616" max="2616" width="10.7109375" style="5" customWidth="1"/>
    <col min="2617" max="2617" width="9.85546875" style="5" customWidth="1"/>
    <col min="2618" max="2621" width="0" style="5" hidden="1" customWidth="1"/>
    <col min="2622" max="2622" width="9.85546875" style="5" customWidth="1"/>
    <col min="2623" max="2623" width="10.85546875" style="5" customWidth="1"/>
    <col min="2624" max="2624" width="11.5703125" style="5" customWidth="1"/>
    <col min="2625" max="2626" width="0" style="5" hidden="1" customWidth="1"/>
    <col min="2627" max="2843" width="9.140625" style="5"/>
    <col min="2844" max="2844" width="0" style="5" hidden="1" customWidth="1"/>
    <col min="2845" max="2845" width="11.42578125" style="5" customWidth="1"/>
    <col min="2846" max="2846" width="7.5703125" style="5" customWidth="1"/>
    <col min="2847" max="2847" width="17.85546875" style="5" customWidth="1"/>
    <col min="2848" max="2848" width="3.5703125" style="5" customWidth="1"/>
    <col min="2849" max="2854" width="0" style="5" hidden="1" customWidth="1"/>
    <col min="2855" max="2855" width="11" style="5" customWidth="1"/>
    <col min="2856" max="2858" width="0" style="5" hidden="1" customWidth="1"/>
    <col min="2859" max="2859" width="10.7109375" style="5" customWidth="1"/>
    <col min="2860" max="2864" width="0" style="5" hidden="1" customWidth="1"/>
    <col min="2865" max="2865" width="13.140625" style="5" customWidth="1"/>
    <col min="2866" max="2866" width="10.42578125" style="5" customWidth="1"/>
    <col min="2867" max="2867" width="10.28515625" style="5" customWidth="1"/>
    <col min="2868" max="2868" width="9.85546875" style="5" customWidth="1"/>
    <col min="2869" max="2869" width="10.7109375" style="5" customWidth="1"/>
    <col min="2870" max="2870" width="10" style="5" customWidth="1"/>
    <col min="2871" max="2871" width="9.5703125" style="5" customWidth="1"/>
    <col min="2872" max="2872" width="10.7109375" style="5" customWidth="1"/>
    <col min="2873" max="2873" width="9.85546875" style="5" customWidth="1"/>
    <col min="2874" max="2877" width="0" style="5" hidden="1" customWidth="1"/>
    <col min="2878" max="2878" width="9.85546875" style="5" customWidth="1"/>
    <col min="2879" max="2879" width="10.85546875" style="5" customWidth="1"/>
    <col min="2880" max="2880" width="11.5703125" style="5" customWidth="1"/>
    <col min="2881" max="2882" width="0" style="5" hidden="1" customWidth="1"/>
    <col min="2883" max="3099" width="9.140625" style="5"/>
    <col min="3100" max="3100" width="0" style="5" hidden="1" customWidth="1"/>
    <col min="3101" max="3101" width="11.42578125" style="5" customWidth="1"/>
    <col min="3102" max="3102" width="7.5703125" style="5" customWidth="1"/>
    <col min="3103" max="3103" width="17.85546875" style="5" customWidth="1"/>
    <col min="3104" max="3104" width="3.5703125" style="5" customWidth="1"/>
    <col min="3105" max="3110" width="0" style="5" hidden="1" customWidth="1"/>
    <col min="3111" max="3111" width="11" style="5" customWidth="1"/>
    <col min="3112" max="3114" width="0" style="5" hidden="1" customWidth="1"/>
    <col min="3115" max="3115" width="10.7109375" style="5" customWidth="1"/>
    <col min="3116" max="3120" width="0" style="5" hidden="1" customWidth="1"/>
    <col min="3121" max="3121" width="13.140625" style="5" customWidth="1"/>
    <col min="3122" max="3122" width="10.42578125" style="5" customWidth="1"/>
    <col min="3123" max="3123" width="10.28515625" style="5" customWidth="1"/>
    <col min="3124" max="3124" width="9.85546875" style="5" customWidth="1"/>
    <col min="3125" max="3125" width="10.7109375" style="5" customWidth="1"/>
    <col min="3126" max="3126" width="10" style="5" customWidth="1"/>
    <col min="3127" max="3127" width="9.5703125" style="5" customWidth="1"/>
    <col min="3128" max="3128" width="10.7109375" style="5" customWidth="1"/>
    <col min="3129" max="3129" width="9.85546875" style="5" customWidth="1"/>
    <col min="3130" max="3133" width="0" style="5" hidden="1" customWidth="1"/>
    <col min="3134" max="3134" width="9.85546875" style="5" customWidth="1"/>
    <col min="3135" max="3135" width="10.85546875" style="5" customWidth="1"/>
    <col min="3136" max="3136" width="11.5703125" style="5" customWidth="1"/>
    <col min="3137" max="3138" width="0" style="5" hidden="1" customWidth="1"/>
    <col min="3139" max="3355" width="9.140625" style="5"/>
    <col min="3356" max="3356" width="0" style="5" hidden="1" customWidth="1"/>
    <col min="3357" max="3357" width="11.42578125" style="5" customWidth="1"/>
    <col min="3358" max="3358" width="7.5703125" style="5" customWidth="1"/>
    <col min="3359" max="3359" width="17.85546875" style="5" customWidth="1"/>
    <col min="3360" max="3360" width="3.5703125" style="5" customWidth="1"/>
    <col min="3361" max="3366" width="0" style="5" hidden="1" customWidth="1"/>
    <col min="3367" max="3367" width="11" style="5" customWidth="1"/>
    <col min="3368" max="3370" width="0" style="5" hidden="1" customWidth="1"/>
    <col min="3371" max="3371" width="10.7109375" style="5" customWidth="1"/>
    <col min="3372" max="3376" width="0" style="5" hidden="1" customWidth="1"/>
    <col min="3377" max="3377" width="13.140625" style="5" customWidth="1"/>
    <col min="3378" max="3378" width="10.42578125" style="5" customWidth="1"/>
    <col min="3379" max="3379" width="10.28515625" style="5" customWidth="1"/>
    <col min="3380" max="3380" width="9.85546875" style="5" customWidth="1"/>
    <col min="3381" max="3381" width="10.7109375" style="5" customWidth="1"/>
    <col min="3382" max="3382" width="10" style="5" customWidth="1"/>
    <col min="3383" max="3383" width="9.5703125" style="5" customWidth="1"/>
    <col min="3384" max="3384" width="10.7109375" style="5" customWidth="1"/>
    <col min="3385" max="3385" width="9.85546875" style="5" customWidth="1"/>
    <col min="3386" max="3389" width="0" style="5" hidden="1" customWidth="1"/>
    <col min="3390" max="3390" width="9.85546875" style="5" customWidth="1"/>
    <col min="3391" max="3391" width="10.85546875" style="5" customWidth="1"/>
    <col min="3392" max="3392" width="11.5703125" style="5" customWidth="1"/>
    <col min="3393" max="3394" width="0" style="5" hidden="1" customWidth="1"/>
    <col min="3395" max="3611" width="9.140625" style="5"/>
    <col min="3612" max="3612" width="0" style="5" hidden="1" customWidth="1"/>
    <col min="3613" max="3613" width="11.42578125" style="5" customWidth="1"/>
    <col min="3614" max="3614" width="7.5703125" style="5" customWidth="1"/>
    <col min="3615" max="3615" width="17.85546875" style="5" customWidth="1"/>
    <col min="3616" max="3616" width="3.5703125" style="5" customWidth="1"/>
    <col min="3617" max="3622" width="0" style="5" hidden="1" customWidth="1"/>
    <col min="3623" max="3623" width="11" style="5" customWidth="1"/>
    <col min="3624" max="3626" width="0" style="5" hidden="1" customWidth="1"/>
    <col min="3627" max="3627" width="10.7109375" style="5" customWidth="1"/>
    <col min="3628" max="3632" width="0" style="5" hidden="1" customWidth="1"/>
    <col min="3633" max="3633" width="13.140625" style="5" customWidth="1"/>
    <col min="3634" max="3634" width="10.42578125" style="5" customWidth="1"/>
    <col min="3635" max="3635" width="10.28515625" style="5" customWidth="1"/>
    <col min="3636" max="3636" width="9.85546875" style="5" customWidth="1"/>
    <col min="3637" max="3637" width="10.7109375" style="5" customWidth="1"/>
    <col min="3638" max="3638" width="10" style="5" customWidth="1"/>
    <col min="3639" max="3639" width="9.5703125" style="5" customWidth="1"/>
    <col min="3640" max="3640" width="10.7109375" style="5" customWidth="1"/>
    <col min="3641" max="3641" width="9.85546875" style="5" customWidth="1"/>
    <col min="3642" max="3645" width="0" style="5" hidden="1" customWidth="1"/>
    <col min="3646" max="3646" width="9.85546875" style="5" customWidth="1"/>
    <col min="3647" max="3647" width="10.85546875" style="5" customWidth="1"/>
    <col min="3648" max="3648" width="11.5703125" style="5" customWidth="1"/>
    <col min="3649" max="3650" width="0" style="5" hidden="1" customWidth="1"/>
    <col min="3651" max="3867" width="9.140625" style="5"/>
    <col min="3868" max="3868" width="0" style="5" hidden="1" customWidth="1"/>
    <col min="3869" max="3869" width="11.42578125" style="5" customWidth="1"/>
    <col min="3870" max="3870" width="7.5703125" style="5" customWidth="1"/>
    <col min="3871" max="3871" width="17.85546875" style="5" customWidth="1"/>
    <col min="3872" max="3872" width="3.5703125" style="5" customWidth="1"/>
    <col min="3873" max="3878" width="0" style="5" hidden="1" customWidth="1"/>
    <col min="3879" max="3879" width="11" style="5" customWidth="1"/>
    <col min="3880" max="3882" width="0" style="5" hidden="1" customWidth="1"/>
    <col min="3883" max="3883" width="10.7109375" style="5" customWidth="1"/>
    <col min="3884" max="3888" width="0" style="5" hidden="1" customWidth="1"/>
    <col min="3889" max="3889" width="13.140625" style="5" customWidth="1"/>
    <col min="3890" max="3890" width="10.42578125" style="5" customWidth="1"/>
    <col min="3891" max="3891" width="10.28515625" style="5" customWidth="1"/>
    <col min="3892" max="3892" width="9.85546875" style="5" customWidth="1"/>
    <col min="3893" max="3893" width="10.7109375" style="5" customWidth="1"/>
    <col min="3894" max="3894" width="10" style="5" customWidth="1"/>
    <col min="3895" max="3895" width="9.5703125" style="5" customWidth="1"/>
    <col min="3896" max="3896" width="10.7109375" style="5" customWidth="1"/>
    <col min="3897" max="3897" width="9.85546875" style="5" customWidth="1"/>
    <col min="3898" max="3901" width="0" style="5" hidden="1" customWidth="1"/>
    <col min="3902" max="3902" width="9.85546875" style="5" customWidth="1"/>
    <col min="3903" max="3903" width="10.85546875" style="5" customWidth="1"/>
    <col min="3904" max="3904" width="11.5703125" style="5" customWidth="1"/>
    <col min="3905" max="3906" width="0" style="5" hidden="1" customWidth="1"/>
    <col min="3907" max="4123" width="9.140625" style="5"/>
    <col min="4124" max="4124" width="0" style="5" hidden="1" customWidth="1"/>
    <col min="4125" max="4125" width="11.42578125" style="5" customWidth="1"/>
    <col min="4126" max="4126" width="7.5703125" style="5" customWidth="1"/>
    <col min="4127" max="4127" width="17.85546875" style="5" customWidth="1"/>
    <col min="4128" max="4128" width="3.5703125" style="5" customWidth="1"/>
    <col min="4129" max="4134" width="0" style="5" hidden="1" customWidth="1"/>
    <col min="4135" max="4135" width="11" style="5" customWidth="1"/>
    <col min="4136" max="4138" width="0" style="5" hidden="1" customWidth="1"/>
    <col min="4139" max="4139" width="10.7109375" style="5" customWidth="1"/>
    <col min="4140" max="4144" width="0" style="5" hidden="1" customWidth="1"/>
    <col min="4145" max="4145" width="13.140625" style="5" customWidth="1"/>
    <col min="4146" max="4146" width="10.42578125" style="5" customWidth="1"/>
    <col min="4147" max="4147" width="10.28515625" style="5" customWidth="1"/>
    <col min="4148" max="4148" width="9.85546875" style="5" customWidth="1"/>
    <col min="4149" max="4149" width="10.7109375" style="5" customWidth="1"/>
    <col min="4150" max="4150" width="10" style="5" customWidth="1"/>
    <col min="4151" max="4151" width="9.5703125" style="5" customWidth="1"/>
    <col min="4152" max="4152" width="10.7109375" style="5" customWidth="1"/>
    <col min="4153" max="4153" width="9.85546875" style="5" customWidth="1"/>
    <col min="4154" max="4157" width="0" style="5" hidden="1" customWidth="1"/>
    <col min="4158" max="4158" width="9.85546875" style="5" customWidth="1"/>
    <col min="4159" max="4159" width="10.85546875" style="5" customWidth="1"/>
    <col min="4160" max="4160" width="11.5703125" style="5" customWidth="1"/>
    <col min="4161" max="4162" width="0" style="5" hidden="1" customWidth="1"/>
    <col min="4163" max="4379" width="9.140625" style="5"/>
    <col min="4380" max="4380" width="0" style="5" hidden="1" customWidth="1"/>
    <col min="4381" max="4381" width="11.42578125" style="5" customWidth="1"/>
    <col min="4382" max="4382" width="7.5703125" style="5" customWidth="1"/>
    <col min="4383" max="4383" width="17.85546875" style="5" customWidth="1"/>
    <col min="4384" max="4384" width="3.5703125" style="5" customWidth="1"/>
    <col min="4385" max="4390" width="0" style="5" hidden="1" customWidth="1"/>
    <col min="4391" max="4391" width="11" style="5" customWidth="1"/>
    <col min="4392" max="4394" width="0" style="5" hidden="1" customWidth="1"/>
    <col min="4395" max="4395" width="10.7109375" style="5" customWidth="1"/>
    <col min="4396" max="4400" width="0" style="5" hidden="1" customWidth="1"/>
    <col min="4401" max="4401" width="13.140625" style="5" customWidth="1"/>
    <col min="4402" max="4402" width="10.42578125" style="5" customWidth="1"/>
    <col min="4403" max="4403" width="10.28515625" style="5" customWidth="1"/>
    <col min="4404" max="4404" width="9.85546875" style="5" customWidth="1"/>
    <col min="4405" max="4405" width="10.7109375" style="5" customWidth="1"/>
    <col min="4406" max="4406" width="10" style="5" customWidth="1"/>
    <col min="4407" max="4407" width="9.5703125" style="5" customWidth="1"/>
    <col min="4408" max="4408" width="10.7109375" style="5" customWidth="1"/>
    <col min="4409" max="4409" width="9.85546875" style="5" customWidth="1"/>
    <col min="4410" max="4413" width="0" style="5" hidden="1" customWidth="1"/>
    <col min="4414" max="4414" width="9.85546875" style="5" customWidth="1"/>
    <col min="4415" max="4415" width="10.85546875" style="5" customWidth="1"/>
    <col min="4416" max="4416" width="11.5703125" style="5" customWidth="1"/>
    <col min="4417" max="4418" width="0" style="5" hidden="1" customWidth="1"/>
    <col min="4419" max="4635" width="9.140625" style="5"/>
    <col min="4636" max="4636" width="0" style="5" hidden="1" customWidth="1"/>
    <col min="4637" max="4637" width="11.42578125" style="5" customWidth="1"/>
    <col min="4638" max="4638" width="7.5703125" style="5" customWidth="1"/>
    <col min="4639" max="4639" width="17.85546875" style="5" customWidth="1"/>
    <col min="4640" max="4640" width="3.5703125" style="5" customWidth="1"/>
    <col min="4641" max="4646" width="0" style="5" hidden="1" customWidth="1"/>
    <col min="4647" max="4647" width="11" style="5" customWidth="1"/>
    <col min="4648" max="4650" width="0" style="5" hidden="1" customWidth="1"/>
    <col min="4651" max="4651" width="10.7109375" style="5" customWidth="1"/>
    <col min="4652" max="4656" width="0" style="5" hidden="1" customWidth="1"/>
    <col min="4657" max="4657" width="13.140625" style="5" customWidth="1"/>
    <col min="4658" max="4658" width="10.42578125" style="5" customWidth="1"/>
    <col min="4659" max="4659" width="10.28515625" style="5" customWidth="1"/>
    <col min="4660" max="4660" width="9.85546875" style="5" customWidth="1"/>
    <col min="4661" max="4661" width="10.7109375" style="5" customWidth="1"/>
    <col min="4662" max="4662" width="10" style="5" customWidth="1"/>
    <col min="4663" max="4663" width="9.5703125" style="5" customWidth="1"/>
    <col min="4664" max="4664" width="10.7109375" style="5" customWidth="1"/>
    <col min="4665" max="4665" width="9.85546875" style="5" customWidth="1"/>
    <col min="4666" max="4669" width="0" style="5" hidden="1" customWidth="1"/>
    <col min="4670" max="4670" width="9.85546875" style="5" customWidth="1"/>
    <col min="4671" max="4671" width="10.85546875" style="5" customWidth="1"/>
    <col min="4672" max="4672" width="11.5703125" style="5" customWidth="1"/>
    <col min="4673" max="4674" width="0" style="5" hidden="1" customWidth="1"/>
    <col min="4675" max="4891" width="9.140625" style="5"/>
    <col min="4892" max="4892" width="0" style="5" hidden="1" customWidth="1"/>
    <col min="4893" max="4893" width="11.42578125" style="5" customWidth="1"/>
    <col min="4894" max="4894" width="7.5703125" style="5" customWidth="1"/>
    <col min="4895" max="4895" width="17.85546875" style="5" customWidth="1"/>
    <col min="4896" max="4896" width="3.5703125" style="5" customWidth="1"/>
    <col min="4897" max="4902" width="0" style="5" hidden="1" customWidth="1"/>
    <col min="4903" max="4903" width="11" style="5" customWidth="1"/>
    <col min="4904" max="4906" width="0" style="5" hidden="1" customWidth="1"/>
    <col min="4907" max="4907" width="10.7109375" style="5" customWidth="1"/>
    <col min="4908" max="4912" width="0" style="5" hidden="1" customWidth="1"/>
    <col min="4913" max="4913" width="13.140625" style="5" customWidth="1"/>
    <col min="4914" max="4914" width="10.42578125" style="5" customWidth="1"/>
    <col min="4915" max="4915" width="10.28515625" style="5" customWidth="1"/>
    <col min="4916" max="4916" width="9.85546875" style="5" customWidth="1"/>
    <col min="4917" max="4917" width="10.7109375" style="5" customWidth="1"/>
    <col min="4918" max="4918" width="10" style="5" customWidth="1"/>
    <col min="4919" max="4919" width="9.5703125" style="5" customWidth="1"/>
    <col min="4920" max="4920" width="10.7109375" style="5" customWidth="1"/>
    <col min="4921" max="4921" width="9.85546875" style="5" customWidth="1"/>
    <col min="4922" max="4925" width="0" style="5" hidden="1" customWidth="1"/>
    <col min="4926" max="4926" width="9.85546875" style="5" customWidth="1"/>
    <col min="4927" max="4927" width="10.85546875" style="5" customWidth="1"/>
    <col min="4928" max="4928" width="11.5703125" style="5" customWidth="1"/>
    <col min="4929" max="4930" width="0" style="5" hidden="1" customWidth="1"/>
    <col min="4931" max="5147" width="9.140625" style="5"/>
    <col min="5148" max="5148" width="0" style="5" hidden="1" customWidth="1"/>
    <col min="5149" max="5149" width="11.42578125" style="5" customWidth="1"/>
    <col min="5150" max="5150" width="7.5703125" style="5" customWidth="1"/>
    <col min="5151" max="5151" width="17.85546875" style="5" customWidth="1"/>
    <col min="5152" max="5152" width="3.5703125" style="5" customWidth="1"/>
    <col min="5153" max="5158" width="0" style="5" hidden="1" customWidth="1"/>
    <col min="5159" max="5159" width="11" style="5" customWidth="1"/>
    <col min="5160" max="5162" width="0" style="5" hidden="1" customWidth="1"/>
    <col min="5163" max="5163" width="10.7109375" style="5" customWidth="1"/>
    <col min="5164" max="5168" width="0" style="5" hidden="1" customWidth="1"/>
    <col min="5169" max="5169" width="13.140625" style="5" customWidth="1"/>
    <col min="5170" max="5170" width="10.42578125" style="5" customWidth="1"/>
    <col min="5171" max="5171" width="10.28515625" style="5" customWidth="1"/>
    <col min="5172" max="5172" width="9.85546875" style="5" customWidth="1"/>
    <col min="5173" max="5173" width="10.7109375" style="5" customWidth="1"/>
    <col min="5174" max="5174" width="10" style="5" customWidth="1"/>
    <col min="5175" max="5175" width="9.5703125" style="5" customWidth="1"/>
    <col min="5176" max="5176" width="10.7109375" style="5" customWidth="1"/>
    <col min="5177" max="5177" width="9.85546875" style="5" customWidth="1"/>
    <col min="5178" max="5181" width="0" style="5" hidden="1" customWidth="1"/>
    <col min="5182" max="5182" width="9.85546875" style="5" customWidth="1"/>
    <col min="5183" max="5183" width="10.85546875" style="5" customWidth="1"/>
    <col min="5184" max="5184" width="11.5703125" style="5" customWidth="1"/>
    <col min="5185" max="5186" width="0" style="5" hidden="1" customWidth="1"/>
    <col min="5187" max="5403" width="9.140625" style="5"/>
    <col min="5404" max="5404" width="0" style="5" hidden="1" customWidth="1"/>
    <col min="5405" max="5405" width="11.42578125" style="5" customWidth="1"/>
    <col min="5406" max="5406" width="7.5703125" style="5" customWidth="1"/>
    <col min="5407" max="5407" width="17.85546875" style="5" customWidth="1"/>
    <col min="5408" max="5408" width="3.5703125" style="5" customWidth="1"/>
    <col min="5409" max="5414" width="0" style="5" hidden="1" customWidth="1"/>
    <col min="5415" max="5415" width="11" style="5" customWidth="1"/>
    <col min="5416" max="5418" width="0" style="5" hidden="1" customWidth="1"/>
    <col min="5419" max="5419" width="10.7109375" style="5" customWidth="1"/>
    <col min="5420" max="5424" width="0" style="5" hidden="1" customWidth="1"/>
    <col min="5425" max="5425" width="13.140625" style="5" customWidth="1"/>
    <col min="5426" max="5426" width="10.42578125" style="5" customWidth="1"/>
    <col min="5427" max="5427" width="10.28515625" style="5" customWidth="1"/>
    <col min="5428" max="5428" width="9.85546875" style="5" customWidth="1"/>
    <col min="5429" max="5429" width="10.7109375" style="5" customWidth="1"/>
    <col min="5430" max="5430" width="10" style="5" customWidth="1"/>
    <col min="5431" max="5431" width="9.5703125" style="5" customWidth="1"/>
    <col min="5432" max="5432" width="10.7109375" style="5" customWidth="1"/>
    <col min="5433" max="5433" width="9.85546875" style="5" customWidth="1"/>
    <col min="5434" max="5437" width="0" style="5" hidden="1" customWidth="1"/>
    <col min="5438" max="5438" width="9.85546875" style="5" customWidth="1"/>
    <col min="5439" max="5439" width="10.85546875" style="5" customWidth="1"/>
    <col min="5440" max="5440" width="11.5703125" style="5" customWidth="1"/>
    <col min="5441" max="5442" width="0" style="5" hidden="1" customWidth="1"/>
    <col min="5443" max="5659" width="9.140625" style="5"/>
    <col min="5660" max="5660" width="0" style="5" hidden="1" customWidth="1"/>
    <col min="5661" max="5661" width="11.42578125" style="5" customWidth="1"/>
    <col min="5662" max="5662" width="7.5703125" style="5" customWidth="1"/>
    <col min="5663" max="5663" width="17.85546875" style="5" customWidth="1"/>
    <col min="5664" max="5664" width="3.5703125" style="5" customWidth="1"/>
    <col min="5665" max="5670" width="0" style="5" hidden="1" customWidth="1"/>
    <col min="5671" max="5671" width="11" style="5" customWidth="1"/>
    <col min="5672" max="5674" width="0" style="5" hidden="1" customWidth="1"/>
    <col min="5675" max="5675" width="10.7109375" style="5" customWidth="1"/>
    <col min="5676" max="5680" width="0" style="5" hidden="1" customWidth="1"/>
    <col min="5681" max="5681" width="13.140625" style="5" customWidth="1"/>
    <col min="5682" max="5682" width="10.42578125" style="5" customWidth="1"/>
    <col min="5683" max="5683" width="10.28515625" style="5" customWidth="1"/>
    <col min="5684" max="5684" width="9.85546875" style="5" customWidth="1"/>
    <col min="5685" max="5685" width="10.7109375" style="5" customWidth="1"/>
    <col min="5686" max="5686" width="10" style="5" customWidth="1"/>
    <col min="5687" max="5687" width="9.5703125" style="5" customWidth="1"/>
    <col min="5688" max="5688" width="10.7109375" style="5" customWidth="1"/>
    <col min="5689" max="5689" width="9.85546875" style="5" customWidth="1"/>
    <col min="5690" max="5693" width="0" style="5" hidden="1" customWidth="1"/>
    <col min="5694" max="5694" width="9.85546875" style="5" customWidth="1"/>
    <col min="5695" max="5695" width="10.85546875" style="5" customWidth="1"/>
    <col min="5696" max="5696" width="11.5703125" style="5" customWidth="1"/>
    <col min="5697" max="5698" width="0" style="5" hidden="1" customWidth="1"/>
    <col min="5699" max="5915" width="9.140625" style="5"/>
    <col min="5916" max="5916" width="0" style="5" hidden="1" customWidth="1"/>
    <col min="5917" max="5917" width="11.42578125" style="5" customWidth="1"/>
    <col min="5918" max="5918" width="7.5703125" style="5" customWidth="1"/>
    <col min="5919" max="5919" width="17.85546875" style="5" customWidth="1"/>
    <col min="5920" max="5920" width="3.5703125" style="5" customWidth="1"/>
    <col min="5921" max="5926" width="0" style="5" hidden="1" customWidth="1"/>
    <col min="5927" max="5927" width="11" style="5" customWidth="1"/>
    <col min="5928" max="5930" width="0" style="5" hidden="1" customWidth="1"/>
    <col min="5931" max="5931" width="10.7109375" style="5" customWidth="1"/>
    <col min="5932" max="5936" width="0" style="5" hidden="1" customWidth="1"/>
    <col min="5937" max="5937" width="13.140625" style="5" customWidth="1"/>
    <col min="5938" max="5938" width="10.42578125" style="5" customWidth="1"/>
    <col min="5939" max="5939" width="10.28515625" style="5" customWidth="1"/>
    <col min="5940" max="5940" width="9.85546875" style="5" customWidth="1"/>
    <col min="5941" max="5941" width="10.7109375" style="5" customWidth="1"/>
    <col min="5942" max="5942" width="10" style="5" customWidth="1"/>
    <col min="5943" max="5943" width="9.5703125" style="5" customWidth="1"/>
    <col min="5944" max="5944" width="10.7109375" style="5" customWidth="1"/>
    <col min="5945" max="5945" width="9.85546875" style="5" customWidth="1"/>
    <col min="5946" max="5949" width="0" style="5" hidden="1" customWidth="1"/>
    <col min="5950" max="5950" width="9.85546875" style="5" customWidth="1"/>
    <col min="5951" max="5951" width="10.85546875" style="5" customWidth="1"/>
    <col min="5952" max="5952" width="11.5703125" style="5" customWidth="1"/>
    <col min="5953" max="5954" width="0" style="5" hidden="1" customWidth="1"/>
    <col min="5955" max="6171" width="9.140625" style="5"/>
    <col min="6172" max="6172" width="0" style="5" hidden="1" customWidth="1"/>
    <col min="6173" max="6173" width="11.42578125" style="5" customWidth="1"/>
    <col min="6174" max="6174" width="7.5703125" style="5" customWidth="1"/>
    <col min="6175" max="6175" width="17.85546875" style="5" customWidth="1"/>
    <col min="6176" max="6176" width="3.5703125" style="5" customWidth="1"/>
    <col min="6177" max="6182" width="0" style="5" hidden="1" customWidth="1"/>
    <col min="6183" max="6183" width="11" style="5" customWidth="1"/>
    <col min="6184" max="6186" width="0" style="5" hidden="1" customWidth="1"/>
    <col min="6187" max="6187" width="10.7109375" style="5" customWidth="1"/>
    <col min="6188" max="6192" width="0" style="5" hidden="1" customWidth="1"/>
    <col min="6193" max="6193" width="13.140625" style="5" customWidth="1"/>
    <col min="6194" max="6194" width="10.42578125" style="5" customWidth="1"/>
    <col min="6195" max="6195" width="10.28515625" style="5" customWidth="1"/>
    <col min="6196" max="6196" width="9.85546875" style="5" customWidth="1"/>
    <col min="6197" max="6197" width="10.7109375" style="5" customWidth="1"/>
    <col min="6198" max="6198" width="10" style="5" customWidth="1"/>
    <col min="6199" max="6199" width="9.5703125" style="5" customWidth="1"/>
    <col min="6200" max="6200" width="10.7109375" style="5" customWidth="1"/>
    <col min="6201" max="6201" width="9.85546875" style="5" customWidth="1"/>
    <col min="6202" max="6205" width="0" style="5" hidden="1" customWidth="1"/>
    <col min="6206" max="6206" width="9.85546875" style="5" customWidth="1"/>
    <col min="6207" max="6207" width="10.85546875" style="5" customWidth="1"/>
    <col min="6208" max="6208" width="11.5703125" style="5" customWidth="1"/>
    <col min="6209" max="6210" width="0" style="5" hidden="1" customWidth="1"/>
    <col min="6211" max="6427" width="9.140625" style="5"/>
    <col min="6428" max="6428" width="0" style="5" hidden="1" customWidth="1"/>
    <col min="6429" max="6429" width="11.42578125" style="5" customWidth="1"/>
    <col min="6430" max="6430" width="7.5703125" style="5" customWidth="1"/>
    <col min="6431" max="6431" width="17.85546875" style="5" customWidth="1"/>
    <col min="6432" max="6432" width="3.5703125" style="5" customWidth="1"/>
    <col min="6433" max="6438" width="0" style="5" hidden="1" customWidth="1"/>
    <col min="6439" max="6439" width="11" style="5" customWidth="1"/>
    <col min="6440" max="6442" width="0" style="5" hidden="1" customWidth="1"/>
    <col min="6443" max="6443" width="10.7109375" style="5" customWidth="1"/>
    <col min="6444" max="6448" width="0" style="5" hidden="1" customWidth="1"/>
    <col min="6449" max="6449" width="13.140625" style="5" customWidth="1"/>
    <col min="6450" max="6450" width="10.42578125" style="5" customWidth="1"/>
    <col min="6451" max="6451" width="10.28515625" style="5" customWidth="1"/>
    <col min="6452" max="6452" width="9.85546875" style="5" customWidth="1"/>
    <col min="6453" max="6453" width="10.7109375" style="5" customWidth="1"/>
    <col min="6454" max="6454" width="10" style="5" customWidth="1"/>
    <col min="6455" max="6455" width="9.5703125" style="5" customWidth="1"/>
    <col min="6456" max="6456" width="10.7109375" style="5" customWidth="1"/>
    <col min="6457" max="6457" width="9.85546875" style="5" customWidth="1"/>
    <col min="6458" max="6461" width="0" style="5" hidden="1" customWidth="1"/>
    <col min="6462" max="6462" width="9.85546875" style="5" customWidth="1"/>
    <col min="6463" max="6463" width="10.85546875" style="5" customWidth="1"/>
    <col min="6464" max="6464" width="11.5703125" style="5" customWidth="1"/>
    <col min="6465" max="6466" width="0" style="5" hidden="1" customWidth="1"/>
    <col min="6467" max="6683" width="9.140625" style="5"/>
    <col min="6684" max="6684" width="0" style="5" hidden="1" customWidth="1"/>
    <col min="6685" max="6685" width="11.42578125" style="5" customWidth="1"/>
    <col min="6686" max="6686" width="7.5703125" style="5" customWidth="1"/>
    <col min="6687" max="6687" width="17.85546875" style="5" customWidth="1"/>
    <col min="6688" max="6688" width="3.5703125" style="5" customWidth="1"/>
    <col min="6689" max="6694" width="0" style="5" hidden="1" customWidth="1"/>
    <col min="6695" max="6695" width="11" style="5" customWidth="1"/>
    <col min="6696" max="6698" width="0" style="5" hidden="1" customWidth="1"/>
    <col min="6699" max="6699" width="10.7109375" style="5" customWidth="1"/>
    <col min="6700" max="6704" width="0" style="5" hidden="1" customWidth="1"/>
    <col min="6705" max="6705" width="13.140625" style="5" customWidth="1"/>
    <col min="6706" max="6706" width="10.42578125" style="5" customWidth="1"/>
    <col min="6707" max="6707" width="10.28515625" style="5" customWidth="1"/>
    <col min="6708" max="6708" width="9.85546875" style="5" customWidth="1"/>
    <col min="6709" max="6709" width="10.7109375" style="5" customWidth="1"/>
    <col min="6710" max="6710" width="10" style="5" customWidth="1"/>
    <col min="6711" max="6711" width="9.5703125" style="5" customWidth="1"/>
    <col min="6712" max="6712" width="10.7109375" style="5" customWidth="1"/>
    <col min="6713" max="6713" width="9.85546875" style="5" customWidth="1"/>
    <col min="6714" max="6717" width="0" style="5" hidden="1" customWidth="1"/>
    <col min="6718" max="6718" width="9.85546875" style="5" customWidth="1"/>
    <col min="6719" max="6719" width="10.85546875" style="5" customWidth="1"/>
    <col min="6720" max="6720" width="11.5703125" style="5" customWidth="1"/>
    <col min="6721" max="6722" width="0" style="5" hidden="1" customWidth="1"/>
    <col min="6723" max="6939" width="9.140625" style="5"/>
    <col min="6940" max="6940" width="0" style="5" hidden="1" customWidth="1"/>
    <col min="6941" max="6941" width="11.42578125" style="5" customWidth="1"/>
    <col min="6942" max="6942" width="7.5703125" style="5" customWidth="1"/>
    <col min="6943" max="6943" width="17.85546875" style="5" customWidth="1"/>
    <col min="6944" max="6944" width="3.5703125" style="5" customWidth="1"/>
    <col min="6945" max="6950" width="0" style="5" hidden="1" customWidth="1"/>
    <col min="6951" max="6951" width="11" style="5" customWidth="1"/>
    <col min="6952" max="6954" width="0" style="5" hidden="1" customWidth="1"/>
    <col min="6955" max="6955" width="10.7109375" style="5" customWidth="1"/>
    <col min="6956" max="6960" width="0" style="5" hidden="1" customWidth="1"/>
    <col min="6961" max="6961" width="13.140625" style="5" customWidth="1"/>
    <col min="6962" max="6962" width="10.42578125" style="5" customWidth="1"/>
    <col min="6963" max="6963" width="10.28515625" style="5" customWidth="1"/>
    <col min="6964" max="6964" width="9.85546875" style="5" customWidth="1"/>
    <col min="6965" max="6965" width="10.7109375" style="5" customWidth="1"/>
    <col min="6966" max="6966" width="10" style="5" customWidth="1"/>
    <col min="6967" max="6967" width="9.5703125" style="5" customWidth="1"/>
    <col min="6968" max="6968" width="10.7109375" style="5" customWidth="1"/>
    <col min="6969" max="6969" width="9.85546875" style="5" customWidth="1"/>
    <col min="6970" max="6973" width="0" style="5" hidden="1" customWidth="1"/>
    <col min="6974" max="6974" width="9.85546875" style="5" customWidth="1"/>
    <col min="6975" max="6975" width="10.85546875" style="5" customWidth="1"/>
    <col min="6976" max="6976" width="11.5703125" style="5" customWidth="1"/>
    <col min="6977" max="6978" width="0" style="5" hidden="1" customWidth="1"/>
    <col min="6979" max="7195" width="9.140625" style="5"/>
    <col min="7196" max="7196" width="0" style="5" hidden="1" customWidth="1"/>
    <col min="7197" max="7197" width="11.42578125" style="5" customWidth="1"/>
    <col min="7198" max="7198" width="7.5703125" style="5" customWidth="1"/>
    <col min="7199" max="7199" width="17.85546875" style="5" customWidth="1"/>
    <col min="7200" max="7200" width="3.5703125" style="5" customWidth="1"/>
    <col min="7201" max="7206" width="0" style="5" hidden="1" customWidth="1"/>
    <col min="7207" max="7207" width="11" style="5" customWidth="1"/>
    <col min="7208" max="7210" width="0" style="5" hidden="1" customWidth="1"/>
    <col min="7211" max="7211" width="10.7109375" style="5" customWidth="1"/>
    <col min="7212" max="7216" width="0" style="5" hidden="1" customWidth="1"/>
    <col min="7217" max="7217" width="13.140625" style="5" customWidth="1"/>
    <col min="7218" max="7218" width="10.42578125" style="5" customWidth="1"/>
    <col min="7219" max="7219" width="10.28515625" style="5" customWidth="1"/>
    <col min="7220" max="7220" width="9.85546875" style="5" customWidth="1"/>
    <col min="7221" max="7221" width="10.7109375" style="5" customWidth="1"/>
    <col min="7222" max="7222" width="10" style="5" customWidth="1"/>
    <col min="7223" max="7223" width="9.5703125" style="5" customWidth="1"/>
    <col min="7224" max="7224" width="10.7109375" style="5" customWidth="1"/>
    <col min="7225" max="7225" width="9.85546875" style="5" customWidth="1"/>
    <col min="7226" max="7229" width="0" style="5" hidden="1" customWidth="1"/>
    <col min="7230" max="7230" width="9.85546875" style="5" customWidth="1"/>
    <col min="7231" max="7231" width="10.85546875" style="5" customWidth="1"/>
    <col min="7232" max="7232" width="11.5703125" style="5" customWidth="1"/>
    <col min="7233" max="7234" width="0" style="5" hidden="1" customWidth="1"/>
    <col min="7235" max="7451" width="9.140625" style="5"/>
    <col min="7452" max="7452" width="0" style="5" hidden="1" customWidth="1"/>
    <col min="7453" max="7453" width="11.42578125" style="5" customWidth="1"/>
    <col min="7454" max="7454" width="7.5703125" style="5" customWidth="1"/>
    <col min="7455" max="7455" width="17.85546875" style="5" customWidth="1"/>
    <col min="7456" max="7456" width="3.5703125" style="5" customWidth="1"/>
    <col min="7457" max="7462" width="0" style="5" hidden="1" customWidth="1"/>
    <col min="7463" max="7463" width="11" style="5" customWidth="1"/>
    <col min="7464" max="7466" width="0" style="5" hidden="1" customWidth="1"/>
    <col min="7467" max="7467" width="10.7109375" style="5" customWidth="1"/>
    <col min="7468" max="7472" width="0" style="5" hidden="1" customWidth="1"/>
    <col min="7473" max="7473" width="13.140625" style="5" customWidth="1"/>
    <col min="7474" max="7474" width="10.42578125" style="5" customWidth="1"/>
    <col min="7475" max="7475" width="10.28515625" style="5" customWidth="1"/>
    <col min="7476" max="7476" width="9.85546875" style="5" customWidth="1"/>
    <col min="7477" max="7477" width="10.7109375" style="5" customWidth="1"/>
    <col min="7478" max="7478" width="10" style="5" customWidth="1"/>
    <col min="7479" max="7479" width="9.5703125" style="5" customWidth="1"/>
    <col min="7480" max="7480" width="10.7109375" style="5" customWidth="1"/>
    <col min="7481" max="7481" width="9.85546875" style="5" customWidth="1"/>
    <col min="7482" max="7485" width="0" style="5" hidden="1" customWidth="1"/>
    <col min="7486" max="7486" width="9.85546875" style="5" customWidth="1"/>
    <col min="7487" max="7487" width="10.85546875" style="5" customWidth="1"/>
    <col min="7488" max="7488" width="11.5703125" style="5" customWidth="1"/>
    <col min="7489" max="7490" width="0" style="5" hidden="1" customWidth="1"/>
    <col min="7491" max="7707" width="9.140625" style="5"/>
    <col min="7708" max="7708" width="0" style="5" hidden="1" customWidth="1"/>
    <col min="7709" max="7709" width="11.42578125" style="5" customWidth="1"/>
    <col min="7710" max="7710" width="7.5703125" style="5" customWidth="1"/>
    <col min="7711" max="7711" width="17.85546875" style="5" customWidth="1"/>
    <col min="7712" max="7712" width="3.5703125" style="5" customWidth="1"/>
    <col min="7713" max="7718" width="0" style="5" hidden="1" customWidth="1"/>
    <col min="7719" max="7719" width="11" style="5" customWidth="1"/>
    <col min="7720" max="7722" width="0" style="5" hidden="1" customWidth="1"/>
    <col min="7723" max="7723" width="10.7109375" style="5" customWidth="1"/>
    <col min="7724" max="7728" width="0" style="5" hidden="1" customWidth="1"/>
    <col min="7729" max="7729" width="13.140625" style="5" customWidth="1"/>
    <col min="7730" max="7730" width="10.42578125" style="5" customWidth="1"/>
    <col min="7731" max="7731" width="10.28515625" style="5" customWidth="1"/>
    <col min="7732" max="7732" width="9.85546875" style="5" customWidth="1"/>
    <col min="7733" max="7733" width="10.7109375" style="5" customWidth="1"/>
    <col min="7734" max="7734" width="10" style="5" customWidth="1"/>
    <col min="7735" max="7735" width="9.5703125" style="5" customWidth="1"/>
    <col min="7736" max="7736" width="10.7109375" style="5" customWidth="1"/>
    <col min="7737" max="7737" width="9.85546875" style="5" customWidth="1"/>
    <col min="7738" max="7741" width="0" style="5" hidden="1" customWidth="1"/>
    <col min="7742" max="7742" width="9.85546875" style="5" customWidth="1"/>
    <col min="7743" max="7743" width="10.85546875" style="5" customWidth="1"/>
    <col min="7744" max="7744" width="11.5703125" style="5" customWidth="1"/>
    <col min="7745" max="7746" width="0" style="5" hidden="1" customWidth="1"/>
    <col min="7747" max="7963" width="9.140625" style="5"/>
    <col min="7964" max="7964" width="0" style="5" hidden="1" customWidth="1"/>
    <col min="7965" max="7965" width="11.42578125" style="5" customWidth="1"/>
    <col min="7966" max="7966" width="7.5703125" style="5" customWidth="1"/>
    <col min="7967" max="7967" width="17.85546875" style="5" customWidth="1"/>
    <col min="7968" max="7968" width="3.5703125" style="5" customWidth="1"/>
    <col min="7969" max="7974" width="0" style="5" hidden="1" customWidth="1"/>
    <col min="7975" max="7975" width="11" style="5" customWidth="1"/>
    <col min="7976" max="7978" width="0" style="5" hidden="1" customWidth="1"/>
    <col min="7979" max="7979" width="10.7109375" style="5" customWidth="1"/>
    <col min="7980" max="7984" width="0" style="5" hidden="1" customWidth="1"/>
    <col min="7985" max="7985" width="13.140625" style="5" customWidth="1"/>
    <col min="7986" max="7986" width="10.42578125" style="5" customWidth="1"/>
    <col min="7987" max="7987" width="10.28515625" style="5" customWidth="1"/>
    <col min="7988" max="7988" width="9.85546875" style="5" customWidth="1"/>
    <col min="7989" max="7989" width="10.7109375" style="5" customWidth="1"/>
    <col min="7990" max="7990" width="10" style="5" customWidth="1"/>
    <col min="7991" max="7991" width="9.5703125" style="5" customWidth="1"/>
    <col min="7992" max="7992" width="10.7109375" style="5" customWidth="1"/>
    <col min="7993" max="7993" width="9.85546875" style="5" customWidth="1"/>
    <col min="7994" max="7997" width="0" style="5" hidden="1" customWidth="1"/>
    <col min="7998" max="7998" width="9.85546875" style="5" customWidth="1"/>
    <col min="7999" max="7999" width="10.85546875" style="5" customWidth="1"/>
    <col min="8000" max="8000" width="11.5703125" style="5" customWidth="1"/>
    <col min="8001" max="8002" width="0" style="5" hidden="1" customWidth="1"/>
    <col min="8003" max="8219" width="9.140625" style="5"/>
    <col min="8220" max="8220" width="0" style="5" hidden="1" customWidth="1"/>
    <col min="8221" max="8221" width="11.42578125" style="5" customWidth="1"/>
    <col min="8222" max="8222" width="7.5703125" style="5" customWidth="1"/>
    <col min="8223" max="8223" width="17.85546875" style="5" customWidth="1"/>
    <col min="8224" max="8224" width="3.5703125" style="5" customWidth="1"/>
    <col min="8225" max="8230" width="0" style="5" hidden="1" customWidth="1"/>
    <col min="8231" max="8231" width="11" style="5" customWidth="1"/>
    <col min="8232" max="8234" width="0" style="5" hidden="1" customWidth="1"/>
    <col min="8235" max="8235" width="10.7109375" style="5" customWidth="1"/>
    <col min="8236" max="8240" width="0" style="5" hidden="1" customWidth="1"/>
    <col min="8241" max="8241" width="13.140625" style="5" customWidth="1"/>
    <col min="8242" max="8242" width="10.42578125" style="5" customWidth="1"/>
    <col min="8243" max="8243" width="10.28515625" style="5" customWidth="1"/>
    <col min="8244" max="8244" width="9.85546875" style="5" customWidth="1"/>
    <col min="8245" max="8245" width="10.7109375" style="5" customWidth="1"/>
    <col min="8246" max="8246" width="10" style="5" customWidth="1"/>
    <col min="8247" max="8247" width="9.5703125" style="5" customWidth="1"/>
    <col min="8248" max="8248" width="10.7109375" style="5" customWidth="1"/>
    <col min="8249" max="8249" width="9.85546875" style="5" customWidth="1"/>
    <col min="8250" max="8253" width="0" style="5" hidden="1" customWidth="1"/>
    <col min="8254" max="8254" width="9.85546875" style="5" customWidth="1"/>
    <col min="8255" max="8255" width="10.85546875" style="5" customWidth="1"/>
    <col min="8256" max="8256" width="11.5703125" style="5" customWidth="1"/>
    <col min="8257" max="8258" width="0" style="5" hidden="1" customWidth="1"/>
    <col min="8259" max="8475" width="9.140625" style="5"/>
    <col min="8476" max="8476" width="0" style="5" hidden="1" customWidth="1"/>
    <col min="8477" max="8477" width="11.42578125" style="5" customWidth="1"/>
    <col min="8478" max="8478" width="7.5703125" style="5" customWidth="1"/>
    <col min="8479" max="8479" width="17.85546875" style="5" customWidth="1"/>
    <col min="8480" max="8480" width="3.5703125" style="5" customWidth="1"/>
    <col min="8481" max="8486" width="0" style="5" hidden="1" customWidth="1"/>
    <col min="8487" max="8487" width="11" style="5" customWidth="1"/>
    <col min="8488" max="8490" width="0" style="5" hidden="1" customWidth="1"/>
    <col min="8491" max="8491" width="10.7109375" style="5" customWidth="1"/>
    <col min="8492" max="8496" width="0" style="5" hidden="1" customWidth="1"/>
    <col min="8497" max="8497" width="13.140625" style="5" customWidth="1"/>
    <col min="8498" max="8498" width="10.42578125" style="5" customWidth="1"/>
    <col min="8499" max="8499" width="10.28515625" style="5" customWidth="1"/>
    <col min="8500" max="8500" width="9.85546875" style="5" customWidth="1"/>
    <col min="8501" max="8501" width="10.7109375" style="5" customWidth="1"/>
    <col min="8502" max="8502" width="10" style="5" customWidth="1"/>
    <col min="8503" max="8503" width="9.5703125" style="5" customWidth="1"/>
    <col min="8504" max="8504" width="10.7109375" style="5" customWidth="1"/>
    <col min="8505" max="8505" width="9.85546875" style="5" customWidth="1"/>
    <col min="8506" max="8509" width="0" style="5" hidden="1" customWidth="1"/>
    <col min="8510" max="8510" width="9.85546875" style="5" customWidth="1"/>
    <col min="8511" max="8511" width="10.85546875" style="5" customWidth="1"/>
    <col min="8512" max="8512" width="11.5703125" style="5" customWidth="1"/>
    <col min="8513" max="8514" width="0" style="5" hidden="1" customWidth="1"/>
    <col min="8515" max="8731" width="9.140625" style="5"/>
    <col min="8732" max="8732" width="0" style="5" hidden="1" customWidth="1"/>
    <col min="8733" max="8733" width="11.42578125" style="5" customWidth="1"/>
    <col min="8734" max="8734" width="7.5703125" style="5" customWidth="1"/>
    <col min="8735" max="8735" width="17.85546875" style="5" customWidth="1"/>
    <col min="8736" max="8736" width="3.5703125" style="5" customWidth="1"/>
    <col min="8737" max="8742" width="0" style="5" hidden="1" customWidth="1"/>
    <col min="8743" max="8743" width="11" style="5" customWidth="1"/>
    <col min="8744" max="8746" width="0" style="5" hidden="1" customWidth="1"/>
    <col min="8747" max="8747" width="10.7109375" style="5" customWidth="1"/>
    <col min="8748" max="8752" width="0" style="5" hidden="1" customWidth="1"/>
    <col min="8753" max="8753" width="13.140625" style="5" customWidth="1"/>
    <col min="8754" max="8754" width="10.42578125" style="5" customWidth="1"/>
    <col min="8755" max="8755" width="10.28515625" style="5" customWidth="1"/>
    <col min="8756" max="8756" width="9.85546875" style="5" customWidth="1"/>
    <col min="8757" max="8757" width="10.7109375" style="5" customWidth="1"/>
    <col min="8758" max="8758" width="10" style="5" customWidth="1"/>
    <col min="8759" max="8759" width="9.5703125" style="5" customWidth="1"/>
    <col min="8760" max="8760" width="10.7109375" style="5" customWidth="1"/>
    <col min="8761" max="8761" width="9.85546875" style="5" customWidth="1"/>
    <col min="8762" max="8765" width="0" style="5" hidden="1" customWidth="1"/>
    <col min="8766" max="8766" width="9.85546875" style="5" customWidth="1"/>
    <col min="8767" max="8767" width="10.85546875" style="5" customWidth="1"/>
    <col min="8768" max="8768" width="11.5703125" style="5" customWidth="1"/>
    <col min="8769" max="8770" width="0" style="5" hidden="1" customWidth="1"/>
    <col min="8771" max="8987" width="9.140625" style="5"/>
    <col min="8988" max="8988" width="0" style="5" hidden="1" customWidth="1"/>
    <col min="8989" max="8989" width="11.42578125" style="5" customWidth="1"/>
    <col min="8990" max="8990" width="7.5703125" style="5" customWidth="1"/>
    <col min="8991" max="8991" width="17.85546875" style="5" customWidth="1"/>
    <col min="8992" max="8992" width="3.5703125" style="5" customWidth="1"/>
    <col min="8993" max="8998" width="0" style="5" hidden="1" customWidth="1"/>
    <col min="8999" max="8999" width="11" style="5" customWidth="1"/>
    <col min="9000" max="9002" width="0" style="5" hidden="1" customWidth="1"/>
    <col min="9003" max="9003" width="10.7109375" style="5" customWidth="1"/>
    <col min="9004" max="9008" width="0" style="5" hidden="1" customWidth="1"/>
    <col min="9009" max="9009" width="13.140625" style="5" customWidth="1"/>
    <col min="9010" max="9010" width="10.42578125" style="5" customWidth="1"/>
    <col min="9011" max="9011" width="10.28515625" style="5" customWidth="1"/>
    <col min="9012" max="9012" width="9.85546875" style="5" customWidth="1"/>
    <col min="9013" max="9013" width="10.7109375" style="5" customWidth="1"/>
    <col min="9014" max="9014" width="10" style="5" customWidth="1"/>
    <col min="9015" max="9015" width="9.5703125" style="5" customWidth="1"/>
    <col min="9016" max="9016" width="10.7109375" style="5" customWidth="1"/>
    <col min="9017" max="9017" width="9.85546875" style="5" customWidth="1"/>
    <col min="9018" max="9021" width="0" style="5" hidden="1" customWidth="1"/>
    <col min="9022" max="9022" width="9.85546875" style="5" customWidth="1"/>
    <col min="9023" max="9023" width="10.85546875" style="5" customWidth="1"/>
    <col min="9024" max="9024" width="11.5703125" style="5" customWidth="1"/>
    <col min="9025" max="9026" width="0" style="5" hidden="1" customWidth="1"/>
    <col min="9027" max="9243" width="9.140625" style="5"/>
    <col min="9244" max="9244" width="0" style="5" hidden="1" customWidth="1"/>
    <col min="9245" max="9245" width="11.42578125" style="5" customWidth="1"/>
    <col min="9246" max="9246" width="7.5703125" style="5" customWidth="1"/>
    <col min="9247" max="9247" width="17.85546875" style="5" customWidth="1"/>
    <col min="9248" max="9248" width="3.5703125" style="5" customWidth="1"/>
    <col min="9249" max="9254" width="0" style="5" hidden="1" customWidth="1"/>
    <col min="9255" max="9255" width="11" style="5" customWidth="1"/>
    <col min="9256" max="9258" width="0" style="5" hidden="1" customWidth="1"/>
    <col min="9259" max="9259" width="10.7109375" style="5" customWidth="1"/>
    <col min="9260" max="9264" width="0" style="5" hidden="1" customWidth="1"/>
    <col min="9265" max="9265" width="13.140625" style="5" customWidth="1"/>
    <col min="9266" max="9266" width="10.42578125" style="5" customWidth="1"/>
    <col min="9267" max="9267" width="10.28515625" style="5" customWidth="1"/>
    <col min="9268" max="9268" width="9.85546875" style="5" customWidth="1"/>
    <col min="9269" max="9269" width="10.7109375" style="5" customWidth="1"/>
    <col min="9270" max="9270" width="10" style="5" customWidth="1"/>
    <col min="9271" max="9271" width="9.5703125" style="5" customWidth="1"/>
    <col min="9272" max="9272" width="10.7109375" style="5" customWidth="1"/>
    <col min="9273" max="9273" width="9.85546875" style="5" customWidth="1"/>
    <col min="9274" max="9277" width="0" style="5" hidden="1" customWidth="1"/>
    <col min="9278" max="9278" width="9.85546875" style="5" customWidth="1"/>
    <col min="9279" max="9279" width="10.85546875" style="5" customWidth="1"/>
    <col min="9280" max="9280" width="11.5703125" style="5" customWidth="1"/>
    <col min="9281" max="9282" width="0" style="5" hidden="1" customWidth="1"/>
    <col min="9283" max="9499" width="9.140625" style="5"/>
    <col min="9500" max="9500" width="0" style="5" hidden="1" customWidth="1"/>
    <col min="9501" max="9501" width="11.42578125" style="5" customWidth="1"/>
    <col min="9502" max="9502" width="7.5703125" style="5" customWidth="1"/>
    <col min="9503" max="9503" width="17.85546875" style="5" customWidth="1"/>
    <col min="9504" max="9504" width="3.5703125" style="5" customWidth="1"/>
    <col min="9505" max="9510" width="0" style="5" hidden="1" customWidth="1"/>
    <col min="9511" max="9511" width="11" style="5" customWidth="1"/>
    <col min="9512" max="9514" width="0" style="5" hidden="1" customWidth="1"/>
    <col min="9515" max="9515" width="10.7109375" style="5" customWidth="1"/>
    <col min="9516" max="9520" width="0" style="5" hidden="1" customWidth="1"/>
    <col min="9521" max="9521" width="13.140625" style="5" customWidth="1"/>
    <col min="9522" max="9522" width="10.42578125" style="5" customWidth="1"/>
    <col min="9523" max="9523" width="10.28515625" style="5" customWidth="1"/>
    <col min="9524" max="9524" width="9.85546875" style="5" customWidth="1"/>
    <col min="9525" max="9525" width="10.7109375" style="5" customWidth="1"/>
    <col min="9526" max="9526" width="10" style="5" customWidth="1"/>
    <col min="9527" max="9527" width="9.5703125" style="5" customWidth="1"/>
    <col min="9528" max="9528" width="10.7109375" style="5" customWidth="1"/>
    <col min="9529" max="9529" width="9.85546875" style="5" customWidth="1"/>
    <col min="9530" max="9533" width="0" style="5" hidden="1" customWidth="1"/>
    <col min="9534" max="9534" width="9.85546875" style="5" customWidth="1"/>
    <col min="9535" max="9535" width="10.85546875" style="5" customWidth="1"/>
    <col min="9536" max="9536" width="11.5703125" style="5" customWidth="1"/>
    <col min="9537" max="9538" width="0" style="5" hidden="1" customWidth="1"/>
    <col min="9539" max="9755" width="9.140625" style="5"/>
    <col min="9756" max="9756" width="0" style="5" hidden="1" customWidth="1"/>
    <col min="9757" max="9757" width="11.42578125" style="5" customWidth="1"/>
    <col min="9758" max="9758" width="7.5703125" style="5" customWidth="1"/>
    <col min="9759" max="9759" width="17.85546875" style="5" customWidth="1"/>
    <col min="9760" max="9760" width="3.5703125" style="5" customWidth="1"/>
    <col min="9761" max="9766" width="0" style="5" hidden="1" customWidth="1"/>
    <col min="9767" max="9767" width="11" style="5" customWidth="1"/>
    <col min="9768" max="9770" width="0" style="5" hidden="1" customWidth="1"/>
    <col min="9771" max="9771" width="10.7109375" style="5" customWidth="1"/>
    <col min="9772" max="9776" width="0" style="5" hidden="1" customWidth="1"/>
    <col min="9777" max="9777" width="13.140625" style="5" customWidth="1"/>
    <col min="9778" max="9778" width="10.42578125" style="5" customWidth="1"/>
    <col min="9779" max="9779" width="10.28515625" style="5" customWidth="1"/>
    <col min="9780" max="9780" width="9.85546875" style="5" customWidth="1"/>
    <col min="9781" max="9781" width="10.7109375" style="5" customWidth="1"/>
    <col min="9782" max="9782" width="10" style="5" customWidth="1"/>
    <col min="9783" max="9783" width="9.5703125" style="5" customWidth="1"/>
    <col min="9784" max="9784" width="10.7109375" style="5" customWidth="1"/>
    <col min="9785" max="9785" width="9.85546875" style="5" customWidth="1"/>
    <col min="9786" max="9789" width="0" style="5" hidden="1" customWidth="1"/>
    <col min="9790" max="9790" width="9.85546875" style="5" customWidth="1"/>
    <col min="9791" max="9791" width="10.85546875" style="5" customWidth="1"/>
    <col min="9792" max="9792" width="11.5703125" style="5" customWidth="1"/>
    <col min="9793" max="9794" width="0" style="5" hidden="1" customWidth="1"/>
    <col min="9795" max="10011" width="9.140625" style="5"/>
    <col min="10012" max="10012" width="0" style="5" hidden="1" customWidth="1"/>
    <col min="10013" max="10013" width="11.42578125" style="5" customWidth="1"/>
    <col min="10014" max="10014" width="7.5703125" style="5" customWidth="1"/>
    <col min="10015" max="10015" width="17.85546875" style="5" customWidth="1"/>
    <col min="10016" max="10016" width="3.5703125" style="5" customWidth="1"/>
    <col min="10017" max="10022" width="0" style="5" hidden="1" customWidth="1"/>
    <col min="10023" max="10023" width="11" style="5" customWidth="1"/>
    <col min="10024" max="10026" width="0" style="5" hidden="1" customWidth="1"/>
    <col min="10027" max="10027" width="10.7109375" style="5" customWidth="1"/>
    <col min="10028" max="10032" width="0" style="5" hidden="1" customWidth="1"/>
    <col min="10033" max="10033" width="13.140625" style="5" customWidth="1"/>
    <col min="10034" max="10034" width="10.42578125" style="5" customWidth="1"/>
    <col min="10035" max="10035" width="10.28515625" style="5" customWidth="1"/>
    <col min="10036" max="10036" width="9.85546875" style="5" customWidth="1"/>
    <col min="10037" max="10037" width="10.7109375" style="5" customWidth="1"/>
    <col min="10038" max="10038" width="10" style="5" customWidth="1"/>
    <col min="10039" max="10039" width="9.5703125" style="5" customWidth="1"/>
    <col min="10040" max="10040" width="10.7109375" style="5" customWidth="1"/>
    <col min="10041" max="10041" width="9.85546875" style="5" customWidth="1"/>
    <col min="10042" max="10045" width="0" style="5" hidden="1" customWidth="1"/>
    <col min="10046" max="10046" width="9.85546875" style="5" customWidth="1"/>
    <col min="10047" max="10047" width="10.85546875" style="5" customWidth="1"/>
    <col min="10048" max="10048" width="11.5703125" style="5" customWidth="1"/>
    <col min="10049" max="10050" width="0" style="5" hidden="1" customWidth="1"/>
    <col min="10051" max="10267" width="9.140625" style="5"/>
    <col min="10268" max="10268" width="0" style="5" hidden="1" customWidth="1"/>
    <col min="10269" max="10269" width="11.42578125" style="5" customWidth="1"/>
    <col min="10270" max="10270" width="7.5703125" style="5" customWidth="1"/>
    <col min="10271" max="10271" width="17.85546875" style="5" customWidth="1"/>
    <col min="10272" max="10272" width="3.5703125" style="5" customWidth="1"/>
    <col min="10273" max="10278" width="0" style="5" hidden="1" customWidth="1"/>
    <col min="10279" max="10279" width="11" style="5" customWidth="1"/>
    <col min="10280" max="10282" width="0" style="5" hidden="1" customWidth="1"/>
    <col min="10283" max="10283" width="10.7109375" style="5" customWidth="1"/>
    <col min="10284" max="10288" width="0" style="5" hidden="1" customWidth="1"/>
    <col min="10289" max="10289" width="13.140625" style="5" customWidth="1"/>
    <col min="10290" max="10290" width="10.42578125" style="5" customWidth="1"/>
    <col min="10291" max="10291" width="10.28515625" style="5" customWidth="1"/>
    <col min="10292" max="10292" width="9.85546875" style="5" customWidth="1"/>
    <col min="10293" max="10293" width="10.7109375" style="5" customWidth="1"/>
    <col min="10294" max="10294" width="10" style="5" customWidth="1"/>
    <col min="10295" max="10295" width="9.5703125" style="5" customWidth="1"/>
    <col min="10296" max="10296" width="10.7109375" style="5" customWidth="1"/>
    <col min="10297" max="10297" width="9.85546875" style="5" customWidth="1"/>
    <col min="10298" max="10301" width="0" style="5" hidden="1" customWidth="1"/>
    <col min="10302" max="10302" width="9.85546875" style="5" customWidth="1"/>
    <col min="10303" max="10303" width="10.85546875" style="5" customWidth="1"/>
    <col min="10304" max="10304" width="11.5703125" style="5" customWidth="1"/>
    <col min="10305" max="10306" width="0" style="5" hidden="1" customWidth="1"/>
    <col min="10307" max="10523" width="9.140625" style="5"/>
    <col min="10524" max="10524" width="0" style="5" hidden="1" customWidth="1"/>
    <col min="10525" max="10525" width="11.42578125" style="5" customWidth="1"/>
    <col min="10526" max="10526" width="7.5703125" style="5" customWidth="1"/>
    <col min="10527" max="10527" width="17.85546875" style="5" customWidth="1"/>
    <col min="10528" max="10528" width="3.5703125" style="5" customWidth="1"/>
    <col min="10529" max="10534" width="0" style="5" hidden="1" customWidth="1"/>
    <col min="10535" max="10535" width="11" style="5" customWidth="1"/>
    <col min="10536" max="10538" width="0" style="5" hidden="1" customWidth="1"/>
    <col min="10539" max="10539" width="10.7109375" style="5" customWidth="1"/>
    <col min="10540" max="10544" width="0" style="5" hidden="1" customWidth="1"/>
    <col min="10545" max="10545" width="13.140625" style="5" customWidth="1"/>
    <col min="10546" max="10546" width="10.42578125" style="5" customWidth="1"/>
    <col min="10547" max="10547" width="10.28515625" style="5" customWidth="1"/>
    <col min="10548" max="10548" width="9.85546875" style="5" customWidth="1"/>
    <col min="10549" max="10549" width="10.7109375" style="5" customWidth="1"/>
    <col min="10550" max="10550" width="10" style="5" customWidth="1"/>
    <col min="10551" max="10551" width="9.5703125" style="5" customWidth="1"/>
    <col min="10552" max="10552" width="10.7109375" style="5" customWidth="1"/>
    <col min="10553" max="10553" width="9.85546875" style="5" customWidth="1"/>
    <col min="10554" max="10557" width="0" style="5" hidden="1" customWidth="1"/>
    <col min="10558" max="10558" width="9.85546875" style="5" customWidth="1"/>
    <col min="10559" max="10559" width="10.85546875" style="5" customWidth="1"/>
    <col min="10560" max="10560" width="11.5703125" style="5" customWidth="1"/>
    <col min="10561" max="10562" width="0" style="5" hidden="1" customWidth="1"/>
    <col min="10563" max="10779" width="9.140625" style="5"/>
    <col min="10780" max="10780" width="0" style="5" hidden="1" customWidth="1"/>
    <col min="10781" max="10781" width="11.42578125" style="5" customWidth="1"/>
    <col min="10782" max="10782" width="7.5703125" style="5" customWidth="1"/>
    <col min="10783" max="10783" width="17.85546875" style="5" customWidth="1"/>
    <col min="10784" max="10784" width="3.5703125" style="5" customWidth="1"/>
    <col min="10785" max="10790" width="0" style="5" hidden="1" customWidth="1"/>
    <col min="10791" max="10791" width="11" style="5" customWidth="1"/>
    <col min="10792" max="10794" width="0" style="5" hidden="1" customWidth="1"/>
    <col min="10795" max="10795" width="10.7109375" style="5" customWidth="1"/>
    <col min="10796" max="10800" width="0" style="5" hidden="1" customWidth="1"/>
    <col min="10801" max="10801" width="13.140625" style="5" customWidth="1"/>
    <col min="10802" max="10802" width="10.42578125" style="5" customWidth="1"/>
    <col min="10803" max="10803" width="10.28515625" style="5" customWidth="1"/>
    <col min="10804" max="10804" width="9.85546875" style="5" customWidth="1"/>
    <col min="10805" max="10805" width="10.7109375" style="5" customWidth="1"/>
    <col min="10806" max="10806" width="10" style="5" customWidth="1"/>
    <col min="10807" max="10807" width="9.5703125" style="5" customWidth="1"/>
    <col min="10808" max="10808" width="10.7109375" style="5" customWidth="1"/>
    <col min="10809" max="10809" width="9.85546875" style="5" customWidth="1"/>
    <col min="10810" max="10813" width="0" style="5" hidden="1" customWidth="1"/>
    <col min="10814" max="10814" width="9.85546875" style="5" customWidth="1"/>
    <col min="10815" max="10815" width="10.85546875" style="5" customWidth="1"/>
    <col min="10816" max="10816" width="11.5703125" style="5" customWidth="1"/>
    <col min="10817" max="10818" width="0" style="5" hidden="1" customWidth="1"/>
    <col min="10819" max="11035" width="9.140625" style="5"/>
    <col min="11036" max="11036" width="0" style="5" hidden="1" customWidth="1"/>
    <col min="11037" max="11037" width="11.42578125" style="5" customWidth="1"/>
    <col min="11038" max="11038" width="7.5703125" style="5" customWidth="1"/>
    <col min="11039" max="11039" width="17.85546875" style="5" customWidth="1"/>
    <col min="11040" max="11040" width="3.5703125" style="5" customWidth="1"/>
    <col min="11041" max="11046" width="0" style="5" hidden="1" customWidth="1"/>
    <col min="11047" max="11047" width="11" style="5" customWidth="1"/>
    <col min="11048" max="11050" width="0" style="5" hidden="1" customWidth="1"/>
    <col min="11051" max="11051" width="10.7109375" style="5" customWidth="1"/>
    <col min="11052" max="11056" width="0" style="5" hidden="1" customWidth="1"/>
    <col min="11057" max="11057" width="13.140625" style="5" customWidth="1"/>
    <col min="11058" max="11058" width="10.42578125" style="5" customWidth="1"/>
    <col min="11059" max="11059" width="10.28515625" style="5" customWidth="1"/>
    <col min="11060" max="11060" width="9.85546875" style="5" customWidth="1"/>
    <col min="11061" max="11061" width="10.7109375" style="5" customWidth="1"/>
    <col min="11062" max="11062" width="10" style="5" customWidth="1"/>
    <col min="11063" max="11063" width="9.5703125" style="5" customWidth="1"/>
    <col min="11064" max="11064" width="10.7109375" style="5" customWidth="1"/>
    <col min="11065" max="11065" width="9.85546875" style="5" customWidth="1"/>
    <col min="11066" max="11069" width="0" style="5" hidden="1" customWidth="1"/>
    <col min="11070" max="11070" width="9.85546875" style="5" customWidth="1"/>
    <col min="11071" max="11071" width="10.85546875" style="5" customWidth="1"/>
    <col min="11072" max="11072" width="11.5703125" style="5" customWidth="1"/>
    <col min="11073" max="11074" width="0" style="5" hidden="1" customWidth="1"/>
    <col min="11075" max="11291" width="9.140625" style="5"/>
    <col min="11292" max="11292" width="0" style="5" hidden="1" customWidth="1"/>
    <col min="11293" max="11293" width="11.42578125" style="5" customWidth="1"/>
    <col min="11294" max="11294" width="7.5703125" style="5" customWidth="1"/>
    <col min="11295" max="11295" width="17.85546875" style="5" customWidth="1"/>
    <col min="11296" max="11296" width="3.5703125" style="5" customWidth="1"/>
    <col min="11297" max="11302" width="0" style="5" hidden="1" customWidth="1"/>
    <col min="11303" max="11303" width="11" style="5" customWidth="1"/>
    <col min="11304" max="11306" width="0" style="5" hidden="1" customWidth="1"/>
    <col min="11307" max="11307" width="10.7109375" style="5" customWidth="1"/>
    <col min="11308" max="11312" width="0" style="5" hidden="1" customWidth="1"/>
    <col min="11313" max="11313" width="13.140625" style="5" customWidth="1"/>
    <col min="11314" max="11314" width="10.42578125" style="5" customWidth="1"/>
    <col min="11315" max="11315" width="10.28515625" style="5" customWidth="1"/>
    <col min="11316" max="11316" width="9.85546875" style="5" customWidth="1"/>
    <col min="11317" max="11317" width="10.7109375" style="5" customWidth="1"/>
    <col min="11318" max="11318" width="10" style="5" customWidth="1"/>
    <col min="11319" max="11319" width="9.5703125" style="5" customWidth="1"/>
    <col min="11320" max="11320" width="10.7109375" style="5" customWidth="1"/>
    <col min="11321" max="11321" width="9.85546875" style="5" customWidth="1"/>
    <col min="11322" max="11325" width="0" style="5" hidden="1" customWidth="1"/>
    <col min="11326" max="11326" width="9.85546875" style="5" customWidth="1"/>
    <col min="11327" max="11327" width="10.85546875" style="5" customWidth="1"/>
    <col min="11328" max="11328" width="11.5703125" style="5" customWidth="1"/>
    <col min="11329" max="11330" width="0" style="5" hidden="1" customWidth="1"/>
    <col min="11331" max="11547" width="9.140625" style="5"/>
    <col min="11548" max="11548" width="0" style="5" hidden="1" customWidth="1"/>
    <col min="11549" max="11549" width="11.42578125" style="5" customWidth="1"/>
    <col min="11550" max="11550" width="7.5703125" style="5" customWidth="1"/>
    <col min="11551" max="11551" width="17.85546875" style="5" customWidth="1"/>
    <col min="11552" max="11552" width="3.5703125" style="5" customWidth="1"/>
    <col min="11553" max="11558" width="0" style="5" hidden="1" customWidth="1"/>
    <col min="11559" max="11559" width="11" style="5" customWidth="1"/>
    <col min="11560" max="11562" width="0" style="5" hidden="1" customWidth="1"/>
    <col min="11563" max="11563" width="10.7109375" style="5" customWidth="1"/>
    <col min="11564" max="11568" width="0" style="5" hidden="1" customWidth="1"/>
    <col min="11569" max="11569" width="13.140625" style="5" customWidth="1"/>
    <col min="11570" max="11570" width="10.42578125" style="5" customWidth="1"/>
    <col min="11571" max="11571" width="10.28515625" style="5" customWidth="1"/>
    <col min="11572" max="11572" width="9.85546875" style="5" customWidth="1"/>
    <col min="11573" max="11573" width="10.7109375" style="5" customWidth="1"/>
    <col min="11574" max="11574" width="10" style="5" customWidth="1"/>
    <col min="11575" max="11575" width="9.5703125" style="5" customWidth="1"/>
    <col min="11576" max="11576" width="10.7109375" style="5" customWidth="1"/>
    <col min="11577" max="11577" width="9.85546875" style="5" customWidth="1"/>
    <col min="11578" max="11581" width="0" style="5" hidden="1" customWidth="1"/>
    <col min="11582" max="11582" width="9.85546875" style="5" customWidth="1"/>
    <col min="11583" max="11583" width="10.85546875" style="5" customWidth="1"/>
    <col min="11584" max="11584" width="11.5703125" style="5" customWidth="1"/>
    <col min="11585" max="11586" width="0" style="5" hidden="1" customWidth="1"/>
    <col min="11587" max="11803" width="9.140625" style="5"/>
    <col min="11804" max="11804" width="0" style="5" hidden="1" customWidth="1"/>
    <col min="11805" max="11805" width="11.42578125" style="5" customWidth="1"/>
    <col min="11806" max="11806" width="7.5703125" style="5" customWidth="1"/>
    <col min="11807" max="11807" width="17.85546875" style="5" customWidth="1"/>
    <col min="11808" max="11808" width="3.5703125" style="5" customWidth="1"/>
    <col min="11809" max="11814" width="0" style="5" hidden="1" customWidth="1"/>
    <col min="11815" max="11815" width="11" style="5" customWidth="1"/>
    <col min="11816" max="11818" width="0" style="5" hidden="1" customWidth="1"/>
    <col min="11819" max="11819" width="10.7109375" style="5" customWidth="1"/>
    <col min="11820" max="11824" width="0" style="5" hidden="1" customWidth="1"/>
    <col min="11825" max="11825" width="13.140625" style="5" customWidth="1"/>
    <col min="11826" max="11826" width="10.42578125" style="5" customWidth="1"/>
    <col min="11827" max="11827" width="10.28515625" style="5" customWidth="1"/>
    <col min="11828" max="11828" width="9.85546875" style="5" customWidth="1"/>
    <col min="11829" max="11829" width="10.7109375" style="5" customWidth="1"/>
    <col min="11830" max="11830" width="10" style="5" customWidth="1"/>
    <col min="11831" max="11831" width="9.5703125" style="5" customWidth="1"/>
    <col min="11832" max="11832" width="10.7109375" style="5" customWidth="1"/>
    <col min="11833" max="11833" width="9.85546875" style="5" customWidth="1"/>
    <col min="11834" max="11837" width="0" style="5" hidden="1" customWidth="1"/>
    <col min="11838" max="11838" width="9.85546875" style="5" customWidth="1"/>
    <col min="11839" max="11839" width="10.85546875" style="5" customWidth="1"/>
    <col min="11840" max="11840" width="11.5703125" style="5" customWidth="1"/>
    <col min="11841" max="11842" width="0" style="5" hidden="1" customWidth="1"/>
    <col min="11843" max="12059" width="9.140625" style="5"/>
    <col min="12060" max="12060" width="0" style="5" hidden="1" customWidth="1"/>
    <col min="12061" max="12061" width="11.42578125" style="5" customWidth="1"/>
    <col min="12062" max="12062" width="7.5703125" style="5" customWidth="1"/>
    <col min="12063" max="12063" width="17.85546875" style="5" customWidth="1"/>
    <col min="12064" max="12064" width="3.5703125" style="5" customWidth="1"/>
    <col min="12065" max="12070" width="0" style="5" hidden="1" customWidth="1"/>
    <col min="12071" max="12071" width="11" style="5" customWidth="1"/>
    <col min="12072" max="12074" width="0" style="5" hidden="1" customWidth="1"/>
    <col min="12075" max="12075" width="10.7109375" style="5" customWidth="1"/>
    <col min="12076" max="12080" width="0" style="5" hidden="1" customWidth="1"/>
    <col min="12081" max="12081" width="13.140625" style="5" customWidth="1"/>
    <col min="12082" max="12082" width="10.42578125" style="5" customWidth="1"/>
    <col min="12083" max="12083" width="10.28515625" style="5" customWidth="1"/>
    <col min="12084" max="12084" width="9.85546875" style="5" customWidth="1"/>
    <col min="12085" max="12085" width="10.7109375" style="5" customWidth="1"/>
    <col min="12086" max="12086" width="10" style="5" customWidth="1"/>
    <col min="12087" max="12087" width="9.5703125" style="5" customWidth="1"/>
    <col min="12088" max="12088" width="10.7109375" style="5" customWidth="1"/>
    <col min="12089" max="12089" width="9.85546875" style="5" customWidth="1"/>
    <col min="12090" max="12093" width="0" style="5" hidden="1" customWidth="1"/>
    <col min="12094" max="12094" width="9.85546875" style="5" customWidth="1"/>
    <col min="12095" max="12095" width="10.85546875" style="5" customWidth="1"/>
    <col min="12096" max="12096" width="11.5703125" style="5" customWidth="1"/>
    <col min="12097" max="12098" width="0" style="5" hidden="1" customWidth="1"/>
    <col min="12099" max="12315" width="9.140625" style="5"/>
    <col min="12316" max="12316" width="0" style="5" hidden="1" customWidth="1"/>
    <col min="12317" max="12317" width="11.42578125" style="5" customWidth="1"/>
    <col min="12318" max="12318" width="7.5703125" style="5" customWidth="1"/>
    <col min="12319" max="12319" width="17.85546875" style="5" customWidth="1"/>
    <col min="12320" max="12320" width="3.5703125" style="5" customWidth="1"/>
    <col min="12321" max="12326" width="0" style="5" hidden="1" customWidth="1"/>
    <col min="12327" max="12327" width="11" style="5" customWidth="1"/>
    <col min="12328" max="12330" width="0" style="5" hidden="1" customWidth="1"/>
    <col min="12331" max="12331" width="10.7109375" style="5" customWidth="1"/>
    <col min="12332" max="12336" width="0" style="5" hidden="1" customWidth="1"/>
    <col min="12337" max="12337" width="13.140625" style="5" customWidth="1"/>
    <col min="12338" max="12338" width="10.42578125" style="5" customWidth="1"/>
    <col min="12339" max="12339" width="10.28515625" style="5" customWidth="1"/>
    <col min="12340" max="12340" width="9.85546875" style="5" customWidth="1"/>
    <col min="12341" max="12341" width="10.7109375" style="5" customWidth="1"/>
    <col min="12342" max="12342" width="10" style="5" customWidth="1"/>
    <col min="12343" max="12343" width="9.5703125" style="5" customWidth="1"/>
    <col min="12344" max="12344" width="10.7109375" style="5" customWidth="1"/>
    <col min="12345" max="12345" width="9.85546875" style="5" customWidth="1"/>
    <col min="12346" max="12349" width="0" style="5" hidden="1" customWidth="1"/>
    <col min="12350" max="12350" width="9.85546875" style="5" customWidth="1"/>
    <col min="12351" max="12351" width="10.85546875" style="5" customWidth="1"/>
    <col min="12352" max="12352" width="11.5703125" style="5" customWidth="1"/>
    <col min="12353" max="12354" width="0" style="5" hidden="1" customWidth="1"/>
    <col min="12355" max="12571" width="9.140625" style="5"/>
    <col min="12572" max="12572" width="0" style="5" hidden="1" customWidth="1"/>
    <col min="12573" max="12573" width="11.42578125" style="5" customWidth="1"/>
    <col min="12574" max="12574" width="7.5703125" style="5" customWidth="1"/>
    <col min="12575" max="12575" width="17.85546875" style="5" customWidth="1"/>
    <col min="12576" max="12576" width="3.5703125" style="5" customWidth="1"/>
    <col min="12577" max="12582" width="0" style="5" hidden="1" customWidth="1"/>
    <col min="12583" max="12583" width="11" style="5" customWidth="1"/>
    <col min="12584" max="12586" width="0" style="5" hidden="1" customWidth="1"/>
    <col min="12587" max="12587" width="10.7109375" style="5" customWidth="1"/>
    <col min="12588" max="12592" width="0" style="5" hidden="1" customWidth="1"/>
    <col min="12593" max="12593" width="13.140625" style="5" customWidth="1"/>
    <col min="12594" max="12594" width="10.42578125" style="5" customWidth="1"/>
    <col min="12595" max="12595" width="10.28515625" style="5" customWidth="1"/>
    <col min="12596" max="12596" width="9.85546875" style="5" customWidth="1"/>
    <col min="12597" max="12597" width="10.7109375" style="5" customWidth="1"/>
    <col min="12598" max="12598" width="10" style="5" customWidth="1"/>
    <col min="12599" max="12599" width="9.5703125" style="5" customWidth="1"/>
    <col min="12600" max="12600" width="10.7109375" style="5" customWidth="1"/>
    <col min="12601" max="12601" width="9.85546875" style="5" customWidth="1"/>
    <col min="12602" max="12605" width="0" style="5" hidden="1" customWidth="1"/>
    <col min="12606" max="12606" width="9.85546875" style="5" customWidth="1"/>
    <col min="12607" max="12607" width="10.85546875" style="5" customWidth="1"/>
    <col min="12608" max="12608" width="11.5703125" style="5" customWidth="1"/>
    <col min="12609" max="12610" width="0" style="5" hidden="1" customWidth="1"/>
    <col min="12611" max="12827" width="9.140625" style="5"/>
    <col min="12828" max="12828" width="0" style="5" hidden="1" customWidth="1"/>
    <col min="12829" max="12829" width="11.42578125" style="5" customWidth="1"/>
    <col min="12830" max="12830" width="7.5703125" style="5" customWidth="1"/>
    <col min="12831" max="12831" width="17.85546875" style="5" customWidth="1"/>
    <col min="12832" max="12832" width="3.5703125" style="5" customWidth="1"/>
    <col min="12833" max="12838" width="0" style="5" hidden="1" customWidth="1"/>
    <col min="12839" max="12839" width="11" style="5" customWidth="1"/>
    <col min="12840" max="12842" width="0" style="5" hidden="1" customWidth="1"/>
    <col min="12843" max="12843" width="10.7109375" style="5" customWidth="1"/>
    <col min="12844" max="12848" width="0" style="5" hidden="1" customWidth="1"/>
    <col min="12849" max="12849" width="13.140625" style="5" customWidth="1"/>
    <col min="12850" max="12850" width="10.42578125" style="5" customWidth="1"/>
    <col min="12851" max="12851" width="10.28515625" style="5" customWidth="1"/>
    <col min="12852" max="12852" width="9.85546875" style="5" customWidth="1"/>
    <col min="12853" max="12853" width="10.7109375" style="5" customWidth="1"/>
    <col min="12854" max="12854" width="10" style="5" customWidth="1"/>
    <col min="12855" max="12855" width="9.5703125" style="5" customWidth="1"/>
    <col min="12856" max="12856" width="10.7109375" style="5" customWidth="1"/>
    <col min="12857" max="12857" width="9.85546875" style="5" customWidth="1"/>
    <col min="12858" max="12861" width="0" style="5" hidden="1" customWidth="1"/>
    <col min="12862" max="12862" width="9.85546875" style="5" customWidth="1"/>
    <col min="12863" max="12863" width="10.85546875" style="5" customWidth="1"/>
    <col min="12864" max="12864" width="11.5703125" style="5" customWidth="1"/>
    <col min="12865" max="12866" width="0" style="5" hidden="1" customWidth="1"/>
    <col min="12867" max="13083" width="9.140625" style="5"/>
    <col min="13084" max="13084" width="0" style="5" hidden="1" customWidth="1"/>
    <col min="13085" max="13085" width="11.42578125" style="5" customWidth="1"/>
    <col min="13086" max="13086" width="7.5703125" style="5" customWidth="1"/>
    <col min="13087" max="13087" width="17.85546875" style="5" customWidth="1"/>
    <col min="13088" max="13088" width="3.5703125" style="5" customWidth="1"/>
    <col min="13089" max="13094" width="0" style="5" hidden="1" customWidth="1"/>
    <col min="13095" max="13095" width="11" style="5" customWidth="1"/>
    <col min="13096" max="13098" width="0" style="5" hidden="1" customWidth="1"/>
    <col min="13099" max="13099" width="10.7109375" style="5" customWidth="1"/>
    <col min="13100" max="13104" width="0" style="5" hidden="1" customWidth="1"/>
    <col min="13105" max="13105" width="13.140625" style="5" customWidth="1"/>
    <col min="13106" max="13106" width="10.42578125" style="5" customWidth="1"/>
    <col min="13107" max="13107" width="10.28515625" style="5" customWidth="1"/>
    <col min="13108" max="13108" width="9.85546875" style="5" customWidth="1"/>
    <col min="13109" max="13109" width="10.7109375" style="5" customWidth="1"/>
    <col min="13110" max="13110" width="10" style="5" customWidth="1"/>
    <col min="13111" max="13111" width="9.5703125" style="5" customWidth="1"/>
    <col min="13112" max="13112" width="10.7109375" style="5" customWidth="1"/>
    <col min="13113" max="13113" width="9.85546875" style="5" customWidth="1"/>
    <col min="13114" max="13117" width="0" style="5" hidden="1" customWidth="1"/>
    <col min="13118" max="13118" width="9.85546875" style="5" customWidth="1"/>
    <col min="13119" max="13119" width="10.85546875" style="5" customWidth="1"/>
    <col min="13120" max="13120" width="11.5703125" style="5" customWidth="1"/>
    <col min="13121" max="13122" width="0" style="5" hidden="1" customWidth="1"/>
    <col min="13123" max="13339" width="9.140625" style="5"/>
    <col min="13340" max="13340" width="0" style="5" hidden="1" customWidth="1"/>
    <col min="13341" max="13341" width="11.42578125" style="5" customWidth="1"/>
    <col min="13342" max="13342" width="7.5703125" style="5" customWidth="1"/>
    <col min="13343" max="13343" width="17.85546875" style="5" customWidth="1"/>
    <col min="13344" max="13344" width="3.5703125" style="5" customWidth="1"/>
    <col min="13345" max="13350" width="0" style="5" hidden="1" customWidth="1"/>
    <col min="13351" max="13351" width="11" style="5" customWidth="1"/>
    <col min="13352" max="13354" width="0" style="5" hidden="1" customWidth="1"/>
    <col min="13355" max="13355" width="10.7109375" style="5" customWidth="1"/>
    <col min="13356" max="13360" width="0" style="5" hidden="1" customWidth="1"/>
    <col min="13361" max="13361" width="13.140625" style="5" customWidth="1"/>
    <col min="13362" max="13362" width="10.42578125" style="5" customWidth="1"/>
    <col min="13363" max="13363" width="10.28515625" style="5" customWidth="1"/>
    <col min="13364" max="13364" width="9.85546875" style="5" customWidth="1"/>
    <col min="13365" max="13365" width="10.7109375" style="5" customWidth="1"/>
    <col min="13366" max="13366" width="10" style="5" customWidth="1"/>
    <col min="13367" max="13367" width="9.5703125" style="5" customWidth="1"/>
    <col min="13368" max="13368" width="10.7109375" style="5" customWidth="1"/>
    <col min="13369" max="13369" width="9.85546875" style="5" customWidth="1"/>
    <col min="13370" max="13373" width="0" style="5" hidden="1" customWidth="1"/>
    <col min="13374" max="13374" width="9.85546875" style="5" customWidth="1"/>
    <col min="13375" max="13375" width="10.85546875" style="5" customWidth="1"/>
    <col min="13376" max="13376" width="11.5703125" style="5" customWidth="1"/>
    <col min="13377" max="13378" width="0" style="5" hidden="1" customWidth="1"/>
    <col min="13379" max="13595" width="9.140625" style="5"/>
    <col min="13596" max="13596" width="0" style="5" hidden="1" customWidth="1"/>
    <col min="13597" max="13597" width="11.42578125" style="5" customWidth="1"/>
    <col min="13598" max="13598" width="7.5703125" style="5" customWidth="1"/>
    <col min="13599" max="13599" width="17.85546875" style="5" customWidth="1"/>
    <col min="13600" max="13600" width="3.5703125" style="5" customWidth="1"/>
    <col min="13601" max="13606" width="0" style="5" hidden="1" customWidth="1"/>
    <col min="13607" max="13607" width="11" style="5" customWidth="1"/>
    <col min="13608" max="13610" width="0" style="5" hidden="1" customWidth="1"/>
    <col min="13611" max="13611" width="10.7109375" style="5" customWidth="1"/>
    <col min="13612" max="13616" width="0" style="5" hidden="1" customWidth="1"/>
    <col min="13617" max="13617" width="13.140625" style="5" customWidth="1"/>
    <col min="13618" max="13618" width="10.42578125" style="5" customWidth="1"/>
    <col min="13619" max="13619" width="10.28515625" style="5" customWidth="1"/>
    <col min="13620" max="13620" width="9.85546875" style="5" customWidth="1"/>
    <col min="13621" max="13621" width="10.7109375" style="5" customWidth="1"/>
    <col min="13622" max="13622" width="10" style="5" customWidth="1"/>
    <col min="13623" max="13623" width="9.5703125" style="5" customWidth="1"/>
    <col min="13624" max="13624" width="10.7109375" style="5" customWidth="1"/>
    <col min="13625" max="13625" width="9.85546875" style="5" customWidth="1"/>
    <col min="13626" max="13629" width="0" style="5" hidden="1" customWidth="1"/>
    <col min="13630" max="13630" width="9.85546875" style="5" customWidth="1"/>
    <col min="13631" max="13631" width="10.85546875" style="5" customWidth="1"/>
    <col min="13632" max="13632" width="11.5703125" style="5" customWidth="1"/>
    <col min="13633" max="13634" width="0" style="5" hidden="1" customWidth="1"/>
    <col min="13635" max="13851" width="9.140625" style="5"/>
    <col min="13852" max="13852" width="0" style="5" hidden="1" customWidth="1"/>
    <col min="13853" max="13853" width="11.42578125" style="5" customWidth="1"/>
    <col min="13854" max="13854" width="7.5703125" style="5" customWidth="1"/>
    <col min="13855" max="13855" width="17.85546875" style="5" customWidth="1"/>
    <col min="13856" max="13856" width="3.5703125" style="5" customWidth="1"/>
    <col min="13857" max="13862" width="0" style="5" hidden="1" customWidth="1"/>
    <col min="13863" max="13863" width="11" style="5" customWidth="1"/>
    <col min="13864" max="13866" width="0" style="5" hidden="1" customWidth="1"/>
    <col min="13867" max="13867" width="10.7109375" style="5" customWidth="1"/>
    <col min="13868" max="13872" width="0" style="5" hidden="1" customWidth="1"/>
    <col min="13873" max="13873" width="13.140625" style="5" customWidth="1"/>
    <col min="13874" max="13874" width="10.42578125" style="5" customWidth="1"/>
    <col min="13875" max="13875" width="10.28515625" style="5" customWidth="1"/>
    <col min="13876" max="13876" width="9.85546875" style="5" customWidth="1"/>
    <col min="13877" max="13877" width="10.7109375" style="5" customWidth="1"/>
    <col min="13878" max="13878" width="10" style="5" customWidth="1"/>
    <col min="13879" max="13879" width="9.5703125" style="5" customWidth="1"/>
    <col min="13880" max="13880" width="10.7109375" style="5" customWidth="1"/>
    <col min="13881" max="13881" width="9.85546875" style="5" customWidth="1"/>
    <col min="13882" max="13885" width="0" style="5" hidden="1" customWidth="1"/>
    <col min="13886" max="13886" width="9.85546875" style="5" customWidth="1"/>
    <col min="13887" max="13887" width="10.85546875" style="5" customWidth="1"/>
    <col min="13888" max="13888" width="11.5703125" style="5" customWidth="1"/>
    <col min="13889" max="13890" width="0" style="5" hidden="1" customWidth="1"/>
    <col min="13891" max="14107" width="9.140625" style="5"/>
    <col min="14108" max="14108" width="0" style="5" hidden="1" customWidth="1"/>
    <col min="14109" max="14109" width="11.42578125" style="5" customWidth="1"/>
    <col min="14110" max="14110" width="7.5703125" style="5" customWidth="1"/>
    <col min="14111" max="14111" width="17.85546875" style="5" customWidth="1"/>
    <col min="14112" max="14112" width="3.5703125" style="5" customWidth="1"/>
    <col min="14113" max="14118" width="0" style="5" hidden="1" customWidth="1"/>
    <col min="14119" max="14119" width="11" style="5" customWidth="1"/>
    <col min="14120" max="14122" width="0" style="5" hidden="1" customWidth="1"/>
    <col min="14123" max="14123" width="10.7109375" style="5" customWidth="1"/>
    <col min="14124" max="14128" width="0" style="5" hidden="1" customWidth="1"/>
    <col min="14129" max="14129" width="13.140625" style="5" customWidth="1"/>
    <col min="14130" max="14130" width="10.42578125" style="5" customWidth="1"/>
    <col min="14131" max="14131" width="10.28515625" style="5" customWidth="1"/>
    <col min="14132" max="14132" width="9.85546875" style="5" customWidth="1"/>
    <col min="14133" max="14133" width="10.7109375" style="5" customWidth="1"/>
    <col min="14134" max="14134" width="10" style="5" customWidth="1"/>
    <col min="14135" max="14135" width="9.5703125" style="5" customWidth="1"/>
    <col min="14136" max="14136" width="10.7109375" style="5" customWidth="1"/>
    <col min="14137" max="14137" width="9.85546875" style="5" customWidth="1"/>
    <col min="14138" max="14141" width="0" style="5" hidden="1" customWidth="1"/>
    <col min="14142" max="14142" width="9.85546875" style="5" customWidth="1"/>
    <col min="14143" max="14143" width="10.85546875" style="5" customWidth="1"/>
    <col min="14144" max="14144" width="11.5703125" style="5" customWidth="1"/>
    <col min="14145" max="14146" width="0" style="5" hidden="1" customWidth="1"/>
    <col min="14147" max="14363" width="9.140625" style="5"/>
    <col min="14364" max="14364" width="0" style="5" hidden="1" customWidth="1"/>
    <col min="14365" max="14365" width="11.42578125" style="5" customWidth="1"/>
    <col min="14366" max="14366" width="7.5703125" style="5" customWidth="1"/>
    <col min="14367" max="14367" width="17.85546875" style="5" customWidth="1"/>
    <col min="14368" max="14368" width="3.5703125" style="5" customWidth="1"/>
    <col min="14369" max="14374" width="0" style="5" hidden="1" customWidth="1"/>
    <col min="14375" max="14375" width="11" style="5" customWidth="1"/>
    <col min="14376" max="14378" width="0" style="5" hidden="1" customWidth="1"/>
    <col min="14379" max="14379" width="10.7109375" style="5" customWidth="1"/>
    <col min="14380" max="14384" width="0" style="5" hidden="1" customWidth="1"/>
    <col min="14385" max="14385" width="13.140625" style="5" customWidth="1"/>
    <col min="14386" max="14386" width="10.42578125" style="5" customWidth="1"/>
    <col min="14387" max="14387" width="10.28515625" style="5" customWidth="1"/>
    <col min="14388" max="14388" width="9.85546875" style="5" customWidth="1"/>
    <col min="14389" max="14389" width="10.7109375" style="5" customWidth="1"/>
    <col min="14390" max="14390" width="10" style="5" customWidth="1"/>
    <col min="14391" max="14391" width="9.5703125" style="5" customWidth="1"/>
    <col min="14392" max="14392" width="10.7109375" style="5" customWidth="1"/>
    <col min="14393" max="14393" width="9.85546875" style="5" customWidth="1"/>
    <col min="14394" max="14397" width="0" style="5" hidden="1" customWidth="1"/>
    <col min="14398" max="14398" width="9.85546875" style="5" customWidth="1"/>
    <col min="14399" max="14399" width="10.85546875" style="5" customWidth="1"/>
    <col min="14400" max="14400" width="11.5703125" style="5" customWidth="1"/>
    <col min="14401" max="14402" width="0" style="5" hidden="1" customWidth="1"/>
    <col min="14403" max="14619" width="9.140625" style="5"/>
    <col min="14620" max="14620" width="0" style="5" hidden="1" customWidth="1"/>
    <col min="14621" max="14621" width="11.42578125" style="5" customWidth="1"/>
    <col min="14622" max="14622" width="7.5703125" style="5" customWidth="1"/>
    <col min="14623" max="14623" width="17.85546875" style="5" customWidth="1"/>
    <col min="14624" max="14624" width="3.5703125" style="5" customWidth="1"/>
    <col min="14625" max="14630" width="0" style="5" hidden="1" customWidth="1"/>
    <col min="14631" max="14631" width="11" style="5" customWidth="1"/>
    <col min="14632" max="14634" width="0" style="5" hidden="1" customWidth="1"/>
    <col min="14635" max="14635" width="10.7109375" style="5" customWidth="1"/>
    <col min="14636" max="14640" width="0" style="5" hidden="1" customWidth="1"/>
    <col min="14641" max="14641" width="13.140625" style="5" customWidth="1"/>
    <col min="14642" max="14642" width="10.42578125" style="5" customWidth="1"/>
    <col min="14643" max="14643" width="10.28515625" style="5" customWidth="1"/>
    <col min="14644" max="14644" width="9.85546875" style="5" customWidth="1"/>
    <col min="14645" max="14645" width="10.7109375" style="5" customWidth="1"/>
    <col min="14646" max="14646" width="10" style="5" customWidth="1"/>
    <col min="14647" max="14647" width="9.5703125" style="5" customWidth="1"/>
    <col min="14648" max="14648" width="10.7109375" style="5" customWidth="1"/>
    <col min="14649" max="14649" width="9.85546875" style="5" customWidth="1"/>
    <col min="14650" max="14653" width="0" style="5" hidden="1" customWidth="1"/>
    <col min="14654" max="14654" width="9.85546875" style="5" customWidth="1"/>
    <col min="14655" max="14655" width="10.85546875" style="5" customWidth="1"/>
    <col min="14656" max="14656" width="11.5703125" style="5" customWidth="1"/>
    <col min="14657" max="14658" width="0" style="5" hidden="1" customWidth="1"/>
    <col min="14659" max="14875" width="9.140625" style="5"/>
    <col min="14876" max="14876" width="0" style="5" hidden="1" customWidth="1"/>
    <col min="14877" max="14877" width="11.42578125" style="5" customWidth="1"/>
    <col min="14878" max="14878" width="7.5703125" style="5" customWidth="1"/>
    <col min="14879" max="14879" width="17.85546875" style="5" customWidth="1"/>
    <col min="14880" max="14880" width="3.5703125" style="5" customWidth="1"/>
    <col min="14881" max="14886" width="0" style="5" hidden="1" customWidth="1"/>
    <col min="14887" max="14887" width="11" style="5" customWidth="1"/>
    <col min="14888" max="14890" width="0" style="5" hidden="1" customWidth="1"/>
    <col min="14891" max="14891" width="10.7109375" style="5" customWidth="1"/>
    <col min="14892" max="14896" width="0" style="5" hidden="1" customWidth="1"/>
    <col min="14897" max="14897" width="13.140625" style="5" customWidth="1"/>
    <col min="14898" max="14898" width="10.42578125" style="5" customWidth="1"/>
    <col min="14899" max="14899" width="10.28515625" style="5" customWidth="1"/>
    <col min="14900" max="14900" width="9.85546875" style="5" customWidth="1"/>
    <col min="14901" max="14901" width="10.7109375" style="5" customWidth="1"/>
    <col min="14902" max="14902" width="10" style="5" customWidth="1"/>
    <col min="14903" max="14903" width="9.5703125" style="5" customWidth="1"/>
    <col min="14904" max="14904" width="10.7109375" style="5" customWidth="1"/>
    <col min="14905" max="14905" width="9.85546875" style="5" customWidth="1"/>
    <col min="14906" max="14909" width="0" style="5" hidden="1" customWidth="1"/>
    <col min="14910" max="14910" width="9.85546875" style="5" customWidth="1"/>
    <col min="14911" max="14911" width="10.85546875" style="5" customWidth="1"/>
    <col min="14912" max="14912" width="11.5703125" style="5" customWidth="1"/>
    <col min="14913" max="14914" width="0" style="5" hidden="1" customWidth="1"/>
    <col min="14915" max="15131" width="9.140625" style="5"/>
    <col min="15132" max="15132" width="0" style="5" hidden="1" customWidth="1"/>
    <col min="15133" max="15133" width="11.42578125" style="5" customWidth="1"/>
    <col min="15134" max="15134" width="7.5703125" style="5" customWidth="1"/>
    <col min="15135" max="15135" width="17.85546875" style="5" customWidth="1"/>
    <col min="15136" max="15136" width="3.5703125" style="5" customWidth="1"/>
    <col min="15137" max="15142" width="0" style="5" hidden="1" customWidth="1"/>
    <col min="15143" max="15143" width="11" style="5" customWidth="1"/>
    <col min="15144" max="15146" width="0" style="5" hidden="1" customWidth="1"/>
    <col min="15147" max="15147" width="10.7109375" style="5" customWidth="1"/>
    <col min="15148" max="15152" width="0" style="5" hidden="1" customWidth="1"/>
    <col min="15153" max="15153" width="13.140625" style="5" customWidth="1"/>
    <col min="15154" max="15154" width="10.42578125" style="5" customWidth="1"/>
    <col min="15155" max="15155" width="10.28515625" style="5" customWidth="1"/>
    <col min="15156" max="15156" width="9.85546875" style="5" customWidth="1"/>
    <col min="15157" max="15157" width="10.7109375" style="5" customWidth="1"/>
    <col min="15158" max="15158" width="10" style="5" customWidth="1"/>
    <col min="15159" max="15159" width="9.5703125" style="5" customWidth="1"/>
    <col min="15160" max="15160" width="10.7109375" style="5" customWidth="1"/>
    <col min="15161" max="15161" width="9.85546875" style="5" customWidth="1"/>
    <col min="15162" max="15165" width="0" style="5" hidden="1" customWidth="1"/>
    <col min="15166" max="15166" width="9.85546875" style="5" customWidth="1"/>
    <col min="15167" max="15167" width="10.85546875" style="5" customWidth="1"/>
    <col min="15168" max="15168" width="11.5703125" style="5" customWidth="1"/>
    <col min="15169" max="15170" width="0" style="5" hidden="1" customWidth="1"/>
    <col min="15171" max="15387" width="9.140625" style="5"/>
    <col min="15388" max="15388" width="0" style="5" hidden="1" customWidth="1"/>
    <col min="15389" max="15389" width="11.42578125" style="5" customWidth="1"/>
    <col min="15390" max="15390" width="7.5703125" style="5" customWidth="1"/>
    <col min="15391" max="15391" width="17.85546875" style="5" customWidth="1"/>
    <col min="15392" max="15392" width="3.5703125" style="5" customWidth="1"/>
    <col min="15393" max="15398" width="0" style="5" hidden="1" customWidth="1"/>
    <col min="15399" max="15399" width="11" style="5" customWidth="1"/>
    <col min="15400" max="15402" width="0" style="5" hidden="1" customWidth="1"/>
    <col min="15403" max="15403" width="10.7109375" style="5" customWidth="1"/>
    <col min="15404" max="15408" width="0" style="5" hidden="1" customWidth="1"/>
    <col min="15409" max="15409" width="13.140625" style="5" customWidth="1"/>
    <col min="15410" max="15410" width="10.42578125" style="5" customWidth="1"/>
    <col min="15411" max="15411" width="10.28515625" style="5" customWidth="1"/>
    <col min="15412" max="15412" width="9.85546875" style="5" customWidth="1"/>
    <col min="15413" max="15413" width="10.7109375" style="5" customWidth="1"/>
    <col min="15414" max="15414" width="10" style="5" customWidth="1"/>
    <col min="15415" max="15415" width="9.5703125" style="5" customWidth="1"/>
    <col min="15416" max="15416" width="10.7109375" style="5" customWidth="1"/>
    <col min="15417" max="15417" width="9.85546875" style="5" customWidth="1"/>
    <col min="15418" max="15421" width="0" style="5" hidden="1" customWidth="1"/>
    <col min="15422" max="15422" width="9.85546875" style="5" customWidth="1"/>
    <col min="15423" max="15423" width="10.85546875" style="5" customWidth="1"/>
    <col min="15424" max="15424" width="11.5703125" style="5" customWidth="1"/>
    <col min="15425" max="15426" width="0" style="5" hidden="1" customWidth="1"/>
    <col min="15427" max="15643" width="9.140625" style="5"/>
    <col min="15644" max="15644" width="0" style="5" hidden="1" customWidth="1"/>
    <col min="15645" max="15645" width="11.42578125" style="5" customWidth="1"/>
    <col min="15646" max="15646" width="7.5703125" style="5" customWidth="1"/>
    <col min="15647" max="15647" width="17.85546875" style="5" customWidth="1"/>
    <col min="15648" max="15648" width="3.5703125" style="5" customWidth="1"/>
    <col min="15649" max="15654" width="0" style="5" hidden="1" customWidth="1"/>
    <col min="15655" max="15655" width="11" style="5" customWidth="1"/>
    <col min="15656" max="15658" width="0" style="5" hidden="1" customWidth="1"/>
    <col min="15659" max="15659" width="10.7109375" style="5" customWidth="1"/>
    <col min="15660" max="15664" width="0" style="5" hidden="1" customWidth="1"/>
    <col min="15665" max="15665" width="13.140625" style="5" customWidth="1"/>
    <col min="15666" max="15666" width="10.42578125" style="5" customWidth="1"/>
    <col min="15667" max="15667" width="10.28515625" style="5" customWidth="1"/>
    <col min="15668" max="15668" width="9.85546875" style="5" customWidth="1"/>
    <col min="15669" max="15669" width="10.7109375" style="5" customWidth="1"/>
    <col min="15670" max="15670" width="10" style="5" customWidth="1"/>
    <col min="15671" max="15671" width="9.5703125" style="5" customWidth="1"/>
    <col min="15672" max="15672" width="10.7109375" style="5" customWidth="1"/>
    <col min="15673" max="15673" width="9.85546875" style="5" customWidth="1"/>
    <col min="15674" max="15677" width="0" style="5" hidden="1" customWidth="1"/>
    <col min="15678" max="15678" width="9.85546875" style="5" customWidth="1"/>
    <col min="15679" max="15679" width="10.85546875" style="5" customWidth="1"/>
    <col min="15680" max="15680" width="11.5703125" style="5" customWidth="1"/>
    <col min="15681" max="15682" width="0" style="5" hidden="1" customWidth="1"/>
    <col min="15683" max="15899" width="9.140625" style="5"/>
    <col min="15900" max="15900" width="0" style="5" hidden="1" customWidth="1"/>
    <col min="15901" max="15901" width="11.42578125" style="5" customWidth="1"/>
    <col min="15902" max="15902" width="7.5703125" style="5" customWidth="1"/>
    <col min="15903" max="15903" width="17.85546875" style="5" customWidth="1"/>
    <col min="15904" max="15904" width="3.5703125" style="5" customWidth="1"/>
    <col min="15905" max="15910" width="0" style="5" hidden="1" customWidth="1"/>
    <col min="15911" max="15911" width="11" style="5" customWidth="1"/>
    <col min="15912" max="15914" width="0" style="5" hidden="1" customWidth="1"/>
    <col min="15915" max="15915" width="10.7109375" style="5" customWidth="1"/>
    <col min="15916" max="15920" width="0" style="5" hidden="1" customWidth="1"/>
    <col min="15921" max="15921" width="13.140625" style="5" customWidth="1"/>
    <col min="15922" max="15922" width="10.42578125" style="5" customWidth="1"/>
    <col min="15923" max="15923" width="10.28515625" style="5" customWidth="1"/>
    <col min="15924" max="15924" width="9.85546875" style="5" customWidth="1"/>
    <col min="15925" max="15925" width="10.7109375" style="5" customWidth="1"/>
    <col min="15926" max="15926" width="10" style="5" customWidth="1"/>
    <col min="15927" max="15927" width="9.5703125" style="5" customWidth="1"/>
    <col min="15928" max="15928" width="10.7109375" style="5" customWidth="1"/>
    <col min="15929" max="15929" width="9.85546875" style="5" customWidth="1"/>
    <col min="15930" max="15933" width="0" style="5" hidden="1" customWidth="1"/>
    <col min="15934" max="15934" width="9.85546875" style="5" customWidth="1"/>
    <col min="15935" max="15935" width="10.85546875" style="5" customWidth="1"/>
    <col min="15936" max="15936" width="11.5703125" style="5" customWidth="1"/>
    <col min="15937" max="15938" width="0" style="5" hidden="1" customWidth="1"/>
    <col min="15939" max="16155" width="9.140625" style="5"/>
    <col min="16156" max="16156" width="0" style="5" hidden="1" customWidth="1"/>
    <col min="16157" max="16157" width="11.42578125" style="5" customWidth="1"/>
    <col min="16158" max="16158" width="7.5703125" style="5" customWidth="1"/>
    <col min="16159" max="16159" width="17.85546875" style="5" customWidth="1"/>
    <col min="16160" max="16160" width="3.5703125" style="5" customWidth="1"/>
    <col min="16161" max="16166" width="0" style="5" hidden="1" customWidth="1"/>
    <col min="16167" max="16167" width="11" style="5" customWidth="1"/>
    <col min="16168" max="16170" width="0" style="5" hidden="1" customWidth="1"/>
    <col min="16171" max="16171" width="10.7109375" style="5" customWidth="1"/>
    <col min="16172" max="16176" width="0" style="5" hidden="1" customWidth="1"/>
    <col min="16177" max="16177" width="13.140625" style="5" customWidth="1"/>
    <col min="16178" max="16178" width="10.42578125" style="5" customWidth="1"/>
    <col min="16179" max="16179" width="10.28515625" style="5" customWidth="1"/>
    <col min="16180" max="16180" width="9.85546875" style="5" customWidth="1"/>
    <col min="16181" max="16181" width="10.7109375" style="5" customWidth="1"/>
    <col min="16182" max="16182" width="10" style="5" customWidth="1"/>
    <col min="16183" max="16183" width="9.5703125" style="5" customWidth="1"/>
    <col min="16184" max="16184" width="10.7109375" style="5" customWidth="1"/>
    <col min="16185" max="16185" width="9.85546875" style="5" customWidth="1"/>
    <col min="16186" max="16189" width="0" style="5" hidden="1" customWidth="1"/>
    <col min="16190" max="16190" width="9.85546875" style="5" customWidth="1"/>
    <col min="16191" max="16191" width="10.85546875" style="5" customWidth="1"/>
    <col min="16192" max="16192" width="11.5703125" style="5" customWidth="1"/>
    <col min="16193" max="16194" width="0" style="5" hidden="1" customWidth="1"/>
    <col min="16195" max="16384" width="9.140625" style="5"/>
  </cols>
  <sheetData>
    <row r="1" spans="1:834 1052:1858 2076:2882 3100:3906 4124:4930 5148:5954 6172:6978 7196:8002 8220:9026 9244:10050 10268:11074 11292:12098 12316:13122 13340:14146 14364:15170 15388:16194">
      <c r="A1" s="74" t="s">
        <v>0</v>
      </c>
      <c r="B1" s="71"/>
      <c r="C1" s="71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6"/>
      <c r="R1" s="79"/>
      <c r="S1" s="71"/>
      <c r="T1" s="71"/>
      <c r="U1" s="71"/>
      <c r="V1" s="71"/>
      <c r="W1" s="71"/>
      <c r="X1" s="71"/>
      <c r="Y1" s="71"/>
      <c r="Z1" s="71"/>
      <c r="AA1" s="77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87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8"/>
      <c r="BL1" s="71"/>
      <c r="BM1" s="71"/>
      <c r="BN1" s="71"/>
      <c r="BO1" s="71"/>
      <c r="BP1" s="114"/>
    </row>
    <row r="2" spans="1:834 1052:1858 2076:2882 3100:3906 4124:4930 5148:5954 6172:6978 7196:8002 8220:9026 9244:10050 10268:11074 11292:12098 12316:13122 13340:14146 14364:15170 15388:16194">
      <c r="A2" s="74" t="s">
        <v>1</v>
      </c>
      <c r="B2" s="71"/>
      <c r="C2" s="71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6"/>
      <c r="R2" s="79"/>
      <c r="S2" s="71"/>
      <c r="T2" s="71"/>
      <c r="U2" s="71"/>
      <c r="V2" s="71"/>
      <c r="W2" s="71"/>
      <c r="X2" s="71"/>
      <c r="Y2" s="71"/>
      <c r="Z2" s="71"/>
      <c r="AA2" s="77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87"/>
      <c r="AW2" s="71"/>
      <c r="AX2" s="71"/>
      <c r="AY2" s="71"/>
      <c r="AZ2" s="71"/>
      <c r="BA2" s="71"/>
      <c r="BB2" s="71"/>
      <c r="BC2" s="72"/>
      <c r="BD2" s="71"/>
      <c r="BE2" s="71"/>
      <c r="BF2" s="71"/>
      <c r="BG2" s="71"/>
      <c r="BH2" s="71"/>
      <c r="BI2" s="71"/>
      <c r="BJ2" s="71"/>
      <c r="BK2" s="78"/>
      <c r="BL2" s="71"/>
      <c r="BM2" s="71"/>
      <c r="BN2" s="71"/>
      <c r="BO2" s="71"/>
      <c r="BP2" s="114"/>
    </row>
    <row r="3" spans="1:834 1052:1858 2076:2882 3100:3906 4124:4930 5148:5954 6172:6978 7196:8002 8220:9026 9244:10050 10268:11074 11292:12098 12316:13122 13340:14146 14364:15170 15388:16194" ht="23.25" customHeight="1">
      <c r="A3" s="422" t="s">
        <v>324</v>
      </c>
      <c r="B3" s="422"/>
      <c r="C3" s="422"/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2"/>
      <c r="AP3" s="422"/>
      <c r="AQ3" s="422"/>
      <c r="AR3" s="422"/>
      <c r="AS3" s="422"/>
      <c r="AT3" s="422"/>
      <c r="AU3" s="422"/>
      <c r="AV3" s="423"/>
      <c r="AW3" s="422"/>
      <c r="AX3" s="422"/>
      <c r="AY3" s="422"/>
      <c r="AZ3" s="422"/>
      <c r="BA3" s="422"/>
      <c r="BB3" s="422"/>
      <c r="BC3" s="422"/>
      <c r="BD3" s="422"/>
      <c r="BE3" s="422"/>
      <c r="BF3" s="422"/>
      <c r="BG3" s="422"/>
      <c r="BH3" s="422"/>
      <c r="BI3" s="422"/>
      <c r="BJ3" s="422"/>
      <c r="BK3" s="422"/>
      <c r="BL3" s="422"/>
      <c r="BM3" s="422"/>
      <c r="BN3" s="422"/>
      <c r="BO3" s="422"/>
      <c r="BP3" s="115"/>
    </row>
    <row r="4" spans="1:834 1052:1858 2076:2882 3100:3906 4124:4930 5148:5954 6172:6978 7196:8002 8220:9026 9244:10050 10268:11074 11292:12098 12316:13122 13340:14146 14364:15170 15388:16194" ht="15" customHeight="1">
      <c r="A4" s="424" t="s">
        <v>325</v>
      </c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5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116"/>
    </row>
    <row r="6" spans="1:834 1052:1858 2076:2882 3100:3906 4124:4930 5148:5954 6172:6978 7196:8002 8220:9026 9244:10050 10268:11074 11292:12098 12316:13122 13340:14146 14364:15170 15388:16194" ht="15" customHeight="1">
      <c r="A6" s="248"/>
      <c r="B6" s="13"/>
      <c r="C6" s="13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50"/>
      <c r="R6" s="251"/>
      <c r="S6" s="13"/>
      <c r="T6" s="13"/>
      <c r="U6" s="13"/>
      <c r="V6" s="13"/>
      <c r="W6" s="13"/>
      <c r="X6" s="13"/>
      <c r="Y6" s="13"/>
      <c r="Z6" s="13"/>
      <c r="AA6" s="252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0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253"/>
      <c r="BL6" s="13"/>
      <c r="BM6" s="13"/>
      <c r="BN6" s="13"/>
      <c r="BO6" s="254" t="s">
        <v>54</v>
      </c>
      <c r="BP6" s="255"/>
    </row>
    <row r="7" spans="1:834 1052:1858 2076:2882 3100:3906 4124:4930 5148:5954 6172:6978 7196:8002 8220:9026 9244:10050 10268:11074 11292:12098 12316:13122 13340:14146 14364:15170 15388:16194" s="38" customFormat="1" ht="91.5" customHeight="1">
      <c r="A7" s="413" t="s">
        <v>2</v>
      </c>
      <c r="B7" s="413" t="s">
        <v>3</v>
      </c>
      <c r="C7" s="413" t="s">
        <v>4</v>
      </c>
      <c r="D7" s="430" t="s">
        <v>217</v>
      </c>
      <c r="E7" s="427" t="s">
        <v>5</v>
      </c>
      <c r="F7" s="427"/>
      <c r="G7" s="428" t="s">
        <v>92</v>
      </c>
      <c r="H7" s="419" t="s">
        <v>6</v>
      </c>
      <c r="I7" s="420"/>
      <c r="J7" s="420"/>
      <c r="K7" s="420"/>
      <c r="L7" s="420"/>
      <c r="M7" s="420"/>
      <c r="N7" s="420"/>
      <c r="O7" s="420"/>
      <c r="P7" s="421"/>
      <c r="Q7" s="427" t="s">
        <v>172</v>
      </c>
      <c r="R7" s="427"/>
      <c r="S7" s="427"/>
      <c r="T7" s="427"/>
      <c r="U7" s="414" t="s">
        <v>8</v>
      </c>
      <c r="V7" s="415"/>
      <c r="W7" s="415"/>
      <c r="X7" s="415"/>
      <c r="Y7" s="415"/>
      <c r="Z7" s="415"/>
      <c r="AA7" s="415"/>
      <c r="AB7" s="415"/>
      <c r="AC7" s="415"/>
      <c r="AD7" s="415"/>
      <c r="AE7" s="416"/>
      <c r="AF7" s="432" t="s">
        <v>316</v>
      </c>
      <c r="AG7" s="417" t="s">
        <v>301</v>
      </c>
      <c r="AH7" s="417" t="s">
        <v>55</v>
      </c>
      <c r="AI7" s="417" t="s">
        <v>9</v>
      </c>
      <c r="AJ7" s="417" t="s">
        <v>10</v>
      </c>
      <c r="AK7" s="413" t="s">
        <v>11</v>
      </c>
      <c r="AL7" s="414" t="s">
        <v>12</v>
      </c>
      <c r="AM7" s="415"/>
      <c r="AN7" s="415"/>
      <c r="AO7" s="415"/>
      <c r="AP7" s="415"/>
      <c r="AQ7" s="415"/>
      <c r="AR7" s="415"/>
      <c r="AS7" s="415"/>
      <c r="AT7" s="415"/>
      <c r="AU7" s="416"/>
      <c r="AV7" s="417" t="s">
        <v>13</v>
      </c>
      <c r="AW7" s="426" t="s">
        <v>14</v>
      </c>
      <c r="AX7" s="426"/>
      <c r="AY7" s="426"/>
      <c r="AZ7" s="426"/>
      <c r="BA7" s="426"/>
      <c r="BB7" s="426"/>
      <c r="BC7" s="426" t="s">
        <v>15</v>
      </c>
      <c r="BD7" s="426"/>
      <c r="BE7" s="426"/>
      <c r="BF7" s="426"/>
      <c r="BG7" s="414" t="s">
        <v>56</v>
      </c>
      <c r="BH7" s="415"/>
      <c r="BI7" s="415"/>
      <c r="BJ7" s="415"/>
      <c r="BK7" s="415"/>
      <c r="BL7" s="415"/>
      <c r="BM7" s="416"/>
      <c r="BN7" s="167"/>
      <c r="BO7" s="413" t="s">
        <v>57</v>
      </c>
      <c r="BP7" s="413" t="s">
        <v>173</v>
      </c>
      <c r="BQ7" s="411" t="s">
        <v>16</v>
      </c>
    </row>
    <row r="8" spans="1:834 1052:1858 2076:2882 3100:3906 4124:4930 5148:5954 6172:6978 7196:8002 8220:9026 9244:10050 10268:11074 11292:12098 12316:13122 13340:14146 14364:15170 15388:16194" s="38" customFormat="1" ht="85.5" customHeight="1">
      <c r="A8" s="413"/>
      <c r="B8" s="413"/>
      <c r="C8" s="413"/>
      <c r="D8" s="431"/>
      <c r="E8" s="218" t="s">
        <v>211</v>
      </c>
      <c r="F8" s="218" t="s">
        <v>58</v>
      </c>
      <c r="G8" s="429"/>
      <c r="H8" s="168" t="s">
        <v>230</v>
      </c>
      <c r="I8" s="168" t="s">
        <v>97</v>
      </c>
      <c r="J8" s="168" t="s">
        <v>271</v>
      </c>
      <c r="K8" s="168" t="s">
        <v>272</v>
      </c>
      <c r="L8" s="166" t="s">
        <v>273</v>
      </c>
      <c r="M8" s="166" t="s">
        <v>274</v>
      </c>
      <c r="N8" s="168" t="s">
        <v>275</v>
      </c>
      <c r="O8" s="244" t="s">
        <v>276</v>
      </c>
      <c r="P8" s="244" t="s">
        <v>277</v>
      </c>
      <c r="Q8" s="169" t="s">
        <v>7</v>
      </c>
      <c r="R8" s="169" t="s">
        <v>142</v>
      </c>
      <c r="S8" s="169" t="s">
        <v>143</v>
      </c>
      <c r="T8" s="169" t="s">
        <v>147</v>
      </c>
      <c r="U8" s="170" t="s">
        <v>214</v>
      </c>
      <c r="V8" s="170" t="s">
        <v>98</v>
      </c>
      <c r="W8" s="170" t="s">
        <v>215</v>
      </c>
      <c r="X8" s="170" t="s">
        <v>99</v>
      </c>
      <c r="Y8" s="170" t="s">
        <v>216</v>
      </c>
      <c r="Z8" s="170" t="s">
        <v>100</v>
      </c>
      <c r="AA8" s="256" t="s">
        <v>144</v>
      </c>
      <c r="AB8" s="256" t="s">
        <v>145</v>
      </c>
      <c r="AC8" s="256" t="s">
        <v>146</v>
      </c>
      <c r="AD8" s="243" t="s">
        <v>103</v>
      </c>
      <c r="AE8" s="208" t="s">
        <v>331</v>
      </c>
      <c r="AF8" s="433"/>
      <c r="AG8" s="418"/>
      <c r="AH8" s="418"/>
      <c r="AI8" s="418"/>
      <c r="AJ8" s="418"/>
      <c r="AK8" s="413"/>
      <c r="AL8" s="172" t="s">
        <v>60</v>
      </c>
      <c r="AM8" s="19" t="s">
        <v>17</v>
      </c>
      <c r="AN8" s="19" t="s">
        <v>66</v>
      </c>
      <c r="AO8" s="19" t="s">
        <v>67</v>
      </c>
      <c r="AP8" s="19" t="s">
        <v>71</v>
      </c>
      <c r="AQ8" s="19" t="s">
        <v>68</v>
      </c>
      <c r="AR8" s="19" t="s">
        <v>59</v>
      </c>
      <c r="AS8" s="19" t="s">
        <v>69</v>
      </c>
      <c r="AT8" s="19" t="s">
        <v>70</v>
      </c>
      <c r="AU8" s="165" t="s">
        <v>19</v>
      </c>
      <c r="AV8" s="418"/>
      <c r="AW8" s="165" t="s">
        <v>20</v>
      </c>
      <c r="AX8" s="165" t="s">
        <v>170</v>
      </c>
      <c r="AY8" s="165" t="s">
        <v>22</v>
      </c>
      <c r="AZ8" s="165" t="s">
        <v>23</v>
      </c>
      <c r="BA8" s="165" t="s">
        <v>302</v>
      </c>
      <c r="BB8" s="173" t="s">
        <v>24</v>
      </c>
      <c r="BC8" s="173" t="s">
        <v>25</v>
      </c>
      <c r="BD8" s="173" t="s">
        <v>26</v>
      </c>
      <c r="BE8" s="173" t="s">
        <v>23</v>
      </c>
      <c r="BF8" s="173" t="s">
        <v>27</v>
      </c>
      <c r="BG8" s="173" t="s">
        <v>238</v>
      </c>
      <c r="BH8" s="165" t="s">
        <v>28</v>
      </c>
      <c r="BI8" s="165" t="s">
        <v>29</v>
      </c>
      <c r="BJ8" s="165" t="s">
        <v>30</v>
      </c>
      <c r="BK8" s="167" t="s">
        <v>31</v>
      </c>
      <c r="BL8" s="174" t="s">
        <v>239</v>
      </c>
      <c r="BM8" s="165" t="s">
        <v>240</v>
      </c>
      <c r="BN8" s="170" t="s">
        <v>304</v>
      </c>
      <c r="BO8" s="413"/>
      <c r="BP8" s="413"/>
      <c r="BQ8" s="412"/>
    </row>
    <row r="9" spans="1:834 1052:1858 2076:2882 3100:3906 4124:4930 5148:5954 6172:6978 7196:8002 8220:9026 9244:10050 10268:11074 11292:12098 12316:13122 13340:14146 14364:15170 15388:16194" s="259" customFormat="1" ht="35.25" customHeight="1">
      <c r="A9" s="257">
        <v>-1</v>
      </c>
      <c r="B9" s="257">
        <v>-2</v>
      </c>
      <c r="C9" s="257">
        <v>-3</v>
      </c>
      <c r="D9" s="257"/>
      <c r="E9" s="257">
        <v>-4</v>
      </c>
      <c r="F9" s="257">
        <v>-5</v>
      </c>
      <c r="G9" s="257"/>
      <c r="H9" s="257">
        <v>-5</v>
      </c>
      <c r="I9" s="257"/>
      <c r="J9" s="257" t="s">
        <v>33</v>
      </c>
      <c r="K9" s="257">
        <v>-6</v>
      </c>
      <c r="L9" s="257"/>
      <c r="M9" s="257"/>
      <c r="N9" s="257">
        <v>-7</v>
      </c>
      <c r="O9" s="257"/>
      <c r="P9" s="257"/>
      <c r="Q9" s="257">
        <v>-8</v>
      </c>
      <c r="R9" s="257">
        <v>-9</v>
      </c>
      <c r="S9" s="257" t="s">
        <v>149</v>
      </c>
      <c r="T9" s="257"/>
      <c r="U9" s="257"/>
      <c r="V9" s="257">
        <v>-10</v>
      </c>
      <c r="W9" s="257"/>
      <c r="X9" s="257">
        <v>-11</v>
      </c>
      <c r="Y9" s="257"/>
      <c r="Z9" s="257" t="s">
        <v>34</v>
      </c>
      <c r="AA9" s="257" t="s">
        <v>35</v>
      </c>
      <c r="AB9" s="257" t="s">
        <v>61</v>
      </c>
      <c r="AC9" s="257">
        <v>-12</v>
      </c>
      <c r="AD9" s="257"/>
      <c r="AE9" s="257"/>
      <c r="AF9" s="257"/>
      <c r="AG9" s="257"/>
      <c r="AH9" s="257" t="s">
        <v>36</v>
      </c>
      <c r="AI9" s="257" t="s">
        <v>150</v>
      </c>
      <c r="AJ9" s="257" t="s">
        <v>38</v>
      </c>
      <c r="AK9" s="257" t="s">
        <v>130</v>
      </c>
      <c r="AL9" s="257" t="s">
        <v>131</v>
      </c>
      <c r="AM9" s="257"/>
      <c r="AN9" s="257" t="s">
        <v>132</v>
      </c>
      <c r="AO9" s="257" t="s">
        <v>133</v>
      </c>
      <c r="AP9" s="257"/>
      <c r="AQ9" s="257"/>
      <c r="AR9" s="257" t="s">
        <v>134</v>
      </c>
      <c r="AS9" s="257"/>
      <c r="AT9" s="257"/>
      <c r="AU9" s="257" t="s">
        <v>39</v>
      </c>
      <c r="AV9" s="257" t="s">
        <v>40</v>
      </c>
      <c r="AW9" s="257" t="s">
        <v>41</v>
      </c>
      <c r="AX9" s="257" t="s">
        <v>42</v>
      </c>
      <c r="AY9" s="257" t="s">
        <v>43</v>
      </c>
      <c r="AZ9" s="257" t="s">
        <v>62</v>
      </c>
      <c r="BA9" s="257"/>
      <c r="BB9" s="257" t="s">
        <v>63</v>
      </c>
      <c r="BC9" s="257" t="s">
        <v>53</v>
      </c>
      <c r="BD9" s="257" t="s">
        <v>44</v>
      </c>
      <c r="BE9" s="257" t="s">
        <v>64</v>
      </c>
      <c r="BF9" s="257" t="s">
        <v>45</v>
      </c>
      <c r="BG9" s="257">
        <v>-31</v>
      </c>
      <c r="BH9" s="257" t="s">
        <v>46</v>
      </c>
      <c r="BI9" s="257" t="s">
        <v>47</v>
      </c>
      <c r="BJ9" s="257">
        <v>-33</v>
      </c>
      <c r="BK9" s="257" t="s">
        <v>48</v>
      </c>
      <c r="BL9" s="257" t="s">
        <v>151</v>
      </c>
      <c r="BM9" s="257">
        <v>-36</v>
      </c>
      <c r="BN9" s="257"/>
      <c r="BO9" s="257">
        <v>-37</v>
      </c>
      <c r="BP9" s="257"/>
      <c r="BQ9" s="258"/>
    </row>
    <row r="10" spans="1:834 1052:1858 2076:2882 3100:3906 4124:4930 5148:5954 6172:6978 7196:8002 8220:9026 9244:10050 10268:11074 11292:12098 12316:13122 13340:14146 14364:15170 15388:16194" s="233" customFormat="1" ht="34.5" customHeight="1">
      <c r="A10" s="230">
        <v>1</v>
      </c>
      <c r="B10" s="230" t="s">
        <v>152</v>
      </c>
      <c r="C10" s="335" t="s">
        <v>153</v>
      </c>
      <c r="D10" s="230">
        <v>216</v>
      </c>
      <c r="E10" s="231">
        <v>216</v>
      </c>
      <c r="F10" s="231"/>
      <c r="G10" s="231"/>
      <c r="H10" s="231"/>
      <c r="I10" s="231"/>
      <c r="J10" s="231"/>
      <c r="K10" s="230"/>
      <c r="L10" s="230"/>
      <c r="M10" s="230"/>
      <c r="N10" s="230"/>
      <c r="O10" s="230"/>
      <c r="P10" s="230"/>
      <c r="Q10" s="232">
        <v>21550000</v>
      </c>
      <c r="R10" s="232"/>
      <c r="S10" s="232"/>
      <c r="T10" s="232">
        <f>1500000</f>
        <v>1500000</v>
      </c>
      <c r="U10" s="232">
        <v>2000000</v>
      </c>
      <c r="V10" s="232">
        <f>3000000</f>
        <v>3000000</v>
      </c>
      <c r="W10" s="232"/>
      <c r="X10" s="232"/>
      <c r="Y10" s="232"/>
      <c r="Z10" s="232">
        <f>2000000</f>
        <v>2000000</v>
      </c>
      <c r="AA10" s="232"/>
      <c r="AB10" s="232"/>
      <c r="AC10" s="232"/>
      <c r="AD10" s="232">
        <f>G10*13000</f>
        <v>0</v>
      </c>
      <c r="AE10" s="232"/>
      <c r="AF10" s="232"/>
      <c r="AG10" s="232"/>
      <c r="AH10" s="232">
        <f>V10+X10+Z10+AA10+AB10+AC10+AD10+AE10</f>
        <v>5000000</v>
      </c>
      <c r="AI10" s="232">
        <f t="shared" ref="AI10:AI22" si="0">Q10+R10+S10+T10</f>
        <v>23050000</v>
      </c>
      <c r="AJ10" s="232">
        <f t="shared" ref="AJ10:AJ22" si="1">AI10/D10</f>
        <v>106712.96296296296</v>
      </c>
      <c r="AK10" s="232">
        <f t="shared" ref="AK10:AK22" si="2">AJ10*E10</f>
        <v>23050000</v>
      </c>
      <c r="AL10" s="232"/>
      <c r="AM10" s="232">
        <f t="shared" ref="AM10:AM22" si="3">AJ10*I10*150%*130%</f>
        <v>0</v>
      </c>
      <c r="AN10" s="232">
        <f t="shared" ref="AN10:AN22" si="4">J10*200%*AJ10</f>
        <v>0</v>
      </c>
      <c r="AO10" s="232"/>
      <c r="AP10" s="232">
        <f t="shared" ref="AP10:AP22" si="5">L10*AJ10*300%</f>
        <v>0</v>
      </c>
      <c r="AQ10" s="232"/>
      <c r="AR10" s="232"/>
      <c r="AS10" s="232"/>
      <c r="AT10" s="232"/>
      <c r="AU10" s="232">
        <f>SUM(AL10:AT10)</f>
        <v>0</v>
      </c>
      <c r="AV10" s="232">
        <f>AH10+AK10+AU10+AG10+AF10</f>
        <v>28050000</v>
      </c>
      <c r="AW10" s="232"/>
      <c r="AX10" s="232"/>
      <c r="AY10" s="232"/>
      <c r="AZ10" s="232"/>
      <c r="BA10" s="232">
        <f>AW10*2%</f>
        <v>0</v>
      </c>
      <c r="BB10" s="232"/>
      <c r="BC10" s="232"/>
      <c r="BD10" s="232"/>
      <c r="BE10" s="232"/>
      <c r="BF10" s="232">
        <f>BC10+BD10+BE10</f>
        <v>0</v>
      </c>
      <c r="BG10" s="232">
        <v>11000000</v>
      </c>
      <c r="BH10" s="232">
        <v>2</v>
      </c>
      <c r="BI10" s="232">
        <f>BH10*4400000</f>
        <v>8800000</v>
      </c>
      <c r="BJ10" s="232">
        <f>V10+AA10</f>
        <v>3000000</v>
      </c>
      <c r="BK10" s="232">
        <f t="shared" ref="BK10:BK22" si="6">AV10-BJ10-AJ10*H10*0.5-AJ10*I10*0.95-AJ10*J10-AJ10*K10*1.6-AJ10*L10*2-AJ10*M10*2.9-AJ10*N10*2-AJ10*O10*2.9-P10*3.5</f>
        <v>25050000</v>
      </c>
      <c r="BL10" s="232">
        <f>IF(BK10-BI10-BG10-BF10&lt;0,0,BK10-BI10-BG10-BF10)</f>
        <v>5250000</v>
      </c>
      <c r="BM10" s="232">
        <f t="shared" ref="BM10:BM22" si="7">ROUND(IF(BL10&lt;=5000000,BL10*5%,IF(AND(BL10&gt;5000000,BL10&lt;=10000000),BL10*10%-250000,IF(AND(BL10&gt;10000000,BL10&lt;=18000000),BL10*15%-750000,IF(AND(BL10&gt;18000000,BL10&lt;=32000000),BL10*20%-1650000,IF(AND(BL10&gt;32000000,BL10&lt;=52000000),BL10*25%-3250000,IF(AND(BL10&gt;52000000,BL10&lt;80000000),BL10*30%-585000,IF(BL10&gt;80000000,BL10*35%-9850000))))))),0)</f>
        <v>275000</v>
      </c>
      <c r="BN10" s="232">
        <v>35000</v>
      </c>
      <c r="BO10" s="232">
        <f>AV10-BF10-BM10-BN10</f>
        <v>27740000</v>
      </c>
      <c r="BP10" s="233" t="s">
        <v>235</v>
      </c>
    </row>
    <row r="11" spans="1:834 1052:1858 2076:2882 3100:3906 4124:4930 5148:5954 6172:6978 7196:8002 8220:9026 9244:10050 10268:11074 11292:12098 12316:13122 13340:14146 14364:15170 15388:16194" s="233" customFormat="1" ht="31.5" customHeight="1">
      <c r="A11" s="374">
        <f>A10+1</f>
        <v>2</v>
      </c>
      <c r="B11" s="230" t="s">
        <v>257</v>
      </c>
      <c r="C11" s="335" t="s">
        <v>220</v>
      </c>
      <c r="D11" s="335">
        <v>208</v>
      </c>
      <c r="E11" s="231">
        <v>184</v>
      </c>
      <c r="F11" s="231"/>
      <c r="G11" s="231"/>
      <c r="H11" s="231"/>
      <c r="I11" s="231"/>
      <c r="J11" s="231"/>
      <c r="K11" s="230"/>
      <c r="L11" s="230"/>
      <c r="M11" s="230"/>
      <c r="N11" s="230"/>
      <c r="O11" s="230"/>
      <c r="P11" s="230"/>
      <c r="Q11" s="232">
        <v>5450000</v>
      </c>
      <c r="R11" s="232">
        <v>5000000</v>
      </c>
      <c r="S11" s="232"/>
      <c r="T11" s="232">
        <v>300000</v>
      </c>
      <c r="U11" s="232">
        <v>1200000</v>
      </c>
      <c r="V11" s="232">
        <f>IF((E11+F11)&gt;=160,U11, U11/D11*(E11+F11))</f>
        <v>1200000</v>
      </c>
      <c r="W11" s="232">
        <v>1400000</v>
      </c>
      <c r="X11" s="232">
        <f>IF((E11+F11)&gt;=160,W11, W11/208*(E11+F11))</f>
        <v>1400000</v>
      </c>
      <c r="Y11" s="232">
        <v>1400000</v>
      </c>
      <c r="Z11" s="232">
        <f>IF((E11+F11)&gt;=160,Y11, Y11/208*(E11+F11))</f>
        <v>1400000</v>
      </c>
      <c r="AA11" s="232"/>
      <c r="AB11" s="232">
        <v>20000</v>
      </c>
      <c r="AC11" s="232">
        <v>500000</v>
      </c>
      <c r="AD11" s="232">
        <f t="shared" ref="AD11" si="8">G11*13000</f>
        <v>0</v>
      </c>
      <c r="AE11" s="232">
        <v>100000</v>
      </c>
      <c r="AF11" s="232"/>
      <c r="AG11" s="232"/>
      <c r="AH11" s="232">
        <f>V11+X11+Z11+AA11+AB11+AC11+AD11+AE11</f>
        <v>4620000</v>
      </c>
      <c r="AI11" s="232">
        <f>Q11+R11+S11+T11</f>
        <v>10750000</v>
      </c>
      <c r="AJ11" s="232">
        <f>AI11/D11</f>
        <v>51682.692307692305</v>
      </c>
      <c r="AK11" s="232">
        <f>AJ11*E11</f>
        <v>9509615.384615384</v>
      </c>
      <c r="AL11" s="232">
        <f>AJ11*H11*150%</f>
        <v>0</v>
      </c>
      <c r="AM11" s="232">
        <f>AJ11*I11*150%*130%</f>
        <v>0</v>
      </c>
      <c r="AN11" s="232">
        <f>J11*200%*AJ11</f>
        <v>0</v>
      </c>
      <c r="AO11" s="232">
        <f>AJ11*K11*200%</f>
        <v>0</v>
      </c>
      <c r="AP11" s="232">
        <f>L11*AJ11*300%</f>
        <v>0</v>
      </c>
      <c r="AQ11" s="232"/>
      <c r="AR11" s="232">
        <f>AJ11*N11*300%</f>
        <v>0</v>
      </c>
      <c r="AS11" s="232"/>
      <c r="AT11" s="232"/>
      <c r="AU11" s="232">
        <f>SUM(AL11:AT11)</f>
        <v>0</v>
      </c>
      <c r="AV11" s="232">
        <f>AH11+AK11+AU11+AG11+AF11</f>
        <v>14129615.384615384</v>
      </c>
      <c r="AW11" s="232">
        <f>Q11+R11+S11+T11</f>
        <v>10750000</v>
      </c>
      <c r="AX11" s="232">
        <f t="shared" ref="AX11" si="9">AW11*17.5%</f>
        <v>1881249.9999999998</v>
      </c>
      <c r="AY11" s="232">
        <f t="shared" ref="AY11" si="10">AW11*3%</f>
        <v>322500</v>
      </c>
      <c r="AZ11" s="232">
        <f t="shared" ref="AZ11" si="11">AW11*1%</f>
        <v>107500</v>
      </c>
      <c r="BA11" s="232">
        <f>AW11*2%</f>
        <v>215000</v>
      </c>
      <c r="BB11" s="232">
        <f>AX11+AY11+AZ11+BA11</f>
        <v>2526250</v>
      </c>
      <c r="BC11" s="232">
        <f t="shared" ref="BC11" si="12">AW11*8%</f>
        <v>860000</v>
      </c>
      <c r="BD11" s="232">
        <f t="shared" ref="BD11" si="13">AW11*1.5%</f>
        <v>161250</v>
      </c>
      <c r="BE11" s="232">
        <f t="shared" ref="BE11" si="14">AW11*1%</f>
        <v>107500</v>
      </c>
      <c r="BF11" s="232">
        <f>BC11+BD11+BE11</f>
        <v>1128750</v>
      </c>
      <c r="BG11" s="232">
        <v>11000000</v>
      </c>
      <c r="BH11" s="330">
        <v>2</v>
      </c>
      <c r="BI11" s="232">
        <f>BH11*4400000</f>
        <v>8800000</v>
      </c>
      <c r="BJ11" s="232">
        <f>V11</f>
        <v>1200000</v>
      </c>
      <c r="BK11" s="232">
        <f>AV11-BJ11-AJ11*H11*0.5-AJ11*I11*0.95-AJ11*J11-AJ11*K11*1.6-AJ11*L11*2-AJ11*M11*2.9-AJ11*N11*2-AJ11*O11*2.9-P11*3.5</f>
        <v>12929615.384615384</v>
      </c>
      <c r="BL11" s="232">
        <f t="shared" ref="BL11" si="15">IF(BK11-BI11-BG11-BF11&lt;0,0,BK11-BI11-BG11-BF11)</f>
        <v>0</v>
      </c>
      <c r="BM11" s="232">
        <f t="shared" ref="BM11" si="16">ROUND(IF(BL11&lt;=5000000,BL11*5%,IF(AND(BL11&gt;5000000,BL11&lt;=10000000),BL11*10%-250000,IF(AND(BL11&gt;10000000,BL11&lt;=18000000),BL11*15%-750000,IF(AND(BL11&gt;18000000,BL11&lt;=32000000),BL11*20%-1650000,IF(AND(BL11&gt;32000000,BL11&lt;=52000000),BL11*25%-3250000,IF(AND(BL11&gt;52000000,BL11&lt;80000000),BL11*30%-585000,IF(BL11&gt;80000000,BL11*35%-9850000))))))),0)</f>
        <v>0</v>
      </c>
      <c r="BN11" s="232">
        <v>35000</v>
      </c>
      <c r="BO11" s="232">
        <f>AV11-BF11-BM11-BN11</f>
        <v>12965865.384615384</v>
      </c>
      <c r="BP11" s="233" t="s">
        <v>183</v>
      </c>
    </row>
    <row r="12" spans="1:834 1052:1858 2076:2882 3100:3906 4124:4930 5148:5954 6172:6978 7196:8002 8220:9026 9244:10050 10268:11074 11292:12098 12316:13122 13340:14146 14364:15170 15388:16194" s="233" customFormat="1" ht="31.5" customHeight="1">
      <c r="A12" s="374">
        <f t="shared" ref="A12:A22" si="17">A11+1</f>
        <v>3</v>
      </c>
      <c r="B12" s="230" t="s">
        <v>326</v>
      </c>
      <c r="C12" s="335" t="s">
        <v>220</v>
      </c>
      <c r="D12" s="335">
        <v>208</v>
      </c>
      <c r="E12" s="231">
        <v>184</v>
      </c>
      <c r="F12" s="307"/>
      <c r="G12" s="307"/>
      <c r="H12" s="231"/>
      <c r="I12" s="231"/>
      <c r="J12" s="231"/>
      <c r="K12" s="230"/>
      <c r="L12" s="230"/>
      <c r="M12" s="331"/>
      <c r="N12" s="331"/>
      <c r="O12" s="331"/>
      <c r="P12" s="331"/>
      <c r="Q12" s="232">
        <v>5450000</v>
      </c>
      <c r="R12" s="232">
        <v>2000000</v>
      </c>
      <c r="S12" s="232"/>
      <c r="T12" s="232">
        <v>600000</v>
      </c>
      <c r="U12" s="326">
        <v>800000</v>
      </c>
      <c r="V12" s="232">
        <f t="shared" ref="V12:V22" si="18">IF((E12+F12)&gt;=160,U12, U12/D12*(E12+F12))</f>
        <v>800000</v>
      </c>
      <c r="W12" s="326">
        <v>700000</v>
      </c>
      <c r="X12" s="232">
        <f t="shared" ref="X12:X13" si="19">IF((E12+F12)&gt;=160,W12, W12/208*(E12+F12))</f>
        <v>700000</v>
      </c>
      <c r="Y12" s="326">
        <v>700000</v>
      </c>
      <c r="Z12" s="232">
        <f t="shared" ref="Z12:Z13" si="20">IF((E12+F12)&gt;=160,Y12, Y12/208*(E12+F12))</f>
        <v>700000</v>
      </c>
      <c r="AA12" s="232"/>
      <c r="AB12" s="232"/>
      <c r="AC12" s="232">
        <v>500000</v>
      </c>
      <c r="AD12" s="232">
        <f t="shared" ref="AD12" si="21">G12*13000</f>
        <v>0</v>
      </c>
      <c r="AE12" s="232"/>
      <c r="AF12" s="232"/>
      <c r="AG12" s="326"/>
      <c r="AH12" s="232">
        <f t="shared" ref="AH12:AH22" si="22">V12+X12+Z12+AA12+AB12+AC12+AD12+AE12</f>
        <v>2700000</v>
      </c>
      <c r="AI12" s="232">
        <f t="shared" si="0"/>
        <v>8050000</v>
      </c>
      <c r="AJ12" s="232">
        <f t="shared" si="1"/>
        <v>38701.923076923078</v>
      </c>
      <c r="AK12" s="232">
        <f t="shared" si="2"/>
        <v>7121153.846153846</v>
      </c>
      <c r="AL12" s="232">
        <f t="shared" ref="AL12:AL22" si="23">AJ12*H12*150%</f>
        <v>0</v>
      </c>
      <c r="AM12" s="232">
        <f t="shared" si="3"/>
        <v>0</v>
      </c>
      <c r="AN12" s="326">
        <f t="shared" si="4"/>
        <v>0</v>
      </c>
      <c r="AO12" s="326">
        <f t="shared" ref="AO12:AO21" si="24">AJ12*K12*200%</f>
        <v>0</v>
      </c>
      <c r="AP12" s="326">
        <f t="shared" si="5"/>
        <v>0</v>
      </c>
      <c r="AQ12" s="326"/>
      <c r="AR12" s="326">
        <f t="shared" ref="AR12:AR22" si="25">AJ12*N12*300%</f>
        <v>0</v>
      </c>
      <c r="AS12" s="326"/>
      <c r="AT12" s="326"/>
      <c r="AU12" s="232">
        <f t="shared" ref="AU12:AU22" si="26">SUM(AL12:AT12)</f>
        <v>0</v>
      </c>
      <c r="AV12" s="232">
        <f t="shared" ref="AV12:AV22" si="27">AH12+AK12+AU12+AG12+AF12</f>
        <v>9821153.846153846</v>
      </c>
      <c r="AW12" s="232">
        <f>Q12+R12+S12+T12</f>
        <v>8050000</v>
      </c>
      <c r="AX12" s="232">
        <f t="shared" ref="AX12" si="28">AW12*17.5%</f>
        <v>1408750</v>
      </c>
      <c r="AY12" s="326">
        <f t="shared" ref="AY12" si="29">AW12*3%</f>
        <v>241500</v>
      </c>
      <c r="AZ12" s="326">
        <f t="shared" ref="AZ12" si="30">AW12*1%</f>
        <v>80500</v>
      </c>
      <c r="BA12" s="326">
        <f t="shared" ref="BA12:BA22" si="31">AW12*2%</f>
        <v>161000</v>
      </c>
      <c r="BB12" s="232">
        <f t="shared" ref="BB12:BB22" si="32">AX12+AY12+AZ12+BA12</f>
        <v>1891750</v>
      </c>
      <c r="BC12" s="326">
        <f t="shared" ref="BC12" si="33">AW12*8%</f>
        <v>644000</v>
      </c>
      <c r="BD12" s="326">
        <f t="shared" ref="BD12" si="34">AW12*1.5%</f>
        <v>120750</v>
      </c>
      <c r="BE12" s="326">
        <f t="shared" ref="BE12" si="35">AW12*1%</f>
        <v>80500</v>
      </c>
      <c r="BF12" s="232">
        <f t="shared" ref="BF12:BF22" si="36">BC12+BD12+BE12</f>
        <v>845250</v>
      </c>
      <c r="BG12" s="232">
        <v>11000000</v>
      </c>
      <c r="BH12" s="232">
        <v>0</v>
      </c>
      <c r="BI12" s="232">
        <f t="shared" ref="BI12:BI22" si="37">BH12*4400000</f>
        <v>0</v>
      </c>
      <c r="BJ12" s="232">
        <f t="shared" ref="BJ12:BJ22" si="38">V12</f>
        <v>800000</v>
      </c>
      <c r="BK12" s="232">
        <v>10724759.615384616</v>
      </c>
      <c r="BL12" s="232">
        <f>IF(BK12-BI12-BG12-BF12&lt;0,0,BK12-BI12-BG12-BF12)</f>
        <v>0</v>
      </c>
      <c r="BM12" s="232">
        <f t="shared" si="7"/>
        <v>0</v>
      </c>
      <c r="BN12" s="232">
        <v>35000</v>
      </c>
      <c r="BO12" s="232">
        <f t="shared" ref="BO12:BO22" si="39">AV12-BF12-BM12-BN12</f>
        <v>8940903.846153846</v>
      </c>
      <c r="BP12" s="332" t="s">
        <v>178</v>
      </c>
      <c r="BQ12" s="375"/>
      <c r="JX12" s="332"/>
      <c r="KC12" s="332"/>
      <c r="KD12" s="332"/>
      <c r="KE12" s="332"/>
      <c r="KF12" s="332"/>
      <c r="KG12" s="332"/>
      <c r="KH12" s="332"/>
      <c r="KJ12" s="332"/>
      <c r="KK12" s="332"/>
      <c r="KL12" s="332"/>
      <c r="KN12" s="332"/>
      <c r="KO12" s="332"/>
      <c r="KP12" s="332"/>
      <c r="KQ12" s="332"/>
      <c r="KR12" s="332"/>
      <c r="LB12" s="332"/>
      <c r="LC12" s="332"/>
      <c r="LD12" s="332"/>
      <c r="LE12" s="332"/>
      <c r="LI12" s="332"/>
      <c r="LJ12" s="332"/>
      <c r="TT12" s="332"/>
      <c r="TY12" s="332"/>
      <c r="TZ12" s="332"/>
      <c r="UA12" s="332"/>
      <c r="UB12" s="332"/>
      <c r="UC12" s="332"/>
      <c r="UD12" s="332"/>
      <c r="UF12" s="332"/>
      <c r="UG12" s="332"/>
      <c r="UH12" s="332"/>
      <c r="UJ12" s="332"/>
      <c r="UK12" s="332"/>
      <c r="UL12" s="332"/>
      <c r="UM12" s="332"/>
      <c r="UN12" s="332"/>
      <c r="UX12" s="332"/>
      <c r="UY12" s="332"/>
      <c r="UZ12" s="332"/>
      <c r="VA12" s="332"/>
      <c r="VE12" s="332"/>
      <c r="VF12" s="332"/>
      <c r="ADP12" s="332"/>
      <c r="ADU12" s="332"/>
      <c r="ADV12" s="332"/>
      <c r="ADW12" s="332"/>
      <c r="ADX12" s="332"/>
      <c r="ADY12" s="332"/>
      <c r="ADZ12" s="332"/>
      <c r="AEB12" s="332"/>
      <c r="AEC12" s="332"/>
      <c r="AED12" s="332"/>
      <c r="AEF12" s="332"/>
      <c r="AEG12" s="332"/>
      <c r="AEH12" s="332"/>
      <c r="AEI12" s="332"/>
      <c r="AEJ12" s="332"/>
      <c r="AET12" s="332"/>
      <c r="AEU12" s="332"/>
      <c r="AEV12" s="332"/>
      <c r="AEW12" s="332"/>
      <c r="AFA12" s="332"/>
      <c r="AFB12" s="332"/>
      <c r="ANL12" s="332"/>
      <c r="ANQ12" s="332"/>
      <c r="ANR12" s="332"/>
      <c r="ANS12" s="332"/>
      <c r="ANT12" s="332"/>
      <c r="ANU12" s="332"/>
      <c r="ANV12" s="332"/>
      <c r="ANX12" s="332"/>
      <c r="ANY12" s="332"/>
      <c r="ANZ12" s="332"/>
      <c r="AOB12" s="332"/>
      <c r="AOC12" s="332"/>
      <c r="AOD12" s="332"/>
      <c r="AOE12" s="332"/>
      <c r="AOF12" s="332"/>
      <c r="AOP12" s="332"/>
      <c r="AOQ12" s="332"/>
      <c r="AOR12" s="332"/>
      <c r="AOS12" s="332"/>
      <c r="AOW12" s="332"/>
      <c r="AOX12" s="332"/>
      <c r="AXH12" s="332"/>
      <c r="AXM12" s="332"/>
      <c r="AXN12" s="332"/>
      <c r="AXO12" s="332"/>
      <c r="AXP12" s="332"/>
      <c r="AXQ12" s="332"/>
      <c r="AXR12" s="332"/>
      <c r="AXT12" s="332"/>
      <c r="AXU12" s="332"/>
      <c r="AXV12" s="332"/>
      <c r="AXX12" s="332"/>
      <c r="AXY12" s="332"/>
      <c r="AXZ12" s="332"/>
      <c r="AYA12" s="332"/>
      <c r="AYB12" s="332"/>
      <c r="AYL12" s="332"/>
      <c r="AYM12" s="332"/>
      <c r="AYN12" s="332"/>
      <c r="AYO12" s="332"/>
      <c r="AYS12" s="332"/>
      <c r="AYT12" s="332"/>
      <c r="BHD12" s="332"/>
      <c r="BHI12" s="332"/>
      <c r="BHJ12" s="332"/>
      <c r="BHK12" s="332"/>
      <c r="BHL12" s="332"/>
      <c r="BHM12" s="332"/>
      <c r="BHN12" s="332"/>
      <c r="BHP12" s="332"/>
      <c r="BHQ12" s="332"/>
      <c r="BHR12" s="332"/>
      <c r="BHT12" s="332"/>
      <c r="BHU12" s="332"/>
      <c r="BHV12" s="332"/>
      <c r="BHW12" s="332"/>
      <c r="BHX12" s="332"/>
      <c r="BIH12" s="332"/>
      <c r="BII12" s="332"/>
      <c r="BIJ12" s="332"/>
      <c r="BIK12" s="332"/>
      <c r="BIO12" s="332"/>
      <c r="BIP12" s="332"/>
      <c r="BQZ12" s="332"/>
      <c r="BRE12" s="332"/>
      <c r="BRF12" s="332"/>
      <c r="BRG12" s="332"/>
      <c r="BRH12" s="332"/>
      <c r="BRI12" s="332"/>
      <c r="BRJ12" s="332"/>
      <c r="BRL12" s="332"/>
      <c r="BRM12" s="332"/>
      <c r="BRN12" s="332"/>
      <c r="BRP12" s="332"/>
      <c r="BRQ12" s="332"/>
      <c r="BRR12" s="332"/>
      <c r="BRS12" s="332"/>
      <c r="BRT12" s="332"/>
      <c r="BSD12" s="332"/>
      <c r="BSE12" s="332"/>
      <c r="BSF12" s="332"/>
      <c r="BSG12" s="332"/>
      <c r="BSK12" s="332"/>
      <c r="BSL12" s="332"/>
      <c r="CAV12" s="332"/>
      <c r="CBA12" s="332"/>
      <c r="CBB12" s="332"/>
      <c r="CBC12" s="332"/>
      <c r="CBD12" s="332"/>
      <c r="CBE12" s="332"/>
      <c r="CBF12" s="332"/>
      <c r="CBH12" s="332"/>
      <c r="CBI12" s="332"/>
      <c r="CBJ12" s="332"/>
      <c r="CBL12" s="332"/>
      <c r="CBM12" s="332"/>
      <c r="CBN12" s="332"/>
      <c r="CBO12" s="332"/>
      <c r="CBP12" s="332"/>
      <c r="CBZ12" s="332"/>
      <c r="CCA12" s="332"/>
      <c r="CCB12" s="332"/>
      <c r="CCC12" s="332"/>
      <c r="CCG12" s="332"/>
      <c r="CCH12" s="332"/>
      <c r="CKR12" s="332"/>
      <c r="CKW12" s="332"/>
      <c r="CKX12" s="332"/>
      <c r="CKY12" s="332"/>
      <c r="CKZ12" s="332"/>
      <c r="CLA12" s="332"/>
      <c r="CLB12" s="332"/>
      <c r="CLD12" s="332"/>
      <c r="CLE12" s="332"/>
      <c r="CLF12" s="332"/>
      <c r="CLH12" s="332"/>
      <c r="CLI12" s="332"/>
      <c r="CLJ12" s="332"/>
      <c r="CLK12" s="332"/>
      <c r="CLL12" s="332"/>
      <c r="CLV12" s="332"/>
      <c r="CLW12" s="332"/>
      <c r="CLX12" s="332"/>
      <c r="CLY12" s="332"/>
      <c r="CMC12" s="332"/>
      <c r="CMD12" s="332"/>
      <c r="CUN12" s="332"/>
      <c r="CUS12" s="332"/>
      <c r="CUT12" s="332"/>
      <c r="CUU12" s="332"/>
      <c r="CUV12" s="332"/>
      <c r="CUW12" s="332"/>
      <c r="CUX12" s="332"/>
      <c r="CUZ12" s="332"/>
      <c r="CVA12" s="332"/>
      <c r="CVB12" s="332"/>
      <c r="CVD12" s="332"/>
      <c r="CVE12" s="332"/>
      <c r="CVF12" s="332"/>
      <c r="CVG12" s="332"/>
      <c r="CVH12" s="332"/>
      <c r="CVR12" s="332"/>
      <c r="CVS12" s="332"/>
      <c r="CVT12" s="332"/>
      <c r="CVU12" s="332"/>
      <c r="CVY12" s="332"/>
      <c r="CVZ12" s="332"/>
      <c r="DEJ12" s="332"/>
      <c r="DEO12" s="332"/>
      <c r="DEP12" s="332"/>
      <c r="DEQ12" s="332"/>
      <c r="DER12" s="332"/>
      <c r="DES12" s="332"/>
      <c r="DET12" s="332"/>
      <c r="DEV12" s="332"/>
      <c r="DEW12" s="332"/>
      <c r="DEX12" s="332"/>
      <c r="DEZ12" s="332"/>
      <c r="DFA12" s="332"/>
      <c r="DFB12" s="332"/>
      <c r="DFC12" s="332"/>
      <c r="DFD12" s="332"/>
      <c r="DFN12" s="332"/>
      <c r="DFO12" s="332"/>
      <c r="DFP12" s="332"/>
      <c r="DFQ12" s="332"/>
      <c r="DFU12" s="332"/>
      <c r="DFV12" s="332"/>
      <c r="DOF12" s="332"/>
      <c r="DOK12" s="332"/>
      <c r="DOL12" s="332"/>
      <c r="DOM12" s="332"/>
      <c r="DON12" s="332"/>
      <c r="DOO12" s="332"/>
      <c r="DOP12" s="332"/>
      <c r="DOR12" s="332"/>
      <c r="DOS12" s="332"/>
      <c r="DOT12" s="332"/>
      <c r="DOV12" s="332"/>
      <c r="DOW12" s="332"/>
      <c r="DOX12" s="332"/>
      <c r="DOY12" s="332"/>
      <c r="DOZ12" s="332"/>
      <c r="DPJ12" s="332"/>
      <c r="DPK12" s="332"/>
      <c r="DPL12" s="332"/>
      <c r="DPM12" s="332"/>
      <c r="DPQ12" s="332"/>
      <c r="DPR12" s="332"/>
      <c r="DYB12" s="332"/>
      <c r="DYG12" s="332"/>
      <c r="DYH12" s="332"/>
      <c r="DYI12" s="332"/>
      <c r="DYJ12" s="332"/>
      <c r="DYK12" s="332"/>
      <c r="DYL12" s="332"/>
      <c r="DYN12" s="332"/>
      <c r="DYO12" s="332"/>
      <c r="DYP12" s="332"/>
      <c r="DYR12" s="332"/>
      <c r="DYS12" s="332"/>
      <c r="DYT12" s="332"/>
      <c r="DYU12" s="332"/>
      <c r="DYV12" s="332"/>
      <c r="DZF12" s="332"/>
      <c r="DZG12" s="332"/>
      <c r="DZH12" s="332"/>
      <c r="DZI12" s="332"/>
      <c r="DZM12" s="332"/>
      <c r="DZN12" s="332"/>
      <c r="EHX12" s="332"/>
      <c r="EIC12" s="332"/>
      <c r="EID12" s="332"/>
      <c r="EIE12" s="332"/>
      <c r="EIF12" s="332"/>
      <c r="EIG12" s="332"/>
      <c r="EIH12" s="332"/>
      <c r="EIJ12" s="332"/>
      <c r="EIK12" s="332"/>
      <c r="EIL12" s="332"/>
      <c r="EIN12" s="332"/>
      <c r="EIO12" s="332"/>
      <c r="EIP12" s="332"/>
      <c r="EIQ12" s="332"/>
      <c r="EIR12" s="332"/>
      <c r="EJB12" s="332"/>
      <c r="EJC12" s="332"/>
      <c r="EJD12" s="332"/>
      <c r="EJE12" s="332"/>
      <c r="EJI12" s="332"/>
      <c r="EJJ12" s="332"/>
      <c r="ERT12" s="332"/>
      <c r="ERY12" s="332"/>
      <c r="ERZ12" s="332"/>
      <c r="ESA12" s="332"/>
      <c r="ESB12" s="332"/>
      <c r="ESC12" s="332"/>
      <c r="ESD12" s="332"/>
      <c r="ESF12" s="332"/>
      <c r="ESG12" s="332"/>
      <c r="ESH12" s="332"/>
      <c r="ESJ12" s="332"/>
      <c r="ESK12" s="332"/>
      <c r="ESL12" s="332"/>
      <c r="ESM12" s="332"/>
      <c r="ESN12" s="332"/>
      <c r="ESX12" s="332"/>
      <c r="ESY12" s="332"/>
      <c r="ESZ12" s="332"/>
      <c r="ETA12" s="332"/>
      <c r="ETE12" s="332"/>
      <c r="ETF12" s="332"/>
      <c r="FBP12" s="332"/>
      <c r="FBU12" s="332"/>
      <c r="FBV12" s="332"/>
      <c r="FBW12" s="332"/>
      <c r="FBX12" s="332"/>
      <c r="FBY12" s="332"/>
      <c r="FBZ12" s="332"/>
      <c r="FCB12" s="332"/>
      <c r="FCC12" s="332"/>
      <c r="FCD12" s="332"/>
      <c r="FCF12" s="332"/>
      <c r="FCG12" s="332"/>
      <c r="FCH12" s="332"/>
      <c r="FCI12" s="332"/>
      <c r="FCJ12" s="332"/>
      <c r="FCT12" s="332"/>
      <c r="FCU12" s="332"/>
      <c r="FCV12" s="332"/>
      <c r="FCW12" s="332"/>
      <c r="FDA12" s="332"/>
      <c r="FDB12" s="332"/>
      <c r="FLL12" s="332"/>
      <c r="FLQ12" s="332"/>
      <c r="FLR12" s="332"/>
      <c r="FLS12" s="332"/>
      <c r="FLT12" s="332"/>
      <c r="FLU12" s="332"/>
      <c r="FLV12" s="332"/>
      <c r="FLX12" s="332"/>
      <c r="FLY12" s="332"/>
      <c r="FLZ12" s="332"/>
      <c r="FMB12" s="332"/>
      <c r="FMC12" s="332"/>
      <c r="FMD12" s="332"/>
      <c r="FME12" s="332"/>
      <c r="FMF12" s="332"/>
      <c r="FMP12" s="332"/>
      <c r="FMQ12" s="332"/>
      <c r="FMR12" s="332"/>
      <c r="FMS12" s="332"/>
      <c r="FMW12" s="332"/>
      <c r="FMX12" s="332"/>
      <c r="FVH12" s="332"/>
      <c r="FVM12" s="332"/>
      <c r="FVN12" s="332"/>
      <c r="FVO12" s="332"/>
      <c r="FVP12" s="332"/>
      <c r="FVQ12" s="332"/>
      <c r="FVR12" s="332"/>
      <c r="FVT12" s="332"/>
      <c r="FVU12" s="332"/>
      <c r="FVV12" s="332"/>
      <c r="FVX12" s="332"/>
      <c r="FVY12" s="332"/>
      <c r="FVZ12" s="332"/>
      <c r="FWA12" s="332"/>
      <c r="FWB12" s="332"/>
      <c r="FWL12" s="332"/>
      <c r="FWM12" s="332"/>
      <c r="FWN12" s="332"/>
      <c r="FWO12" s="332"/>
      <c r="FWS12" s="332"/>
      <c r="FWT12" s="332"/>
      <c r="GFD12" s="332"/>
      <c r="GFI12" s="332"/>
      <c r="GFJ12" s="332"/>
      <c r="GFK12" s="332"/>
      <c r="GFL12" s="332"/>
      <c r="GFM12" s="332"/>
      <c r="GFN12" s="332"/>
      <c r="GFP12" s="332"/>
      <c r="GFQ12" s="332"/>
      <c r="GFR12" s="332"/>
      <c r="GFT12" s="332"/>
      <c r="GFU12" s="332"/>
      <c r="GFV12" s="332"/>
      <c r="GFW12" s="332"/>
      <c r="GFX12" s="332"/>
      <c r="GGH12" s="332"/>
      <c r="GGI12" s="332"/>
      <c r="GGJ12" s="332"/>
      <c r="GGK12" s="332"/>
      <c r="GGO12" s="332"/>
      <c r="GGP12" s="332"/>
      <c r="GOZ12" s="332"/>
      <c r="GPE12" s="332"/>
      <c r="GPF12" s="332"/>
      <c r="GPG12" s="332"/>
      <c r="GPH12" s="332"/>
      <c r="GPI12" s="332"/>
      <c r="GPJ12" s="332"/>
      <c r="GPL12" s="332"/>
      <c r="GPM12" s="332"/>
      <c r="GPN12" s="332"/>
      <c r="GPP12" s="332"/>
      <c r="GPQ12" s="332"/>
      <c r="GPR12" s="332"/>
      <c r="GPS12" s="332"/>
      <c r="GPT12" s="332"/>
      <c r="GQD12" s="332"/>
      <c r="GQE12" s="332"/>
      <c r="GQF12" s="332"/>
      <c r="GQG12" s="332"/>
      <c r="GQK12" s="332"/>
      <c r="GQL12" s="332"/>
      <c r="GYV12" s="332"/>
      <c r="GZA12" s="332"/>
      <c r="GZB12" s="332"/>
      <c r="GZC12" s="332"/>
      <c r="GZD12" s="332"/>
      <c r="GZE12" s="332"/>
      <c r="GZF12" s="332"/>
      <c r="GZH12" s="332"/>
      <c r="GZI12" s="332"/>
      <c r="GZJ12" s="332"/>
      <c r="GZL12" s="332"/>
      <c r="GZM12" s="332"/>
      <c r="GZN12" s="332"/>
      <c r="GZO12" s="332"/>
      <c r="GZP12" s="332"/>
      <c r="GZZ12" s="332"/>
      <c r="HAA12" s="332"/>
      <c r="HAB12" s="332"/>
      <c r="HAC12" s="332"/>
      <c r="HAG12" s="332"/>
      <c r="HAH12" s="332"/>
      <c r="HIR12" s="332"/>
      <c r="HIW12" s="332"/>
      <c r="HIX12" s="332"/>
      <c r="HIY12" s="332"/>
      <c r="HIZ12" s="332"/>
      <c r="HJA12" s="332"/>
      <c r="HJB12" s="332"/>
      <c r="HJD12" s="332"/>
      <c r="HJE12" s="332"/>
      <c r="HJF12" s="332"/>
      <c r="HJH12" s="332"/>
      <c r="HJI12" s="332"/>
      <c r="HJJ12" s="332"/>
      <c r="HJK12" s="332"/>
      <c r="HJL12" s="332"/>
      <c r="HJV12" s="332"/>
      <c r="HJW12" s="332"/>
      <c r="HJX12" s="332"/>
      <c r="HJY12" s="332"/>
      <c r="HKC12" s="332"/>
      <c r="HKD12" s="332"/>
      <c r="HSN12" s="332"/>
      <c r="HSS12" s="332"/>
      <c r="HST12" s="332"/>
      <c r="HSU12" s="332"/>
      <c r="HSV12" s="332"/>
      <c r="HSW12" s="332"/>
      <c r="HSX12" s="332"/>
      <c r="HSZ12" s="332"/>
      <c r="HTA12" s="332"/>
      <c r="HTB12" s="332"/>
      <c r="HTD12" s="332"/>
      <c r="HTE12" s="332"/>
      <c r="HTF12" s="332"/>
      <c r="HTG12" s="332"/>
      <c r="HTH12" s="332"/>
      <c r="HTR12" s="332"/>
      <c r="HTS12" s="332"/>
      <c r="HTT12" s="332"/>
      <c r="HTU12" s="332"/>
      <c r="HTY12" s="332"/>
      <c r="HTZ12" s="332"/>
      <c r="ICJ12" s="332"/>
      <c r="ICO12" s="332"/>
      <c r="ICP12" s="332"/>
      <c r="ICQ12" s="332"/>
      <c r="ICR12" s="332"/>
      <c r="ICS12" s="332"/>
      <c r="ICT12" s="332"/>
      <c r="ICV12" s="332"/>
      <c r="ICW12" s="332"/>
      <c r="ICX12" s="332"/>
      <c r="ICZ12" s="332"/>
      <c r="IDA12" s="332"/>
      <c r="IDB12" s="332"/>
      <c r="IDC12" s="332"/>
      <c r="IDD12" s="332"/>
      <c r="IDN12" s="332"/>
      <c r="IDO12" s="332"/>
      <c r="IDP12" s="332"/>
      <c r="IDQ12" s="332"/>
      <c r="IDU12" s="332"/>
      <c r="IDV12" s="332"/>
      <c r="IMF12" s="332"/>
      <c r="IMK12" s="332"/>
      <c r="IML12" s="332"/>
      <c r="IMM12" s="332"/>
      <c r="IMN12" s="332"/>
      <c r="IMO12" s="332"/>
      <c r="IMP12" s="332"/>
      <c r="IMR12" s="332"/>
      <c r="IMS12" s="332"/>
      <c r="IMT12" s="332"/>
      <c r="IMV12" s="332"/>
      <c r="IMW12" s="332"/>
      <c r="IMX12" s="332"/>
      <c r="IMY12" s="332"/>
      <c r="IMZ12" s="332"/>
      <c r="INJ12" s="332"/>
      <c r="INK12" s="332"/>
      <c r="INL12" s="332"/>
      <c r="INM12" s="332"/>
      <c r="INQ12" s="332"/>
      <c r="INR12" s="332"/>
      <c r="IWB12" s="332"/>
      <c r="IWG12" s="332"/>
      <c r="IWH12" s="332"/>
      <c r="IWI12" s="332"/>
      <c r="IWJ12" s="332"/>
      <c r="IWK12" s="332"/>
      <c r="IWL12" s="332"/>
      <c r="IWN12" s="332"/>
      <c r="IWO12" s="332"/>
      <c r="IWP12" s="332"/>
      <c r="IWR12" s="332"/>
      <c r="IWS12" s="332"/>
      <c r="IWT12" s="332"/>
      <c r="IWU12" s="332"/>
      <c r="IWV12" s="332"/>
      <c r="IXF12" s="332"/>
      <c r="IXG12" s="332"/>
      <c r="IXH12" s="332"/>
      <c r="IXI12" s="332"/>
      <c r="IXM12" s="332"/>
      <c r="IXN12" s="332"/>
      <c r="JFX12" s="332"/>
      <c r="JGC12" s="332"/>
      <c r="JGD12" s="332"/>
      <c r="JGE12" s="332"/>
      <c r="JGF12" s="332"/>
      <c r="JGG12" s="332"/>
      <c r="JGH12" s="332"/>
      <c r="JGJ12" s="332"/>
      <c r="JGK12" s="332"/>
      <c r="JGL12" s="332"/>
      <c r="JGN12" s="332"/>
      <c r="JGO12" s="332"/>
      <c r="JGP12" s="332"/>
      <c r="JGQ12" s="332"/>
      <c r="JGR12" s="332"/>
      <c r="JHB12" s="332"/>
      <c r="JHC12" s="332"/>
      <c r="JHD12" s="332"/>
      <c r="JHE12" s="332"/>
      <c r="JHI12" s="332"/>
      <c r="JHJ12" s="332"/>
      <c r="JPT12" s="332"/>
      <c r="JPY12" s="332"/>
      <c r="JPZ12" s="332"/>
      <c r="JQA12" s="332"/>
      <c r="JQB12" s="332"/>
      <c r="JQC12" s="332"/>
      <c r="JQD12" s="332"/>
      <c r="JQF12" s="332"/>
      <c r="JQG12" s="332"/>
      <c r="JQH12" s="332"/>
      <c r="JQJ12" s="332"/>
      <c r="JQK12" s="332"/>
      <c r="JQL12" s="332"/>
      <c r="JQM12" s="332"/>
      <c r="JQN12" s="332"/>
      <c r="JQX12" s="332"/>
      <c r="JQY12" s="332"/>
      <c r="JQZ12" s="332"/>
      <c r="JRA12" s="332"/>
      <c r="JRE12" s="332"/>
      <c r="JRF12" s="332"/>
      <c r="JZP12" s="332"/>
      <c r="JZU12" s="332"/>
      <c r="JZV12" s="332"/>
      <c r="JZW12" s="332"/>
      <c r="JZX12" s="332"/>
      <c r="JZY12" s="332"/>
      <c r="JZZ12" s="332"/>
      <c r="KAB12" s="332"/>
      <c r="KAC12" s="332"/>
      <c r="KAD12" s="332"/>
      <c r="KAF12" s="332"/>
      <c r="KAG12" s="332"/>
      <c r="KAH12" s="332"/>
      <c r="KAI12" s="332"/>
      <c r="KAJ12" s="332"/>
      <c r="KAT12" s="332"/>
      <c r="KAU12" s="332"/>
      <c r="KAV12" s="332"/>
      <c r="KAW12" s="332"/>
      <c r="KBA12" s="332"/>
      <c r="KBB12" s="332"/>
      <c r="KJL12" s="332"/>
      <c r="KJQ12" s="332"/>
      <c r="KJR12" s="332"/>
      <c r="KJS12" s="332"/>
      <c r="KJT12" s="332"/>
      <c r="KJU12" s="332"/>
      <c r="KJV12" s="332"/>
      <c r="KJX12" s="332"/>
      <c r="KJY12" s="332"/>
      <c r="KJZ12" s="332"/>
      <c r="KKB12" s="332"/>
      <c r="KKC12" s="332"/>
      <c r="KKD12" s="332"/>
      <c r="KKE12" s="332"/>
      <c r="KKF12" s="332"/>
      <c r="KKP12" s="332"/>
      <c r="KKQ12" s="332"/>
      <c r="KKR12" s="332"/>
      <c r="KKS12" s="332"/>
      <c r="KKW12" s="332"/>
      <c r="KKX12" s="332"/>
      <c r="KTH12" s="332"/>
      <c r="KTM12" s="332"/>
      <c r="KTN12" s="332"/>
      <c r="KTO12" s="332"/>
      <c r="KTP12" s="332"/>
      <c r="KTQ12" s="332"/>
      <c r="KTR12" s="332"/>
      <c r="KTT12" s="332"/>
      <c r="KTU12" s="332"/>
      <c r="KTV12" s="332"/>
      <c r="KTX12" s="332"/>
      <c r="KTY12" s="332"/>
      <c r="KTZ12" s="332"/>
      <c r="KUA12" s="332"/>
      <c r="KUB12" s="332"/>
      <c r="KUL12" s="332"/>
      <c r="KUM12" s="332"/>
      <c r="KUN12" s="332"/>
      <c r="KUO12" s="332"/>
      <c r="KUS12" s="332"/>
      <c r="KUT12" s="332"/>
      <c r="LDD12" s="332"/>
      <c r="LDI12" s="332"/>
      <c r="LDJ12" s="332"/>
      <c r="LDK12" s="332"/>
      <c r="LDL12" s="332"/>
      <c r="LDM12" s="332"/>
      <c r="LDN12" s="332"/>
      <c r="LDP12" s="332"/>
      <c r="LDQ12" s="332"/>
      <c r="LDR12" s="332"/>
      <c r="LDT12" s="332"/>
      <c r="LDU12" s="332"/>
      <c r="LDV12" s="332"/>
      <c r="LDW12" s="332"/>
      <c r="LDX12" s="332"/>
      <c r="LEH12" s="332"/>
      <c r="LEI12" s="332"/>
      <c r="LEJ12" s="332"/>
      <c r="LEK12" s="332"/>
      <c r="LEO12" s="332"/>
      <c r="LEP12" s="332"/>
      <c r="LMZ12" s="332"/>
      <c r="LNE12" s="332"/>
      <c r="LNF12" s="332"/>
      <c r="LNG12" s="332"/>
      <c r="LNH12" s="332"/>
      <c r="LNI12" s="332"/>
      <c r="LNJ12" s="332"/>
      <c r="LNL12" s="332"/>
      <c r="LNM12" s="332"/>
      <c r="LNN12" s="332"/>
      <c r="LNP12" s="332"/>
      <c r="LNQ12" s="332"/>
      <c r="LNR12" s="332"/>
      <c r="LNS12" s="332"/>
      <c r="LNT12" s="332"/>
      <c r="LOD12" s="332"/>
      <c r="LOE12" s="332"/>
      <c r="LOF12" s="332"/>
      <c r="LOG12" s="332"/>
      <c r="LOK12" s="332"/>
      <c r="LOL12" s="332"/>
      <c r="LWV12" s="332"/>
      <c r="LXA12" s="332"/>
      <c r="LXB12" s="332"/>
      <c r="LXC12" s="332"/>
      <c r="LXD12" s="332"/>
      <c r="LXE12" s="332"/>
      <c r="LXF12" s="332"/>
      <c r="LXH12" s="332"/>
      <c r="LXI12" s="332"/>
      <c r="LXJ12" s="332"/>
      <c r="LXL12" s="332"/>
      <c r="LXM12" s="332"/>
      <c r="LXN12" s="332"/>
      <c r="LXO12" s="332"/>
      <c r="LXP12" s="332"/>
      <c r="LXZ12" s="332"/>
      <c r="LYA12" s="332"/>
      <c r="LYB12" s="332"/>
      <c r="LYC12" s="332"/>
      <c r="LYG12" s="332"/>
      <c r="LYH12" s="332"/>
      <c r="MGR12" s="332"/>
      <c r="MGW12" s="332"/>
      <c r="MGX12" s="332"/>
      <c r="MGY12" s="332"/>
      <c r="MGZ12" s="332"/>
      <c r="MHA12" s="332"/>
      <c r="MHB12" s="332"/>
      <c r="MHD12" s="332"/>
      <c r="MHE12" s="332"/>
      <c r="MHF12" s="332"/>
      <c r="MHH12" s="332"/>
      <c r="MHI12" s="332"/>
      <c r="MHJ12" s="332"/>
      <c r="MHK12" s="332"/>
      <c r="MHL12" s="332"/>
      <c r="MHV12" s="332"/>
      <c r="MHW12" s="332"/>
      <c r="MHX12" s="332"/>
      <c r="MHY12" s="332"/>
      <c r="MIC12" s="332"/>
      <c r="MID12" s="332"/>
      <c r="MQN12" s="332"/>
      <c r="MQS12" s="332"/>
      <c r="MQT12" s="332"/>
      <c r="MQU12" s="332"/>
      <c r="MQV12" s="332"/>
      <c r="MQW12" s="332"/>
      <c r="MQX12" s="332"/>
      <c r="MQZ12" s="332"/>
      <c r="MRA12" s="332"/>
      <c r="MRB12" s="332"/>
      <c r="MRD12" s="332"/>
      <c r="MRE12" s="332"/>
      <c r="MRF12" s="332"/>
      <c r="MRG12" s="332"/>
      <c r="MRH12" s="332"/>
      <c r="MRR12" s="332"/>
      <c r="MRS12" s="332"/>
      <c r="MRT12" s="332"/>
      <c r="MRU12" s="332"/>
      <c r="MRY12" s="332"/>
      <c r="MRZ12" s="332"/>
      <c r="NAJ12" s="332"/>
      <c r="NAO12" s="332"/>
      <c r="NAP12" s="332"/>
      <c r="NAQ12" s="332"/>
      <c r="NAR12" s="332"/>
      <c r="NAS12" s="332"/>
      <c r="NAT12" s="332"/>
      <c r="NAV12" s="332"/>
      <c r="NAW12" s="332"/>
      <c r="NAX12" s="332"/>
      <c r="NAZ12" s="332"/>
      <c r="NBA12" s="332"/>
      <c r="NBB12" s="332"/>
      <c r="NBC12" s="332"/>
      <c r="NBD12" s="332"/>
      <c r="NBN12" s="332"/>
      <c r="NBO12" s="332"/>
      <c r="NBP12" s="332"/>
      <c r="NBQ12" s="332"/>
      <c r="NBU12" s="332"/>
      <c r="NBV12" s="332"/>
      <c r="NKF12" s="332"/>
      <c r="NKK12" s="332"/>
      <c r="NKL12" s="332"/>
      <c r="NKM12" s="332"/>
      <c r="NKN12" s="332"/>
      <c r="NKO12" s="332"/>
      <c r="NKP12" s="332"/>
      <c r="NKR12" s="332"/>
      <c r="NKS12" s="332"/>
      <c r="NKT12" s="332"/>
      <c r="NKV12" s="332"/>
      <c r="NKW12" s="332"/>
      <c r="NKX12" s="332"/>
      <c r="NKY12" s="332"/>
      <c r="NKZ12" s="332"/>
      <c r="NLJ12" s="332"/>
      <c r="NLK12" s="332"/>
      <c r="NLL12" s="332"/>
      <c r="NLM12" s="332"/>
      <c r="NLQ12" s="332"/>
      <c r="NLR12" s="332"/>
      <c r="NUB12" s="332"/>
      <c r="NUG12" s="332"/>
      <c r="NUH12" s="332"/>
      <c r="NUI12" s="332"/>
      <c r="NUJ12" s="332"/>
      <c r="NUK12" s="332"/>
      <c r="NUL12" s="332"/>
      <c r="NUN12" s="332"/>
      <c r="NUO12" s="332"/>
      <c r="NUP12" s="332"/>
      <c r="NUR12" s="332"/>
      <c r="NUS12" s="332"/>
      <c r="NUT12" s="332"/>
      <c r="NUU12" s="332"/>
      <c r="NUV12" s="332"/>
      <c r="NVF12" s="332"/>
      <c r="NVG12" s="332"/>
      <c r="NVH12" s="332"/>
      <c r="NVI12" s="332"/>
      <c r="NVM12" s="332"/>
      <c r="NVN12" s="332"/>
      <c r="ODX12" s="332"/>
      <c r="OEC12" s="332"/>
      <c r="OED12" s="332"/>
      <c r="OEE12" s="332"/>
      <c r="OEF12" s="332"/>
      <c r="OEG12" s="332"/>
      <c r="OEH12" s="332"/>
      <c r="OEJ12" s="332"/>
      <c r="OEK12" s="332"/>
      <c r="OEL12" s="332"/>
      <c r="OEN12" s="332"/>
      <c r="OEO12" s="332"/>
      <c r="OEP12" s="332"/>
      <c r="OEQ12" s="332"/>
      <c r="OER12" s="332"/>
      <c r="OFB12" s="332"/>
      <c r="OFC12" s="332"/>
      <c r="OFD12" s="332"/>
      <c r="OFE12" s="332"/>
      <c r="OFI12" s="332"/>
      <c r="OFJ12" s="332"/>
      <c r="ONT12" s="332"/>
      <c r="ONY12" s="332"/>
      <c r="ONZ12" s="332"/>
      <c r="OOA12" s="332"/>
      <c r="OOB12" s="332"/>
      <c r="OOC12" s="332"/>
      <c r="OOD12" s="332"/>
      <c r="OOF12" s="332"/>
      <c r="OOG12" s="332"/>
      <c r="OOH12" s="332"/>
      <c r="OOJ12" s="332"/>
      <c r="OOK12" s="332"/>
      <c r="OOL12" s="332"/>
      <c r="OOM12" s="332"/>
      <c r="OON12" s="332"/>
      <c r="OOX12" s="332"/>
      <c r="OOY12" s="332"/>
      <c r="OOZ12" s="332"/>
      <c r="OPA12" s="332"/>
      <c r="OPE12" s="332"/>
      <c r="OPF12" s="332"/>
      <c r="OXP12" s="332"/>
      <c r="OXU12" s="332"/>
      <c r="OXV12" s="332"/>
      <c r="OXW12" s="332"/>
      <c r="OXX12" s="332"/>
      <c r="OXY12" s="332"/>
      <c r="OXZ12" s="332"/>
      <c r="OYB12" s="332"/>
      <c r="OYC12" s="332"/>
      <c r="OYD12" s="332"/>
      <c r="OYF12" s="332"/>
      <c r="OYG12" s="332"/>
      <c r="OYH12" s="332"/>
      <c r="OYI12" s="332"/>
      <c r="OYJ12" s="332"/>
      <c r="OYT12" s="332"/>
      <c r="OYU12" s="332"/>
      <c r="OYV12" s="332"/>
      <c r="OYW12" s="332"/>
      <c r="OZA12" s="332"/>
      <c r="OZB12" s="332"/>
      <c r="PHL12" s="332"/>
      <c r="PHQ12" s="332"/>
      <c r="PHR12" s="332"/>
      <c r="PHS12" s="332"/>
      <c r="PHT12" s="332"/>
      <c r="PHU12" s="332"/>
      <c r="PHV12" s="332"/>
      <c r="PHX12" s="332"/>
      <c r="PHY12" s="332"/>
      <c r="PHZ12" s="332"/>
      <c r="PIB12" s="332"/>
      <c r="PIC12" s="332"/>
      <c r="PID12" s="332"/>
      <c r="PIE12" s="332"/>
      <c r="PIF12" s="332"/>
      <c r="PIP12" s="332"/>
      <c r="PIQ12" s="332"/>
      <c r="PIR12" s="332"/>
      <c r="PIS12" s="332"/>
      <c r="PIW12" s="332"/>
      <c r="PIX12" s="332"/>
      <c r="PRH12" s="332"/>
      <c r="PRM12" s="332"/>
      <c r="PRN12" s="332"/>
      <c r="PRO12" s="332"/>
      <c r="PRP12" s="332"/>
      <c r="PRQ12" s="332"/>
      <c r="PRR12" s="332"/>
      <c r="PRT12" s="332"/>
      <c r="PRU12" s="332"/>
      <c r="PRV12" s="332"/>
      <c r="PRX12" s="332"/>
      <c r="PRY12" s="332"/>
      <c r="PRZ12" s="332"/>
      <c r="PSA12" s="332"/>
      <c r="PSB12" s="332"/>
      <c r="PSL12" s="332"/>
      <c r="PSM12" s="332"/>
      <c r="PSN12" s="332"/>
      <c r="PSO12" s="332"/>
      <c r="PSS12" s="332"/>
      <c r="PST12" s="332"/>
      <c r="QBD12" s="332"/>
      <c r="QBI12" s="332"/>
      <c r="QBJ12" s="332"/>
      <c r="QBK12" s="332"/>
      <c r="QBL12" s="332"/>
      <c r="QBM12" s="332"/>
      <c r="QBN12" s="332"/>
      <c r="QBP12" s="332"/>
      <c r="QBQ12" s="332"/>
      <c r="QBR12" s="332"/>
      <c r="QBT12" s="332"/>
      <c r="QBU12" s="332"/>
      <c r="QBV12" s="332"/>
      <c r="QBW12" s="332"/>
      <c r="QBX12" s="332"/>
      <c r="QCH12" s="332"/>
      <c r="QCI12" s="332"/>
      <c r="QCJ12" s="332"/>
      <c r="QCK12" s="332"/>
      <c r="QCO12" s="332"/>
      <c r="QCP12" s="332"/>
      <c r="QKZ12" s="332"/>
      <c r="QLE12" s="332"/>
      <c r="QLF12" s="332"/>
      <c r="QLG12" s="332"/>
      <c r="QLH12" s="332"/>
      <c r="QLI12" s="332"/>
      <c r="QLJ12" s="332"/>
      <c r="QLL12" s="332"/>
      <c r="QLM12" s="332"/>
      <c r="QLN12" s="332"/>
      <c r="QLP12" s="332"/>
      <c r="QLQ12" s="332"/>
      <c r="QLR12" s="332"/>
      <c r="QLS12" s="332"/>
      <c r="QLT12" s="332"/>
      <c r="QMD12" s="332"/>
      <c r="QME12" s="332"/>
      <c r="QMF12" s="332"/>
      <c r="QMG12" s="332"/>
      <c r="QMK12" s="332"/>
      <c r="QML12" s="332"/>
      <c r="QUV12" s="332"/>
      <c r="QVA12" s="332"/>
      <c r="QVB12" s="332"/>
      <c r="QVC12" s="332"/>
      <c r="QVD12" s="332"/>
      <c r="QVE12" s="332"/>
      <c r="QVF12" s="332"/>
      <c r="QVH12" s="332"/>
      <c r="QVI12" s="332"/>
      <c r="QVJ12" s="332"/>
      <c r="QVL12" s="332"/>
      <c r="QVM12" s="332"/>
      <c r="QVN12" s="332"/>
      <c r="QVO12" s="332"/>
      <c r="QVP12" s="332"/>
      <c r="QVZ12" s="332"/>
      <c r="QWA12" s="332"/>
      <c r="QWB12" s="332"/>
      <c r="QWC12" s="332"/>
      <c r="QWG12" s="332"/>
      <c r="QWH12" s="332"/>
      <c r="RER12" s="332"/>
      <c r="REW12" s="332"/>
      <c r="REX12" s="332"/>
      <c r="REY12" s="332"/>
      <c r="REZ12" s="332"/>
      <c r="RFA12" s="332"/>
      <c r="RFB12" s="332"/>
      <c r="RFD12" s="332"/>
      <c r="RFE12" s="332"/>
      <c r="RFF12" s="332"/>
      <c r="RFH12" s="332"/>
      <c r="RFI12" s="332"/>
      <c r="RFJ12" s="332"/>
      <c r="RFK12" s="332"/>
      <c r="RFL12" s="332"/>
      <c r="RFV12" s="332"/>
      <c r="RFW12" s="332"/>
      <c r="RFX12" s="332"/>
      <c r="RFY12" s="332"/>
      <c r="RGC12" s="332"/>
      <c r="RGD12" s="332"/>
      <c r="RON12" s="332"/>
      <c r="ROS12" s="332"/>
      <c r="ROT12" s="332"/>
      <c r="ROU12" s="332"/>
      <c r="ROV12" s="332"/>
      <c r="ROW12" s="332"/>
      <c r="ROX12" s="332"/>
      <c r="ROZ12" s="332"/>
      <c r="RPA12" s="332"/>
      <c r="RPB12" s="332"/>
      <c r="RPD12" s="332"/>
      <c r="RPE12" s="332"/>
      <c r="RPF12" s="332"/>
      <c r="RPG12" s="332"/>
      <c r="RPH12" s="332"/>
      <c r="RPR12" s="332"/>
      <c r="RPS12" s="332"/>
      <c r="RPT12" s="332"/>
      <c r="RPU12" s="332"/>
      <c r="RPY12" s="332"/>
      <c r="RPZ12" s="332"/>
      <c r="RYJ12" s="332"/>
      <c r="RYO12" s="332"/>
      <c r="RYP12" s="332"/>
      <c r="RYQ12" s="332"/>
      <c r="RYR12" s="332"/>
      <c r="RYS12" s="332"/>
      <c r="RYT12" s="332"/>
      <c r="RYV12" s="332"/>
      <c r="RYW12" s="332"/>
      <c r="RYX12" s="332"/>
      <c r="RYZ12" s="332"/>
      <c r="RZA12" s="332"/>
      <c r="RZB12" s="332"/>
      <c r="RZC12" s="332"/>
      <c r="RZD12" s="332"/>
      <c r="RZN12" s="332"/>
      <c r="RZO12" s="332"/>
      <c r="RZP12" s="332"/>
      <c r="RZQ12" s="332"/>
      <c r="RZU12" s="332"/>
      <c r="RZV12" s="332"/>
      <c r="SIF12" s="332"/>
      <c r="SIK12" s="332"/>
      <c r="SIL12" s="332"/>
      <c r="SIM12" s="332"/>
      <c r="SIN12" s="332"/>
      <c r="SIO12" s="332"/>
      <c r="SIP12" s="332"/>
      <c r="SIR12" s="332"/>
      <c r="SIS12" s="332"/>
      <c r="SIT12" s="332"/>
      <c r="SIV12" s="332"/>
      <c r="SIW12" s="332"/>
      <c r="SIX12" s="332"/>
      <c r="SIY12" s="332"/>
      <c r="SIZ12" s="332"/>
      <c r="SJJ12" s="332"/>
      <c r="SJK12" s="332"/>
      <c r="SJL12" s="332"/>
      <c r="SJM12" s="332"/>
      <c r="SJQ12" s="332"/>
      <c r="SJR12" s="332"/>
      <c r="SSB12" s="332"/>
      <c r="SSG12" s="332"/>
      <c r="SSH12" s="332"/>
      <c r="SSI12" s="332"/>
      <c r="SSJ12" s="332"/>
      <c r="SSK12" s="332"/>
      <c r="SSL12" s="332"/>
      <c r="SSN12" s="332"/>
      <c r="SSO12" s="332"/>
      <c r="SSP12" s="332"/>
      <c r="SSR12" s="332"/>
      <c r="SSS12" s="332"/>
      <c r="SST12" s="332"/>
      <c r="SSU12" s="332"/>
      <c r="SSV12" s="332"/>
      <c r="STF12" s="332"/>
      <c r="STG12" s="332"/>
      <c r="STH12" s="332"/>
      <c r="STI12" s="332"/>
      <c r="STM12" s="332"/>
      <c r="STN12" s="332"/>
      <c r="TBX12" s="332"/>
      <c r="TCC12" s="332"/>
      <c r="TCD12" s="332"/>
      <c r="TCE12" s="332"/>
      <c r="TCF12" s="332"/>
      <c r="TCG12" s="332"/>
      <c r="TCH12" s="332"/>
      <c r="TCJ12" s="332"/>
      <c r="TCK12" s="332"/>
      <c r="TCL12" s="332"/>
      <c r="TCN12" s="332"/>
      <c r="TCO12" s="332"/>
      <c r="TCP12" s="332"/>
      <c r="TCQ12" s="332"/>
      <c r="TCR12" s="332"/>
      <c r="TDB12" s="332"/>
      <c r="TDC12" s="332"/>
      <c r="TDD12" s="332"/>
      <c r="TDE12" s="332"/>
      <c r="TDI12" s="332"/>
      <c r="TDJ12" s="332"/>
      <c r="TLT12" s="332"/>
      <c r="TLY12" s="332"/>
      <c r="TLZ12" s="332"/>
      <c r="TMA12" s="332"/>
      <c r="TMB12" s="332"/>
      <c r="TMC12" s="332"/>
      <c r="TMD12" s="332"/>
      <c r="TMF12" s="332"/>
      <c r="TMG12" s="332"/>
      <c r="TMH12" s="332"/>
      <c r="TMJ12" s="332"/>
      <c r="TMK12" s="332"/>
      <c r="TML12" s="332"/>
      <c r="TMM12" s="332"/>
      <c r="TMN12" s="332"/>
      <c r="TMX12" s="332"/>
      <c r="TMY12" s="332"/>
      <c r="TMZ12" s="332"/>
      <c r="TNA12" s="332"/>
      <c r="TNE12" s="332"/>
      <c r="TNF12" s="332"/>
      <c r="TVP12" s="332"/>
      <c r="TVU12" s="332"/>
      <c r="TVV12" s="332"/>
      <c r="TVW12" s="332"/>
      <c r="TVX12" s="332"/>
      <c r="TVY12" s="332"/>
      <c r="TVZ12" s="332"/>
      <c r="TWB12" s="332"/>
      <c r="TWC12" s="332"/>
      <c r="TWD12" s="332"/>
      <c r="TWF12" s="332"/>
      <c r="TWG12" s="332"/>
      <c r="TWH12" s="332"/>
      <c r="TWI12" s="332"/>
      <c r="TWJ12" s="332"/>
      <c r="TWT12" s="332"/>
      <c r="TWU12" s="332"/>
      <c r="TWV12" s="332"/>
      <c r="TWW12" s="332"/>
      <c r="TXA12" s="332"/>
      <c r="TXB12" s="332"/>
      <c r="UFL12" s="332"/>
      <c r="UFQ12" s="332"/>
      <c r="UFR12" s="332"/>
      <c r="UFS12" s="332"/>
      <c r="UFT12" s="332"/>
      <c r="UFU12" s="332"/>
      <c r="UFV12" s="332"/>
      <c r="UFX12" s="332"/>
      <c r="UFY12" s="332"/>
      <c r="UFZ12" s="332"/>
      <c r="UGB12" s="332"/>
      <c r="UGC12" s="332"/>
      <c r="UGD12" s="332"/>
      <c r="UGE12" s="332"/>
      <c r="UGF12" s="332"/>
      <c r="UGP12" s="332"/>
      <c r="UGQ12" s="332"/>
      <c r="UGR12" s="332"/>
      <c r="UGS12" s="332"/>
      <c r="UGW12" s="332"/>
      <c r="UGX12" s="332"/>
      <c r="UPH12" s="332"/>
      <c r="UPM12" s="332"/>
      <c r="UPN12" s="332"/>
      <c r="UPO12" s="332"/>
      <c r="UPP12" s="332"/>
      <c r="UPQ12" s="332"/>
      <c r="UPR12" s="332"/>
      <c r="UPT12" s="332"/>
      <c r="UPU12" s="332"/>
      <c r="UPV12" s="332"/>
      <c r="UPX12" s="332"/>
      <c r="UPY12" s="332"/>
      <c r="UPZ12" s="332"/>
      <c r="UQA12" s="332"/>
      <c r="UQB12" s="332"/>
      <c r="UQL12" s="332"/>
      <c r="UQM12" s="332"/>
      <c r="UQN12" s="332"/>
      <c r="UQO12" s="332"/>
      <c r="UQS12" s="332"/>
      <c r="UQT12" s="332"/>
      <c r="UZD12" s="332"/>
      <c r="UZI12" s="332"/>
      <c r="UZJ12" s="332"/>
      <c r="UZK12" s="332"/>
      <c r="UZL12" s="332"/>
      <c r="UZM12" s="332"/>
      <c r="UZN12" s="332"/>
      <c r="UZP12" s="332"/>
      <c r="UZQ12" s="332"/>
      <c r="UZR12" s="332"/>
      <c r="UZT12" s="332"/>
      <c r="UZU12" s="332"/>
      <c r="UZV12" s="332"/>
      <c r="UZW12" s="332"/>
      <c r="UZX12" s="332"/>
      <c r="VAH12" s="332"/>
      <c r="VAI12" s="332"/>
      <c r="VAJ12" s="332"/>
      <c r="VAK12" s="332"/>
      <c r="VAO12" s="332"/>
      <c r="VAP12" s="332"/>
      <c r="VIZ12" s="332"/>
      <c r="VJE12" s="332"/>
      <c r="VJF12" s="332"/>
      <c r="VJG12" s="332"/>
      <c r="VJH12" s="332"/>
      <c r="VJI12" s="332"/>
      <c r="VJJ12" s="332"/>
      <c r="VJL12" s="332"/>
      <c r="VJM12" s="332"/>
      <c r="VJN12" s="332"/>
      <c r="VJP12" s="332"/>
      <c r="VJQ12" s="332"/>
      <c r="VJR12" s="332"/>
      <c r="VJS12" s="332"/>
      <c r="VJT12" s="332"/>
      <c r="VKD12" s="332"/>
      <c r="VKE12" s="332"/>
      <c r="VKF12" s="332"/>
      <c r="VKG12" s="332"/>
      <c r="VKK12" s="332"/>
      <c r="VKL12" s="332"/>
      <c r="VSV12" s="332"/>
      <c r="VTA12" s="332"/>
      <c r="VTB12" s="332"/>
      <c r="VTC12" s="332"/>
      <c r="VTD12" s="332"/>
      <c r="VTE12" s="332"/>
      <c r="VTF12" s="332"/>
      <c r="VTH12" s="332"/>
      <c r="VTI12" s="332"/>
      <c r="VTJ12" s="332"/>
      <c r="VTL12" s="332"/>
      <c r="VTM12" s="332"/>
      <c r="VTN12" s="332"/>
      <c r="VTO12" s="332"/>
      <c r="VTP12" s="332"/>
      <c r="VTZ12" s="332"/>
      <c r="VUA12" s="332"/>
      <c r="VUB12" s="332"/>
      <c r="VUC12" s="332"/>
      <c r="VUG12" s="332"/>
      <c r="VUH12" s="332"/>
      <c r="WCR12" s="332"/>
      <c r="WCW12" s="332"/>
      <c r="WCX12" s="332"/>
      <c r="WCY12" s="332"/>
      <c r="WCZ12" s="332"/>
      <c r="WDA12" s="332"/>
      <c r="WDB12" s="332"/>
      <c r="WDD12" s="332"/>
      <c r="WDE12" s="332"/>
      <c r="WDF12" s="332"/>
      <c r="WDH12" s="332"/>
      <c r="WDI12" s="332"/>
      <c r="WDJ12" s="332"/>
      <c r="WDK12" s="332"/>
      <c r="WDL12" s="332"/>
      <c r="WDV12" s="332"/>
      <c r="WDW12" s="332"/>
      <c r="WDX12" s="332"/>
      <c r="WDY12" s="332"/>
      <c r="WEC12" s="332"/>
      <c r="WED12" s="332"/>
      <c r="WMN12" s="332"/>
      <c r="WMS12" s="332"/>
      <c r="WMT12" s="332"/>
      <c r="WMU12" s="332"/>
      <c r="WMV12" s="332"/>
      <c r="WMW12" s="332"/>
      <c r="WMX12" s="332"/>
      <c r="WMZ12" s="332"/>
      <c r="WNA12" s="332"/>
      <c r="WNB12" s="332"/>
      <c r="WND12" s="332"/>
      <c r="WNE12" s="332"/>
      <c r="WNF12" s="332"/>
      <c r="WNG12" s="332"/>
      <c r="WNH12" s="332"/>
      <c r="WNR12" s="332"/>
      <c r="WNS12" s="332"/>
      <c r="WNT12" s="332"/>
      <c r="WNU12" s="332"/>
      <c r="WNY12" s="332"/>
      <c r="WNZ12" s="332"/>
      <c r="WWJ12" s="332"/>
      <c r="WWO12" s="332"/>
      <c r="WWP12" s="332"/>
      <c r="WWQ12" s="332"/>
      <c r="WWR12" s="332"/>
      <c r="WWS12" s="332"/>
      <c r="WWT12" s="332"/>
      <c r="WWV12" s="332"/>
      <c r="WWW12" s="332"/>
      <c r="WWX12" s="332"/>
      <c r="WWZ12" s="332"/>
      <c r="WXA12" s="332"/>
      <c r="WXB12" s="332"/>
      <c r="WXC12" s="332"/>
      <c r="WXD12" s="332"/>
      <c r="WXN12" s="332"/>
      <c r="WXO12" s="332"/>
      <c r="WXP12" s="332"/>
      <c r="WXQ12" s="332"/>
      <c r="WXU12" s="332"/>
      <c r="WXV12" s="332"/>
    </row>
    <row r="13" spans="1:834 1052:1858 2076:2882 3100:3906 4124:4930 5148:5954 6172:6978 7196:8002 8220:9026 9244:10050 10268:11074 11292:12098 12316:13122 13340:14146 14364:15170 15388:16194" s="233" customFormat="1" ht="32.25" customHeight="1">
      <c r="A13" s="374">
        <f t="shared" si="17"/>
        <v>4</v>
      </c>
      <c r="B13" s="230" t="s">
        <v>306</v>
      </c>
      <c r="C13" s="335" t="s">
        <v>220</v>
      </c>
      <c r="D13" s="335">
        <v>208</v>
      </c>
      <c r="E13" s="231">
        <v>184</v>
      </c>
      <c r="F13" s="231"/>
      <c r="G13" s="231"/>
      <c r="H13" s="231"/>
      <c r="I13" s="231"/>
      <c r="J13" s="231"/>
      <c r="K13" s="230"/>
      <c r="L13" s="230"/>
      <c r="M13" s="230"/>
      <c r="N13" s="230"/>
      <c r="O13" s="230"/>
      <c r="P13" s="230"/>
      <c r="Q13" s="232">
        <v>5190000</v>
      </c>
      <c r="R13" s="232">
        <v>500000</v>
      </c>
      <c r="S13" s="232"/>
      <c r="T13" s="232"/>
      <c r="U13" s="232">
        <v>700000</v>
      </c>
      <c r="V13" s="232">
        <f t="shared" si="18"/>
        <v>700000</v>
      </c>
      <c r="W13" s="232">
        <v>700000</v>
      </c>
      <c r="X13" s="232">
        <f t="shared" si="19"/>
        <v>700000</v>
      </c>
      <c r="Y13" s="232">
        <v>700000</v>
      </c>
      <c r="Z13" s="232">
        <f t="shared" si="20"/>
        <v>700000</v>
      </c>
      <c r="AA13" s="232"/>
      <c r="AB13" s="232"/>
      <c r="AC13" s="232">
        <v>500000</v>
      </c>
      <c r="AD13" s="232">
        <f>G13*13000</f>
        <v>0</v>
      </c>
      <c r="AE13" s="232"/>
      <c r="AF13" s="232"/>
      <c r="AG13" s="232"/>
      <c r="AH13" s="232">
        <f t="shared" ref="AH13:AH18" si="40">V13+X13+Z13+AA13+AB13+AC13+AD13+AE13</f>
        <v>2600000</v>
      </c>
      <c r="AI13" s="232">
        <f t="shared" ref="AI13:AI18" si="41">Q13+R13+S13+T13</f>
        <v>5690000</v>
      </c>
      <c r="AJ13" s="232">
        <f t="shared" ref="AJ13:AJ18" si="42">AI13/D13</f>
        <v>27355.76923076923</v>
      </c>
      <c r="AK13" s="232">
        <f t="shared" ref="AK13:AK18" si="43">AJ13*E13</f>
        <v>5033461.538461538</v>
      </c>
      <c r="AL13" s="232">
        <f t="shared" ref="AL13:AL18" si="44">AJ13*H13*150%</f>
        <v>0</v>
      </c>
      <c r="AM13" s="232">
        <f t="shared" ref="AM13:AM18" si="45">AJ13*I13*150%*130%</f>
        <v>0</v>
      </c>
      <c r="AN13" s="232">
        <f t="shared" ref="AN13:AN18" si="46">J13*200%*AJ13</f>
        <v>0</v>
      </c>
      <c r="AO13" s="232"/>
      <c r="AP13" s="232">
        <f t="shared" ref="AP13:AP18" si="47">L13*AJ13*300%</f>
        <v>0</v>
      </c>
      <c r="AQ13" s="232"/>
      <c r="AR13" s="232">
        <f>AJ13*N13*300%</f>
        <v>0</v>
      </c>
      <c r="AS13" s="232"/>
      <c r="AT13" s="232"/>
      <c r="AU13" s="232">
        <f t="shared" ref="AU13:AU18" si="48">SUM(AL13:AT13)</f>
        <v>0</v>
      </c>
      <c r="AV13" s="232">
        <f t="shared" ref="AV13:AV18" si="49">AH13+AK13+AU13+AG13+AF13</f>
        <v>7633461.538461538</v>
      </c>
      <c r="AW13" s="232">
        <f t="shared" ref="AW13:AW15" si="50">Q13+R13+S13+T13</f>
        <v>5690000</v>
      </c>
      <c r="AX13" s="232">
        <f t="shared" ref="AX13" si="51">AW13*17.5%</f>
        <v>995749.99999999988</v>
      </c>
      <c r="AY13" s="232">
        <f t="shared" ref="AY13" si="52">AW13*3%</f>
        <v>170700</v>
      </c>
      <c r="AZ13" s="232">
        <f t="shared" ref="AZ13" si="53">AW13*1%</f>
        <v>56900</v>
      </c>
      <c r="BA13" s="232">
        <f t="shared" si="31"/>
        <v>113800</v>
      </c>
      <c r="BB13" s="232">
        <f t="shared" si="32"/>
        <v>1337150</v>
      </c>
      <c r="BC13" s="232">
        <f t="shared" ref="BC13" si="54">AW13*8%</f>
        <v>455200</v>
      </c>
      <c r="BD13" s="232">
        <f t="shared" ref="BD13" si="55">AW13*1.5%</f>
        <v>85350</v>
      </c>
      <c r="BE13" s="232">
        <f t="shared" ref="BE13" si="56">AW13*1%</f>
        <v>56900</v>
      </c>
      <c r="BF13" s="232">
        <f t="shared" si="36"/>
        <v>597450</v>
      </c>
      <c r="BG13" s="232">
        <v>11000000</v>
      </c>
      <c r="BH13" s="330">
        <v>0</v>
      </c>
      <c r="BI13" s="232">
        <f t="shared" ref="BI13:BI18" si="57">BH13*4400000</f>
        <v>0</v>
      </c>
      <c r="BJ13" s="232">
        <f t="shared" si="38"/>
        <v>700000</v>
      </c>
      <c r="BK13" s="232">
        <f t="shared" si="6"/>
        <v>6933461.538461538</v>
      </c>
      <c r="BL13" s="232">
        <f>IF(BK13-BI13-BG13-BF13&lt;0,0,BK13-BI13-BG13-BF13)</f>
        <v>0</v>
      </c>
      <c r="BM13" s="232">
        <f>ROUND(IF(BL13&lt;=5000000,BL13*5%,IF(AND(BL13&gt;5000000,BL13&lt;=10000000),BL13*10%-250000,IF(AND(BL13&gt;10000000,BL13&lt;=18000000),BL13*15%-750000,IF(AND(BL13&gt;18000000,BL13&lt;=32000000),BL13*20%-1650000,IF(AND(BL13&gt;32000000,BL13&lt;=52000000),BL13*25%-3250000,IF(AND(BL13&gt;52000000,BL13&lt;80000000),BL13*30%-585000,IF(BL13&gt;80000000,BL13*35%-9850000))))))),0)</f>
        <v>0</v>
      </c>
      <c r="BN13" s="232">
        <v>35000</v>
      </c>
      <c r="BO13" s="232">
        <f t="shared" si="39"/>
        <v>7001011.538461538</v>
      </c>
      <c r="BP13" s="233" t="s">
        <v>185</v>
      </c>
    </row>
    <row r="14" spans="1:834 1052:1858 2076:2882 3100:3906 4124:4930 5148:5954 6172:6978 7196:8002 8220:9026 9244:10050 10268:11074 11292:12098 12316:13122 13340:14146 14364:15170 15388:16194" s="233" customFormat="1" ht="32.25" customHeight="1">
      <c r="A14" s="374">
        <f t="shared" si="17"/>
        <v>5</v>
      </c>
      <c r="B14" s="230" t="s">
        <v>332</v>
      </c>
      <c r="C14" s="335" t="s">
        <v>278</v>
      </c>
      <c r="D14" s="335">
        <v>208</v>
      </c>
      <c r="E14" s="231">
        <v>152</v>
      </c>
      <c r="F14" s="231"/>
      <c r="G14" s="231"/>
      <c r="H14" s="231"/>
      <c r="I14" s="231"/>
      <c r="J14" s="231"/>
      <c r="K14" s="230"/>
      <c r="L14" s="230"/>
      <c r="M14" s="230"/>
      <c r="N14" s="230"/>
      <c r="O14" s="230"/>
      <c r="P14" s="230"/>
      <c r="Q14" s="232">
        <v>4000000</v>
      </c>
      <c r="R14" s="232"/>
      <c r="S14" s="232"/>
      <c r="T14" s="232"/>
      <c r="U14" s="232">
        <v>700000</v>
      </c>
      <c r="V14" s="232"/>
      <c r="W14" s="232">
        <v>1000000</v>
      </c>
      <c r="X14" s="232"/>
      <c r="Y14" s="232">
        <v>1000000</v>
      </c>
      <c r="Z14" s="232"/>
      <c r="AA14" s="232"/>
      <c r="AB14" s="232"/>
      <c r="AC14" s="232"/>
      <c r="AD14" s="232">
        <f>G14*13000</f>
        <v>0</v>
      </c>
      <c r="AE14" s="232"/>
      <c r="AF14" s="232"/>
      <c r="AG14" s="232"/>
      <c r="AH14" s="232">
        <f t="shared" si="40"/>
        <v>0</v>
      </c>
      <c r="AI14" s="232">
        <f t="shared" si="41"/>
        <v>4000000</v>
      </c>
      <c r="AJ14" s="232">
        <f t="shared" si="42"/>
        <v>19230.76923076923</v>
      </c>
      <c r="AK14" s="232">
        <f t="shared" si="43"/>
        <v>2923076.923076923</v>
      </c>
      <c r="AL14" s="232">
        <f t="shared" si="44"/>
        <v>0</v>
      </c>
      <c r="AM14" s="232">
        <f t="shared" si="45"/>
        <v>0</v>
      </c>
      <c r="AN14" s="232">
        <f t="shared" si="46"/>
        <v>0</v>
      </c>
      <c r="AO14" s="232"/>
      <c r="AP14" s="232">
        <f t="shared" si="47"/>
        <v>0</v>
      </c>
      <c r="AQ14" s="232"/>
      <c r="AR14" s="232">
        <f>AJ14*N14*300%</f>
        <v>0</v>
      </c>
      <c r="AS14" s="232"/>
      <c r="AT14" s="232"/>
      <c r="AU14" s="232">
        <f t="shared" si="48"/>
        <v>0</v>
      </c>
      <c r="AV14" s="232">
        <f t="shared" si="49"/>
        <v>2923076.923076923</v>
      </c>
      <c r="AW14" s="232">
        <v>0</v>
      </c>
      <c r="AX14" s="232">
        <f t="shared" ref="AX14" si="58">AW14*17.5%</f>
        <v>0</v>
      </c>
      <c r="AY14" s="232">
        <f t="shared" ref="AY14" si="59">AW14*3%</f>
        <v>0</v>
      </c>
      <c r="AZ14" s="232">
        <f t="shared" ref="AZ14" si="60">AW14*1%</f>
        <v>0</v>
      </c>
      <c r="BA14" s="232">
        <f t="shared" ref="BA14" si="61">AW14*2%</f>
        <v>0</v>
      </c>
      <c r="BB14" s="232">
        <f t="shared" ref="BB14" si="62">AX14+AY14+AZ14+BA14</f>
        <v>0</v>
      </c>
      <c r="BC14" s="232">
        <f t="shared" ref="BC14" si="63">AW14*8%</f>
        <v>0</v>
      </c>
      <c r="BD14" s="232">
        <f t="shared" ref="BD14" si="64">AW14*1.5%</f>
        <v>0</v>
      </c>
      <c r="BE14" s="232">
        <f t="shared" ref="BE14" si="65">AW14*1%</f>
        <v>0</v>
      </c>
      <c r="BF14" s="232">
        <f t="shared" ref="BF14" si="66">BC14+BD14+BE14</f>
        <v>0</v>
      </c>
      <c r="BG14" s="232">
        <v>11000000</v>
      </c>
      <c r="BH14" s="330">
        <v>0</v>
      </c>
      <c r="BI14" s="232">
        <f t="shared" si="57"/>
        <v>0</v>
      </c>
      <c r="BJ14" s="232">
        <f t="shared" ref="BJ14" si="67">V14</f>
        <v>0</v>
      </c>
      <c r="BK14" s="232">
        <f t="shared" ref="BK14" si="68">AV14-BJ14-AJ14*H14*0.5-AJ14*I14*0.95-AJ14*J14-AJ14*K14*1.6-AJ14*L14*2-AJ14*M14*2.9-AJ14*N14*2-AJ14*O14*2.9-P14*3.5</f>
        <v>2923076.923076923</v>
      </c>
      <c r="BL14" s="232">
        <f>IF(BK14-BI14-BG14-BF14&lt;0,0,BK14-BI14-BG14-BF14)</f>
        <v>0</v>
      </c>
      <c r="BM14" s="232">
        <f>ROUND(IF(BL14&lt;=5000000,BL14*5%,IF(AND(BL14&gt;5000000,BL14&lt;=10000000),BL14*10%-250000,IF(AND(BL14&gt;10000000,BL14&lt;=18000000),BL14*15%-750000,IF(AND(BL14&gt;18000000,BL14&lt;=32000000),BL14*20%-1650000,IF(AND(BL14&gt;32000000,BL14&lt;=52000000),BL14*25%-3250000,IF(AND(BL14&gt;52000000,BL14&lt;80000000),BL14*30%-585000,IF(BL14&gt;80000000,BL14*35%-9850000))))))),0)</f>
        <v>0</v>
      </c>
      <c r="BN14" s="232"/>
      <c r="BO14" s="232">
        <f>AV14-BF14-BM14-BN14</f>
        <v>2923076.923076923</v>
      </c>
      <c r="BP14" s="233" t="s">
        <v>185</v>
      </c>
      <c r="BQ14" s="375">
        <f>BO14+BO15</f>
        <v>6580139.2307692301</v>
      </c>
    </row>
    <row r="15" spans="1:834 1052:1858 2076:2882 3100:3906 4124:4930 5148:5954 6172:6978 7196:8002 8220:9026 9244:10050 10268:11074 11292:12098 12316:13122 13340:14146 14364:15170 15388:16194" s="233" customFormat="1" ht="32.25" customHeight="1">
      <c r="A15" s="374">
        <f t="shared" si="17"/>
        <v>6</v>
      </c>
      <c r="B15" s="230" t="s">
        <v>333</v>
      </c>
      <c r="C15" s="335" t="s">
        <v>278</v>
      </c>
      <c r="D15" s="335">
        <v>208</v>
      </c>
      <c r="E15" s="231">
        <v>40</v>
      </c>
      <c r="F15" s="231"/>
      <c r="G15" s="231"/>
      <c r="H15" s="231"/>
      <c r="I15" s="231"/>
      <c r="J15" s="231"/>
      <c r="K15" s="230"/>
      <c r="L15" s="230"/>
      <c r="M15" s="230"/>
      <c r="N15" s="230"/>
      <c r="O15" s="230"/>
      <c r="P15" s="230"/>
      <c r="Q15" s="232">
        <v>4706000</v>
      </c>
      <c r="R15" s="232">
        <v>300000</v>
      </c>
      <c r="S15" s="232"/>
      <c r="T15" s="232"/>
      <c r="U15" s="232">
        <v>700000</v>
      </c>
      <c r="V15" s="232">
        <v>700000</v>
      </c>
      <c r="W15" s="232">
        <v>1000000</v>
      </c>
      <c r="X15" s="232">
        <v>1000000</v>
      </c>
      <c r="Y15" s="232">
        <v>1000000</v>
      </c>
      <c r="Z15" s="232">
        <v>1000000</v>
      </c>
      <c r="AA15" s="232"/>
      <c r="AB15" s="232">
        <v>20000</v>
      </c>
      <c r="AC15" s="232">
        <v>500000</v>
      </c>
      <c r="AD15" s="232">
        <f>G15*13000</f>
        <v>0</v>
      </c>
      <c r="AE15" s="232"/>
      <c r="AF15" s="232"/>
      <c r="AG15" s="232"/>
      <c r="AH15" s="232">
        <f t="shared" si="40"/>
        <v>3220000</v>
      </c>
      <c r="AI15" s="232">
        <f t="shared" si="41"/>
        <v>5006000</v>
      </c>
      <c r="AJ15" s="232">
        <f t="shared" si="42"/>
        <v>24067.307692307691</v>
      </c>
      <c r="AK15" s="232">
        <f t="shared" si="43"/>
        <v>962692.30769230763</v>
      </c>
      <c r="AL15" s="232">
        <f t="shared" si="44"/>
        <v>0</v>
      </c>
      <c r="AM15" s="232">
        <f t="shared" si="45"/>
        <v>0</v>
      </c>
      <c r="AN15" s="232">
        <f t="shared" si="46"/>
        <v>0</v>
      </c>
      <c r="AO15" s="232"/>
      <c r="AP15" s="232">
        <f t="shared" si="47"/>
        <v>0</v>
      </c>
      <c r="AQ15" s="232"/>
      <c r="AR15" s="232">
        <f>AJ15*N15*300%</f>
        <v>0</v>
      </c>
      <c r="AS15" s="232"/>
      <c r="AT15" s="232"/>
      <c r="AU15" s="232">
        <f t="shared" si="48"/>
        <v>0</v>
      </c>
      <c r="AV15" s="232">
        <f t="shared" si="49"/>
        <v>4182692.3076923075</v>
      </c>
      <c r="AW15" s="232">
        <f t="shared" si="50"/>
        <v>5006000</v>
      </c>
      <c r="AX15" s="232">
        <f t="shared" ref="AX15" si="69">AW15*17.5%</f>
        <v>876050</v>
      </c>
      <c r="AY15" s="232">
        <f t="shared" ref="AY15" si="70">AW15*3%</f>
        <v>150180</v>
      </c>
      <c r="AZ15" s="232">
        <f t="shared" ref="AZ15" si="71">AW15*1%</f>
        <v>50060</v>
      </c>
      <c r="BA15" s="232">
        <f t="shared" ref="BA15" si="72">AW15*2%</f>
        <v>100120</v>
      </c>
      <c r="BB15" s="232">
        <f t="shared" ref="BB15" si="73">AX15+AY15+AZ15+BA15</f>
        <v>1176410</v>
      </c>
      <c r="BC15" s="232">
        <f t="shared" ref="BC15" si="74">AW15*8%</f>
        <v>400480</v>
      </c>
      <c r="BD15" s="232">
        <f t="shared" ref="BD15" si="75">AW15*1.5%</f>
        <v>75090</v>
      </c>
      <c r="BE15" s="232">
        <f t="shared" ref="BE15" si="76">AW15*1%</f>
        <v>50060</v>
      </c>
      <c r="BF15" s="232">
        <f t="shared" ref="BF15" si="77">BC15+BD15+BE15</f>
        <v>525630</v>
      </c>
      <c r="BG15" s="232">
        <v>11000000</v>
      </c>
      <c r="BH15" s="330">
        <v>0</v>
      </c>
      <c r="BI15" s="232">
        <f t="shared" si="57"/>
        <v>0</v>
      </c>
      <c r="BJ15" s="232">
        <f t="shared" ref="BJ15" si="78">V15</f>
        <v>700000</v>
      </c>
      <c r="BK15" s="232">
        <f t="shared" ref="BK15" si="79">AV15-BJ15-AJ15*H15*0.5-AJ15*I15*0.95-AJ15*J15-AJ15*K15*1.6-AJ15*L15*2-AJ15*M15*2.9-AJ15*N15*2-AJ15*O15*2.9-P15*3.5</f>
        <v>3482692.3076923075</v>
      </c>
      <c r="BL15" s="232">
        <f>IF(BK15-BI15-BG15-BF15&lt;0,0,BK15-BI15-BG15-BF15)</f>
        <v>0</v>
      </c>
      <c r="BM15" s="232">
        <f>ROUND(IF(BL15&lt;=5000000,BL15*5%,IF(AND(BL15&gt;5000000,BL15&lt;=10000000),BL15*10%-250000,IF(AND(BL15&gt;10000000,BL15&lt;=18000000),BL15*15%-750000,IF(AND(BL15&gt;18000000,BL15&lt;=32000000),BL15*20%-1650000,IF(AND(BL15&gt;32000000,BL15&lt;=52000000),BL15*25%-3250000,IF(AND(BL15&gt;52000000,BL15&lt;80000000),BL15*30%-585000,IF(BL15&gt;80000000,BL15*35%-9850000))))))),0)</f>
        <v>0</v>
      </c>
      <c r="BN15" s="232"/>
      <c r="BO15" s="232">
        <f>AV15-BF15-BM15-BN15</f>
        <v>3657062.3076923075</v>
      </c>
      <c r="BP15" s="233" t="s">
        <v>185</v>
      </c>
      <c r="BQ15" s="375">
        <f>AV14+AV15</f>
        <v>7105769.2307692301</v>
      </c>
    </row>
    <row r="16" spans="1:834 1052:1858 2076:2882 3100:3906 4124:4930 5148:5954 6172:6978 7196:8002 8220:9026 9244:10050 10268:11074 11292:12098 12316:13122 13340:14146 14364:15170 15388:16194" s="233" customFormat="1" ht="31.5" customHeight="1">
      <c r="A16" s="374">
        <f t="shared" si="17"/>
        <v>7</v>
      </c>
      <c r="B16" s="230" t="s">
        <v>256</v>
      </c>
      <c r="C16" s="335" t="s">
        <v>154</v>
      </c>
      <c r="D16" s="335">
        <v>208</v>
      </c>
      <c r="E16" s="231">
        <v>216</v>
      </c>
      <c r="F16" s="231"/>
      <c r="G16" s="231"/>
      <c r="H16" s="231">
        <v>0.5</v>
      </c>
      <c r="I16" s="231"/>
      <c r="J16" s="231"/>
      <c r="K16" s="230"/>
      <c r="L16" s="230"/>
      <c r="M16" s="230"/>
      <c r="N16" s="230"/>
      <c r="O16" s="230"/>
      <c r="P16" s="230"/>
      <c r="Q16" s="232">
        <v>4064000</v>
      </c>
      <c r="R16" s="232">
        <v>1000000</v>
      </c>
      <c r="S16" s="232"/>
      <c r="T16" s="232">
        <v>900000</v>
      </c>
      <c r="U16" s="232">
        <v>600000</v>
      </c>
      <c r="V16" s="232">
        <f t="shared" si="18"/>
        <v>600000</v>
      </c>
      <c r="W16" s="232">
        <v>600000</v>
      </c>
      <c r="X16" s="232">
        <f t="shared" ref="X16:X19" si="80">IF((E16+F16)&gt;=160,W16, W16/208*(E16+F16))</f>
        <v>600000</v>
      </c>
      <c r="Y16" s="232">
        <v>600000</v>
      </c>
      <c r="Z16" s="232">
        <f t="shared" ref="Z16:Z19" si="81">IF((E16+F16)&gt;=160,Y16, Y16/208*(E16+F16))</f>
        <v>600000</v>
      </c>
      <c r="AA16" s="232"/>
      <c r="AB16" s="232"/>
      <c r="AC16" s="232">
        <v>500000</v>
      </c>
      <c r="AD16" s="232">
        <f t="shared" ref="AD16" si="82">G16*13000</f>
        <v>0</v>
      </c>
      <c r="AE16" s="232"/>
      <c r="AF16" s="232"/>
      <c r="AG16" s="232"/>
      <c r="AH16" s="232">
        <f t="shared" si="40"/>
        <v>2300000</v>
      </c>
      <c r="AI16" s="232">
        <f t="shared" si="41"/>
        <v>5964000</v>
      </c>
      <c r="AJ16" s="232">
        <f t="shared" si="42"/>
        <v>28673.076923076922</v>
      </c>
      <c r="AK16" s="232">
        <f t="shared" si="43"/>
        <v>6193384.615384615</v>
      </c>
      <c r="AL16" s="232">
        <f t="shared" si="44"/>
        <v>21504.807692307691</v>
      </c>
      <c r="AM16" s="232">
        <f t="shared" si="45"/>
        <v>0</v>
      </c>
      <c r="AN16" s="232">
        <f t="shared" si="46"/>
        <v>0</v>
      </c>
      <c r="AO16" s="232">
        <f>AJ16*K16*200%</f>
        <v>0</v>
      </c>
      <c r="AP16" s="232">
        <f t="shared" si="47"/>
        <v>0</v>
      </c>
      <c r="AQ16" s="232"/>
      <c r="AR16" s="232">
        <v>0</v>
      </c>
      <c r="AS16" s="232"/>
      <c r="AT16" s="232"/>
      <c r="AU16" s="232">
        <f t="shared" si="48"/>
        <v>21504.807692307691</v>
      </c>
      <c r="AV16" s="232">
        <f t="shared" si="49"/>
        <v>8514889.4230769239</v>
      </c>
      <c r="AW16" s="232">
        <f>Q16+R16+S16+T16</f>
        <v>5964000</v>
      </c>
      <c r="AX16" s="232">
        <f>AW16*17.5%</f>
        <v>1043699.9999999999</v>
      </c>
      <c r="AY16" s="232">
        <f>AW16*3%</f>
        <v>178920</v>
      </c>
      <c r="AZ16" s="232">
        <f>AW16*1%</f>
        <v>59640</v>
      </c>
      <c r="BA16" s="232">
        <f>AW16*2%</f>
        <v>119280</v>
      </c>
      <c r="BB16" s="232">
        <f>AX16+AY16+AZ16+BA16</f>
        <v>1401540</v>
      </c>
      <c r="BC16" s="232">
        <f>AW16*8%</f>
        <v>477120</v>
      </c>
      <c r="BD16" s="232">
        <f>AW16*1.5%</f>
        <v>89460</v>
      </c>
      <c r="BE16" s="232">
        <f>AW16*1%</f>
        <v>59640</v>
      </c>
      <c r="BF16" s="232">
        <f>BC16+BD16+BE16</f>
        <v>626220</v>
      </c>
      <c r="BG16" s="232">
        <v>11000000</v>
      </c>
      <c r="BH16" s="232"/>
      <c r="BI16" s="232">
        <f t="shared" si="57"/>
        <v>0</v>
      </c>
      <c r="BJ16" s="232">
        <f>V16</f>
        <v>600000</v>
      </c>
      <c r="BK16" s="232">
        <f>AV16-BJ16-AJ16*H16*0.5-AJ16*I16*0.95-AJ16*J16-AJ16*K16*1.6-AJ16*L16*2-AJ16*M16*2.9-AJ16*N16*2-AJ16*O16*2.9-P16*3.5</f>
        <v>7907721.1538461549</v>
      </c>
      <c r="BL16" s="232">
        <f>IF(BK16-BI16-BG16-BF16&lt;0,0,BK16-BI16-BG16-BF16)</f>
        <v>0</v>
      </c>
      <c r="BM16" s="232">
        <f t="shared" ref="BM16" si="83">ROUND(IF(BL16&lt;=5000000,BL16*5%,IF(AND(BL16&gt;5000000,BL16&lt;=10000000),BL16*10%-250000,IF(AND(BL16&gt;10000000,BL16&lt;=18000000),BL16*15%-750000,IF(AND(BL16&gt;18000000,BL16&lt;=32000000),BL16*20%-1650000,IF(AND(BL16&gt;32000000,BL16&lt;=52000000),BL16*25%-3250000,IF(AND(BL16&gt;52000000,BL16&lt;80000000),BL16*30%-585000,IF(BL16&gt;80000000,BL16*35%-9850000))))))),0)</f>
        <v>0</v>
      </c>
      <c r="BN16" s="232">
        <v>35000</v>
      </c>
      <c r="BO16" s="232">
        <f>AV16-BF16-BM16-BN16</f>
        <v>7853669.4230769239</v>
      </c>
      <c r="BP16" s="233" t="s">
        <v>179</v>
      </c>
    </row>
    <row r="17" spans="1:71" s="233" customFormat="1" ht="31.5" customHeight="1">
      <c r="A17" s="374">
        <f t="shared" si="17"/>
        <v>8</v>
      </c>
      <c r="B17" s="230" t="s">
        <v>263</v>
      </c>
      <c r="C17" s="335" t="s">
        <v>155</v>
      </c>
      <c r="D17" s="335">
        <v>208</v>
      </c>
      <c r="E17" s="231">
        <v>216</v>
      </c>
      <c r="F17" s="231"/>
      <c r="G17" s="231"/>
      <c r="H17" s="231"/>
      <c r="I17" s="231"/>
      <c r="J17" s="231"/>
      <c r="K17" s="230"/>
      <c r="L17" s="230"/>
      <c r="M17" s="230"/>
      <c r="N17" s="230"/>
      <c r="O17" s="230"/>
      <c r="P17" s="230"/>
      <c r="Q17" s="232">
        <v>4706000</v>
      </c>
      <c r="R17" s="232">
        <v>1200000</v>
      </c>
      <c r="S17" s="232"/>
      <c r="T17" s="232">
        <v>900000</v>
      </c>
      <c r="U17" s="232">
        <v>400000</v>
      </c>
      <c r="V17" s="232">
        <f t="shared" si="18"/>
        <v>400000</v>
      </c>
      <c r="W17" s="232">
        <v>400000</v>
      </c>
      <c r="X17" s="232">
        <f t="shared" si="80"/>
        <v>400000</v>
      </c>
      <c r="Y17" s="232">
        <v>400000</v>
      </c>
      <c r="Z17" s="232">
        <f t="shared" si="81"/>
        <v>400000</v>
      </c>
      <c r="AA17" s="232"/>
      <c r="AB17" s="232">
        <v>20000</v>
      </c>
      <c r="AC17" s="232">
        <v>500000</v>
      </c>
      <c r="AD17" s="232">
        <f t="shared" ref="AD17" si="84">G17*13000</f>
        <v>0</v>
      </c>
      <c r="AE17" s="232"/>
      <c r="AF17" s="232"/>
      <c r="AG17" s="232"/>
      <c r="AH17" s="232">
        <f t="shared" si="40"/>
        <v>1720000</v>
      </c>
      <c r="AI17" s="232">
        <f t="shared" si="41"/>
        <v>6806000</v>
      </c>
      <c r="AJ17" s="232">
        <f t="shared" si="42"/>
        <v>32721.153846153848</v>
      </c>
      <c r="AK17" s="232">
        <f t="shared" si="43"/>
        <v>7067769.230769231</v>
      </c>
      <c r="AL17" s="232">
        <f t="shared" si="44"/>
        <v>0</v>
      </c>
      <c r="AM17" s="232">
        <f t="shared" si="45"/>
        <v>0</v>
      </c>
      <c r="AN17" s="232">
        <f t="shared" si="46"/>
        <v>0</v>
      </c>
      <c r="AO17" s="232">
        <f>AJ17*K17*200%</f>
        <v>0</v>
      </c>
      <c r="AP17" s="232">
        <f t="shared" si="47"/>
        <v>0</v>
      </c>
      <c r="AQ17" s="232"/>
      <c r="AR17" s="232">
        <v>0</v>
      </c>
      <c r="AS17" s="232"/>
      <c r="AT17" s="232"/>
      <c r="AU17" s="232">
        <f t="shared" si="48"/>
        <v>0</v>
      </c>
      <c r="AV17" s="232">
        <f t="shared" si="49"/>
        <v>8787769.2307692319</v>
      </c>
      <c r="AW17" s="232">
        <f>Q17+R17+S17+T17</f>
        <v>6806000</v>
      </c>
      <c r="AX17" s="232">
        <f t="shared" ref="AX17" si="85">AW17*17.5%</f>
        <v>1191050</v>
      </c>
      <c r="AY17" s="232">
        <f t="shared" ref="AY17" si="86">AW17*3%</f>
        <v>204180</v>
      </c>
      <c r="AZ17" s="232">
        <f t="shared" ref="AZ17" si="87">AW17*1%</f>
        <v>68060</v>
      </c>
      <c r="BA17" s="232">
        <f>AW17*2%</f>
        <v>136120</v>
      </c>
      <c r="BB17" s="232">
        <f>AX17+AY17+AZ17+BA17</f>
        <v>1599410</v>
      </c>
      <c r="BC17" s="232">
        <f t="shared" ref="BC17" si="88">AW17*8%</f>
        <v>544480</v>
      </c>
      <c r="BD17" s="232">
        <f t="shared" ref="BD17" si="89">AW17*1.5%</f>
        <v>102090</v>
      </c>
      <c r="BE17" s="232">
        <f t="shared" ref="BE17" si="90">AW17*1%</f>
        <v>68060</v>
      </c>
      <c r="BF17" s="232">
        <f>BC17+BD17+BE17</f>
        <v>714630</v>
      </c>
      <c r="BG17" s="232">
        <v>11000000</v>
      </c>
      <c r="BH17" s="232">
        <v>0</v>
      </c>
      <c r="BI17" s="232">
        <f t="shared" si="57"/>
        <v>0</v>
      </c>
      <c r="BJ17" s="232">
        <f>V17</f>
        <v>400000</v>
      </c>
      <c r="BK17" s="232">
        <f>AV17-BJ17-AJ17*H17*0.5-AJ17*I17*0.95-AJ17*J17-AJ17*K17*1.6-AJ17*L17*2-AJ17*M17*2.9-AJ17*N17*2-AJ17*O17*2.9-P17*3.5</f>
        <v>8387769.2307692319</v>
      </c>
      <c r="BL17" s="232">
        <f t="shared" ref="BL17" si="91">IF(BK17-BI17-BG17-BF17&lt;0,0,BK17-BI17-BG17-BF17)</f>
        <v>0</v>
      </c>
      <c r="BM17" s="232">
        <f t="shared" ref="BM17" si="92">ROUND(IF(BL17&lt;=5000000,BL17*5%,IF(AND(BL17&gt;5000000,BL17&lt;=10000000),BL17*10%-250000,IF(AND(BL17&gt;10000000,BL17&lt;=18000000),BL17*15%-750000,IF(AND(BL17&gt;18000000,BL17&lt;=32000000),BL17*20%-1650000,IF(AND(BL17&gt;32000000,BL17&lt;=52000000),BL17*25%-3250000,IF(AND(BL17&gt;52000000,BL17&lt;80000000),BL17*30%-585000,IF(BL17&gt;80000000,BL17*35%-9850000))))))),0)</f>
        <v>0</v>
      </c>
      <c r="BN17" s="232">
        <v>35000</v>
      </c>
      <c r="BO17" s="232">
        <f>AV17-BF17-BM17-BN17</f>
        <v>8038139.2307692319</v>
      </c>
      <c r="BP17" s="233" t="s">
        <v>180</v>
      </c>
    </row>
    <row r="18" spans="1:71" s="233" customFormat="1" ht="31.5" customHeight="1">
      <c r="A18" s="374">
        <f t="shared" si="17"/>
        <v>9</v>
      </c>
      <c r="B18" s="230" t="s">
        <v>281</v>
      </c>
      <c r="C18" s="335" t="s">
        <v>156</v>
      </c>
      <c r="D18" s="335">
        <v>208</v>
      </c>
      <c r="E18" s="231">
        <v>183</v>
      </c>
      <c r="F18" s="231"/>
      <c r="G18" s="231"/>
      <c r="H18" s="231">
        <v>31</v>
      </c>
      <c r="I18" s="231">
        <v>1.5</v>
      </c>
      <c r="J18" s="231">
        <v>1.5</v>
      </c>
      <c r="K18" s="308">
        <v>2.5</v>
      </c>
      <c r="L18" s="308"/>
      <c r="M18" s="230"/>
      <c r="N18" s="308"/>
      <c r="O18" s="308"/>
      <c r="P18" s="230"/>
      <c r="Q18" s="232">
        <v>4480000</v>
      </c>
      <c r="R18" s="232">
        <v>1200000</v>
      </c>
      <c r="S18" s="232">
        <v>400000</v>
      </c>
      <c r="T18" s="232">
        <v>600000</v>
      </c>
      <c r="U18" s="232">
        <v>300000</v>
      </c>
      <c r="V18" s="232">
        <f t="shared" si="18"/>
        <v>300000</v>
      </c>
      <c r="W18" s="232">
        <v>600000</v>
      </c>
      <c r="X18" s="232">
        <f t="shared" si="80"/>
        <v>600000</v>
      </c>
      <c r="Y18" s="232">
        <v>600000</v>
      </c>
      <c r="Z18" s="232">
        <f t="shared" si="81"/>
        <v>600000</v>
      </c>
      <c r="AA18" s="232"/>
      <c r="AB18" s="232">
        <v>20000</v>
      </c>
      <c r="AC18" s="232">
        <v>500000</v>
      </c>
      <c r="AD18" s="232">
        <f>G18*13000</f>
        <v>0</v>
      </c>
      <c r="AE18" s="232"/>
      <c r="AF18" s="232"/>
      <c r="AG18" s="232"/>
      <c r="AH18" s="232">
        <f t="shared" si="40"/>
        <v>2020000</v>
      </c>
      <c r="AI18" s="232">
        <f t="shared" si="41"/>
        <v>6680000</v>
      </c>
      <c r="AJ18" s="232">
        <f t="shared" si="42"/>
        <v>32115.384615384617</v>
      </c>
      <c r="AK18" s="232">
        <f t="shared" si="43"/>
        <v>5877115.384615385</v>
      </c>
      <c r="AL18" s="232">
        <f t="shared" si="44"/>
        <v>1493365.3846153847</v>
      </c>
      <c r="AM18" s="232">
        <f t="shared" si="45"/>
        <v>93937.499999999985</v>
      </c>
      <c r="AN18" s="232">
        <f t="shared" si="46"/>
        <v>96346.153846153844</v>
      </c>
      <c r="AO18" s="232">
        <f>AJ18*K18*200%</f>
        <v>160576.92307692309</v>
      </c>
      <c r="AP18" s="232">
        <f t="shared" si="47"/>
        <v>0</v>
      </c>
      <c r="AQ18" s="232"/>
      <c r="AR18" s="232">
        <f>AJ18*N18*300%</f>
        <v>0</v>
      </c>
      <c r="AS18" s="232">
        <f>AJ18*O18*390%</f>
        <v>0</v>
      </c>
      <c r="AT18" s="232"/>
      <c r="AU18" s="232">
        <f t="shared" si="48"/>
        <v>1844225.9615384615</v>
      </c>
      <c r="AV18" s="232">
        <f t="shared" si="49"/>
        <v>9741341.346153846</v>
      </c>
      <c r="AW18" s="232">
        <f>Q18+R18+S18+T18</f>
        <v>6680000</v>
      </c>
      <c r="AX18" s="232">
        <f>AW18*17.5%</f>
        <v>1169000</v>
      </c>
      <c r="AY18" s="232">
        <f>AW18*3%</f>
        <v>200400</v>
      </c>
      <c r="AZ18" s="232">
        <f>AW18*1%</f>
        <v>66800</v>
      </c>
      <c r="BA18" s="232">
        <f>AW18*2%</f>
        <v>133600</v>
      </c>
      <c r="BB18" s="232">
        <f>AX18+AY18+AZ18+BA18</f>
        <v>1569800</v>
      </c>
      <c r="BC18" s="232">
        <f>AW18*8%</f>
        <v>534400</v>
      </c>
      <c r="BD18" s="232">
        <f>AW18*1.5%</f>
        <v>100200</v>
      </c>
      <c r="BE18" s="232">
        <f>AW18*1%</f>
        <v>66800</v>
      </c>
      <c r="BF18" s="232">
        <f>BC18+BD18+BE18</f>
        <v>701400</v>
      </c>
      <c r="BG18" s="232">
        <v>11000000</v>
      </c>
      <c r="BH18" s="232">
        <v>0</v>
      </c>
      <c r="BI18" s="232">
        <f t="shared" si="57"/>
        <v>0</v>
      </c>
      <c r="BJ18" s="232">
        <f>V18</f>
        <v>300000</v>
      </c>
      <c r="BK18" s="232">
        <f>AV18-BJ18-AJ18*H18*0.5-AJ18*I18*0.95-AJ18*J18-AJ18*K18*1.6-AJ18*L18*2-AJ18*M18*2.9-AJ18*N18*2-AJ18*O18*2.9-P18*3.5</f>
        <v>8721153.846153846</v>
      </c>
      <c r="BL18" s="232">
        <f>IF(BK18-BI18-BG18-BF18&lt;0,0,BK18-BI18-BG18-BF18)</f>
        <v>0</v>
      </c>
      <c r="BM18" s="232">
        <f>ROUND(IF(BL18&lt;=5000000,BL18*5%,IF(AND(BL18&gt;5000000,BL18&lt;=10000000),BL18*10%-250000,IF(AND(BL18&gt;10000000,BL18&lt;=18000000),BL18*15%-750000,IF(AND(BL18&gt;18000000,BL18&lt;=32000000),BL18*20%-1650000,IF(AND(BL18&gt;32000000,BL18&lt;=52000000),BL18*25%-3250000,IF(AND(BL18&gt;52000000,BL18&lt;80000000),BL18*30%-585000,IF(BL18&gt;80000000,BL18*35%-9850000))))))),0)</f>
        <v>0</v>
      </c>
      <c r="BN18" s="232">
        <v>35000</v>
      </c>
      <c r="BO18" s="232">
        <f>AV18-BF18-BM18-BN18</f>
        <v>9004941.346153846</v>
      </c>
      <c r="BP18" s="233" t="s">
        <v>182</v>
      </c>
      <c r="BQ18" s="375"/>
    </row>
    <row r="19" spans="1:71" s="233" customFormat="1" ht="35.25" customHeight="1">
      <c r="A19" s="374">
        <f t="shared" si="17"/>
        <v>10</v>
      </c>
      <c r="B19" s="230" t="s">
        <v>311</v>
      </c>
      <c r="C19" s="335" t="s">
        <v>168</v>
      </c>
      <c r="D19" s="335">
        <v>208</v>
      </c>
      <c r="E19" s="231">
        <v>184</v>
      </c>
      <c r="F19" s="231"/>
      <c r="G19" s="231"/>
      <c r="H19" s="231"/>
      <c r="I19" s="231"/>
      <c r="J19" s="231"/>
      <c r="K19" s="230"/>
      <c r="L19" s="230"/>
      <c r="M19" s="230"/>
      <c r="N19" s="230"/>
      <c r="O19" s="230"/>
      <c r="P19" s="230"/>
      <c r="Q19" s="232">
        <v>10600000</v>
      </c>
      <c r="R19" s="232">
        <v>4000000</v>
      </c>
      <c r="S19" s="232">
        <v>2000000</v>
      </c>
      <c r="T19" s="232">
        <v>600000</v>
      </c>
      <c r="U19" s="232">
        <v>3000000</v>
      </c>
      <c r="V19" s="232">
        <f t="shared" si="18"/>
        <v>3000000</v>
      </c>
      <c r="W19" s="232">
        <v>1600000</v>
      </c>
      <c r="X19" s="232">
        <f t="shared" si="80"/>
        <v>1600000</v>
      </c>
      <c r="Y19" s="232">
        <v>3000000</v>
      </c>
      <c r="Z19" s="232">
        <f t="shared" si="81"/>
        <v>3000000</v>
      </c>
      <c r="AA19" s="232"/>
      <c r="AB19" s="232">
        <v>20000</v>
      </c>
      <c r="AC19" s="232">
        <v>500000</v>
      </c>
      <c r="AD19" s="232">
        <f t="shared" ref="AD19" si="93">G19*13000</f>
        <v>0</v>
      </c>
      <c r="AE19" s="232"/>
      <c r="AF19" s="232"/>
      <c r="AG19" s="232"/>
      <c r="AH19" s="232">
        <f t="shared" ref="AH19" si="94">V19+X19+Z19+AA19+AB19+AC19+AD19+AE19</f>
        <v>8120000</v>
      </c>
      <c r="AI19" s="232">
        <f t="shared" ref="AI19" si="95">Q19+R19+S19+T19</f>
        <v>17200000</v>
      </c>
      <c r="AJ19" s="232">
        <f t="shared" ref="AJ19" si="96">AI19/D19</f>
        <v>82692.307692307688</v>
      </c>
      <c r="AK19" s="232">
        <f t="shared" ref="AK19" si="97">AJ19*E19</f>
        <v>15215384.615384614</v>
      </c>
      <c r="AL19" s="232">
        <f t="shared" ref="AL19" si="98">AJ19*H19*150%</f>
        <v>0</v>
      </c>
      <c r="AM19" s="232">
        <f t="shared" ref="AM19" si="99">AJ19*I19*150%*130%</f>
        <v>0</v>
      </c>
      <c r="AN19" s="232">
        <f t="shared" ref="AN19" si="100">J19*200%*AJ19</f>
        <v>0</v>
      </c>
      <c r="AO19" s="232">
        <f t="shared" ref="AO19" si="101">AJ19*K19*200%</f>
        <v>0</v>
      </c>
      <c r="AP19" s="232">
        <f t="shared" ref="AP19" si="102">L19*AJ19*300%</f>
        <v>0</v>
      </c>
      <c r="AQ19" s="232"/>
      <c r="AR19" s="232">
        <f t="shared" ref="AR19" si="103">AJ19*N19*300%</f>
        <v>0</v>
      </c>
      <c r="AS19" s="232"/>
      <c r="AT19" s="232"/>
      <c r="AU19" s="232">
        <f t="shared" ref="AU19" si="104">SUM(AL19:AT19)</f>
        <v>0</v>
      </c>
      <c r="AV19" s="232">
        <f t="shared" ref="AV19" si="105">AH19+AK19+AU19+AG19+AF19</f>
        <v>23335384.615384616</v>
      </c>
      <c r="AW19" s="232">
        <f t="shared" ref="AW19" si="106">Q19+R19+S19+T19</f>
        <v>17200000</v>
      </c>
      <c r="AX19" s="232">
        <f t="shared" ref="AX19" si="107">AW19*17.5%</f>
        <v>3010000</v>
      </c>
      <c r="AY19" s="232">
        <f t="shared" ref="AY19" si="108">AW19*3%</f>
        <v>516000</v>
      </c>
      <c r="AZ19" s="232">
        <f t="shared" ref="AZ19" si="109">AW19*1%</f>
        <v>172000</v>
      </c>
      <c r="BA19" s="232">
        <f t="shared" ref="BA19" si="110">AW19*2%</f>
        <v>344000</v>
      </c>
      <c r="BB19" s="232">
        <f t="shared" ref="BB19" si="111">AX19+AY19+AZ19+BA19</f>
        <v>4042000</v>
      </c>
      <c r="BC19" s="232">
        <f t="shared" ref="BC19" si="112">AW19*8%</f>
        <v>1376000</v>
      </c>
      <c r="BD19" s="232">
        <f t="shared" ref="BD19" si="113">AW19*1.5%</f>
        <v>258000</v>
      </c>
      <c r="BE19" s="232">
        <f t="shared" ref="BE19" si="114">AW19*1%</f>
        <v>172000</v>
      </c>
      <c r="BF19" s="232">
        <f t="shared" ref="BF19" si="115">BC19+BD19+BE19</f>
        <v>1806000</v>
      </c>
      <c r="BG19" s="232">
        <v>11000000</v>
      </c>
      <c r="BH19" s="232">
        <v>2</v>
      </c>
      <c r="BI19" s="232">
        <f t="shared" ref="BI19" si="116">BH19*4400000</f>
        <v>8800000</v>
      </c>
      <c r="BJ19" s="232">
        <f t="shared" ref="BJ19" si="117">V19</f>
        <v>3000000</v>
      </c>
      <c r="BK19" s="232">
        <v>22222163</v>
      </c>
      <c r="BL19" s="232">
        <f>IF(BK19-BI19-BG19-BF19&lt;0,0,BK19-BI19-BG19-BF19)</f>
        <v>616163</v>
      </c>
      <c r="BM19" s="232">
        <f t="shared" ref="BM19" si="118">ROUND(IF(BL19&lt;=5000000,BL19*5%,IF(AND(BL19&gt;5000000,BL19&lt;=10000000),BL19*10%-250000,IF(AND(BL19&gt;10000000,BL19&lt;=18000000),BL19*15%-750000,IF(AND(BL19&gt;18000000,BL19&lt;=32000000),BL19*20%-1650000,IF(AND(BL19&gt;32000000,BL19&lt;=52000000),BL19*25%-3250000,IF(AND(BL19&gt;52000000,BL19&lt;80000000),BL19*30%-585000,IF(BL19&gt;80000000,BL19*35%-9850000))))))),0)</f>
        <v>30808</v>
      </c>
      <c r="BN19" s="232">
        <v>35000</v>
      </c>
      <c r="BO19" s="232">
        <f t="shared" ref="BO19" si="119">AV19-BF19-BM19-BN19</f>
        <v>21463576.615384616</v>
      </c>
      <c r="BP19" s="233" t="s">
        <v>181</v>
      </c>
      <c r="BQ19" s="375"/>
    </row>
    <row r="20" spans="1:71" s="306" customFormat="1" ht="31.5" customHeight="1">
      <c r="A20" s="374">
        <f t="shared" si="17"/>
        <v>11</v>
      </c>
      <c r="B20" s="230" t="s">
        <v>266</v>
      </c>
      <c r="C20" s="376" t="s">
        <v>159</v>
      </c>
      <c r="D20" s="309">
        <v>208</v>
      </c>
      <c r="E20" s="231">
        <v>184</v>
      </c>
      <c r="F20" s="310"/>
      <c r="G20" s="310"/>
      <c r="H20" s="310"/>
      <c r="I20" s="310"/>
      <c r="J20" s="310"/>
      <c r="K20" s="311"/>
      <c r="L20" s="311"/>
      <c r="M20" s="311"/>
      <c r="N20" s="311"/>
      <c r="O20" s="311"/>
      <c r="P20" s="311"/>
      <c r="Q20" s="333">
        <v>5190000</v>
      </c>
      <c r="R20" s="312"/>
      <c r="S20" s="312"/>
      <c r="T20" s="312"/>
      <c r="U20" s="312">
        <v>300000</v>
      </c>
      <c r="V20" s="232">
        <f t="shared" si="18"/>
        <v>300000</v>
      </c>
      <c r="W20" s="312">
        <v>1000000</v>
      </c>
      <c r="X20" s="232">
        <f>IF((E20+F20)&gt;=160,W20, W20/208*(E20+F20))</f>
        <v>1000000</v>
      </c>
      <c r="Y20" s="312">
        <v>1000000</v>
      </c>
      <c r="Z20" s="232">
        <f>IF((E20+F20)&gt;=160,Y20, Y20/208*(E20+F20))</f>
        <v>1000000</v>
      </c>
      <c r="AA20" s="312"/>
      <c r="AB20" s="312"/>
      <c r="AC20" s="232">
        <v>500000</v>
      </c>
      <c r="AD20" s="232">
        <f>G20*13000</f>
        <v>0</v>
      </c>
      <c r="AE20" s="312">
        <v>100000</v>
      </c>
      <c r="AF20" s="312"/>
      <c r="AG20" s="312"/>
      <c r="AH20" s="232">
        <f>V20+X20+Z20+AA20+AB20+AC20+AD20+AE20</f>
        <v>2900000</v>
      </c>
      <c r="AI20" s="333">
        <f>Q20+R20+S20+T20</f>
        <v>5190000</v>
      </c>
      <c r="AJ20" s="333">
        <f>AI20/D20</f>
        <v>24951.923076923078</v>
      </c>
      <c r="AK20" s="333">
        <f>AJ20*E20</f>
        <v>4591153.846153846</v>
      </c>
      <c r="AL20" s="232">
        <f>AJ20*H20*150%</f>
        <v>0</v>
      </c>
      <c r="AM20" s="232">
        <f>AJ20*I20*150%*130%</f>
        <v>0</v>
      </c>
      <c r="AN20" s="232">
        <f>J20*200%*AJ20</f>
        <v>0</v>
      </c>
      <c r="AO20" s="312"/>
      <c r="AP20" s="232">
        <f>L20*AJ20*300%</f>
        <v>0</v>
      </c>
      <c r="AQ20" s="312"/>
      <c r="AR20" s="312">
        <f>AJ20*N20*300%</f>
        <v>0</v>
      </c>
      <c r="AS20" s="312"/>
      <c r="AT20" s="312"/>
      <c r="AU20" s="232">
        <f>SUM(AL20:AT20)</f>
        <v>0</v>
      </c>
      <c r="AV20" s="232">
        <f>AH20+AK20+AU20+AG20+AF20</f>
        <v>7491153.846153846</v>
      </c>
      <c r="AW20" s="232">
        <f>Q20+R20+S20+T20</f>
        <v>5190000</v>
      </c>
      <c r="AX20" s="232">
        <f t="shared" ref="AX20" si="120">AW20*17.5%</f>
        <v>908250</v>
      </c>
      <c r="AY20" s="232">
        <f t="shared" ref="AY20" si="121">AW20*3%</f>
        <v>155700</v>
      </c>
      <c r="AZ20" s="232">
        <f t="shared" ref="AZ20" si="122">AW20*1%</f>
        <v>51900</v>
      </c>
      <c r="BA20" s="232">
        <f>AW20*2%</f>
        <v>103800</v>
      </c>
      <c r="BB20" s="232">
        <f>AX20+AY20+AZ20+BA20</f>
        <v>1219650</v>
      </c>
      <c r="BC20" s="232">
        <f t="shared" ref="BC20" si="123">AW20*8%</f>
        <v>415200</v>
      </c>
      <c r="BD20" s="232">
        <f t="shared" ref="BD20" si="124">AW20*1.5%</f>
        <v>77850</v>
      </c>
      <c r="BE20" s="232">
        <f t="shared" ref="BE20" si="125">AW20*1%</f>
        <v>51900</v>
      </c>
      <c r="BF20" s="232">
        <f>BC20+BD20+BE20</f>
        <v>544950</v>
      </c>
      <c r="BG20" s="333">
        <v>11000000</v>
      </c>
      <c r="BH20" s="312"/>
      <c r="BI20" s="232">
        <f>BH20*4400000</f>
        <v>0</v>
      </c>
      <c r="BJ20" s="232">
        <f>V20</f>
        <v>300000</v>
      </c>
      <c r="BK20" s="232">
        <f>AV20-BJ20-AJ20*H20*0.5-AJ20*I20*0.95-AJ20*J20-AJ20*K20*1.6-AJ20*L20*2-AJ20*M20*2.9-AJ20*N20*2-AJ20*O20*2.9-P20*3.5</f>
        <v>7191153.846153846</v>
      </c>
      <c r="BL20" s="232">
        <f t="shared" ref="BL20" si="126">IF(BK20-BI20-BG20-BF20&lt;0,0,BK20-BI20-BG20-BF20)</f>
        <v>0</v>
      </c>
      <c r="BM20" s="232">
        <f t="shared" ref="BM20" si="127">ROUND(IF(BL20&lt;=5000000,BL20*5%,IF(AND(BL20&gt;5000000,BL20&lt;=10000000),BL20*10%-250000,IF(AND(BL20&gt;10000000,BL20&lt;=18000000),BL20*15%-750000,IF(AND(BL20&gt;18000000,BL20&lt;=32000000),BL20*20%-1650000,IF(AND(BL20&gt;32000000,BL20&lt;=52000000),BL20*25%-3250000,IF(AND(BL20&gt;52000000,BL20&lt;80000000),BL20*30%-585000,IF(BL20&gt;80000000,BL20*35%-9850000))))))),0)</f>
        <v>0</v>
      </c>
      <c r="BN20" s="232">
        <v>35000</v>
      </c>
      <c r="BO20" s="232">
        <f>AV20-BF20-BM20-BN20</f>
        <v>6911203.846153846</v>
      </c>
      <c r="BP20" s="313"/>
      <c r="BQ20" s="377"/>
    </row>
    <row r="21" spans="1:71" s="233" customFormat="1" ht="31.5" customHeight="1">
      <c r="A21" s="374">
        <f t="shared" si="17"/>
        <v>12</v>
      </c>
      <c r="B21" s="230" t="s">
        <v>265</v>
      </c>
      <c r="C21" s="335" t="s">
        <v>167</v>
      </c>
      <c r="D21" s="335">
        <v>208</v>
      </c>
      <c r="E21" s="231">
        <v>184</v>
      </c>
      <c r="F21" s="231"/>
      <c r="G21" s="231"/>
      <c r="H21" s="231"/>
      <c r="I21" s="231"/>
      <c r="J21" s="231"/>
      <c r="K21" s="230"/>
      <c r="L21" s="230"/>
      <c r="M21" s="230"/>
      <c r="N21" s="230"/>
      <c r="O21" s="230"/>
      <c r="P21" s="230"/>
      <c r="Q21" s="232">
        <v>5450000</v>
      </c>
      <c r="R21" s="232">
        <v>500000</v>
      </c>
      <c r="S21" s="232"/>
      <c r="T21" s="232">
        <v>300000</v>
      </c>
      <c r="U21" s="232">
        <v>700000</v>
      </c>
      <c r="V21" s="232">
        <f t="shared" si="18"/>
        <v>700000</v>
      </c>
      <c r="W21" s="232">
        <v>800000</v>
      </c>
      <c r="X21" s="232">
        <f t="shared" ref="X21:X22" si="128">IF((E21+F21)&gt;=160,W21, W21/208*(E21+F21))</f>
        <v>800000</v>
      </c>
      <c r="Y21" s="232">
        <v>700000</v>
      </c>
      <c r="Z21" s="232">
        <f t="shared" ref="Z21:Z22" si="129">IF((E21+F21)&gt;=160,Y21, Y21/208*(E21+F21))</f>
        <v>700000</v>
      </c>
      <c r="AA21" s="232">
        <v>1710000</v>
      </c>
      <c r="AB21" s="232"/>
      <c r="AC21" s="232">
        <v>500000</v>
      </c>
      <c r="AD21" s="232">
        <f t="shared" ref="AD21" si="130">G21*13000</f>
        <v>0</v>
      </c>
      <c r="AE21" s="232"/>
      <c r="AF21" s="232"/>
      <c r="AG21" s="232"/>
      <c r="AH21" s="232">
        <f t="shared" si="22"/>
        <v>4410000</v>
      </c>
      <c r="AI21" s="232">
        <f t="shared" si="0"/>
        <v>6250000</v>
      </c>
      <c r="AJ21" s="232">
        <f t="shared" si="1"/>
        <v>30048.076923076922</v>
      </c>
      <c r="AK21" s="232">
        <f t="shared" si="2"/>
        <v>5528846.153846154</v>
      </c>
      <c r="AL21" s="232">
        <f t="shared" si="23"/>
        <v>0</v>
      </c>
      <c r="AM21" s="232">
        <f t="shared" si="3"/>
        <v>0</v>
      </c>
      <c r="AN21" s="232">
        <f t="shared" si="4"/>
        <v>0</v>
      </c>
      <c r="AO21" s="232">
        <f t="shared" si="24"/>
        <v>0</v>
      </c>
      <c r="AP21" s="232">
        <f t="shared" si="5"/>
        <v>0</v>
      </c>
      <c r="AQ21" s="232"/>
      <c r="AR21" s="232">
        <f t="shared" si="25"/>
        <v>0</v>
      </c>
      <c r="AS21" s="232"/>
      <c r="AT21" s="232"/>
      <c r="AU21" s="232">
        <f t="shared" si="26"/>
        <v>0</v>
      </c>
      <c r="AV21" s="232">
        <f t="shared" si="27"/>
        <v>9938846.153846154</v>
      </c>
      <c r="AW21" s="232">
        <f t="shared" ref="AW21:AW22" si="131">Q21+R21+S21+T21</f>
        <v>6250000</v>
      </c>
      <c r="AX21" s="232">
        <f t="shared" ref="AX21" si="132">AW21*17.5%</f>
        <v>1093750</v>
      </c>
      <c r="AY21" s="232">
        <f t="shared" ref="AY21" si="133">AW21*3%</f>
        <v>187500</v>
      </c>
      <c r="AZ21" s="232">
        <f t="shared" ref="AZ21" si="134">AW21*1%</f>
        <v>62500</v>
      </c>
      <c r="BA21" s="232">
        <f t="shared" si="31"/>
        <v>125000</v>
      </c>
      <c r="BB21" s="232">
        <f t="shared" si="32"/>
        <v>1468750</v>
      </c>
      <c r="BC21" s="232">
        <f t="shared" ref="BC21" si="135">AW21*8%</f>
        <v>500000</v>
      </c>
      <c r="BD21" s="232">
        <f t="shared" ref="BD21" si="136">AW21*1.5%</f>
        <v>93750</v>
      </c>
      <c r="BE21" s="232">
        <f t="shared" ref="BE21" si="137">AW21*1%</f>
        <v>62500</v>
      </c>
      <c r="BF21" s="232">
        <f t="shared" si="36"/>
        <v>656250</v>
      </c>
      <c r="BG21" s="232">
        <v>11000000</v>
      </c>
      <c r="BH21" s="330"/>
      <c r="BI21" s="232">
        <f t="shared" si="37"/>
        <v>0</v>
      </c>
      <c r="BJ21" s="232">
        <f t="shared" si="38"/>
        <v>700000</v>
      </c>
      <c r="BK21" s="232">
        <f t="shared" si="6"/>
        <v>9238846.153846154</v>
      </c>
      <c r="BL21" s="232">
        <f t="shared" ref="BL21" si="138">IF(BK21-BI21-BG21-BF21&lt;0,0,BK21-BI21-BG21-BF21)</f>
        <v>0</v>
      </c>
      <c r="BM21" s="232">
        <f t="shared" ref="BM21" si="139">ROUND(IF(BL21&lt;=5000000,BL21*5%,IF(AND(BL21&gt;5000000,BL21&lt;=10000000),BL21*10%-250000,IF(AND(BL21&gt;10000000,BL21&lt;=18000000),BL21*15%-750000,IF(AND(BL21&gt;18000000,BL21&lt;=32000000),BL21*20%-1650000,IF(AND(BL21&gt;32000000,BL21&lt;=52000000),BL21*25%-3250000,IF(AND(BL21&gt;52000000,BL21&lt;80000000),BL21*30%-585000,IF(BL21&gt;80000000,BL21*35%-9850000))))))),0)</f>
        <v>0</v>
      </c>
      <c r="BN21" s="232">
        <v>35000</v>
      </c>
      <c r="BO21" s="232">
        <f t="shared" si="39"/>
        <v>9247596.153846154</v>
      </c>
      <c r="BP21" s="233" t="s">
        <v>184</v>
      </c>
      <c r="BQ21" s="375"/>
    </row>
    <row r="22" spans="1:71" s="306" customFormat="1" ht="31.5" customHeight="1">
      <c r="A22" s="374">
        <f t="shared" si="17"/>
        <v>13</v>
      </c>
      <c r="B22" s="230" t="s">
        <v>253</v>
      </c>
      <c r="C22" s="376" t="s">
        <v>159</v>
      </c>
      <c r="D22" s="309">
        <v>208</v>
      </c>
      <c r="E22" s="231">
        <v>184</v>
      </c>
      <c r="F22" s="310"/>
      <c r="G22" s="310"/>
      <c r="H22" s="310"/>
      <c r="I22" s="310"/>
      <c r="J22" s="310"/>
      <c r="K22" s="311"/>
      <c r="L22" s="311"/>
      <c r="M22" s="311"/>
      <c r="N22" s="311"/>
      <c r="O22" s="311"/>
      <c r="P22" s="311"/>
      <c r="Q22" s="333">
        <v>5190000</v>
      </c>
      <c r="R22" s="312">
        <v>500000</v>
      </c>
      <c r="S22" s="312"/>
      <c r="T22" s="312"/>
      <c r="U22" s="312"/>
      <c r="V22" s="232">
        <f t="shared" si="18"/>
        <v>0</v>
      </c>
      <c r="W22" s="312">
        <v>1600000</v>
      </c>
      <c r="X22" s="232">
        <f t="shared" si="128"/>
        <v>1600000</v>
      </c>
      <c r="Y22" s="312">
        <v>1600000</v>
      </c>
      <c r="Z22" s="232">
        <f t="shared" si="129"/>
        <v>1600000</v>
      </c>
      <c r="AA22" s="312">
        <v>230000</v>
      </c>
      <c r="AB22" s="312"/>
      <c r="AC22" s="232">
        <v>500000</v>
      </c>
      <c r="AD22" s="232">
        <f>G22*13000</f>
        <v>0</v>
      </c>
      <c r="AE22" s="312"/>
      <c r="AF22" s="312"/>
      <c r="AG22" s="312"/>
      <c r="AH22" s="232">
        <f t="shared" si="22"/>
        <v>3930000</v>
      </c>
      <c r="AI22" s="333">
        <f t="shared" si="0"/>
        <v>5690000</v>
      </c>
      <c r="AJ22" s="333">
        <f t="shared" si="1"/>
        <v>27355.76923076923</v>
      </c>
      <c r="AK22" s="333">
        <f t="shared" si="2"/>
        <v>5033461.538461538</v>
      </c>
      <c r="AL22" s="232">
        <f t="shared" si="23"/>
        <v>0</v>
      </c>
      <c r="AM22" s="232">
        <f t="shared" si="3"/>
        <v>0</v>
      </c>
      <c r="AN22" s="232">
        <f t="shared" si="4"/>
        <v>0</v>
      </c>
      <c r="AO22" s="312"/>
      <c r="AP22" s="232">
        <f t="shared" si="5"/>
        <v>0</v>
      </c>
      <c r="AQ22" s="312"/>
      <c r="AR22" s="312">
        <f t="shared" si="25"/>
        <v>0</v>
      </c>
      <c r="AS22" s="312"/>
      <c r="AT22" s="312"/>
      <c r="AU22" s="232">
        <f t="shared" si="26"/>
        <v>0</v>
      </c>
      <c r="AV22" s="232">
        <f t="shared" si="27"/>
        <v>8963461.538461538</v>
      </c>
      <c r="AW22" s="232">
        <f t="shared" si="131"/>
        <v>5690000</v>
      </c>
      <c r="AX22" s="232">
        <f t="shared" ref="AX22" si="140">AW22*17.5%</f>
        <v>995749.99999999988</v>
      </c>
      <c r="AY22" s="232">
        <f t="shared" ref="AY22" si="141">AW22*3%</f>
        <v>170700</v>
      </c>
      <c r="AZ22" s="232">
        <f t="shared" ref="AZ22" si="142">AW22*1%</f>
        <v>56900</v>
      </c>
      <c r="BA22" s="232">
        <f t="shared" si="31"/>
        <v>113800</v>
      </c>
      <c r="BB22" s="232">
        <f t="shared" si="32"/>
        <v>1337150</v>
      </c>
      <c r="BC22" s="232">
        <f t="shared" ref="BC22" si="143">AW22*8%</f>
        <v>455200</v>
      </c>
      <c r="BD22" s="232">
        <f t="shared" ref="BD22" si="144">AW22*1.5%</f>
        <v>85350</v>
      </c>
      <c r="BE22" s="232">
        <f t="shared" ref="BE22" si="145">AW22*1%</f>
        <v>56900</v>
      </c>
      <c r="BF22" s="232">
        <f t="shared" si="36"/>
        <v>597450</v>
      </c>
      <c r="BG22" s="333">
        <v>11000000</v>
      </c>
      <c r="BH22" s="312">
        <v>0</v>
      </c>
      <c r="BI22" s="232">
        <f t="shared" si="37"/>
        <v>0</v>
      </c>
      <c r="BJ22" s="232">
        <f t="shared" si="38"/>
        <v>0</v>
      </c>
      <c r="BK22" s="232">
        <f t="shared" si="6"/>
        <v>8963461.538461538</v>
      </c>
      <c r="BL22" s="232">
        <f t="shared" ref="BL22" si="146">IF(BK22-BI22-BG22-BF22&lt;0,0,BK22-BI22-BG22-BF22)</f>
        <v>0</v>
      </c>
      <c r="BM22" s="232">
        <f t="shared" si="7"/>
        <v>0</v>
      </c>
      <c r="BN22" s="232">
        <v>35000</v>
      </c>
      <c r="BO22" s="232">
        <f t="shared" si="39"/>
        <v>8331011.538461538</v>
      </c>
      <c r="BP22" s="313"/>
      <c r="BQ22" s="377"/>
    </row>
    <row r="23" spans="1:71" s="163" customFormat="1" ht="39.950000000000003" customHeight="1">
      <c r="A23" s="407" t="s">
        <v>222</v>
      </c>
      <c r="B23" s="408"/>
      <c r="C23" s="409"/>
      <c r="D23" s="260">
        <f t="shared" ref="D23:AI23" si="147">SUM(D10:D22)</f>
        <v>2712</v>
      </c>
      <c r="E23" s="261">
        <f t="shared" si="147"/>
        <v>2311</v>
      </c>
      <c r="F23" s="261">
        <f t="shared" si="147"/>
        <v>0</v>
      </c>
      <c r="G23" s="261">
        <f t="shared" si="147"/>
        <v>0</v>
      </c>
      <c r="H23" s="261"/>
      <c r="I23" s="261">
        <f t="shared" si="147"/>
        <v>1.5</v>
      </c>
      <c r="J23" s="261">
        <f t="shared" si="147"/>
        <v>1.5</v>
      </c>
      <c r="K23" s="261">
        <f t="shared" si="147"/>
        <v>2.5</v>
      </c>
      <c r="L23" s="261">
        <f t="shared" si="147"/>
        <v>0</v>
      </c>
      <c r="M23" s="261">
        <f t="shared" si="147"/>
        <v>0</v>
      </c>
      <c r="N23" s="261">
        <f t="shared" si="147"/>
        <v>0</v>
      </c>
      <c r="O23" s="261">
        <f t="shared" si="147"/>
        <v>0</v>
      </c>
      <c r="P23" s="261">
        <f t="shared" si="147"/>
        <v>0</v>
      </c>
      <c r="Q23" s="260">
        <f t="shared" si="147"/>
        <v>86026000</v>
      </c>
      <c r="R23" s="260">
        <f t="shared" si="147"/>
        <v>16200000</v>
      </c>
      <c r="S23" s="260">
        <f t="shared" si="147"/>
        <v>2400000</v>
      </c>
      <c r="T23" s="260">
        <f t="shared" si="147"/>
        <v>5700000</v>
      </c>
      <c r="U23" s="260">
        <f t="shared" si="147"/>
        <v>11400000</v>
      </c>
      <c r="V23" s="260">
        <f t="shared" si="147"/>
        <v>11700000</v>
      </c>
      <c r="W23" s="260">
        <f t="shared" si="147"/>
        <v>11400000</v>
      </c>
      <c r="X23" s="260">
        <f t="shared" si="147"/>
        <v>10400000</v>
      </c>
      <c r="Y23" s="260">
        <f t="shared" si="147"/>
        <v>12700000</v>
      </c>
      <c r="Z23" s="260">
        <f t="shared" si="147"/>
        <v>13700000</v>
      </c>
      <c r="AA23" s="260">
        <f>SUM(AA10:AA22)</f>
        <v>1940000</v>
      </c>
      <c r="AB23" s="260">
        <f t="shared" si="147"/>
        <v>100000</v>
      </c>
      <c r="AC23" s="260">
        <f t="shared" si="147"/>
        <v>5500000</v>
      </c>
      <c r="AD23" s="260">
        <f t="shared" si="147"/>
        <v>0</v>
      </c>
      <c r="AE23" s="260">
        <f t="shared" si="147"/>
        <v>200000</v>
      </c>
      <c r="AF23" s="260"/>
      <c r="AG23" s="260">
        <f t="shared" si="147"/>
        <v>0</v>
      </c>
      <c r="AH23" s="260">
        <f t="shared" si="147"/>
        <v>43540000</v>
      </c>
      <c r="AI23" s="260">
        <f t="shared" si="147"/>
        <v>110326000</v>
      </c>
      <c r="AJ23" s="260">
        <f t="shared" ref="AJ23:BO23" si="148">SUM(AJ10:AJ22)</f>
        <v>526309.11680911679</v>
      </c>
      <c r="AK23" s="260">
        <f t="shared" si="148"/>
        <v>98107115.384615377</v>
      </c>
      <c r="AL23" s="260">
        <f t="shared" si="148"/>
        <v>1514870.1923076925</v>
      </c>
      <c r="AM23" s="260">
        <f t="shared" si="148"/>
        <v>93937.499999999985</v>
      </c>
      <c r="AN23" s="260">
        <f t="shared" si="148"/>
        <v>96346.153846153844</v>
      </c>
      <c r="AO23" s="260">
        <f t="shared" si="148"/>
        <v>160576.92307692309</v>
      </c>
      <c r="AP23" s="260">
        <f t="shared" si="148"/>
        <v>0</v>
      </c>
      <c r="AQ23" s="260">
        <f t="shared" si="148"/>
        <v>0</v>
      </c>
      <c r="AR23" s="260">
        <f t="shared" si="148"/>
        <v>0</v>
      </c>
      <c r="AS23" s="260">
        <f t="shared" si="148"/>
        <v>0</v>
      </c>
      <c r="AT23" s="260">
        <f t="shared" si="148"/>
        <v>0</v>
      </c>
      <c r="AU23" s="260">
        <f t="shared" si="148"/>
        <v>1865730.7692307692</v>
      </c>
      <c r="AV23" s="260">
        <f>SUM(AV10:AV22)</f>
        <v>143512846.15384614</v>
      </c>
      <c r="AW23" s="260">
        <f t="shared" si="148"/>
        <v>83276000</v>
      </c>
      <c r="AX23" s="260">
        <f t="shared" si="148"/>
        <v>14573300</v>
      </c>
      <c r="AY23" s="260">
        <f t="shared" si="148"/>
        <v>2498280</v>
      </c>
      <c r="AZ23" s="260">
        <f t="shared" si="148"/>
        <v>832760</v>
      </c>
      <c r="BA23" s="260">
        <f t="shared" si="148"/>
        <v>1665520</v>
      </c>
      <c r="BB23" s="260">
        <f>SUM(BB10:BB22)</f>
        <v>19569860</v>
      </c>
      <c r="BC23" s="260">
        <f t="shared" si="148"/>
        <v>6662080</v>
      </c>
      <c r="BD23" s="260">
        <f t="shared" si="148"/>
        <v>1249140</v>
      </c>
      <c r="BE23" s="260">
        <f t="shared" si="148"/>
        <v>832760</v>
      </c>
      <c r="BF23" s="260">
        <f t="shared" si="148"/>
        <v>8743980</v>
      </c>
      <c r="BG23" s="260">
        <f t="shared" si="148"/>
        <v>143000000</v>
      </c>
      <c r="BH23" s="260">
        <f t="shared" si="148"/>
        <v>6</v>
      </c>
      <c r="BI23" s="260">
        <f t="shared" si="148"/>
        <v>26400000</v>
      </c>
      <c r="BJ23" s="260">
        <f t="shared" si="148"/>
        <v>11700000</v>
      </c>
      <c r="BK23" s="260">
        <f t="shared" si="148"/>
        <v>134675874.53846154</v>
      </c>
      <c r="BL23" s="260">
        <f t="shared" si="148"/>
        <v>5866163</v>
      </c>
      <c r="BM23" s="260">
        <f t="shared" si="148"/>
        <v>305808</v>
      </c>
      <c r="BN23" s="260">
        <f>SUM(BN10:BN22)</f>
        <v>385000</v>
      </c>
      <c r="BO23" s="260">
        <f t="shared" si="148"/>
        <v>134078058.15384614</v>
      </c>
      <c r="BP23" s="262"/>
      <c r="BQ23" s="262">
        <f>BO23+'Payroll of factory  '!BO22+'Payroll of factory (SOI) '!BQ27+'Payroll of factory (DET).1'!BR40</f>
        <v>570768685.48557687</v>
      </c>
      <c r="BR23" s="162"/>
    </row>
    <row r="24" spans="1:71" s="90" customFormat="1" ht="30" customHeight="1">
      <c r="A24" s="88"/>
      <c r="B24" s="88"/>
      <c r="C24" s="88"/>
      <c r="D24" s="132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128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118"/>
      <c r="BQ24" s="89"/>
    </row>
    <row r="25" spans="1:71" s="106" customFormat="1" ht="25.5">
      <c r="A25" s="121"/>
      <c r="B25" s="410" t="s">
        <v>50</v>
      </c>
      <c r="C25" s="410"/>
      <c r="D25" s="410"/>
      <c r="E25" s="133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3"/>
      <c r="R25" s="124"/>
      <c r="S25" s="122"/>
      <c r="V25" s="122"/>
      <c r="W25" s="122"/>
      <c r="X25" s="122"/>
      <c r="AF25" s="127" t="s">
        <v>51</v>
      </c>
      <c r="AI25" s="127"/>
      <c r="AJ25" s="127"/>
      <c r="AL25" s="125"/>
      <c r="AM25" s="108"/>
      <c r="AN25" s="108"/>
      <c r="AO25" s="109"/>
      <c r="AP25" s="109"/>
      <c r="AQ25" s="109"/>
      <c r="AU25" s="108"/>
      <c r="AV25" s="137"/>
      <c r="AW25" s="136"/>
      <c r="AX25" s="108"/>
      <c r="AY25" s="111"/>
      <c r="AZ25" s="108"/>
      <c r="BA25" s="108"/>
      <c r="BB25" s="321"/>
      <c r="BC25" s="108"/>
      <c r="BD25" s="108"/>
      <c r="BF25" s="109"/>
      <c r="BH25" s="109"/>
      <c r="BI25" s="109"/>
      <c r="BJ25" s="111"/>
      <c r="BM25" s="126"/>
      <c r="BO25" s="126" t="s">
        <v>52</v>
      </c>
      <c r="BR25" s="127"/>
      <c r="BS25" s="127"/>
    </row>
    <row r="26" spans="1:71"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6"/>
      <c r="R26" s="80"/>
      <c r="S26" s="67"/>
      <c r="V26" s="67"/>
      <c r="W26" s="67"/>
      <c r="AV26" s="31"/>
      <c r="BE26" s="37"/>
      <c r="BO26" s="37"/>
      <c r="BQ26" s="141"/>
    </row>
    <row r="27" spans="1:71">
      <c r="AV27" s="31"/>
      <c r="BB27" s="37"/>
      <c r="BI27" s="68"/>
      <c r="BJ27" s="68"/>
      <c r="BK27" s="68"/>
      <c r="BO27" s="346"/>
    </row>
    <row r="28" spans="1:71">
      <c r="AV28" s="31"/>
      <c r="BI28" s="68"/>
      <c r="BJ28" s="68"/>
      <c r="BK28" s="68"/>
    </row>
    <row r="29" spans="1:71">
      <c r="AV29" s="31"/>
      <c r="BI29" s="68"/>
      <c r="BJ29" s="68"/>
      <c r="BK29" s="68"/>
    </row>
    <row r="30" spans="1:71">
      <c r="AU30" s="37"/>
      <c r="AV30" s="31"/>
      <c r="BI30" s="68"/>
      <c r="BJ30" s="69"/>
      <c r="BK30" s="69"/>
    </row>
    <row r="31" spans="1:71">
      <c r="AL31" s="37"/>
      <c r="AU31" s="37"/>
      <c r="AV31" s="31"/>
      <c r="BD31" s="37"/>
      <c r="BI31" s="68"/>
      <c r="BJ31" s="68"/>
      <c r="BK31" s="68"/>
    </row>
    <row r="32" spans="1:71">
      <c r="AU32" s="37"/>
      <c r="AV32" s="31"/>
      <c r="BI32" s="68"/>
      <c r="BJ32" s="68"/>
      <c r="BK32" s="68"/>
    </row>
    <row r="33" spans="48:63">
      <c r="AV33" s="31"/>
      <c r="BJ33" s="39"/>
    </row>
    <row r="34" spans="48:63">
      <c r="BB34" s="37"/>
      <c r="BJ34" s="39"/>
    </row>
    <row r="35" spans="48:63">
      <c r="BB35" s="37"/>
      <c r="BJ35" s="39"/>
    </row>
    <row r="36" spans="48:63">
      <c r="BJ36" s="39"/>
    </row>
    <row r="37" spans="48:63">
      <c r="BK37" s="61"/>
    </row>
    <row r="38" spans="48:63">
      <c r="BJ38" s="39"/>
    </row>
  </sheetData>
  <sheetProtection selectLockedCells="1" selectUnlockedCells="1"/>
  <autoFilter ref="A8:WXV25" xr:uid="{00000000-0009-0000-0000-000006000000}"/>
  <mergeCells count="27">
    <mergeCell ref="A3:BO3"/>
    <mergeCell ref="A4:BO4"/>
    <mergeCell ref="A7:A8"/>
    <mergeCell ref="B7:B8"/>
    <mergeCell ref="C7:C8"/>
    <mergeCell ref="AW7:BB7"/>
    <mergeCell ref="BC7:BF7"/>
    <mergeCell ref="AL7:AU7"/>
    <mergeCell ref="Q7:T7"/>
    <mergeCell ref="E7:F7"/>
    <mergeCell ref="G7:G8"/>
    <mergeCell ref="D7:D8"/>
    <mergeCell ref="U7:AE7"/>
    <mergeCell ref="AF7:AF8"/>
    <mergeCell ref="A23:C23"/>
    <mergeCell ref="B25:D25"/>
    <mergeCell ref="BQ7:BQ8"/>
    <mergeCell ref="AK7:AK8"/>
    <mergeCell ref="BO7:BO8"/>
    <mergeCell ref="BG7:BM7"/>
    <mergeCell ref="BP7:BP8"/>
    <mergeCell ref="AV7:AV8"/>
    <mergeCell ref="AJ7:AJ8"/>
    <mergeCell ref="AI7:AI8"/>
    <mergeCell ref="AH7:AH8"/>
    <mergeCell ref="H7:P7"/>
    <mergeCell ref="AG7:AG8"/>
  </mergeCells>
  <printOptions horizontalCentered="1"/>
  <pageMargins left="0.50812500000000005" right="0.6" top="0.75" bottom="0.75" header="0.3" footer="0.3"/>
  <pageSetup paperSize="8" scale="47" fitToHeight="0" orientation="landscape" r:id="rId1"/>
  <colBreaks count="1" manualBreakCount="1">
    <brk id="69" max="1048575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0000"/>
    <pageSetUpPr fitToPage="1"/>
  </sheetPr>
  <dimension ref="A1:WXU33"/>
  <sheetViews>
    <sheetView view="pageBreakPreview" zoomScale="96" zoomScaleNormal="112" zoomScaleSheetLayoutView="96" workbookViewId="0">
      <pane xSplit="33" ySplit="7" topLeftCell="BW23" activePane="bottomRight" state="frozen"/>
      <selection pane="topRight" activeCell="AH1" sqref="AH1"/>
      <selection pane="bottomLeft" activeCell="A8" sqref="A8"/>
      <selection pane="bottomRight" activeCell="AE25" sqref="AE25:CF28"/>
    </sheetView>
  </sheetViews>
  <sheetFormatPr defaultRowHeight="15"/>
  <cols>
    <col min="1" max="1" width="6.7109375" style="2" customWidth="1"/>
    <col min="2" max="2" width="27.5703125" style="2" customWidth="1"/>
    <col min="3" max="3" width="9" style="2" customWidth="1"/>
    <col min="4" max="4" width="9" style="3" hidden="1" customWidth="1"/>
    <col min="5" max="5" width="8.140625" style="3" customWidth="1"/>
    <col min="6" max="7" width="6.7109375" style="3" hidden="1" customWidth="1"/>
    <col min="8" max="8" width="8.28515625" style="3" customWidth="1"/>
    <col min="9" max="9" width="6.7109375" style="3" hidden="1" customWidth="1"/>
    <col min="10" max="10" width="6.7109375" style="3" customWidth="1"/>
    <col min="11" max="16" width="6.7109375" style="3" hidden="1" customWidth="1"/>
    <col min="17" max="17" width="13.7109375" style="4" customWidth="1"/>
    <col min="18" max="18" width="12.7109375" style="2" customWidth="1"/>
    <col min="19" max="19" width="12" style="2" hidden="1" customWidth="1"/>
    <col min="20" max="20" width="12.42578125" style="5" customWidth="1"/>
    <col min="21" max="21" width="11" style="5" hidden="1" customWidth="1"/>
    <col min="22" max="22" width="13.5703125" style="2" customWidth="1"/>
    <col min="23" max="23" width="10" style="2" hidden="1" customWidth="1"/>
    <col min="24" max="24" width="13.140625" style="2" customWidth="1"/>
    <col min="25" max="25" width="10.28515625" style="2" hidden="1" customWidth="1"/>
    <col min="26" max="26" width="14.28515625" style="2" customWidth="1"/>
    <col min="27" max="27" width="9.85546875" style="2" hidden="1" customWidth="1"/>
    <col min="28" max="28" width="10.85546875" style="2" customWidth="1"/>
    <col min="29" max="29" width="12.42578125" style="2" customWidth="1"/>
    <col min="30" max="30" width="10.5703125" style="5" customWidth="1"/>
    <col min="31" max="31" width="12.42578125" style="5" customWidth="1"/>
    <col min="32" max="33" width="14.42578125" style="5" hidden="1" customWidth="1"/>
    <col min="34" max="34" width="14.140625" style="2" customWidth="1"/>
    <col min="35" max="35" width="14.5703125" style="5" customWidth="1"/>
    <col min="36" max="36" width="12.5703125" style="2" customWidth="1"/>
    <col min="37" max="37" width="15" style="5" customWidth="1"/>
    <col min="38" max="38" width="12.85546875" style="5" customWidth="1"/>
    <col min="39" max="39" width="8.7109375" style="5" hidden="1" customWidth="1"/>
    <col min="40" max="40" width="10.42578125" style="5" customWidth="1"/>
    <col min="41" max="42" width="8.7109375" style="5" hidden="1" customWidth="1"/>
    <col min="43" max="44" width="8.5703125" style="5" hidden="1" customWidth="1"/>
    <col min="45" max="45" width="8.85546875" style="5" hidden="1" customWidth="1"/>
    <col min="46" max="46" width="9.28515625" style="5" hidden="1" customWidth="1"/>
    <col min="47" max="47" width="13" style="5" customWidth="1"/>
    <col min="48" max="48" width="15.85546875" style="2" customWidth="1"/>
    <col min="49" max="49" width="14.28515625" style="5" customWidth="1"/>
    <col min="50" max="50" width="13.7109375" style="2" hidden="1" customWidth="1"/>
    <col min="51" max="51" width="12.28515625" style="2" hidden="1" customWidth="1"/>
    <col min="52" max="52" width="10.140625" style="2" hidden="1" customWidth="1"/>
    <col min="53" max="53" width="12.85546875" style="2" hidden="1" customWidth="1"/>
    <col min="54" max="54" width="14.42578125" style="5" customWidth="1"/>
    <col min="55" max="55" width="12" style="2" hidden="1" customWidth="1"/>
    <col min="56" max="56" width="11" style="2" hidden="1" customWidth="1"/>
    <col min="57" max="57" width="10" style="2" hidden="1" customWidth="1"/>
    <col min="58" max="58" width="14.7109375" style="5" customWidth="1"/>
    <col min="59" max="59" width="15.42578125" style="2" hidden="1" customWidth="1"/>
    <col min="60" max="60" width="8.42578125" style="2" hidden="1" customWidth="1"/>
    <col min="61" max="61" width="9.42578125" style="6" hidden="1" customWidth="1"/>
    <col min="62" max="62" width="11.85546875" style="6" hidden="1" customWidth="1"/>
    <col min="63" max="63" width="14.5703125" style="7" hidden="1" customWidth="1"/>
    <col min="64" max="64" width="10.42578125" style="2" hidden="1" customWidth="1"/>
    <col min="65" max="65" width="10.28515625" style="2" customWidth="1"/>
    <col min="66" max="66" width="11" style="5" customWidth="1"/>
    <col min="67" max="67" width="14.7109375" style="2" customWidth="1"/>
    <col min="68" max="68" width="15.42578125" style="119" hidden="1" customWidth="1"/>
    <col min="69" max="69" width="14.42578125" style="73" customWidth="1"/>
    <col min="70" max="70" width="10.140625" style="2" bestFit="1" customWidth="1"/>
    <col min="71" max="71" width="11.140625" style="2" bestFit="1" customWidth="1"/>
    <col min="72" max="282" width="9.140625" style="2"/>
    <col min="283" max="283" width="0" style="2" hidden="1" customWidth="1"/>
    <col min="284" max="284" width="11.42578125" style="2" customWidth="1"/>
    <col min="285" max="285" width="7.5703125" style="2" customWidth="1"/>
    <col min="286" max="286" width="17.85546875" style="2" customWidth="1"/>
    <col min="287" max="287" width="3.5703125" style="2" customWidth="1"/>
    <col min="288" max="293" width="0" style="2" hidden="1" customWidth="1"/>
    <col min="294" max="294" width="11" style="2" customWidth="1"/>
    <col min="295" max="297" width="0" style="2" hidden="1" customWidth="1"/>
    <col min="298" max="298" width="10.7109375" style="2" customWidth="1"/>
    <col min="299" max="303" width="0" style="2" hidden="1" customWidth="1"/>
    <col min="304" max="304" width="13.140625" style="2" customWidth="1"/>
    <col min="305" max="305" width="10.42578125" style="2" customWidth="1"/>
    <col min="306" max="306" width="10.28515625" style="2" customWidth="1"/>
    <col min="307" max="307" width="9.85546875" style="2" customWidth="1"/>
    <col min="308" max="308" width="10.7109375" style="2" customWidth="1"/>
    <col min="309" max="309" width="10" style="2" customWidth="1"/>
    <col min="310" max="310" width="9.5703125" style="2" customWidth="1"/>
    <col min="311" max="311" width="10.7109375" style="2" customWidth="1"/>
    <col min="312" max="312" width="9.85546875" style="2" customWidth="1"/>
    <col min="313" max="316" width="0" style="2" hidden="1" customWidth="1"/>
    <col min="317" max="317" width="9.85546875" style="2" customWidth="1"/>
    <col min="318" max="318" width="10.85546875" style="2" customWidth="1"/>
    <col min="319" max="319" width="11.5703125" style="2" customWidth="1"/>
    <col min="320" max="321" width="0" style="2" hidden="1" customWidth="1"/>
    <col min="322" max="538" width="9.140625" style="2"/>
    <col min="539" max="539" width="0" style="2" hidden="1" customWidth="1"/>
    <col min="540" max="540" width="11.42578125" style="2" customWidth="1"/>
    <col min="541" max="541" width="7.5703125" style="2" customWidth="1"/>
    <col min="542" max="542" width="17.85546875" style="2" customWidth="1"/>
    <col min="543" max="543" width="3.5703125" style="2" customWidth="1"/>
    <col min="544" max="549" width="0" style="2" hidden="1" customWidth="1"/>
    <col min="550" max="550" width="11" style="2" customWidth="1"/>
    <col min="551" max="553" width="0" style="2" hidden="1" customWidth="1"/>
    <col min="554" max="554" width="10.7109375" style="2" customWidth="1"/>
    <col min="555" max="559" width="0" style="2" hidden="1" customWidth="1"/>
    <col min="560" max="560" width="13.140625" style="2" customWidth="1"/>
    <col min="561" max="561" width="10.42578125" style="2" customWidth="1"/>
    <col min="562" max="562" width="10.28515625" style="2" customWidth="1"/>
    <col min="563" max="563" width="9.85546875" style="2" customWidth="1"/>
    <col min="564" max="564" width="10.7109375" style="2" customWidth="1"/>
    <col min="565" max="565" width="10" style="2" customWidth="1"/>
    <col min="566" max="566" width="9.5703125" style="2" customWidth="1"/>
    <col min="567" max="567" width="10.7109375" style="2" customWidth="1"/>
    <col min="568" max="568" width="9.85546875" style="2" customWidth="1"/>
    <col min="569" max="572" width="0" style="2" hidden="1" customWidth="1"/>
    <col min="573" max="573" width="9.85546875" style="2" customWidth="1"/>
    <col min="574" max="574" width="10.85546875" style="2" customWidth="1"/>
    <col min="575" max="575" width="11.5703125" style="2" customWidth="1"/>
    <col min="576" max="577" width="0" style="2" hidden="1" customWidth="1"/>
    <col min="578" max="794" width="9.140625" style="2"/>
    <col min="795" max="795" width="0" style="2" hidden="1" customWidth="1"/>
    <col min="796" max="796" width="11.42578125" style="2" customWidth="1"/>
    <col min="797" max="797" width="7.5703125" style="2" customWidth="1"/>
    <col min="798" max="798" width="17.85546875" style="2" customWidth="1"/>
    <col min="799" max="799" width="3.5703125" style="2" customWidth="1"/>
    <col min="800" max="805" width="0" style="2" hidden="1" customWidth="1"/>
    <col min="806" max="806" width="11" style="2" customWidth="1"/>
    <col min="807" max="809" width="0" style="2" hidden="1" customWidth="1"/>
    <col min="810" max="810" width="10.7109375" style="2" customWidth="1"/>
    <col min="811" max="815" width="0" style="2" hidden="1" customWidth="1"/>
    <col min="816" max="816" width="13.140625" style="2" customWidth="1"/>
    <col min="817" max="817" width="10.42578125" style="2" customWidth="1"/>
    <col min="818" max="818" width="10.28515625" style="2" customWidth="1"/>
    <col min="819" max="819" width="9.85546875" style="2" customWidth="1"/>
    <col min="820" max="820" width="10.7109375" style="2" customWidth="1"/>
    <col min="821" max="821" width="10" style="2" customWidth="1"/>
    <col min="822" max="822" width="9.5703125" style="2" customWidth="1"/>
    <col min="823" max="823" width="10.7109375" style="2" customWidth="1"/>
    <col min="824" max="824" width="9.85546875" style="2" customWidth="1"/>
    <col min="825" max="828" width="0" style="2" hidden="1" customWidth="1"/>
    <col min="829" max="829" width="9.85546875" style="2" customWidth="1"/>
    <col min="830" max="830" width="10.85546875" style="2" customWidth="1"/>
    <col min="831" max="831" width="11.5703125" style="2" customWidth="1"/>
    <col min="832" max="833" width="0" style="2" hidden="1" customWidth="1"/>
    <col min="834" max="1050" width="9.140625" style="2"/>
    <col min="1051" max="1051" width="0" style="2" hidden="1" customWidth="1"/>
    <col min="1052" max="1052" width="11.42578125" style="2" customWidth="1"/>
    <col min="1053" max="1053" width="7.5703125" style="2" customWidth="1"/>
    <col min="1054" max="1054" width="17.85546875" style="2" customWidth="1"/>
    <col min="1055" max="1055" width="3.5703125" style="2" customWidth="1"/>
    <col min="1056" max="1061" width="0" style="2" hidden="1" customWidth="1"/>
    <col min="1062" max="1062" width="11" style="2" customWidth="1"/>
    <col min="1063" max="1065" width="0" style="2" hidden="1" customWidth="1"/>
    <col min="1066" max="1066" width="10.7109375" style="2" customWidth="1"/>
    <col min="1067" max="1071" width="0" style="2" hidden="1" customWidth="1"/>
    <col min="1072" max="1072" width="13.140625" style="2" customWidth="1"/>
    <col min="1073" max="1073" width="10.42578125" style="2" customWidth="1"/>
    <col min="1074" max="1074" width="10.28515625" style="2" customWidth="1"/>
    <col min="1075" max="1075" width="9.85546875" style="2" customWidth="1"/>
    <col min="1076" max="1076" width="10.7109375" style="2" customWidth="1"/>
    <col min="1077" max="1077" width="10" style="2" customWidth="1"/>
    <col min="1078" max="1078" width="9.5703125" style="2" customWidth="1"/>
    <col min="1079" max="1079" width="10.7109375" style="2" customWidth="1"/>
    <col min="1080" max="1080" width="9.85546875" style="2" customWidth="1"/>
    <col min="1081" max="1084" width="0" style="2" hidden="1" customWidth="1"/>
    <col min="1085" max="1085" width="9.85546875" style="2" customWidth="1"/>
    <col min="1086" max="1086" width="10.85546875" style="2" customWidth="1"/>
    <col min="1087" max="1087" width="11.5703125" style="2" customWidth="1"/>
    <col min="1088" max="1089" width="0" style="2" hidden="1" customWidth="1"/>
    <col min="1090" max="1306" width="9.140625" style="2"/>
    <col min="1307" max="1307" width="0" style="2" hidden="1" customWidth="1"/>
    <col min="1308" max="1308" width="11.42578125" style="2" customWidth="1"/>
    <col min="1309" max="1309" width="7.5703125" style="2" customWidth="1"/>
    <col min="1310" max="1310" width="17.85546875" style="2" customWidth="1"/>
    <col min="1311" max="1311" width="3.5703125" style="2" customWidth="1"/>
    <col min="1312" max="1317" width="0" style="2" hidden="1" customWidth="1"/>
    <col min="1318" max="1318" width="11" style="2" customWidth="1"/>
    <col min="1319" max="1321" width="0" style="2" hidden="1" customWidth="1"/>
    <col min="1322" max="1322" width="10.7109375" style="2" customWidth="1"/>
    <col min="1323" max="1327" width="0" style="2" hidden="1" customWidth="1"/>
    <col min="1328" max="1328" width="13.140625" style="2" customWidth="1"/>
    <col min="1329" max="1329" width="10.42578125" style="2" customWidth="1"/>
    <col min="1330" max="1330" width="10.28515625" style="2" customWidth="1"/>
    <col min="1331" max="1331" width="9.85546875" style="2" customWidth="1"/>
    <col min="1332" max="1332" width="10.7109375" style="2" customWidth="1"/>
    <col min="1333" max="1333" width="10" style="2" customWidth="1"/>
    <col min="1334" max="1334" width="9.5703125" style="2" customWidth="1"/>
    <col min="1335" max="1335" width="10.7109375" style="2" customWidth="1"/>
    <col min="1336" max="1336" width="9.85546875" style="2" customWidth="1"/>
    <col min="1337" max="1340" width="0" style="2" hidden="1" customWidth="1"/>
    <col min="1341" max="1341" width="9.85546875" style="2" customWidth="1"/>
    <col min="1342" max="1342" width="10.85546875" style="2" customWidth="1"/>
    <col min="1343" max="1343" width="11.5703125" style="2" customWidth="1"/>
    <col min="1344" max="1345" width="0" style="2" hidden="1" customWidth="1"/>
    <col min="1346" max="1562" width="9.140625" style="2"/>
    <col min="1563" max="1563" width="0" style="2" hidden="1" customWidth="1"/>
    <col min="1564" max="1564" width="11.42578125" style="2" customWidth="1"/>
    <col min="1565" max="1565" width="7.5703125" style="2" customWidth="1"/>
    <col min="1566" max="1566" width="17.85546875" style="2" customWidth="1"/>
    <col min="1567" max="1567" width="3.5703125" style="2" customWidth="1"/>
    <col min="1568" max="1573" width="0" style="2" hidden="1" customWidth="1"/>
    <col min="1574" max="1574" width="11" style="2" customWidth="1"/>
    <col min="1575" max="1577" width="0" style="2" hidden="1" customWidth="1"/>
    <col min="1578" max="1578" width="10.7109375" style="2" customWidth="1"/>
    <col min="1579" max="1583" width="0" style="2" hidden="1" customWidth="1"/>
    <col min="1584" max="1584" width="13.140625" style="2" customWidth="1"/>
    <col min="1585" max="1585" width="10.42578125" style="2" customWidth="1"/>
    <col min="1586" max="1586" width="10.28515625" style="2" customWidth="1"/>
    <col min="1587" max="1587" width="9.85546875" style="2" customWidth="1"/>
    <col min="1588" max="1588" width="10.7109375" style="2" customWidth="1"/>
    <col min="1589" max="1589" width="10" style="2" customWidth="1"/>
    <col min="1590" max="1590" width="9.5703125" style="2" customWidth="1"/>
    <col min="1591" max="1591" width="10.7109375" style="2" customWidth="1"/>
    <col min="1592" max="1592" width="9.85546875" style="2" customWidth="1"/>
    <col min="1593" max="1596" width="0" style="2" hidden="1" customWidth="1"/>
    <col min="1597" max="1597" width="9.85546875" style="2" customWidth="1"/>
    <col min="1598" max="1598" width="10.85546875" style="2" customWidth="1"/>
    <col min="1599" max="1599" width="11.5703125" style="2" customWidth="1"/>
    <col min="1600" max="1601" width="0" style="2" hidden="1" customWidth="1"/>
    <col min="1602" max="1818" width="9.140625" style="2"/>
    <col min="1819" max="1819" width="0" style="2" hidden="1" customWidth="1"/>
    <col min="1820" max="1820" width="11.42578125" style="2" customWidth="1"/>
    <col min="1821" max="1821" width="7.5703125" style="2" customWidth="1"/>
    <col min="1822" max="1822" width="17.85546875" style="2" customWidth="1"/>
    <col min="1823" max="1823" width="3.5703125" style="2" customWidth="1"/>
    <col min="1824" max="1829" width="0" style="2" hidden="1" customWidth="1"/>
    <col min="1830" max="1830" width="11" style="2" customWidth="1"/>
    <col min="1831" max="1833" width="0" style="2" hidden="1" customWidth="1"/>
    <col min="1834" max="1834" width="10.7109375" style="2" customWidth="1"/>
    <col min="1835" max="1839" width="0" style="2" hidden="1" customWidth="1"/>
    <col min="1840" max="1840" width="13.140625" style="2" customWidth="1"/>
    <col min="1841" max="1841" width="10.42578125" style="2" customWidth="1"/>
    <col min="1842" max="1842" width="10.28515625" style="2" customWidth="1"/>
    <col min="1843" max="1843" width="9.85546875" style="2" customWidth="1"/>
    <col min="1844" max="1844" width="10.7109375" style="2" customWidth="1"/>
    <col min="1845" max="1845" width="10" style="2" customWidth="1"/>
    <col min="1846" max="1846" width="9.5703125" style="2" customWidth="1"/>
    <col min="1847" max="1847" width="10.7109375" style="2" customWidth="1"/>
    <col min="1848" max="1848" width="9.85546875" style="2" customWidth="1"/>
    <col min="1849" max="1852" width="0" style="2" hidden="1" customWidth="1"/>
    <col min="1853" max="1853" width="9.85546875" style="2" customWidth="1"/>
    <col min="1854" max="1854" width="10.85546875" style="2" customWidth="1"/>
    <col min="1855" max="1855" width="11.5703125" style="2" customWidth="1"/>
    <col min="1856" max="1857" width="0" style="2" hidden="1" customWidth="1"/>
    <col min="1858" max="2074" width="9.140625" style="2"/>
    <col min="2075" max="2075" width="0" style="2" hidden="1" customWidth="1"/>
    <col min="2076" max="2076" width="11.42578125" style="2" customWidth="1"/>
    <col min="2077" max="2077" width="7.5703125" style="2" customWidth="1"/>
    <col min="2078" max="2078" width="17.85546875" style="2" customWidth="1"/>
    <col min="2079" max="2079" width="3.5703125" style="2" customWidth="1"/>
    <col min="2080" max="2085" width="0" style="2" hidden="1" customWidth="1"/>
    <col min="2086" max="2086" width="11" style="2" customWidth="1"/>
    <col min="2087" max="2089" width="0" style="2" hidden="1" customWidth="1"/>
    <col min="2090" max="2090" width="10.7109375" style="2" customWidth="1"/>
    <col min="2091" max="2095" width="0" style="2" hidden="1" customWidth="1"/>
    <col min="2096" max="2096" width="13.140625" style="2" customWidth="1"/>
    <col min="2097" max="2097" width="10.42578125" style="2" customWidth="1"/>
    <col min="2098" max="2098" width="10.28515625" style="2" customWidth="1"/>
    <col min="2099" max="2099" width="9.85546875" style="2" customWidth="1"/>
    <col min="2100" max="2100" width="10.7109375" style="2" customWidth="1"/>
    <col min="2101" max="2101" width="10" style="2" customWidth="1"/>
    <col min="2102" max="2102" width="9.5703125" style="2" customWidth="1"/>
    <col min="2103" max="2103" width="10.7109375" style="2" customWidth="1"/>
    <col min="2104" max="2104" width="9.85546875" style="2" customWidth="1"/>
    <col min="2105" max="2108" width="0" style="2" hidden="1" customWidth="1"/>
    <col min="2109" max="2109" width="9.85546875" style="2" customWidth="1"/>
    <col min="2110" max="2110" width="10.85546875" style="2" customWidth="1"/>
    <col min="2111" max="2111" width="11.5703125" style="2" customWidth="1"/>
    <col min="2112" max="2113" width="0" style="2" hidden="1" customWidth="1"/>
    <col min="2114" max="2330" width="9.140625" style="2"/>
    <col min="2331" max="2331" width="0" style="2" hidden="1" customWidth="1"/>
    <col min="2332" max="2332" width="11.42578125" style="2" customWidth="1"/>
    <col min="2333" max="2333" width="7.5703125" style="2" customWidth="1"/>
    <col min="2334" max="2334" width="17.85546875" style="2" customWidth="1"/>
    <col min="2335" max="2335" width="3.5703125" style="2" customWidth="1"/>
    <col min="2336" max="2341" width="0" style="2" hidden="1" customWidth="1"/>
    <col min="2342" max="2342" width="11" style="2" customWidth="1"/>
    <col min="2343" max="2345" width="0" style="2" hidden="1" customWidth="1"/>
    <col min="2346" max="2346" width="10.7109375" style="2" customWidth="1"/>
    <col min="2347" max="2351" width="0" style="2" hidden="1" customWidth="1"/>
    <col min="2352" max="2352" width="13.140625" style="2" customWidth="1"/>
    <col min="2353" max="2353" width="10.42578125" style="2" customWidth="1"/>
    <col min="2354" max="2354" width="10.28515625" style="2" customWidth="1"/>
    <col min="2355" max="2355" width="9.85546875" style="2" customWidth="1"/>
    <col min="2356" max="2356" width="10.7109375" style="2" customWidth="1"/>
    <col min="2357" max="2357" width="10" style="2" customWidth="1"/>
    <col min="2358" max="2358" width="9.5703125" style="2" customWidth="1"/>
    <col min="2359" max="2359" width="10.7109375" style="2" customWidth="1"/>
    <col min="2360" max="2360" width="9.85546875" style="2" customWidth="1"/>
    <col min="2361" max="2364" width="0" style="2" hidden="1" customWidth="1"/>
    <col min="2365" max="2365" width="9.85546875" style="2" customWidth="1"/>
    <col min="2366" max="2366" width="10.85546875" style="2" customWidth="1"/>
    <col min="2367" max="2367" width="11.5703125" style="2" customWidth="1"/>
    <col min="2368" max="2369" width="0" style="2" hidden="1" customWidth="1"/>
    <col min="2370" max="2586" width="9.140625" style="2"/>
    <col min="2587" max="2587" width="0" style="2" hidden="1" customWidth="1"/>
    <col min="2588" max="2588" width="11.42578125" style="2" customWidth="1"/>
    <col min="2589" max="2589" width="7.5703125" style="2" customWidth="1"/>
    <col min="2590" max="2590" width="17.85546875" style="2" customWidth="1"/>
    <col min="2591" max="2591" width="3.5703125" style="2" customWidth="1"/>
    <col min="2592" max="2597" width="0" style="2" hidden="1" customWidth="1"/>
    <col min="2598" max="2598" width="11" style="2" customWidth="1"/>
    <col min="2599" max="2601" width="0" style="2" hidden="1" customWidth="1"/>
    <col min="2602" max="2602" width="10.7109375" style="2" customWidth="1"/>
    <col min="2603" max="2607" width="0" style="2" hidden="1" customWidth="1"/>
    <col min="2608" max="2608" width="13.140625" style="2" customWidth="1"/>
    <col min="2609" max="2609" width="10.42578125" style="2" customWidth="1"/>
    <col min="2610" max="2610" width="10.28515625" style="2" customWidth="1"/>
    <col min="2611" max="2611" width="9.85546875" style="2" customWidth="1"/>
    <col min="2612" max="2612" width="10.7109375" style="2" customWidth="1"/>
    <col min="2613" max="2613" width="10" style="2" customWidth="1"/>
    <col min="2614" max="2614" width="9.5703125" style="2" customWidth="1"/>
    <col min="2615" max="2615" width="10.7109375" style="2" customWidth="1"/>
    <col min="2616" max="2616" width="9.85546875" style="2" customWidth="1"/>
    <col min="2617" max="2620" width="0" style="2" hidden="1" customWidth="1"/>
    <col min="2621" max="2621" width="9.85546875" style="2" customWidth="1"/>
    <col min="2622" max="2622" width="10.85546875" style="2" customWidth="1"/>
    <col min="2623" max="2623" width="11.5703125" style="2" customWidth="1"/>
    <col min="2624" max="2625" width="0" style="2" hidden="1" customWidth="1"/>
    <col min="2626" max="2842" width="9.140625" style="2"/>
    <col min="2843" max="2843" width="0" style="2" hidden="1" customWidth="1"/>
    <col min="2844" max="2844" width="11.42578125" style="2" customWidth="1"/>
    <col min="2845" max="2845" width="7.5703125" style="2" customWidth="1"/>
    <col min="2846" max="2846" width="17.85546875" style="2" customWidth="1"/>
    <col min="2847" max="2847" width="3.5703125" style="2" customWidth="1"/>
    <col min="2848" max="2853" width="0" style="2" hidden="1" customWidth="1"/>
    <col min="2854" max="2854" width="11" style="2" customWidth="1"/>
    <col min="2855" max="2857" width="0" style="2" hidden="1" customWidth="1"/>
    <col min="2858" max="2858" width="10.7109375" style="2" customWidth="1"/>
    <col min="2859" max="2863" width="0" style="2" hidden="1" customWidth="1"/>
    <col min="2864" max="2864" width="13.140625" style="2" customWidth="1"/>
    <col min="2865" max="2865" width="10.42578125" style="2" customWidth="1"/>
    <col min="2866" max="2866" width="10.28515625" style="2" customWidth="1"/>
    <col min="2867" max="2867" width="9.85546875" style="2" customWidth="1"/>
    <col min="2868" max="2868" width="10.7109375" style="2" customWidth="1"/>
    <col min="2869" max="2869" width="10" style="2" customWidth="1"/>
    <col min="2870" max="2870" width="9.5703125" style="2" customWidth="1"/>
    <col min="2871" max="2871" width="10.7109375" style="2" customWidth="1"/>
    <col min="2872" max="2872" width="9.85546875" style="2" customWidth="1"/>
    <col min="2873" max="2876" width="0" style="2" hidden="1" customWidth="1"/>
    <col min="2877" max="2877" width="9.85546875" style="2" customWidth="1"/>
    <col min="2878" max="2878" width="10.85546875" style="2" customWidth="1"/>
    <col min="2879" max="2879" width="11.5703125" style="2" customWidth="1"/>
    <col min="2880" max="2881" width="0" style="2" hidden="1" customWidth="1"/>
    <col min="2882" max="3098" width="9.140625" style="2"/>
    <col min="3099" max="3099" width="0" style="2" hidden="1" customWidth="1"/>
    <col min="3100" max="3100" width="11.42578125" style="2" customWidth="1"/>
    <col min="3101" max="3101" width="7.5703125" style="2" customWidth="1"/>
    <col min="3102" max="3102" width="17.85546875" style="2" customWidth="1"/>
    <col min="3103" max="3103" width="3.5703125" style="2" customWidth="1"/>
    <col min="3104" max="3109" width="0" style="2" hidden="1" customWidth="1"/>
    <col min="3110" max="3110" width="11" style="2" customWidth="1"/>
    <col min="3111" max="3113" width="0" style="2" hidden="1" customWidth="1"/>
    <col min="3114" max="3114" width="10.7109375" style="2" customWidth="1"/>
    <col min="3115" max="3119" width="0" style="2" hidden="1" customWidth="1"/>
    <col min="3120" max="3120" width="13.140625" style="2" customWidth="1"/>
    <col min="3121" max="3121" width="10.42578125" style="2" customWidth="1"/>
    <col min="3122" max="3122" width="10.28515625" style="2" customWidth="1"/>
    <col min="3123" max="3123" width="9.85546875" style="2" customWidth="1"/>
    <col min="3124" max="3124" width="10.7109375" style="2" customWidth="1"/>
    <col min="3125" max="3125" width="10" style="2" customWidth="1"/>
    <col min="3126" max="3126" width="9.5703125" style="2" customWidth="1"/>
    <col min="3127" max="3127" width="10.7109375" style="2" customWidth="1"/>
    <col min="3128" max="3128" width="9.85546875" style="2" customWidth="1"/>
    <col min="3129" max="3132" width="0" style="2" hidden="1" customWidth="1"/>
    <col min="3133" max="3133" width="9.85546875" style="2" customWidth="1"/>
    <col min="3134" max="3134" width="10.85546875" style="2" customWidth="1"/>
    <col min="3135" max="3135" width="11.5703125" style="2" customWidth="1"/>
    <col min="3136" max="3137" width="0" style="2" hidden="1" customWidth="1"/>
    <col min="3138" max="3354" width="9.140625" style="2"/>
    <col min="3355" max="3355" width="0" style="2" hidden="1" customWidth="1"/>
    <col min="3356" max="3356" width="11.42578125" style="2" customWidth="1"/>
    <col min="3357" max="3357" width="7.5703125" style="2" customWidth="1"/>
    <col min="3358" max="3358" width="17.85546875" style="2" customWidth="1"/>
    <col min="3359" max="3359" width="3.5703125" style="2" customWidth="1"/>
    <col min="3360" max="3365" width="0" style="2" hidden="1" customWidth="1"/>
    <col min="3366" max="3366" width="11" style="2" customWidth="1"/>
    <col min="3367" max="3369" width="0" style="2" hidden="1" customWidth="1"/>
    <col min="3370" max="3370" width="10.7109375" style="2" customWidth="1"/>
    <col min="3371" max="3375" width="0" style="2" hidden="1" customWidth="1"/>
    <col min="3376" max="3376" width="13.140625" style="2" customWidth="1"/>
    <col min="3377" max="3377" width="10.42578125" style="2" customWidth="1"/>
    <col min="3378" max="3378" width="10.28515625" style="2" customWidth="1"/>
    <col min="3379" max="3379" width="9.85546875" style="2" customWidth="1"/>
    <col min="3380" max="3380" width="10.7109375" style="2" customWidth="1"/>
    <col min="3381" max="3381" width="10" style="2" customWidth="1"/>
    <col min="3382" max="3382" width="9.5703125" style="2" customWidth="1"/>
    <col min="3383" max="3383" width="10.7109375" style="2" customWidth="1"/>
    <col min="3384" max="3384" width="9.85546875" style="2" customWidth="1"/>
    <col min="3385" max="3388" width="0" style="2" hidden="1" customWidth="1"/>
    <col min="3389" max="3389" width="9.85546875" style="2" customWidth="1"/>
    <col min="3390" max="3390" width="10.85546875" style="2" customWidth="1"/>
    <col min="3391" max="3391" width="11.5703125" style="2" customWidth="1"/>
    <col min="3392" max="3393" width="0" style="2" hidden="1" customWidth="1"/>
    <col min="3394" max="3610" width="9.140625" style="2"/>
    <col min="3611" max="3611" width="0" style="2" hidden="1" customWidth="1"/>
    <col min="3612" max="3612" width="11.42578125" style="2" customWidth="1"/>
    <col min="3613" max="3613" width="7.5703125" style="2" customWidth="1"/>
    <col min="3614" max="3614" width="17.85546875" style="2" customWidth="1"/>
    <col min="3615" max="3615" width="3.5703125" style="2" customWidth="1"/>
    <col min="3616" max="3621" width="0" style="2" hidden="1" customWidth="1"/>
    <col min="3622" max="3622" width="11" style="2" customWidth="1"/>
    <col min="3623" max="3625" width="0" style="2" hidden="1" customWidth="1"/>
    <col min="3626" max="3626" width="10.7109375" style="2" customWidth="1"/>
    <col min="3627" max="3631" width="0" style="2" hidden="1" customWidth="1"/>
    <col min="3632" max="3632" width="13.140625" style="2" customWidth="1"/>
    <col min="3633" max="3633" width="10.42578125" style="2" customWidth="1"/>
    <col min="3634" max="3634" width="10.28515625" style="2" customWidth="1"/>
    <col min="3635" max="3635" width="9.85546875" style="2" customWidth="1"/>
    <col min="3636" max="3636" width="10.7109375" style="2" customWidth="1"/>
    <col min="3637" max="3637" width="10" style="2" customWidth="1"/>
    <col min="3638" max="3638" width="9.5703125" style="2" customWidth="1"/>
    <col min="3639" max="3639" width="10.7109375" style="2" customWidth="1"/>
    <col min="3640" max="3640" width="9.85546875" style="2" customWidth="1"/>
    <col min="3641" max="3644" width="0" style="2" hidden="1" customWidth="1"/>
    <col min="3645" max="3645" width="9.85546875" style="2" customWidth="1"/>
    <col min="3646" max="3646" width="10.85546875" style="2" customWidth="1"/>
    <col min="3647" max="3647" width="11.5703125" style="2" customWidth="1"/>
    <col min="3648" max="3649" width="0" style="2" hidden="1" customWidth="1"/>
    <col min="3650" max="3866" width="9.140625" style="2"/>
    <col min="3867" max="3867" width="0" style="2" hidden="1" customWidth="1"/>
    <col min="3868" max="3868" width="11.42578125" style="2" customWidth="1"/>
    <col min="3869" max="3869" width="7.5703125" style="2" customWidth="1"/>
    <col min="3870" max="3870" width="17.85546875" style="2" customWidth="1"/>
    <col min="3871" max="3871" width="3.5703125" style="2" customWidth="1"/>
    <col min="3872" max="3877" width="0" style="2" hidden="1" customWidth="1"/>
    <col min="3878" max="3878" width="11" style="2" customWidth="1"/>
    <col min="3879" max="3881" width="0" style="2" hidden="1" customWidth="1"/>
    <col min="3882" max="3882" width="10.7109375" style="2" customWidth="1"/>
    <col min="3883" max="3887" width="0" style="2" hidden="1" customWidth="1"/>
    <col min="3888" max="3888" width="13.140625" style="2" customWidth="1"/>
    <col min="3889" max="3889" width="10.42578125" style="2" customWidth="1"/>
    <col min="3890" max="3890" width="10.28515625" style="2" customWidth="1"/>
    <col min="3891" max="3891" width="9.85546875" style="2" customWidth="1"/>
    <col min="3892" max="3892" width="10.7109375" style="2" customWidth="1"/>
    <col min="3893" max="3893" width="10" style="2" customWidth="1"/>
    <col min="3894" max="3894" width="9.5703125" style="2" customWidth="1"/>
    <col min="3895" max="3895" width="10.7109375" style="2" customWidth="1"/>
    <col min="3896" max="3896" width="9.85546875" style="2" customWidth="1"/>
    <col min="3897" max="3900" width="0" style="2" hidden="1" customWidth="1"/>
    <col min="3901" max="3901" width="9.85546875" style="2" customWidth="1"/>
    <col min="3902" max="3902" width="10.85546875" style="2" customWidth="1"/>
    <col min="3903" max="3903" width="11.5703125" style="2" customWidth="1"/>
    <col min="3904" max="3905" width="0" style="2" hidden="1" customWidth="1"/>
    <col min="3906" max="4122" width="9.140625" style="2"/>
    <col min="4123" max="4123" width="0" style="2" hidden="1" customWidth="1"/>
    <col min="4124" max="4124" width="11.42578125" style="2" customWidth="1"/>
    <col min="4125" max="4125" width="7.5703125" style="2" customWidth="1"/>
    <col min="4126" max="4126" width="17.85546875" style="2" customWidth="1"/>
    <col min="4127" max="4127" width="3.5703125" style="2" customWidth="1"/>
    <col min="4128" max="4133" width="0" style="2" hidden="1" customWidth="1"/>
    <col min="4134" max="4134" width="11" style="2" customWidth="1"/>
    <col min="4135" max="4137" width="0" style="2" hidden="1" customWidth="1"/>
    <col min="4138" max="4138" width="10.7109375" style="2" customWidth="1"/>
    <col min="4139" max="4143" width="0" style="2" hidden="1" customWidth="1"/>
    <col min="4144" max="4144" width="13.140625" style="2" customWidth="1"/>
    <col min="4145" max="4145" width="10.42578125" style="2" customWidth="1"/>
    <col min="4146" max="4146" width="10.28515625" style="2" customWidth="1"/>
    <col min="4147" max="4147" width="9.85546875" style="2" customWidth="1"/>
    <col min="4148" max="4148" width="10.7109375" style="2" customWidth="1"/>
    <col min="4149" max="4149" width="10" style="2" customWidth="1"/>
    <col min="4150" max="4150" width="9.5703125" style="2" customWidth="1"/>
    <col min="4151" max="4151" width="10.7109375" style="2" customWidth="1"/>
    <col min="4152" max="4152" width="9.85546875" style="2" customWidth="1"/>
    <col min="4153" max="4156" width="0" style="2" hidden="1" customWidth="1"/>
    <col min="4157" max="4157" width="9.85546875" style="2" customWidth="1"/>
    <col min="4158" max="4158" width="10.85546875" style="2" customWidth="1"/>
    <col min="4159" max="4159" width="11.5703125" style="2" customWidth="1"/>
    <col min="4160" max="4161" width="0" style="2" hidden="1" customWidth="1"/>
    <col min="4162" max="4378" width="9.140625" style="2"/>
    <col min="4379" max="4379" width="0" style="2" hidden="1" customWidth="1"/>
    <col min="4380" max="4380" width="11.42578125" style="2" customWidth="1"/>
    <col min="4381" max="4381" width="7.5703125" style="2" customWidth="1"/>
    <col min="4382" max="4382" width="17.85546875" style="2" customWidth="1"/>
    <col min="4383" max="4383" width="3.5703125" style="2" customWidth="1"/>
    <col min="4384" max="4389" width="0" style="2" hidden="1" customWidth="1"/>
    <col min="4390" max="4390" width="11" style="2" customWidth="1"/>
    <col min="4391" max="4393" width="0" style="2" hidden="1" customWidth="1"/>
    <col min="4394" max="4394" width="10.7109375" style="2" customWidth="1"/>
    <col min="4395" max="4399" width="0" style="2" hidden="1" customWidth="1"/>
    <col min="4400" max="4400" width="13.140625" style="2" customWidth="1"/>
    <col min="4401" max="4401" width="10.42578125" style="2" customWidth="1"/>
    <col min="4402" max="4402" width="10.28515625" style="2" customWidth="1"/>
    <col min="4403" max="4403" width="9.85546875" style="2" customWidth="1"/>
    <col min="4404" max="4404" width="10.7109375" style="2" customWidth="1"/>
    <col min="4405" max="4405" width="10" style="2" customWidth="1"/>
    <col min="4406" max="4406" width="9.5703125" style="2" customWidth="1"/>
    <col min="4407" max="4407" width="10.7109375" style="2" customWidth="1"/>
    <col min="4408" max="4408" width="9.85546875" style="2" customWidth="1"/>
    <col min="4409" max="4412" width="0" style="2" hidden="1" customWidth="1"/>
    <col min="4413" max="4413" width="9.85546875" style="2" customWidth="1"/>
    <col min="4414" max="4414" width="10.85546875" style="2" customWidth="1"/>
    <col min="4415" max="4415" width="11.5703125" style="2" customWidth="1"/>
    <col min="4416" max="4417" width="0" style="2" hidden="1" customWidth="1"/>
    <col min="4418" max="4634" width="9.140625" style="2"/>
    <col min="4635" max="4635" width="0" style="2" hidden="1" customWidth="1"/>
    <col min="4636" max="4636" width="11.42578125" style="2" customWidth="1"/>
    <col min="4637" max="4637" width="7.5703125" style="2" customWidth="1"/>
    <col min="4638" max="4638" width="17.85546875" style="2" customWidth="1"/>
    <col min="4639" max="4639" width="3.5703125" style="2" customWidth="1"/>
    <col min="4640" max="4645" width="0" style="2" hidden="1" customWidth="1"/>
    <col min="4646" max="4646" width="11" style="2" customWidth="1"/>
    <col min="4647" max="4649" width="0" style="2" hidden="1" customWidth="1"/>
    <col min="4650" max="4650" width="10.7109375" style="2" customWidth="1"/>
    <col min="4651" max="4655" width="0" style="2" hidden="1" customWidth="1"/>
    <col min="4656" max="4656" width="13.140625" style="2" customWidth="1"/>
    <col min="4657" max="4657" width="10.42578125" style="2" customWidth="1"/>
    <col min="4658" max="4658" width="10.28515625" style="2" customWidth="1"/>
    <col min="4659" max="4659" width="9.85546875" style="2" customWidth="1"/>
    <col min="4660" max="4660" width="10.7109375" style="2" customWidth="1"/>
    <col min="4661" max="4661" width="10" style="2" customWidth="1"/>
    <col min="4662" max="4662" width="9.5703125" style="2" customWidth="1"/>
    <col min="4663" max="4663" width="10.7109375" style="2" customWidth="1"/>
    <col min="4664" max="4664" width="9.85546875" style="2" customWidth="1"/>
    <col min="4665" max="4668" width="0" style="2" hidden="1" customWidth="1"/>
    <col min="4669" max="4669" width="9.85546875" style="2" customWidth="1"/>
    <col min="4670" max="4670" width="10.85546875" style="2" customWidth="1"/>
    <col min="4671" max="4671" width="11.5703125" style="2" customWidth="1"/>
    <col min="4672" max="4673" width="0" style="2" hidden="1" customWidth="1"/>
    <col min="4674" max="4890" width="9.140625" style="2"/>
    <col min="4891" max="4891" width="0" style="2" hidden="1" customWidth="1"/>
    <col min="4892" max="4892" width="11.42578125" style="2" customWidth="1"/>
    <col min="4893" max="4893" width="7.5703125" style="2" customWidth="1"/>
    <col min="4894" max="4894" width="17.85546875" style="2" customWidth="1"/>
    <col min="4895" max="4895" width="3.5703125" style="2" customWidth="1"/>
    <col min="4896" max="4901" width="0" style="2" hidden="1" customWidth="1"/>
    <col min="4902" max="4902" width="11" style="2" customWidth="1"/>
    <col min="4903" max="4905" width="0" style="2" hidden="1" customWidth="1"/>
    <col min="4906" max="4906" width="10.7109375" style="2" customWidth="1"/>
    <col min="4907" max="4911" width="0" style="2" hidden="1" customWidth="1"/>
    <col min="4912" max="4912" width="13.140625" style="2" customWidth="1"/>
    <col min="4913" max="4913" width="10.42578125" style="2" customWidth="1"/>
    <col min="4914" max="4914" width="10.28515625" style="2" customWidth="1"/>
    <col min="4915" max="4915" width="9.85546875" style="2" customWidth="1"/>
    <col min="4916" max="4916" width="10.7109375" style="2" customWidth="1"/>
    <col min="4917" max="4917" width="10" style="2" customWidth="1"/>
    <col min="4918" max="4918" width="9.5703125" style="2" customWidth="1"/>
    <col min="4919" max="4919" width="10.7109375" style="2" customWidth="1"/>
    <col min="4920" max="4920" width="9.85546875" style="2" customWidth="1"/>
    <col min="4921" max="4924" width="0" style="2" hidden="1" customWidth="1"/>
    <col min="4925" max="4925" width="9.85546875" style="2" customWidth="1"/>
    <col min="4926" max="4926" width="10.85546875" style="2" customWidth="1"/>
    <col min="4927" max="4927" width="11.5703125" style="2" customWidth="1"/>
    <col min="4928" max="4929" width="0" style="2" hidden="1" customWidth="1"/>
    <col min="4930" max="5146" width="9.140625" style="2"/>
    <col min="5147" max="5147" width="0" style="2" hidden="1" customWidth="1"/>
    <col min="5148" max="5148" width="11.42578125" style="2" customWidth="1"/>
    <col min="5149" max="5149" width="7.5703125" style="2" customWidth="1"/>
    <col min="5150" max="5150" width="17.85546875" style="2" customWidth="1"/>
    <col min="5151" max="5151" width="3.5703125" style="2" customWidth="1"/>
    <col min="5152" max="5157" width="0" style="2" hidden="1" customWidth="1"/>
    <col min="5158" max="5158" width="11" style="2" customWidth="1"/>
    <col min="5159" max="5161" width="0" style="2" hidden="1" customWidth="1"/>
    <col min="5162" max="5162" width="10.7109375" style="2" customWidth="1"/>
    <col min="5163" max="5167" width="0" style="2" hidden="1" customWidth="1"/>
    <col min="5168" max="5168" width="13.140625" style="2" customWidth="1"/>
    <col min="5169" max="5169" width="10.42578125" style="2" customWidth="1"/>
    <col min="5170" max="5170" width="10.28515625" style="2" customWidth="1"/>
    <col min="5171" max="5171" width="9.85546875" style="2" customWidth="1"/>
    <col min="5172" max="5172" width="10.7109375" style="2" customWidth="1"/>
    <col min="5173" max="5173" width="10" style="2" customWidth="1"/>
    <col min="5174" max="5174" width="9.5703125" style="2" customWidth="1"/>
    <col min="5175" max="5175" width="10.7109375" style="2" customWidth="1"/>
    <col min="5176" max="5176" width="9.85546875" style="2" customWidth="1"/>
    <col min="5177" max="5180" width="0" style="2" hidden="1" customWidth="1"/>
    <col min="5181" max="5181" width="9.85546875" style="2" customWidth="1"/>
    <col min="5182" max="5182" width="10.85546875" style="2" customWidth="1"/>
    <col min="5183" max="5183" width="11.5703125" style="2" customWidth="1"/>
    <col min="5184" max="5185" width="0" style="2" hidden="1" customWidth="1"/>
    <col min="5186" max="5402" width="9.140625" style="2"/>
    <col min="5403" max="5403" width="0" style="2" hidden="1" customWidth="1"/>
    <col min="5404" max="5404" width="11.42578125" style="2" customWidth="1"/>
    <col min="5405" max="5405" width="7.5703125" style="2" customWidth="1"/>
    <col min="5406" max="5406" width="17.85546875" style="2" customWidth="1"/>
    <col min="5407" max="5407" width="3.5703125" style="2" customWidth="1"/>
    <col min="5408" max="5413" width="0" style="2" hidden="1" customWidth="1"/>
    <col min="5414" max="5414" width="11" style="2" customWidth="1"/>
    <col min="5415" max="5417" width="0" style="2" hidden="1" customWidth="1"/>
    <col min="5418" max="5418" width="10.7109375" style="2" customWidth="1"/>
    <col min="5419" max="5423" width="0" style="2" hidden="1" customWidth="1"/>
    <col min="5424" max="5424" width="13.140625" style="2" customWidth="1"/>
    <col min="5425" max="5425" width="10.42578125" style="2" customWidth="1"/>
    <col min="5426" max="5426" width="10.28515625" style="2" customWidth="1"/>
    <col min="5427" max="5427" width="9.85546875" style="2" customWidth="1"/>
    <col min="5428" max="5428" width="10.7109375" style="2" customWidth="1"/>
    <col min="5429" max="5429" width="10" style="2" customWidth="1"/>
    <col min="5430" max="5430" width="9.5703125" style="2" customWidth="1"/>
    <col min="5431" max="5431" width="10.7109375" style="2" customWidth="1"/>
    <col min="5432" max="5432" width="9.85546875" style="2" customWidth="1"/>
    <col min="5433" max="5436" width="0" style="2" hidden="1" customWidth="1"/>
    <col min="5437" max="5437" width="9.85546875" style="2" customWidth="1"/>
    <col min="5438" max="5438" width="10.85546875" style="2" customWidth="1"/>
    <col min="5439" max="5439" width="11.5703125" style="2" customWidth="1"/>
    <col min="5440" max="5441" width="0" style="2" hidden="1" customWidth="1"/>
    <col min="5442" max="5658" width="9.140625" style="2"/>
    <col min="5659" max="5659" width="0" style="2" hidden="1" customWidth="1"/>
    <col min="5660" max="5660" width="11.42578125" style="2" customWidth="1"/>
    <col min="5661" max="5661" width="7.5703125" style="2" customWidth="1"/>
    <col min="5662" max="5662" width="17.85546875" style="2" customWidth="1"/>
    <col min="5663" max="5663" width="3.5703125" style="2" customWidth="1"/>
    <col min="5664" max="5669" width="0" style="2" hidden="1" customWidth="1"/>
    <col min="5670" max="5670" width="11" style="2" customWidth="1"/>
    <col min="5671" max="5673" width="0" style="2" hidden="1" customWidth="1"/>
    <col min="5674" max="5674" width="10.7109375" style="2" customWidth="1"/>
    <col min="5675" max="5679" width="0" style="2" hidden="1" customWidth="1"/>
    <col min="5680" max="5680" width="13.140625" style="2" customWidth="1"/>
    <col min="5681" max="5681" width="10.42578125" style="2" customWidth="1"/>
    <col min="5682" max="5682" width="10.28515625" style="2" customWidth="1"/>
    <col min="5683" max="5683" width="9.85546875" style="2" customWidth="1"/>
    <col min="5684" max="5684" width="10.7109375" style="2" customWidth="1"/>
    <col min="5685" max="5685" width="10" style="2" customWidth="1"/>
    <col min="5686" max="5686" width="9.5703125" style="2" customWidth="1"/>
    <col min="5687" max="5687" width="10.7109375" style="2" customWidth="1"/>
    <col min="5688" max="5688" width="9.85546875" style="2" customWidth="1"/>
    <col min="5689" max="5692" width="0" style="2" hidden="1" customWidth="1"/>
    <col min="5693" max="5693" width="9.85546875" style="2" customWidth="1"/>
    <col min="5694" max="5694" width="10.85546875" style="2" customWidth="1"/>
    <col min="5695" max="5695" width="11.5703125" style="2" customWidth="1"/>
    <col min="5696" max="5697" width="0" style="2" hidden="1" customWidth="1"/>
    <col min="5698" max="5914" width="9.140625" style="2"/>
    <col min="5915" max="5915" width="0" style="2" hidden="1" customWidth="1"/>
    <col min="5916" max="5916" width="11.42578125" style="2" customWidth="1"/>
    <col min="5917" max="5917" width="7.5703125" style="2" customWidth="1"/>
    <col min="5918" max="5918" width="17.85546875" style="2" customWidth="1"/>
    <col min="5919" max="5919" width="3.5703125" style="2" customWidth="1"/>
    <col min="5920" max="5925" width="0" style="2" hidden="1" customWidth="1"/>
    <col min="5926" max="5926" width="11" style="2" customWidth="1"/>
    <col min="5927" max="5929" width="0" style="2" hidden="1" customWidth="1"/>
    <col min="5930" max="5930" width="10.7109375" style="2" customWidth="1"/>
    <col min="5931" max="5935" width="0" style="2" hidden="1" customWidth="1"/>
    <col min="5936" max="5936" width="13.140625" style="2" customWidth="1"/>
    <col min="5937" max="5937" width="10.42578125" style="2" customWidth="1"/>
    <col min="5938" max="5938" width="10.28515625" style="2" customWidth="1"/>
    <col min="5939" max="5939" width="9.85546875" style="2" customWidth="1"/>
    <col min="5940" max="5940" width="10.7109375" style="2" customWidth="1"/>
    <col min="5941" max="5941" width="10" style="2" customWidth="1"/>
    <col min="5942" max="5942" width="9.5703125" style="2" customWidth="1"/>
    <col min="5943" max="5943" width="10.7109375" style="2" customWidth="1"/>
    <col min="5944" max="5944" width="9.85546875" style="2" customWidth="1"/>
    <col min="5945" max="5948" width="0" style="2" hidden="1" customWidth="1"/>
    <col min="5949" max="5949" width="9.85546875" style="2" customWidth="1"/>
    <col min="5950" max="5950" width="10.85546875" style="2" customWidth="1"/>
    <col min="5951" max="5951" width="11.5703125" style="2" customWidth="1"/>
    <col min="5952" max="5953" width="0" style="2" hidden="1" customWidth="1"/>
    <col min="5954" max="6170" width="9.140625" style="2"/>
    <col min="6171" max="6171" width="0" style="2" hidden="1" customWidth="1"/>
    <col min="6172" max="6172" width="11.42578125" style="2" customWidth="1"/>
    <col min="6173" max="6173" width="7.5703125" style="2" customWidth="1"/>
    <col min="6174" max="6174" width="17.85546875" style="2" customWidth="1"/>
    <col min="6175" max="6175" width="3.5703125" style="2" customWidth="1"/>
    <col min="6176" max="6181" width="0" style="2" hidden="1" customWidth="1"/>
    <col min="6182" max="6182" width="11" style="2" customWidth="1"/>
    <col min="6183" max="6185" width="0" style="2" hidden="1" customWidth="1"/>
    <col min="6186" max="6186" width="10.7109375" style="2" customWidth="1"/>
    <col min="6187" max="6191" width="0" style="2" hidden="1" customWidth="1"/>
    <col min="6192" max="6192" width="13.140625" style="2" customWidth="1"/>
    <col min="6193" max="6193" width="10.42578125" style="2" customWidth="1"/>
    <col min="6194" max="6194" width="10.28515625" style="2" customWidth="1"/>
    <col min="6195" max="6195" width="9.85546875" style="2" customWidth="1"/>
    <col min="6196" max="6196" width="10.7109375" style="2" customWidth="1"/>
    <col min="6197" max="6197" width="10" style="2" customWidth="1"/>
    <col min="6198" max="6198" width="9.5703125" style="2" customWidth="1"/>
    <col min="6199" max="6199" width="10.7109375" style="2" customWidth="1"/>
    <col min="6200" max="6200" width="9.85546875" style="2" customWidth="1"/>
    <col min="6201" max="6204" width="0" style="2" hidden="1" customWidth="1"/>
    <col min="6205" max="6205" width="9.85546875" style="2" customWidth="1"/>
    <col min="6206" max="6206" width="10.85546875" style="2" customWidth="1"/>
    <col min="6207" max="6207" width="11.5703125" style="2" customWidth="1"/>
    <col min="6208" max="6209" width="0" style="2" hidden="1" customWidth="1"/>
    <col min="6210" max="6426" width="9.140625" style="2"/>
    <col min="6427" max="6427" width="0" style="2" hidden="1" customWidth="1"/>
    <col min="6428" max="6428" width="11.42578125" style="2" customWidth="1"/>
    <col min="6429" max="6429" width="7.5703125" style="2" customWidth="1"/>
    <col min="6430" max="6430" width="17.85546875" style="2" customWidth="1"/>
    <col min="6431" max="6431" width="3.5703125" style="2" customWidth="1"/>
    <col min="6432" max="6437" width="0" style="2" hidden="1" customWidth="1"/>
    <col min="6438" max="6438" width="11" style="2" customWidth="1"/>
    <col min="6439" max="6441" width="0" style="2" hidden="1" customWidth="1"/>
    <col min="6442" max="6442" width="10.7109375" style="2" customWidth="1"/>
    <col min="6443" max="6447" width="0" style="2" hidden="1" customWidth="1"/>
    <col min="6448" max="6448" width="13.140625" style="2" customWidth="1"/>
    <col min="6449" max="6449" width="10.42578125" style="2" customWidth="1"/>
    <col min="6450" max="6450" width="10.28515625" style="2" customWidth="1"/>
    <col min="6451" max="6451" width="9.85546875" style="2" customWidth="1"/>
    <col min="6452" max="6452" width="10.7109375" style="2" customWidth="1"/>
    <col min="6453" max="6453" width="10" style="2" customWidth="1"/>
    <col min="6454" max="6454" width="9.5703125" style="2" customWidth="1"/>
    <col min="6455" max="6455" width="10.7109375" style="2" customWidth="1"/>
    <col min="6456" max="6456" width="9.85546875" style="2" customWidth="1"/>
    <col min="6457" max="6460" width="0" style="2" hidden="1" customWidth="1"/>
    <col min="6461" max="6461" width="9.85546875" style="2" customWidth="1"/>
    <col min="6462" max="6462" width="10.85546875" style="2" customWidth="1"/>
    <col min="6463" max="6463" width="11.5703125" style="2" customWidth="1"/>
    <col min="6464" max="6465" width="0" style="2" hidden="1" customWidth="1"/>
    <col min="6466" max="6682" width="9.140625" style="2"/>
    <col min="6683" max="6683" width="0" style="2" hidden="1" customWidth="1"/>
    <col min="6684" max="6684" width="11.42578125" style="2" customWidth="1"/>
    <col min="6685" max="6685" width="7.5703125" style="2" customWidth="1"/>
    <col min="6686" max="6686" width="17.85546875" style="2" customWidth="1"/>
    <col min="6687" max="6687" width="3.5703125" style="2" customWidth="1"/>
    <col min="6688" max="6693" width="0" style="2" hidden="1" customWidth="1"/>
    <col min="6694" max="6694" width="11" style="2" customWidth="1"/>
    <col min="6695" max="6697" width="0" style="2" hidden="1" customWidth="1"/>
    <col min="6698" max="6698" width="10.7109375" style="2" customWidth="1"/>
    <col min="6699" max="6703" width="0" style="2" hidden="1" customWidth="1"/>
    <col min="6704" max="6704" width="13.140625" style="2" customWidth="1"/>
    <col min="6705" max="6705" width="10.42578125" style="2" customWidth="1"/>
    <col min="6706" max="6706" width="10.28515625" style="2" customWidth="1"/>
    <col min="6707" max="6707" width="9.85546875" style="2" customWidth="1"/>
    <col min="6708" max="6708" width="10.7109375" style="2" customWidth="1"/>
    <col min="6709" max="6709" width="10" style="2" customWidth="1"/>
    <col min="6710" max="6710" width="9.5703125" style="2" customWidth="1"/>
    <col min="6711" max="6711" width="10.7109375" style="2" customWidth="1"/>
    <col min="6712" max="6712" width="9.85546875" style="2" customWidth="1"/>
    <col min="6713" max="6716" width="0" style="2" hidden="1" customWidth="1"/>
    <col min="6717" max="6717" width="9.85546875" style="2" customWidth="1"/>
    <col min="6718" max="6718" width="10.85546875" style="2" customWidth="1"/>
    <col min="6719" max="6719" width="11.5703125" style="2" customWidth="1"/>
    <col min="6720" max="6721" width="0" style="2" hidden="1" customWidth="1"/>
    <col min="6722" max="6938" width="9.140625" style="2"/>
    <col min="6939" max="6939" width="0" style="2" hidden="1" customWidth="1"/>
    <col min="6940" max="6940" width="11.42578125" style="2" customWidth="1"/>
    <col min="6941" max="6941" width="7.5703125" style="2" customWidth="1"/>
    <col min="6942" max="6942" width="17.85546875" style="2" customWidth="1"/>
    <col min="6943" max="6943" width="3.5703125" style="2" customWidth="1"/>
    <col min="6944" max="6949" width="0" style="2" hidden="1" customWidth="1"/>
    <col min="6950" max="6950" width="11" style="2" customWidth="1"/>
    <col min="6951" max="6953" width="0" style="2" hidden="1" customWidth="1"/>
    <col min="6954" max="6954" width="10.7109375" style="2" customWidth="1"/>
    <col min="6955" max="6959" width="0" style="2" hidden="1" customWidth="1"/>
    <col min="6960" max="6960" width="13.140625" style="2" customWidth="1"/>
    <col min="6961" max="6961" width="10.42578125" style="2" customWidth="1"/>
    <col min="6962" max="6962" width="10.28515625" style="2" customWidth="1"/>
    <col min="6963" max="6963" width="9.85546875" style="2" customWidth="1"/>
    <col min="6964" max="6964" width="10.7109375" style="2" customWidth="1"/>
    <col min="6965" max="6965" width="10" style="2" customWidth="1"/>
    <col min="6966" max="6966" width="9.5703125" style="2" customWidth="1"/>
    <col min="6967" max="6967" width="10.7109375" style="2" customWidth="1"/>
    <col min="6968" max="6968" width="9.85546875" style="2" customWidth="1"/>
    <col min="6969" max="6972" width="0" style="2" hidden="1" customWidth="1"/>
    <col min="6973" max="6973" width="9.85546875" style="2" customWidth="1"/>
    <col min="6974" max="6974" width="10.85546875" style="2" customWidth="1"/>
    <col min="6975" max="6975" width="11.5703125" style="2" customWidth="1"/>
    <col min="6976" max="6977" width="0" style="2" hidden="1" customWidth="1"/>
    <col min="6978" max="7194" width="9.140625" style="2"/>
    <col min="7195" max="7195" width="0" style="2" hidden="1" customWidth="1"/>
    <col min="7196" max="7196" width="11.42578125" style="2" customWidth="1"/>
    <col min="7197" max="7197" width="7.5703125" style="2" customWidth="1"/>
    <col min="7198" max="7198" width="17.85546875" style="2" customWidth="1"/>
    <col min="7199" max="7199" width="3.5703125" style="2" customWidth="1"/>
    <col min="7200" max="7205" width="0" style="2" hidden="1" customWidth="1"/>
    <col min="7206" max="7206" width="11" style="2" customWidth="1"/>
    <col min="7207" max="7209" width="0" style="2" hidden="1" customWidth="1"/>
    <col min="7210" max="7210" width="10.7109375" style="2" customWidth="1"/>
    <col min="7211" max="7215" width="0" style="2" hidden="1" customWidth="1"/>
    <col min="7216" max="7216" width="13.140625" style="2" customWidth="1"/>
    <col min="7217" max="7217" width="10.42578125" style="2" customWidth="1"/>
    <col min="7218" max="7218" width="10.28515625" style="2" customWidth="1"/>
    <col min="7219" max="7219" width="9.85546875" style="2" customWidth="1"/>
    <col min="7220" max="7220" width="10.7109375" style="2" customWidth="1"/>
    <col min="7221" max="7221" width="10" style="2" customWidth="1"/>
    <col min="7222" max="7222" width="9.5703125" style="2" customWidth="1"/>
    <col min="7223" max="7223" width="10.7109375" style="2" customWidth="1"/>
    <col min="7224" max="7224" width="9.85546875" style="2" customWidth="1"/>
    <col min="7225" max="7228" width="0" style="2" hidden="1" customWidth="1"/>
    <col min="7229" max="7229" width="9.85546875" style="2" customWidth="1"/>
    <col min="7230" max="7230" width="10.85546875" style="2" customWidth="1"/>
    <col min="7231" max="7231" width="11.5703125" style="2" customWidth="1"/>
    <col min="7232" max="7233" width="0" style="2" hidden="1" customWidth="1"/>
    <col min="7234" max="7450" width="9.140625" style="2"/>
    <col min="7451" max="7451" width="0" style="2" hidden="1" customWidth="1"/>
    <col min="7452" max="7452" width="11.42578125" style="2" customWidth="1"/>
    <col min="7453" max="7453" width="7.5703125" style="2" customWidth="1"/>
    <col min="7454" max="7454" width="17.85546875" style="2" customWidth="1"/>
    <col min="7455" max="7455" width="3.5703125" style="2" customWidth="1"/>
    <col min="7456" max="7461" width="0" style="2" hidden="1" customWidth="1"/>
    <col min="7462" max="7462" width="11" style="2" customWidth="1"/>
    <col min="7463" max="7465" width="0" style="2" hidden="1" customWidth="1"/>
    <col min="7466" max="7466" width="10.7109375" style="2" customWidth="1"/>
    <col min="7467" max="7471" width="0" style="2" hidden="1" customWidth="1"/>
    <col min="7472" max="7472" width="13.140625" style="2" customWidth="1"/>
    <col min="7473" max="7473" width="10.42578125" style="2" customWidth="1"/>
    <col min="7474" max="7474" width="10.28515625" style="2" customWidth="1"/>
    <col min="7475" max="7475" width="9.85546875" style="2" customWidth="1"/>
    <col min="7476" max="7476" width="10.7109375" style="2" customWidth="1"/>
    <col min="7477" max="7477" width="10" style="2" customWidth="1"/>
    <col min="7478" max="7478" width="9.5703125" style="2" customWidth="1"/>
    <col min="7479" max="7479" width="10.7109375" style="2" customWidth="1"/>
    <col min="7480" max="7480" width="9.85546875" style="2" customWidth="1"/>
    <col min="7481" max="7484" width="0" style="2" hidden="1" customWidth="1"/>
    <col min="7485" max="7485" width="9.85546875" style="2" customWidth="1"/>
    <col min="7486" max="7486" width="10.85546875" style="2" customWidth="1"/>
    <col min="7487" max="7487" width="11.5703125" style="2" customWidth="1"/>
    <col min="7488" max="7489" width="0" style="2" hidden="1" customWidth="1"/>
    <col min="7490" max="7706" width="9.140625" style="2"/>
    <col min="7707" max="7707" width="0" style="2" hidden="1" customWidth="1"/>
    <col min="7708" max="7708" width="11.42578125" style="2" customWidth="1"/>
    <col min="7709" max="7709" width="7.5703125" style="2" customWidth="1"/>
    <col min="7710" max="7710" width="17.85546875" style="2" customWidth="1"/>
    <col min="7711" max="7711" width="3.5703125" style="2" customWidth="1"/>
    <col min="7712" max="7717" width="0" style="2" hidden="1" customWidth="1"/>
    <col min="7718" max="7718" width="11" style="2" customWidth="1"/>
    <col min="7719" max="7721" width="0" style="2" hidden="1" customWidth="1"/>
    <col min="7722" max="7722" width="10.7109375" style="2" customWidth="1"/>
    <col min="7723" max="7727" width="0" style="2" hidden="1" customWidth="1"/>
    <col min="7728" max="7728" width="13.140625" style="2" customWidth="1"/>
    <col min="7729" max="7729" width="10.42578125" style="2" customWidth="1"/>
    <col min="7730" max="7730" width="10.28515625" style="2" customWidth="1"/>
    <col min="7731" max="7731" width="9.85546875" style="2" customWidth="1"/>
    <col min="7732" max="7732" width="10.7109375" style="2" customWidth="1"/>
    <col min="7733" max="7733" width="10" style="2" customWidth="1"/>
    <col min="7734" max="7734" width="9.5703125" style="2" customWidth="1"/>
    <col min="7735" max="7735" width="10.7109375" style="2" customWidth="1"/>
    <col min="7736" max="7736" width="9.85546875" style="2" customWidth="1"/>
    <col min="7737" max="7740" width="0" style="2" hidden="1" customWidth="1"/>
    <col min="7741" max="7741" width="9.85546875" style="2" customWidth="1"/>
    <col min="7742" max="7742" width="10.85546875" style="2" customWidth="1"/>
    <col min="7743" max="7743" width="11.5703125" style="2" customWidth="1"/>
    <col min="7744" max="7745" width="0" style="2" hidden="1" customWidth="1"/>
    <col min="7746" max="7962" width="9.140625" style="2"/>
    <col min="7963" max="7963" width="0" style="2" hidden="1" customWidth="1"/>
    <col min="7964" max="7964" width="11.42578125" style="2" customWidth="1"/>
    <col min="7965" max="7965" width="7.5703125" style="2" customWidth="1"/>
    <col min="7966" max="7966" width="17.85546875" style="2" customWidth="1"/>
    <col min="7967" max="7967" width="3.5703125" style="2" customWidth="1"/>
    <col min="7968" max="7973" width="0" style="2" hidden="1" customWidth="1"/>
    <col min="7974" max="7974" width="11" style="2" customWidth="1"/>
    <col min="7975" max="7977" width="0" style="2" hidden="1" customWidth="1"/>
    <col min="7978" max="7978" width="10.7109375" style="2" customWidth="1"/>
    <col min="7979" max="7983" width="0" style="2" hidden="1" customWidth="1"/>
    <col min="7984" max="7984" width="13.140625" style="2" customWidth="1"/>
    <col min="7985" max="7985" width="10.42578125" style="2" customWidth="1"/>
    <col min="7986" max="7986" width="10.28515625" style="2" customWidth="1"/>
    <col min="7987" max="7987" width="9.85546875" style="2" customWidth="1"/>
    <col min="7988" max="7988" width="10.7109375" style="2" customWidth="1"/>
    <col min="7989" max="7989" width="10" style="2" customWidth="1"/>
    <col min="7990" max="7990" width="9.5703125" style="2" customWidth="1"/>
    <col min="7991" max="7991" width="10.7109375" style="2" customWidth="1"/>
    <col min="7992" max="7992" width="9.85546875" style="2" customWidth="1"/>
    <col min="7993" max="7996" width="0" style="2" hidden="1" customWidth="1"/>
    <col min="7997" max="7997" width="9.85546875" style="2" customWidth="1"/>
    <col min="7998" max="7998" width="10.85546875" style="2" customWidth="1"/>
    <col min="7999" max="7999" width="11.5703125" style="2" customWidth="1"/>
    <col min="8000" max="8001" width="0" style="2" hidden="1" customWidth="1"/>
    <col min="8002" max="8218" width="9.140625" style="2"/>
    <col min="8219" max="8219" width="0" style="2" hidden="1" customWidth="1"/>
    <col min="8220" max="8220" width="11.42578125" style="2" customWidth="1"/>
    <col min="8221" max="8221" width="7.5703125" style="2" customWidth="1"/>
    <col min="8222" max="8222" width="17.85546875" style="2" customWidth="1"/>
    <col min="8223" max="8223" width="3.5703125" style="2" customWidth="1"/>
    <col min="8224" max="8229" width="0" style="2" hidden="1" customWidth="1"/>
    <col min="8230" max="8230" width="11" style="2" customWidth="1"/>
    <col min="8231" max="8233" width="0" style="2" hidden="1" customWidth="1"/>
    <col min="8234" max="8234" width="10.7109375" style="2" customWidth="1"/>
    <col min="8235" max="8239" width="0" style="2" hidden="1" customWidth="1"/>
    <col min="8240" max="8240" width="13.140625" style="2" customWidth="1"/>
    <col min="8241" max="8241" width="10.42578125" style="2" customWidth="1"/>
    <col min="8242" max="8242" width="10.28515625" style="2" customWidth="1"/>
    <col min="8243" max="8243" width="9.85546875" style="2" customWidth="1"/>
    <col min="8244" max="8244" width="10.7109375" style="2" customWidth="1"/>
    <col min="8245" max="8245" width="10" style="2" customWidth="1"/>
    <col min="8246" max="8246" width="9.5703125" style="2" customWidth="1"/>
    <col min="8247" max="8247" width="10.7109375" style="2" customWidth="1"/>
    <col min="8248" max="8248" width="9.85546875" style="2" customWidth="1"/>
    <col min="8249" max="8252" width="0" style="2" hidden="1" customWidth="1"/>
    <col min="8253" max="8253" width="9.85546875" style="2" customWidth="1"/>
    <col min="8254" max="8254" width="10.85546875" style="2" customWidth="1"/>
    <col min="8255" max="8255" width="11.5703125" style="2" customWidth="1"/>
    <col min="8256" max="8257" width="0" style="2" hidden="1" customWidth="1"/>
    <col min="8258" max="8474" width="9.140625" style="2"/>
    <col min="8475" max="8475" width="0" style="2" hidden="1" customWidth="1"/>
    <col min="8476" max="8476" width="11.42578125" style="2" customWidth="1"/>
    <col min="8477" max="8477" width="7.5703125" style="2" customWidth="1"/>
    <col min="8478" max="8478" width="17.85546875" style="2" customWidth="1"/>
    <col min="8479" max="8479" width="3.5703125" style="2" customWidth="1"/>
    <col min="8480" max="8485" width="0" style="2" hidden="1" customWidth="1"/>
    <col min="8486" max="8486" width="11" style="2" customWidth="1"/>
    <col min="8487" max="8489" width="0" style="2" hidden="1" customWidth="1"/>
    <col min="8490" max="8490" width="10.7109375" style="2" customWidth="1"/>
    <col min="8491" max="8495" width="0" style="2" hidden="1" customWidth="1"/>
    <col min="8496" max="8496" width="13.140625" style="2" customWidth="1"/>
    <col min="8497" max="8497" width="10.42578125" style="2" customWidth="1"/>
    <col min="8498" max="8498" width="10.28515625" style="2" customWidth="1"/>
    <col min="8499" max="8499" width="9.85546875" style="2" customWidth="1"/>
    <col min="8500" max="8500" width="10.7109375" style="2" customWidth="1"/>
    <col min="8501" max="8501" width="10" style="2" customWidth="1"/>
    <col min="8502" max="8502" width="9.5703125" style="2" customWidth="1"/>
    <col min="8503" max="8503" width="10.7109375" style="2" customWidth="1"/>
    <col min="8504" max="8504" width="9.85546875" style="2" customWidth="1"/>
    <col min="8505" max="8508" width="0" style="2" hidden="1" customWidth="1"/>
    <col min="8509" max="8509" width="9.85546875" style="2" customWidth="1"/>
    <col min="8510" max="8510" width="10.85546875" style="2" customWidth="1"/>
    <col min="8511" max="8511" width="11.5703125" style="2" customWidth="1"/>
    <col min="8512" max="8513" width="0" style="2" hidden="1" customWidth="1"/>
    <col min="8514" max="8730" width="9.140625" style="2"/>
    <col min="8731" max="8731" width="0" style="2" hidden="1" customWidth="1"/>
    <col min="8732" max="8732" width="11.42578125" style="2" customWidth="1"/>
    <col min="8733" max="8733" width="7.5703125" style="2" customWidth="1"/>
    <col min="8734" max="8734" width="17.85546875" style="2" customWidth="1"/>
    <col min="8735" max="8735" width="3.5703125" style="2" customWidth="1"/>
    <col min="8736" max="8741" width="0" style="2" hidden="1" customWidth="1"/>
    <col min="8742" max="8742" width="11" style="2" customWidth="1"/>
    <col min="8743" max="8745" width="0" style="2" hidden="1" customWidth="1"/>
    <col min="8746" max="8746" width="10.7109375" style="2" customWidth="1"/>
    <col min="8747" max="8751" width="0" style="2" hidden="1" customWidth="1"/>
    <col min="8752" max="8752" width="13.140625" style="2" customWidth="1"/>
    <col min="8753" max="8753" width="10.42578125" style="2" customWidth="1"/>
    <col min="8754" max="8754" width="10.28515625" style="2" customWidth="1"/>
    <col min="8755" max="8755" width="9.85546875" style="2" customWidth="1"/>
    <col min="8756" max="8756" width="10.7109375" style="2" customWidth="1"/>
    <col min="8757" max="8757" width="10" style="2" customWidth="1"/>
    <col min="8758" max="8758" width="9.5703125" style="2" customWidth="1"/>
    <col min="8759" max="8759" width="10.7109375" style="2" customWidth="1"/>
    <col min="8760" max="8760" width="9.85546875" style="2" customWidth="1"/>
    <col min="8761" max="8764" width="0" style="2" hidden="1" customWidth="1"/>
    <col min="8765" max="8765" width="9.85546875" style="2" customWidth="1"/>
    <col min="8766" max="8766" width="10.85546875" style="2" customWidth="1"/>
    <col min="8767" max="8767" width="11.5703125" style="2" customWidth="1"/>
    <col min="8768" max="8769" width="0" style="2" hidden="1" customWidth="1"/>
    <col min="8770" max="8986" width="9.140625" style="2"/>
    <col min="8987" max="8987" width="0" style="2" hidden="1" customWidth="1"/>
    <col min="8988" max="8988" width="11.42578125" style="2" customWidth="1"/>
    <col min="8989" max="8989" width="7.5703125" style="2" customWidth="1"/>
    <col min="8990" max="8990" width="17.85546875" style="2" customWidth="1"/>
    <col min="8991" max="8991" width="3.5703125" style="2" customWidth="1"/>
    <col min="8992" max="8997" width="0" style="2" hidden="1" customWidth="1"/>
    <col min="8998" max="8998" width="11" style="2" customWidth="1"/>
    <col min="8999" max="9001" width="0" style="2" hidden="1" customWidth="1"/>
    <col min="9002" max="9002" width="10.7109375" style="2" customWidth="1"/>
    <col min="9003" max="9007" width="0" style="2" hidden="1" customWidth="1"/>
    <col min="9008" max="9008" width="13.140625" style="2" customWidth="1"/>
    <col min="9009" max="9009" width="10.42578125" style="2" customWidth="1"/>
    <col min="9010" max="9010" width="10.28515625" style="2" customWidth="1"/>
    <col min="9011" max="9011" width="9.85546875" style="2" customWidth="1"/>
    <col min="9012" max="9012" width="10.7109375" style="2" customWidth="1"/>
    <col min="9013" max="9013" width="10" style="2" customWidth="1"/>
    <col min="9014" max="9014" width="9.5703125" style="2" customWidth="1"/>
    <col min="9015" max="9015" width="10.7109375" style="2" customWidth="1"/>
    <col min="9016" max="9016" width="9.85546875" style="2" customWidth="1"/>
    <col min="9017" max="9020" width="0" style="2" hidden="1" customWidth="1"/>
    <col min="9021" max="9021" width="9.85546875" style="2" customWidth="1"/>
    <col min="9022" max="9022" width="10.85546875" style="2" customWidth="1"/>
    <col min="9023" max="9023" width="11.5703125" style="2" customWidth="1"/>
    <col min="9024" max="9025" width="0" style="2" hidden="1" customWidth="1"/>
    <col min="9026" max="9242" width="9.140625" style="2"/>
    <col min="9243" max="9243" width="0" style="2" hidden="1" customWidth="1"/>
    <col min="9244" max="9244" width="11.42578125" style="2" customWidth="1"/>
    <col min="9245" max="9245" width="7.5703125" style="2" customWidth="1"/>
    <col min="9246" max="9246" width="17.85546875" style="2" customWidth="1"/>
    <col min="9247" max="9247" width="3.5703125" style="2" customWidth="1"/>
    <col min="9248" max="9253" width="0" style="2" hidden="1" customWidth="1"/>
    <col min="9254" max="9254" width="11" style="2" customWidth="1"/>
    <col min="9255" max="9257" width="0" style="2" hidden="1" customWidth="1"/>
    <col min="9258" max="9258" width="10.7109375" style="2" customWidth="1"/>
    <col min="9259" max="9263" width="0" style="2" hidden="1" customWidth="1"/>
    <col min="9264" max="9264" width="13.140625" style="2" customWidth="1"/>
    <col min="9265" max="9265" width="10.42578125" style="2" customWidth="1"/>
    <col min="9266" max="9266" width="10.28515625" style="2" customWidth="1"/>
    <col min="9267" max="9267" width="9.85546875" style="2" customWidth="1"/>
    <col min="9268" max="9268" width="10.7109375" style="2" customWidth="1"/>
    <col min="9269" max="9269" width="10" style="2" customWidth="1"/>
    <col min="9270" max="9270" width="9.5703125" style="2" customWidth="1"/>
    <col min="9271" max="9271" width="10.7109375" style="2" customWidth="1"/>
    <col min="9272" max="9272" width="9.85546875" style="2" customWidth="1"/>
    <col min="9273" max="9276" width="0" style="2" hidden="1" customWidth="1"/>
    <col min="9277" max="9277" width="9.85546875" style="2" customWidth="1"/>
    <col min="9278" max="9278" width="10.85546875" style="2" customWidth="1"/>
    <col min="9279" max="9279" width="11.5703125" style="2" customWidth="1"/>
    <col min="9280" max="9281" width="0" style="2" hidden="1" customWidth="1"/>
    <col min="9282" max="9498" width="9.140625" style="2"/>
    <col min="9499" max="9499" width="0" style="2" hidden="1" customWidth="1"/>
    <col min="9500" max="9500" width="11.42578125" style="2" customWidth="1"/>
    <col min="9501" max="9501" width="7.5703125" style="2" customWidth="1"/>
    <col min="9502" max="9502" width="17.85546875" style="2" customWidth="1"/>
    <col min="9503" max="9503" width="3.5703125" style="2" customWidth="1"/>
    <col min="9504" max="9509" width="0" style="2" hidden="1" customWidth="1"/>
    <col min="9510" max="9510" width="11" style="2" customWidth="1"/>
    <col min="9511" max="9513" width="0" style="2" hidden="1" customWidth="1"/>
    <col min="9514" max="9514" width="10.7109375" style="2" customWidth="1"/>
    <col min="9515" max="9519" width="0" style="2" hidden="1" customWidth="1"/>
    <col min="9520" max="9520" width="13.140625" style="2" customWidth="1"/>
    <col min="9521" max="9521" width="10.42578125" style="2" customWidth="1"/>
    <col min="9522" max="9522" width="10.28515625" style="2" customWidth="1"/>
    <col min="9523" max="9523" width="9.85546875" style="2" customWidth="1"/>
    <col min="9524" max="9524" width="10.7109375" style="2" customWidth="1"/>
    <col min="9525" max="9525" width="10" style="2" customWidth="1"/>
    <col min="9526" max="9526" width="9.5703125" style="2" customWidth="1"/>
    <col min="9527" max="9527" width="10.7109375" style="2" customWidth="1"/>
    <col min="9528" max="9528" width="9.85546875" style="2" customWidth="1"/>
    <col min="9529" max="9532" width="0" style="2" hidden="1" customWidth="1"/>
    <col min="9533" max="9533" width="9.85546875" style="2" customWidth="1"/>
    <col min="9534" max="9534" width="10.85546875" style="2" customWidth="1"/>
    <col min="9535" max="9535" width="11.5703125" style="2" customWidth="1"/>
    <col min="9536" max="9537" width="0" style="2" hidden="1" customWidth="1"/>
    <col min="9538" max="9754" width="9.140625" style="2"/>
    <col min="9755" max="9755" width="0" style="2" hidden="1" customWidth="1"/>
    <col min="9756" max="9756" width="11.42578125" style="2" customWidth="1"/>
    <col min="9757" max="9757" width="7.5703125" style="2" customWidth="1"/>
    <col min="9758" max="9758" width="17.85546875" style="2" customWidth="1"/>
    <col min="9759" max="9759" width="3.5703125" style="2" customWidth="1"/>
    <col min="9760" max="9765" width="0" style="2" hidden="1" customWidth="1"/>
    <col min="9766" max="9766" width="11" style="2" customWidth="1"/>
    <col min="9767" max="9769" width="0" style="2" hidden="1" customWidth="1"/>
    <col min="9770" max="9770" width="10.7109375" style="2" customWidth="1"/>
    <col min="9771" max="9775" width="0" style="2" hidden="1" customWidth="1"/>
    <col min="9776" max="9776" width="13.140625" style="2" customWidth="1"/>
    <col min="9777" max="9777" width="10.42578125" style="2" customWidth="1"/>
    <col min="9778" max="9778" width="10.28515625" style="2" customWidth="1"/>
    <col min="9779" max="9779" width="9.85546875" style="2" customWidth="1"/>
    <col min="9780" max="9780" width="10.7109375" style="2" customWidth="1"/>
    <col min="9781" max="9781" width="10" style="2" customWidth="1"/>
    <col min="9782" max="9782" width="9.5703125" style="2" customWidth="1"/>
    <col min="9783" max="9783" width="10.7109375" style="2" customWidth="1"/>
    <col min="9784" max="9784" width="9.85546875" style="2" customWidth="1"/>
    <col min="9785" max="9788" width="0" style="2" hidden="1" customWidth="1"/>
    <col min="9789" max="9789" width="9.85546875" style="2" customWidth="1"/>
    <col min="9790" max="9790" width="10.85546875" style="2" customWidth="1"/>
    <col min="9791" max="9791" width="11.5703125" style="2" customWidth="1"/>
    <col min="9792" max="9793" width="0" style="2" hidden="1" customWidth="1"/>
    <col min="9794" max="10010" width="9.140625" style="2"/>
    <col min="10011" max="10011" width="0" style="2" hidden="1" customWidth="1"/>
    <col min="10012" max="10012" width="11.42578125" style="2" customWidth="1"/>
    <col min="10013" max="10013" width="7.5703125" style="2" customWidth="1"/>
    <col min="10014" max="10014" width="17.85546875" style="2" customWidth="1"/>
    <col min="10015" max="10015" width="3.5703125" style="2" customWidth="1"/>
    <col min="10016" max="10021" width="0" style="2" hidden="1" customWidth="1"/>
    <col min="10022" max="10022" width="11" style="2" customWidth="1"/>
    <col min="10023" max="10025" width="0" style="2" hidden="1" customWidth="1"/>
    <col min="10026" max="10026" width="10.7109375" style="2" customWidth="1"/>
    <col min="10027" max="10031" width="0" style="2" hidden="1" customWidth="1"/>
    <col min="10032" max="10032" width="13.140625" style="2" customWidth="1"/>
    <col min="10033" max="10033" width="10.42578125" style="2" customWidth="1"/>
    <col min="10034" max="10034" width="10.28515625" style="2" customWidth="1"/>
    <col min="10035" max="10035" width="9.85546875" style="2" customWidth="1"/>
    <col min="10036" max="10036" width="10.7109375" style="2" customWidth="1"/>
    <col min="10037" max="10037" width="10" style="2" customWidth="1"/>
    <col min="10038" max="10038" width="9.5703125" style="2" customWidth="1"/>
    <col min="10039" max="10039" width="10.7109375" style="2" customWidth="1"/>
    <col min="10040" max="10040" width="9.85546875" style="2" customWidth="1"/>
    <col min="10041" max="10044" width="0" style="2" hidden="1" customWidth="1"/>
    <col min="10045" max="10045" width="9.85546875" style="2" customWidth="1"/>
    <col min="10046" max="10046" width="10.85546875" style="2" customWidth="1"/>
    <col min="10047" max="10047" width="11.5703125" style="2" customWidth="1"/>
    <col min="10048" max="10049" width="0" style="2" hidden="1" customWidth="1"/>
    <col min="10050" max="10266" width="9.140625" style="2"/>
    <col min="10267" max="10267" width="0" style="2" hidden="1" customWidth="1"/>
    <col min="10268" max="10268" width="11.42578125" style="2" customWidth="1"/>
    <col min="10269" max="10269" width="7.5703125" style="2" customWidth="1"/>
    <col min="10270" max="10270" width="17.85546875" style="2" customWidth="1"/>
    <col min="10271" max="10271" width="3.5703125" style="2" customWidth="1"/>
    <col min="10272" max="10277" width="0" style="2" hidden="1" customWidth="1"/>
    <col min="10278" max="10278" width="11" style="2" customWidth="1"/>
    <col min="10279" max="10281" width="0" style="2" hidden="1" customWidth="1"/>
    <col min="10282" max="10282" width="10.7109375" style="2" customWidth="1"/>
    <col min="10283" max="10287" width="0" style="2" hidden="1" customWidth="1"/>
    <col min="10288" max="10288" width="13.140625" style="2" customWidth="1"/>
    <col min="10289" max="10289" width="10.42578125" style="2" customWidth="1"/>
    <col min="10290" max="10290" width="10.28515625" style="2" customWidth="1"/>
    <col min="10291" max="10291" width="9.85546875" style="2" customWidth="1"/>
    <col min="10292" max="10292" width="10.7109375" style="2" customWidth="1"/>
    <col min="10293" max="10293" width="10" style="2" customWidth="1"/>
    <col min="10294" max="10294" width="9.5703125" style="2" customWidth="1"/>
    <col min="10295" max="10295" width="10.7109375" style="2" customWidth="1"/>
    <col min="10296" max="10296" width="9.85546875" style="2" customWidth="1"/>
    <col min="10297" max="10300" width="0" style="2" hidden="1" customWidth="1"/>
    <col min="10301" max="10301" width="9.85546875" style="2" customWidth="1"/>
    <col min="10302" max="10302" width="10.85546875" style="2" customWidth="1"/>
    <col min="10303" max="10303" width="11.5703125" style="2" customWidth="1"/>
    <col min="10304" max="10305" width="0" style="2" hidden="1" customWidth="1"/>
    <col min="10306" max="10522" width="9.140625" style="2"/>
    <col min="10523" max="10523" width="0" style="2" hidden="1" customWidth="1"/>
    <col min="10524" max="10524" width="11.42578125" style="2" customWidth="1"/>
    <col min="10525" max="10525" width="7.5703125" style="2" customWidth="1"/>
    <col min="10526" max="10526" width="17.85546875" style="2" customWidth="1"/>
    <col min="10527" max="10527" width="3.5703125" style="2" customWidth="1"/>
    <col min="10528" max="10533" width="0" style="2" hidden="1" customWidth="1"/>
    <col min="10534" max="10534" width="11" style="2" customWidth="1"/>
    <col min="10535" max="10537" width="0" style="2" hidden="1" customWidth="1"/>
    <col min="10538" max="10538" width="10.7109375" style="2" customWidth="1"/>
    <col min="10539" max="10543" width="0" style="2" hidden="1" customWidth="1"/>
    <col min="10544" max="10544" width="13.140625" style="2" customWidth="1"/>
    <col min="10545" max="10545" width="10.42578125" style="2" customWidth="1"/>
    <col min="10546" max="10546" width="10.28515625" style="2" customWidth="1"/>
    <col min="10547" max="10547" width="9.85546875" style="2" customWidth="1"/>
    <col min="10548" max="10548" width="10.7109375" style="2" customWidth="1"/>
    <col min="10549" max="10549" width="10" style="2" customWidth="1"/>
    <col min="10550" max="10550" width="9.5703125" style="2" customWidth="1"/>
    <col min="10551" max="10551" width="10.7109375" style="2" customWidth="1"/>
    <col min="10552" max="10552" width="9.85546875" style="2" customWidth="1"/>
    <col min="10553" max="10556" width="0" style="2" hidden="1" customWidth="1"/>
    <col min="10557" max="10557" width="9.85546875" style="2" customWidth="1"/>
    <col min="10558" max="10558" width="10.85546875" style="2" customWidth="1"/>
    <col min="10559" max="10559" width="11.5703125" style="2" customWidth="1"/>
    <col min="10560" max="10561" width="0" style="2" hidden="1" customWidth="1"/>
    <col min="10562" max="10778" width="9.140625" style="2"/>
    <col min="10779" max="10779" width="0" style="2" hidden="1" customWidth="1"/>
    <col min="10780" max="10780" width="11.42578125" style="2" customWidth="1"/>
    <col min="10781" max="10781" width="7.5703125" style="2" customWidth="1"/>
    <col min="10782" max="10782" width="17.85546875" style="2" customWidth="1"/>
    <col min="10783" max="10783" width="3.5703125" style="2" customWidth="1"/>
    <col min="10784" max="10789" width="0" style="2" hidden="1" customWidth="1"/>
    <col min="10790" max="10790" width="11" style="2" customWidth="1"/>
    <col min="10791" max="10793" width="0" style="2" hidden="1" customWidth="1"/>
    <col min="10794" max="10794" width="10.7109375" style="2" customWidth="1"/>
    <col min="10795" max="10799" width="0" style="2" hidden="1" customWidth="1"/>
    <col min="10800" max="10800" width="13.140625" style="2" customWidth="1"/>
    <col min="10801" max="10801" width="10.42578125" style="2" customWidth="1"/>
    <col min="10802" max="10802" width="10.28515625" style="2" customWidth="1"/>
    <col min="10803" max="10803" width="9.85546875" style="2" customWidth="1"/>
    <col min="10804" max="10804" width="10.7109375" style="2" customWidth="1"/>
    <col min="10805" max="10805" width="10" style="2" customWidth="1"/>
    <col min="10806" max="10806" width="9.5703125" style="2" customWidth="1"/>
    <col min="10807" max="10807" width="10.7109375" style="2" customWidth="1"/>
    <col min="10808" max="10808" width="9.85546875" style="2" customWidth="1"/>
    <col min="10809" max="10812" width="0" style="2" hidden="1" customWidth="1"/>
    <col min="10813" max="10813" width="9.85546875" style="2" customWidth="1"/>
    <col min="10814" max="10814" width="10.85546875" style="2" customWidth="1"/>
    <col min="10815" max="10815" width="11.5703125" style="2" customWidth="1"/>
    <col min="10816" max="10817" width="0" style="2" hidden="1" customWidth="1"/>
    <col min="10818" max="11034" width="9.140625" style="2"/>
    <col min="11035" max="11035" width="0" style="2" hidden="1" customWidth="1"/>
    <col min="11036" max="11036" width="11.42578125" style="2" customWidth="1"/>
    <col min="11037" max="11037" width="7.5703125" style="2" customWidth="1"/>
    <col min="11038" max="11038" width="17.85546875" style="2" customWidth="1"/>
    <col min="11039" max="11039" width="3.5703125" style="2" customWidth="1"/>
    <col min="11040" max="11045" width="0" style="2" hidden="1" customWidth="1"/>
    <col min="11046" max="11046" width="11" style="2" customWidth="1"/>
    <col min="11047" max="11049" width="0" style="2" hidden="1" customWidth="1"/>
    <col min="11050" max="11050" width="10.7109375" style="2" customWidth="1"/>
    <col min="11051" max="11055" width="0" style="2" hidden="1" customWidth="1"/>
    <col min="11056" max="11056" width="13.140625" style="2" customWidth="1"/>
    <col min="11057" max="11057" width="10.42578125" style="2" customWidth="1"/>
    <col min="11058" max="11058" width="10.28515625" style="2" customWidth="1"/>
    <col min="11059" max="11059" width="9.85546875" style="2" customWidth="1"/>
    <col min="11060" max="11060" width="10.7109375" style="2" customWidth="1"/>
    <col min="11061" max="11061" width="10" style="2" customWidth="1"/>
    <col min="11062" max="11062" width="9.5703125" style="2" customWidth="1"/>
    <col min="11063" max="11063" width="10.7109375" style="2" customWidth="1"/>
    <col min="11064" max="11064" width="9.85546875" style="2" customWidth="1"/>
    <col min="11065" max="11068" width="0" style="2" hidden="1" customWidth="1"/>
    <col min="11069" max="11069" width="9.85546875" style="2" customWidth="1"/>
    <col min="11070" max="11070" width="10.85546875" style="2" customWidth="1"/>
    <col min="11071" max="11071" width="11.5703125" style="2" customWidth="1"/>
    <col min="11072" max="11073" width="0" style="2" hidden="1" customWidth="1"/>
    <col min="11074" max="11290" width="9.140625" style="2"/>
    <col min="11291" max="11291" width="0" style="2" hidden="1" customWidth="1"/>
    <col min="11292" max="11292" width="11.42578125" style="2" customWidth="1"/>
    <col min="11293" max="11293" width="7.5703125" style="2" customWidth="1"/>
    <col min="11294" max="11294" width="17.85546875" style="2" customWidth="1"/>
    <col min="11295" max="11295" width="3.5703125" style="2" customWidth="1"/>
    <col min="11296" max="11301" width="0" style="2" hidden="1" customWidth="1"/>
    <col min="11302" max="11302" width="11" style="2" customWidth="1"/>
    <col min="11303" max="11305" width="0" style="2" hidden="1" customWidth="1"/>
    <col min="11306" max="11306" width="10.7109375" style="2" customWidth="1"/>
    <col min="11307" max="11311" width="0" style="2" hidden="1" customWidth="1"/>
    <col min="11312" max="11312" width="13.140625" style="2" customWidth="1"/>
    <col min="11313" max="11313" width="10.42578125" style="2" customWidth="1"/>
    <col min="11314" max="11314" width="10.28515625" style="2" customWidth="1"/>
    <col min="11315" max="11315" width="9.85546875" style="2" customWidth="1"/>
    <col min="11316" max="11316" width="10.7109375" style="2" customWidth="1"/>
    <col min="11317" max="11317" width="10" style="2" customWidth="1"/>
    <col min="11318" max="11318" width="9.5703125" style="2" customWidth="1"/>
    <col min="11319" max="11319" width="10.7109375" style="2" customWidth="1"/>
    <col min="11320" max="11320" width="9.85546875" style="2" customWidth="1"/>
    <col min="11321" max="11324" width="0" style="2" hidden="1" customWidth="1"/>
    <col min="11325" max="11325" width="9.85546875" style="2" customWidth="1"/>
    <col min="11326" max="11326" width="10.85546875" style="2" customWidth="1"/>
    <col min="11327" max="11327" width="11.5703125" style="2" customWidth="1"/>
    <col min="11328" max="11329" width="0" style="2" hidden="1" customWidth="1"/>
    <col min="11330" max="11546" width="9.140625" style="2"/>
    <col min="11547" max="11547" width="0" style="2" hidden="1" customWidth="1"/>
    <col min="11548" max="11548" width="11.42578125" style="2" customWidth="1"/>
    <col min="11549" max="11549" width="7.5703125" style="2" customWidth="1"/>
    <col min="11550" max="11550" width="17.85546875" style="2" customWidth="1"/>
    <col min="11551" max="11551" width="3.5703125" style="2" customWidth="1"/>
    <col min="11552" max="11557" width="0" style="2" hidden="1" customWidth="1"/>
    <col min="11558" max="11558" width="11" style="2" customWidth="1"/>
    <col min="11559" max="11561" width="0" style="2" hidden="1" customWidth="1"/>
    <col min="11562" max="11562" width="10.7109375" style="2" customWidth="1"/>
    <col min="11563" max="11567" width="0" style="2" hidden="1" customWidth="1"/>
    <col min="11568" max="11568" width="13.140625" style="2" customWidth="1"/>
    <col min="11569" max="11569" width="10.42578125" style="2" customWidth="1"/>
    <col min="11570" max="11570" width="10.28515625" style="2" customWidth="1"/>
    <col min="11571" max="11571" width="9.85546875" style="2" customWidth="1"/>
    <col min="11572" max="11572" width="10.7109375" style="2" customWidth="1"/>
    <col min="11573" max="11573" width="10" style="2" customWidth="1"/>
    <col min="11574" max="11574" width="9.5703125" style="2" customWidth="1"/>
    <col min="11575" max="11575" width="10.7109375" style="2" customWidth="1"/>
    <col min="11576" max="11576" width="9.85546875" style="2" customWidth="1"/>
    <col min="11577" max="11580" width="0" style="2" hidden="1" customWidth="1"/>
    <col min="11581" max="11581" width="9.85546875" style="2" customWidth="1"/>
    <col min="11582" max="11582" width="10.85546875" style="2" customWidth="1"/>
    <col min="11583" max="11583" width="11.5703125" style="2" customWidth="1"/>
    <col min="11584" max="11585" width="0" style="2" hidden="1" customWidth="1"/>
    <col min="11586" max="11802" width="9.140625" style="2"/>
    <col min="11803" max="11803" width="0" style="2" hidden="1" customWidth="1"/>
    <col min="11804" max="11804" width="11.42578125" style="2" customWidth="1"/>
    <col min="11805" max="11805" width="7.5703125" style="2" customWidth="1"/>
    <col min="11806" max="11806" width="17.85546875" style="2" customWidth="1"/>
    <col min="11807" max="11807" width="3.5703125" style="2" customWidth="1"/>
    <col min="11808" max="11813" width="0" style="2" hidden="1" customWidth="1"/>
    <col min="11814" max="11814" width="11" style="2" customWidth="1"/>
    <col min="11815" max="11817" width="0" style="2" hidden="1" customWidth="1"/>
    <col min="11818" max="11818" width="10.7109375" style="2" customWidth="1"/>
    <col min="11819" max="11823" width="0" style="2" hidden="1" customWidth="1"/>
    <col min="11824" max="11824" width="13.140625" style="2" customWidth="1"/>
    <col min="11825" max="11825" width="10.42578125" style="2" customWidth="1"/>
    <col min="11826" max="11826" width="10.28515625" style="2" customWidth="1"/>
    <col min="11827" max="11827" width="9.85546875" style="2" customWidth="1"/>
    <col min="11828" max="11828" width="10.7109375" style="2" customWidth="1"/>
    <col min="11829" max="11829" width="10" style="2" customWidth="1"/>
    <col min="11830" max="11830" width="9.5703125" style="2" customWidth="1"/>
    <col min="11831" max="11831" width="10.7109375" style="2" customWidth="1"/>
    <col min="11832" max="11832" width="9.85546875" style="2" customWidth="1"/>
    <col min="11833" max="11836" width="0" style="2" hidden="1" customWidth="1"/>
    <col min="11837" max="11837" width="9.85546875" style="2" customWidth="1"/>
    <col min="11838" max="11838" width="10.85546875" style="2" customWidth="1"/>
    <col min="11839" max="11839" width="11.5703125" style="2" customWidth="1"/>
    <col min="11840" max="11841" width="0" style="2" hidden="1" customWidth="1"/>
    <col min="11842" max="12058" width="9.140625" style="2"/>
    <col min="12059" max="12059" width="0" style="2" hidden="1" customWidth="1"/>
    <col min="12060" max="12060" width="11.42578125" style="2" customWidth="1"/>
    <col min="12061" max="12061" width="7.5703125" style="2" customWidth="1"/>
    <col min="12062" max="12062" width="17.85546875" style="2" customWidth="1"/>
    <col min="12063" max="12063" width="3.5703125" style="2" customWidth="1"/>
    <col min="12064" max="12069" width="0" style="2" hidden="1" customWidth="1"/>
    <col min="12070" max="12070" width="11" style="2" customWidth="1"/>
    <col min="12071" max="12073" width="0" style="2" hidden="1" customWidth="1"/>
    <col min="12074" max="12074" width="10.7109375" style="2" customWidth="1"/>
    <col min="12075" max="12079" width="0" style="2" hidden="1" customWidth="1"/>
    <col min="12080" max="12080" width="13.140625" style="2" customWidth="1"/>
    <col min="12081" max="12081" width="10.42578125" style="2" customWidth="1"/>
    <col min="12082" max="12082" width="10.28515625" style="2" customWidth="1"/>
    <col min="12083" max="12083" width="9.85546875" style="2" customWidth="1"/>
    <col min="12084" max="12084" width="10.7109375" style="2" customWidth="1"/>
    <col min="12085" max="12085" width="10" style="2" customWidth="1"/>
    <col min="12086" max="12086" width="9.5703125" style="2" customWidth="1"/>
    <col min="12087" max="12087" width="10.7109375" style="2" customWidth="1"/>
    <col min="12088" max="12088" width="9.85546875" style="2" customWidth="1"/>
    <col min="12089" max="12092" width="0" style="2" hidden="1" customWidth="1"/>
    <col min="12093" max="12093" width="9.85546875" style="2" customWidth="1"/>
    <col min="12094" max="12094" width="10.85546875" style="2" customWidth="1"/>
    <col min="12095" max="12095" width="11.5703125" style="2" customWidth="1"/>
    <col min="12096" max="12097" width="0" style="2" hidden="1" customWidth="1"/>
    <col min="12098" max="12314" width="9.140625" style="2"/>
    <col min="12315" max="12315" width="0" style="2" hidden="1" customWidth="1"/>
    <col min="12316" max="12316" width="11.42578125" style="2" customWidth="1"/>
    <col min="12317" max="12317" width="7.5703125" style="2" customWidth="1"/>
    <col min="12318" max="12318" width="17.85546875" style="2" customWidth="1"/>
    <col min="12319" max="12319" width="3.5703125" style="2" customWidth="1"/>
    <col min="12320" max="12325" width="0" style="2" hidden="1" customWidth="1"/>
    <col min="12326" max="12326" width="11" style="2" customWidth="1"/>
    <col min="12327" max="12329" width="0" style="2" hidden="1" customWidth="1"/>
    <col min="12330" max="12330" width="10.7109375" style="2" customWidth="1"/>
    <col min="12331" max="12335" width="0" style="2" hidden="1" customWidth="1"/>
    <col min="12336" max="12336" width="13.140625" style="2" customWidth="1"/>
    <col min="12337" max="12337" width="10.42578125" style="2" customWidth="1"/>
    <col min="12338" max="12338" width="10.28515625" style="2" customWidth="1"/>
    <col min="12339" max="12339" width="9.85546875" style="2" customWidth="1"/>
    <col min="12340" max="12340" width="10.7109375" style="2" customWidth="1"/>
    <col min="12341" max="12341" width="10" style="2" customWidth="1"/>
    <col min="12342" max="12342" width="9.5703125" style="2" customWidth="1"/>
    <col min="12343" max="12343" width="10.7109375" style="2" customWidth="1"/>
    <col min="12344" max="12344" width="9.85546875" style="2" customWidth="1"/>
    <col min="12345" max="12348" width="0" style="2" hidden="1" customWidth="1"/>
    <col min="12349" max="12349" width="9.85546875" style="2" customWidth="1"/>
    <col min="12350" max="12350" width="10.85546875" style="2" customWidth="1"/>
    <col min="12351" max="12351" width="11.5703125" style="2" customWidth="1"/>
    <col min="12352" max="12353" width="0" style="2" hidden="1" customWidth="1"/>
    <col min="12354" max="12570" width="9.140625" style="2"/>
    <col min="12571" max="12571" width="0" style="2" hidden="1" customWidth="1"/>
    <col min="12572" max="12572" width="11.42578125" style="2" customWidth="1"/>
    <col min="12573" max="12573" width="7.5703125" style="2" customWidth="1"/>
    <col min="12574" max="12574" width="17.85546875" style="2" customWidth="1"/>
    <col min="12575" max="12575" width="3.5703125" style="2" customWidth="1"/>
    <col min="12576" max="12581" width="0" style="2" hidden="1" customWidth="1"/>
    <col min="12582" max="12582" width="11" style="2" customWidth="1"/>
    <col min="12583" max="12585" width="0" style="2" hidden="1" customWidth="1"/>
    <col min="12586" max="12586" width="10.7109375" style="2" customWidth="1"/>
    <col min="12587" max="12591" width="0" style="2" hidden="1" customWidth="1"/>
    <col min="12592" max="12592" width="13.140625" style="2" customWidth="1"/>
    <col min="12593" max="12593" width="10.42578125" style="2" customWidth="1"/>
    <col min="12594" max="12594" width="10.28515625" style="2" customWidth="1"/>
    <col min="12595" max="12595" width="9.85546875" style="2" customWidth="1"/>
    <col min="12596" max="12596" width="10.7109375" style="2" customWidth="1"/>
    <col min="12597" max="12597" width="10" style="2" customWidth="1"/>
    <col min="12598" max="12598" width="9.5703125" style="2" customWidth="1"/>
    <col min="12599" max="12599" width="10.7109375" style="2" customWidth="1"/>
    <col min="12600" max="12600" width="9.85546875" style="2" customWidth="1"/>
    <col min="12601" max="12604" width="0" style="2" hidden="1" customWidth="1"/>
    <col min="12605" max="12605" width="9.85546875" style="2" customWidth="1"/>
    <col min="12606" max="12606" width="10.85546875" style="2" customWidth="1"/>
    <col min="12607" max="12607" width="11.5703125" style="2" customWidth="1"/>
    <col min="12608" max="12609" width="0" style="2" hidden="1" customWidth="1"/>
    <col min="12610" max="12826" width="9.140625" style="2"/>
    <col min="12827" max="12827" width="0" style="2" hidden="1" customWidth="1"/>
    <col min="12828" max="12828" width="11.42578125" style="2" customWidth="1"/>
    <col min="12829" max="12829" width="7.5703125" style="2" customWidth="1"/>
    <col min="12830" max="12830" width="17.85546875" style="2" customWidth="1"/>
    <col min="12831" max="12831" width="3.5703125" style="2" customWidth="1"/>
    <col min="12832" max="12837" width="0" style="2" hidden="1" customWidth="1"/>
    <col min="12838" max="12838" width="11" style="2" customWidth="1"/>
    <col min="12839" max="12841" width="0" style="2" hidden="1" customWidth="1"/>
    <col min="12842" max="12842" width="10.7109375" style="2" customWidth="1"/>
    <col min="12843" max="12847" width="0" style="2" hidden="1" customWidth="1"/>
    <col min="12848" max="12848" width="13.140625" style="2" customWidth="1"/>
    <col min="12849" max="12849" width="10.42578125" style="2" customWidth="1"/>
    <col min="12850" max="12850" width="10.28515625" style="2" customWidth="1"/>
    <col min="12851" max="12851" width="9.85546875" style="2" customWidth="1"/>
    <col min="12852" max="12852" width="10.7109375" style="2" customWidth="1"/>
    <col min="12853" max="12853" width="10" style="2" customWidth="1"/>
    <col min="12854" max="12854" width="9.5703125" style="2" customWidth="1"/>
    <col min="12855" max="12855" width="10.7109375" style="2" customWidth="1"/>
    <col min="12856" max="12856" width="9.85546875" style="2" customWidth="1"/>
    <col min="12857" max="12860" width="0" style="2" hidden="1" customWidth="1"/>
    <col min="12861" max="12861" width="9.85546875" style="2" customWidth="1"/>
    <col min="12862" max="12862" width="10.85546875" style="2" customWidth="1"/>
    <col min="12863" max="12863" width="11.5703125" style="2" customWidth="1"/>
    <col min="12864" max="12865" width="0" style="2" hidden="1" customWidth="1"/>
    <col min="12866" max="13082" width="9.140625" style="2"/>
    <col min="13083" max="13083" width="0" style="2" hidden="1" customWidth="1"/>
    <col min="13084" max="13084" width="11.42578125" style="2" customWidth="1"/>
    <col min="13085" max="13085" width="7.5703125" style="2" customWidth="1"/>
    <col min="13086" max="13086" width="17.85546875" style="2" customWidth="1"/>
    <col min="13087" max="13087" width="3.5703125" style="2" customWidth="1"/>
    <col min="13088" max="13093" width="0" style="2" hidden="1" customWidth="1"/>
    <col min="13094" max="13094" width="11" style="2" customWidth="1"/>
    <col min="13095" max="13097" width="0" style="2" hidden="1" customWidth="1"/>
    <col min="13098" max="13098" width="10.7109375" style="2" customWidth="1"/>
    <col min="13099" max="13103" width="0" style="2" hidden="1" customWidth="1"/>
    <col min="13104" max="13104" width="13.140625" style="2" customWidth="1"/>
    <col min="13105" max="13105" width="10.42578125" style="2" customWidth="1"/>
    <col min="13106" max="13106" width="10.28515625" style="2" customWidth="1"/>
    <col min="13107" max="13107" width="9.85546875" style="2" customWidth="1"/>
    <col min="13108" max="13108" width="10.7109375" style="2" customWidth="1"/>
    <col min="13109" max="13109" width="10" style="2" customWidth="1"/>
    <col min="13110" max="13110" width="9.5703125" style="2" customWidth="1"/>
    <col min="13111" max="13111" width="10.7109375" style="2" customWidth="1"/>
    <col min="13112" max="13112" width="9.85546875" style="2" customWidth="1"/>
    <col min="13113" max="13116" width="0" style="2" hidden="1" customWidth="1"/>
    <col min="13117" max="13117" width="9.85546875" style="2" customWidth="1"/>
    <col min="13118" max="13118" width="10.85546875" style="2" customWidth="1"/>
    <col min="13119" max="13119" width="11.5703125" style="2" customWidth="1"/>
    <col min="13120" max="13121" width="0" style="2" hidden="1" customWidth="1"/>
    <col min="13122" max="13338" width="9.140625" style="2"/>
    <col min="13339" max="13339" width="0" style="2" hidden="1" customWidth="1"/>
    <col min="13340" max="13340" width="11.42578125" style="2" customWidth="1"/>
    <col min="13341" max="13341" width="7.5703125" style="2" customWidth="1"/>
    <col min="13342" max="13342" width="17.85546875" style="2" customWidth="1"/>
    <col min="13343" max="13343" width="3.5703125" style="2" customWidth="1"/>
    <col min="13344" max="13349" width="0" style="2" hidden="1" customWidth="1"/>
    <col min="13350" max="13350" width="11" style="2" customWidth="1"/>
    <col min="13351" max="13353" width="0" style="2" hidden="1" customWidth="1"/>
    <col min="13354" max="13354" width="10.7109375" style="2" customWidth="1"/>
    <col min="13355" max="13359" width="0" style="2" hidden="1" customWidth="1"/>
    <col min="13360" max="13360" width="13.140625" style="2" customWidth="1"/>
    <col min="13361" max="13361" width="10.42578125" style="2" customWidth="1"/>
    <col min="13362" max="13362" width="10.28515625" style="2" customWidth="1"/>
    <col min="13363" max="13363" width="9.85546875" style="2" customWidth="1"/>
    <col min="13364" max="13364" width="10.7109375" style="2" customWidth="1"/>
    <col min="13365" max="13365" width="10" style="2" customWidth="1"/>
    <col min="13366" max="13366" width="9.5703125" style="2" customWidth="1"/>
    <col min="13367" max="13367" width="10.7109375" style="2" customWidth="1"/>
    <col min="13368" max="13368" width="9.85546875" style="2" customWidth="1"/>
    <col min="13369" max="13372" width="0" style="2" hidden="1" customWidth="1"/>
    <col min="13373" max="13373" width="9.85546875" style="2" customWidth="1"/>
    <col min="13374" max="13374" width="10.85546875" style="2" customWidth="1"/>
    <col min="13375" max="13375" width="11.5703125" style="2" customWidth="1"/>
    <col min="13376" max="13377" width="0" style="2" hidden="1" customWidth="1"/>
    <col min="13378" max="13594" width="9.140625" style="2"/>
    <col min="13595" max="13595" width="0" style="2" hidden="1" customWidth="1"/>
    <col min="13596" max="13596" width="11.42578125" style="2" customWidth="1"/>
    <col min="13597" max="13597" width="7.5703125" style="2" customWidth="1"/>
    <col min="13598" max="13598" width="17.85546875" style="2" customWidth="1"/>
    <col min="13599" max="13599" width="3.5703125" style="2" customWidth="1"/>
    <col min="13600" max="13605" width="0" style="2" hidden="1" customWidth="1"/>
    <col min="13606" max="13606" width="11" style="2" customWidth="1"/>
    <col min="13607" max="13609" width="0" style="2" hidden="1" customWidth="1"/>
    <col min="13610" max="13610" width="10.7109375" style="2" customWidth="1"/>
    <col min="13611" max="13615" width="0" style="2" hidden="1" customWidth="1"/>
    <col min="13616" max="13616" width="13.140625" style="2" customWidth="1"/>
    <col min="13617" max="13617" width="10.42578125" style="2" customWidth="1"/>
    <col min="13618" max="13618" width="10.28515625" style="2" customWidth="1"/>
    <col min="13619" max="13619" width="9.85546875" style="2" customWidth="1"/>
    <col min="13620" max="13620" width="10.7109375" style="2" customWidth="1"/>
    <col min="13621" max="13621" width="10" style="2" customWidth="1"/>
    <col min="13622" max="13622" width="9.5703125" style="2" customWidth="1"/>
    <col min="13623" max="13623" width="10.7109375" style="2" customWidth="1"/>
    <col min="13624" max="13624" width="9.85546875" style="2" customWidth="1"/>
    <col min="13625" max="13628" width="0" style="2" hidden="1" customWidth="1"/>
    <col min="13629" max="13629" width="9.85546875" style="2" customWidth="1"/>
    <col min="13630" max="13630" width="10.85546875" style="2" customWidth="1"/>
    <col min="13631" max="13631" width="11.5703125" style="2" customWidth="1"/>
    <col min="13632" max="13633" width="0" style="2" hidden="1" customWidth="1"/>
    <col min="13634" max="13850" width="9.140625" style="2"/>
    <col min="13851" max="13851" width="0" style="2" hidden="1" customWidth="1"/>
    <col min="13852" max="13852" width="11.42578125" style="2" customWidth="1"/>
    <col min="13853" max="13853" width="7.5703125" style="2" customWidth="1"/>
    <col min="13854" max="13854" width="17.85546875" style="2" customWidth="1"/>
    <col min="13855" max="13855" width="3.5703125" style="2" customWidth="1"/>
    <col min="13856" max="13861" width="0" style="2" hidden="1" customWidth="1"/>
    <col min="13862" max="13862" width="11" style="2" customWidth="1"/>
    <col min="13863" max="13865" width="0" style="2" hidden="1" customWidth="1"/>
    <col min="13866" max="13866" width="10.7109375" style="2" customWidth="1"/>
    <col min="13867" max="13871" width="0" style="2" hidden="1" customWidth="1"/>
    <col min="13872" max="13872" width="13.140625" style="2" customWidth="1"/>
    <col min="13873" max="13873" width="10.42578125" style="2" customWidth="1"/>
    <col min="13874" max="13874" width="10.28515625" style="2" customWidth="1"/>
    <col min="13875" max="13875" width="9.85546875" style="2" customWidth="1"/>
    <col min="13876" max="13876" width="10.7109375" style="2" customWidth="1"/>
    <col min="13877" max="13877" width="10" style="2" customWidth="1"/>
    <col min="13878" max="13878" width="9.5703125" style="2" customWidth="1"/>
    <col min="13879" max="13879" width="10.7109375" style="2" customWidth="1"/>
    <col min="13880" max="13880" width="9.85546875" style="2" customWidth="1"/>
    <col min="13881" max="13884" width="0" style="2" hidden="1" customWidth="1"/>
    <col min="13885" max="13885" width="9.85546875" style="2" customWidth="1"/>
    <col min="13886" max="13886" width="10.85546875" style="2" customWidth="1"/>
    <col min="13887" max="13887" width="11.5703125" style="2" customWidth="1"/>
    <col min="13888" max="13889" width="0" style="2" hidden="1" customWidth="1"/>
    <col min="13890" max="14106" width="9.140625" style="2"/>
    <col min="14107" max="14107" width="0" style="2" hidden="1" customWidth="1"/>
    <col min="14108" max="14108" width="11.42578125" style="2" customWidth="1"/>
    <col min="14109" max="14109" width="7.5703125" style="2" customWidth="1"/>
    <col min="14110" max="14110" width="17.85546875" style="2" customWidth="1"/>
    <col min="14111" max="14111" width="3.5703125" style="2" customWidth="1"/>
    <col min="14112" max="14117" width="0" style="2" hidden="1" customWidth="1"/>
    <col min="14118" max="14118" width="11" style="2" customWidth="1"/>
    <col min="14119" max="14121" width="0" style="2" hidden="1" customWidth="1"/>
    <col min="14122" max="14122" width="10.7109375" style="2" customWidth="1"/>
    <col min="14123" max="14127" width="0" style="2" hidden="1" customWidth="1"/>
    <col min="14128" max="14128" width="13.140625" style="2" customWidth="1"/>
    <col min="14129" max="14129" width="10.42578125" style="2" customWidth="1"/>
    <col min="14130" max="14130" width="10.28515625" style="2" customWidth="1"/>
    <col min="14131" max="14131" width="9.85546875" style="2" customWidth="1"/>
    <col min="14132" max="14132" width="10.7109375" style="2" customWidth="1"/>
    <col min="14133" max="14133" width="10" style="2" customWidth="1"/>
    <col min="14134" max="14134" width="9.5703125" style="2" customWidth="1"/>
    <col min="14135" max="14135" width="10.7109375" style="2" customWidth="1"/>
    <col min="14136" max="14136" width="9.85546875" style="2" customWidth="1"/>
    <col min="14137" max="14140" width="0" style="2" hidden="1" customWidth="1"/>
    <col min="14141" max="14141" width="9.85546875" style="2" customWidth="1"/>
    <col min="14142" max="14142" width="10.85546875" style="2" customWidth="1"/>
    <col min="14143" max="14143" width="11.5703125" style="2" customWidth="1"/>
    <col min="14144" max="14145" width="0" style="2" hidden="1" customWidth="1"/>
    <col min="14146" max="14362" width="9.140625" style="2"/>
    <col min="14363" max="14363" width="0" style="2" hidden="1" customWidth="1"/>
    <col min="14364" max="14364" width="11.42578125" style="2" customWidth="1"/>
    <col min="14365" max="14365" width="7.5703125" style="2" customWidth="1"/>
    <col min="14366" max="14366" width="17.85546875" style="2" customWidth="1"/>
    <col min="14367" max="14367" width="3.5703125" style="2" customWidth="1"/>
    <col min="14368" max="14373" width="0" style="2" hidden="1" customWidth="1"/>
    <col min="14374" max="14374" width="11" style="2" customWidth="1"/>
    <col min="14375" max="14377" width="0" style="2" hidden="1" customWidth="1"/>
    <col min="14378" max="14378" width="10.7109375" style="2" customWidth="1"/>
    <col min="14379" max="14383" width="0" style="2" hidden="1" customWidth="1"/>
    <col min="14384" max="14384" width="13.140625" style="2" customWidth="1"/>
    <col min="14385" max="14385" width="10.42578125" style="2" customWidth="1"/>
    <col min="14386" max="14386" width="10.28515625" style="2" customWidth="1"/>
    <col min="14387" max="14387" width="9.85546875" style="2" customWidth="1"/>
    <col min="14388" max="14388" width="10.7109375" style="2" customWidth="1"/>
    <col min="14389" max="14389" width="10" style="2" customWidth="1"/>
    <col min="14390" max="14390" width="9.5703125" style="2" customWidth="1"/>
    <col min="14391" max="14391" width="10.7109375" style="2" customWidth="1"/>
    <col min="14392" max="14392" width="9.85546875" style="2" customWidth="1"/>
    <col min="14393" max="14396" width="0" style="2" hidden="1" customWidth="1"/>
    <col min="14397" max="14397" width="9.85546875" style="2" customWidth="1"/>
    <col min="14398" max="14398" width="10.85546875" style="2" customWidth="1"/>
    <col min="14399" max="14399" width="11.5703125" style="2" customWidth="1"/>
    <col min="14400" max="14401" width="0" style="2" hidden="1" customWidth="1"/>
    <col min="14402" max="14618" width="9.140625" style="2"/>
    <col min="14619" max="14619" width="0" style="2" hidden="1" customWidth="1"/>
    <col min="14620" max="14620" width="11.42578125" style="2" customWidth="1"/>
    <col min="14621" max="14621" width="7.5703125" style="2" customWidth="1"/>
    <col min="14622" max="14622" width="17.85546875" style="2" customWidth="1"/>
    <col min="14623" max="14623" width="3.5703125" style="2" customWidth="1"/>
    <col min="14624" max="14629" width="0" style="2" hidden="1" customWidth="1"/>
    <col min="14630" max="14630" width="11" style="2" customWidth="1"/>
    <col min="14631" max="14633" width="0" style="2" hidden="1" customWidth="1"/>
    <col min="14634" max="14634" width="10.7109375" style="2" customWidth="1"/>
    <col min="14635" max="14639" width="0" style="2" hidden="1" customWidth="1"/>
    <col min="14640" max="14640" width="13.140625" style="2" customWidth="1"/>
    <col min="14641" max="14641" width="10.42578125" style="2" customWidth="1"/>
    <col min="14642" max="14642" width="10.28515625" style="2" customWidth="1"/>
    <col min="14643" max="14643" width="9.85546875" style="2" customWidth="1"/>
    <col min="14644" max="14644" width="10.7109375" style="2" customWidth="1"/>
    <col min="14645" max="14645" width="10" style="2" customWidth="1"/>
    <col min="14646" max="14646" width="9.5703125" style="2" customWidth="1"/>
    <col min="14647" max="14647" width="10.7109375" style="2" customWidth="1"/>
    <col min="14648" max="14648" width="9.85546875" style="2" customWidth="1"/>
    <col min="14649" max="14652" width="0" style="2" hidden="1" customWidth="1"/>
    <col min="14653" max="14653" width="9.85546875" style="2" customWidth="1"/>
    <col min="14654" max="14654" width="10.85546875" style="2" customWidth="1"/>
    <col min="14655" max="14655" width="11.5703125" style="2" customWidth="1"/>
    <col min="14656" max="14657" width="0" style="2" hidden="1" customWidth="1"/>
    <col min="14658" max="14874" width="9.140625" style="2"/>
    <col min="14875" max="14875" width="0" style="2" hidden="1" customWidth="1"/>
    <col min="14876" max="14876" width="11.42578125" style="2" customWidth="1"/>
    <col min="14877" max="14877" width="7.5703125" style="2" customWidth="1"/>
    <col min="14878" max="14878" width="17.85546875" style="2" customWidth="1"/>
    <col min="14879" max="14879" width="3.5703125" style="2" customWidth="1"/>
    <col min="14880" max="14885" width="0" style="2" hidden="1" customWidth="1"/>
    <col min="14886" max="14886" width="11" style="2" customWidth="1"/>
    <col min="14887" max="14889" width="0" style="2" hidden="1" customWidth="1"/>
    <col min="14890" max="14890" width="10.7109375" style="2" customWidth="1"/>
    <col min="14891" max="14895" width="0" style="2" hidden="1" customWidth="1"/>
    <col min="14896" max="14896" width="13.140625" style="2" customWidth="1"/>
    <col min="14897" max="14897" width="10.42578125" style="2" customWidth="1"/>
    <col min="14898" max="14898" width="10.28515625" style="2" customWidth="1"/>
    <col min="14899" max="14899" width="9.85546875" style="2" customWidth="1"/>
    <col min="14900" max="14900" width="10.7109375" style="2" customWidth="1"/>
    <col min="14901" max="14901" width="10" style="2" customWidth="1"/>
    <col min="14902" max="14902" width="9.5703125" style="2" customWidth="1"/>
    <col min="14903" max="14903" width="10.7109375" style="2" customWidth="1"/>
    <col min="14904" max="14904" width="9.85546875" style="2" customWidth="1"/>
    <col min="14905" max="14908" width="0" style="2" hidden="1" customWidth="1"/>
    <col min="14909" max="14909" width="9.85546875" style="2" customWidth="1"/>
    <col min="14910" max="14910" width="10.85546875" style="2" customWidth="1"/>
    <col min="14911" max="14911" width="11.5703125" style="2" customWidth="1"/>
    <col min="14912" max="14913" width="0" style="2" hidden="1" customWidth="1"/>
    <col min="14914" max="15130" width="9.140625" style="2"/>
    <col min="15131" max="15131" width="0" style="2" hidden="1" customWidth="1"/>
    <col min="15132" max="15132" width="11.42578125" style="2" customWidth="1"/>
    <col min="15133" max="15133" width="7.5703125" style="2" customWidth="1"/>
    <col min="15134" max="15134" width="17.85546875" style="2" customWidth="1"/>
    <col min="15135" max="15135" width="3.5703125" style="2" customWidth="1"/>
    <col min="15136" max="15141" width="0" style="2" hidden="1" customWidth="1"/>
    <col min="15142" max="15142" width="11" style="2" customWidth="1"/>
    <col min="15143" max="15145" width="0" style="2" hidden="1" customWidth="1"/>
    <col min="15146" max="15146" width="10.7109375" style="2" customWidth="1"/>
    <col min="15147" max="15151" width="0" style="2" hidden="1" customWidth="1"/>
    <col min="15152" max="15152" width="13.140625" style="2" customWidth="1"/>
    <col min="15153" max="15153" width="10.42578125" style="2" customWidth="1"/>
    <col min="15154" max="15154" width="10.28515625" style="2" customWidth="1"/>
    <col min="15155" max="15155" width="9.85546875" style="2" customWidth="1"/>
    <col min="15156" max="15156" width="10.7109375" style="2" customWidth="1"/>
    <col min="15157" max="15157" width="10" style="2" customWidth="1"/>
    <col min="15158" max="15158" width="9.5703125" style="2" customWidth="1"/>
    <col min="15159" max="15159" width="10.7109375" style="2" customWidth="1"/>
    <col min="15160" max="15160" width="9.85546875" style="2" customWidth="1"/>
    <col min="15161" max="15164" width="0" style="2" hidden="1" customWidth="1"/>
    <col min="15165" max="15165" width="9.85546875" style="2" customWidth="1"/>
    <col min="15166" max="15166" width="10.85546875" style="2" customWidth="1"/>
    <col min="15167" max="15167" width="11.5703125" style="2" customWidth="1"/>
    <col min="15168" max="15169" width="0" style="2" hidden="1" customWidth="1"/>
    <col min="15170" max="15386" width="9.140625" style="2"/>
    <col min="15387" max="15387" width="0" style="2" hidden="1" customWidth="1"/>
    <col min="15388" max="15388" width="11.42578125" style="2" customWidth="1"/>
    <col min="15389" max="15389" width="7.5703125" style="2" customWidth="1"/>
    <col min="15390" max="15390" width="17.85546875" style="2" customWidth="1"/>
    <col min="15391" max="15391" width="3.5703125" style="2" customWidth="1"/>
    <col min="15392" max="15397" width="0" style="2" hidden="1" customWidth="1"/>
    <col min="15398" max="15398" width="11" style="2" customWidth="1"/>
    <col min="15399" max="15401" width="0" style="2" hidden="1" customWidth="1"/>
    <col min="15402" max="15402" width="10.7109375" style="2" customWidth="1"/>
    <col min="15403" max="15407" width="0" style="2" hidden="1" customWidth="1"/>
    <col min="15408" max="15408" width="13.140625" style="2" customWidth="1"/>
    <col min="15409" max="15409" width="10.42578125" style="2" customWidth="1"/>
    <col min="15410" max="15410" width="10.28515625" style="2" customWidth="1"/>
    <col min="15411" max="15411" width="9.85546875" style="2" customWidth="1"/>
    <col min="15412" max="15412" width="10.7109375" style="2" customWidth="1"/>
    <col min="15413" max="15413" width="10" style="2" customWidth="1"/>
    <col min="15414" max="15414" width="9.5703125" style="2" customWidth="1"/>
    <col min="15415" max="15415" width="10.7109375" style="2" customWidth="1"/>
    <col min="15416" max="15416" width="9.85546875" style="2" customWidth="1"/>
    <col min="15417" max="15420" width="0" style="2" hidden="1" customWidth="1"/>
    <col min="15421" max="15421" width="9.85546875" style="2" customWidth="1"/>
    <col min="15422" max="15422" width="10.85546875" style="2" customWidth="1"/>
    <col min="15423" max="15423" width="11.5703125" style="2" customWidth="1"/>
    <col min="15424" max="15425" width="0" style="2" hidden="1" customWidth="1"/>
    <col min="15426" max="15642" width="9.140625" style="2"/>
    <col min="15643" max="15643" width="0" style="2" hidden="1" customWidth="1"/>
    <col min="15644" max="15644" width="11.42578125" style="2" customWidth="1"/>
    <col min="15645" max="15645" width="7.5703125" style="2" customWidth="1"/>
    <col min="15646" max="15646" width="17.85546875" style="2" customWidth="1"/>
    <col min="15647" max="15647" width="3.5703125" style="2" customWidth="1"/>
    <col min="15648" max="15653" width="0" style="2" hidden="1" customWidth="1"/>
    <col min="15654" max="15654" width="11" style="2" customWidth="1"/>
    <col min="15655" max="15657" width="0" style="2" hidden="1" customWidth="1"/>
    <col min="15658" max="15658" width="10.7109375" style="2" customWidth="1"/>
    <col min="15659" max="15663" width="0" style="2" hidden="1" customWidth="1"/>
    <col min="15664" max="15664" width="13.140625" style="2" customWidth="1"/>
    <col min="15665" max="15665" width="10.42578125" style="2" customWidth="1"/>
    <col min="15666" max="15666" width="10.28515625" style="2" customWidth="1"/>
    <col min="15667" max="15667" width="9.85546875" style="2" customWidth="1"/>
    <col min="15668" max="15668" width="10.7109375" style="2" customWidth="1"/>
    <col min="15669" max="15669" width="10" style="2" customWidth="1"/>
    <col min="15670" max="15670" width="9.5703125" style="2" customWidth="1"/>
    <col min="15671" max="15671" width="10.7109375" style="2" customWidth="1"/>
    <col min="15672" max="15672" width="9.85546875" style="2" customWidth="1"/>
    <col min="15673" max="15676" width="0" style="2" hidden="1" customWidth="1"/>
    <col min="15677" max="15677" width="9.85546875" style="2" customWidth="1"/>
    <col min="15678" max="15678" width="10.85546875" style="2" customWidth="1"/>
    <col min="15679" max="15679" width="11.5703125" style="2" customWidth="1"/>
    <col min="15680" max="15681" width="0" style="2" hidden="1" customWidth="1"/>
    <col min="15682" max="15898" width="9.140625" style="2"/>
    <col min="15899" max="15899" width="0" style="2" hidden="1" customWidth="1"/>
    <col min="15900" max="15900" width="11.42578125" style="2" customWidth="1"/>
    <col min="15901" max="15901" width="7.5703125" style="2" customWidth="1"/>
    <col min="15902" max="15902" width="17.85546875" style="2" customWidth="1"/>
    <col min="15903" max="15903" width="3.5703125" style="2" customWidth="1"/>
    <col min="15904" max="15909" width="0" style="2" hidden="1" customWidth="1"/>
    <col min="15910" max="15910" width="11" style="2" customWidth="1"/>
    <col min="15911" max="15913" width="0" style="2" hidden="1" customWidth="1"/>
    <col min="15914" max="15914" width="10.7109375" style="2" customWidth="1"/>
    <col min="15915" max="15919" width="0" style="2" hidden="1" customWidth="1"/>
    <col min="15920" max="15920" width="13.140625" style="2" customWidth="1"/>
    <col min="15921" max="15921" width="10.42578125" style="2" customWidth="1"/>
    <col min="15922" max="15922" width="10.28515625" style="2" customWidth="1"/>
    <col min="15923" max="15923" width="9.85546875" style="2" customWidth="1"/>
    <col min="15924" max="15924" width="10.7109375" style="2" customWidth="1"/>
    <col min="15925" max="15925" width="10" style="2" customWidth="1"/>
    <col min="15926" max="15926" width="9.5703125" style="2" customWidth="1"/>
    <col min="15927" max="15927" width="10.7109375" style="2" customWidth="1"/>
    <col min="15928" max="15928" width="9.85546875" style="2" customWidth="1"/>
    <col min="15929" max="15932" width="0" style="2" hidden="1" customWidth="1"/>
    <col min="15933" max="15933" width="9.85546875" style="2" customWidth="1"/>
    <col min="15934" max="15934" width="10.85546875" style="2" customWidth="1"/>
    <col min="15935" max="15935" width="11.5703125" style="2" customWidth="1"/>
    <col min="15936" max="15937" width="0" style="2" hidden="1" customWidth="1"/>
    <col min="15938" max="16154" width="9.140625" style="2"/>
    <col min="16155" max="16155" width="0" style="2" hidden="1" customWidth="1"/>
    <col min="16156" max="16156" width="11.42578125" style="2" customWidth="1"/>
    <col min="16157" max="16157" width="7.5703125" style="2" customWidth="1"/>
    <col min="16158" max="16158" width="17.85546875" style="2" customWidth="1"/>
    <col min="16159" max="16159" width="3.5703125" style="2" customWidth="1"/>
    <col min="16160" max="16165" width="0" style="2" hidden="1" customWidth="1"/>
    <col min="16166" max="16166" width="11" style="2" customWidth="1"/>
    <col min="16167" max="16169" width="0" style="2" hidden="1" customWidth="1"/>
    <col min="16170" max="16170" width="10.7109375" style="2" customWidth="1"/>
    <col min="16171" max="16175" width="0" style="2" hidden="1" customWidth="1"/>
    <col min="16176" max="16176" width="13.140625" style="2" customWidth="1"/>
    <col min="16177" max="16177" width="10.42578125" style="2" customWidth="1"/>
    <col min="16178" max="16178" width="10.28515625" style="2" customWidth="1"/>
    <col min="16179" max="16179" width="9.85546875" style="2" customWidth="1"/>
    <col min="16180" max="16180" width="10.7109375" style="2" customWidth="1"/>
    <col min="16181" max="16181" width="10" style="2" customWidth="1"/>
    <col min="16182" max="16182" width="9.5703125" style="2" customWidth="1"/>
    <col min="16183" max="16183" width="10.7109375" style="2" customWidth="1"/>
    <col min="16184" max="16184" width="9.85546875" style="2" customWidth="1"/>
    <col min="16185" max="16188" width="0" style="2" hidden="1" customWidth="1"/>
    <col min="16189" max="16189" width="9.85546875" style="2" customWidth="1"/>
    <col min="16190" max="16190" width="10.85546875" style="2" customWidth="1"/>
    <col min="16191" max="16191" width="11.5703125" style="2" customWidth="1"/>
    <col min="16192" max="16193" width="0" style="2" hidden="1" customWidth="1"/>
    <col min="16194" max="16384" width="9.140625" style="2"/>
  </cols>
  <sheetData>
    <row r="1" spans="1:833 1051:1857 2075:2881 3099:3905 4123:4929 5147:5953 6171:6977 7195:8001 8219:9025 9243:10049 10267:11073 11291:12097 12315:13121 13339:14145 14363:15169 15387:16193">
      <c r="A1" s="1" t="s">
        <v>0</v>
      </c>
    </row>
    <row r="2" spans="1:833 1051:1857 2075:2881 3099:3905 4123:4929 5147:5953 6171:6977 7195:8001 8219:9025 9243:10049 10267:11073 11291:12097 12315:13121 13339:14145 14363:15169 15387:16193">
      <c r="A2" s="1" t="s">
        <v>1</v>
      </c>
    </row>
    <row r="3" spans="1:833 1051:1857 2075:2881 3099:3905 4123:4929 5147:5953 6171:6977 7195:8001 8219:9025 9243:10049 10267:11073 11291:12097 12315:13121 13339:14145 14363:15169 15387:16193" ht="41.25" customHeight="1">
      <c r="A3" s="434" t="str">
        <f>'Payroll Office'!A3:BO3</f>
        <v>PAYROLL AUGUST 2024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4"/>
      <c r="BJ3" s="434"/>
      <c r="BK3" s="434"/>
      <c r="BL3" s="434"/>
      <c r="BM3" s="434"/>
      <c r="BN3" s="434"/>
      <c r="BO3" s="434"/>
      <c r="BP3" s="434"/>
      <c r="BQ3" s="434"/>
    </row>
    <row r="4" spans="1:833 1051:1857 2075:2881 3099:3905 4123:4929 5147:5953 6171:6977 7195:8001 8219:9025 9243:10049 10267:11073 11291:12097 12315:13121 13339:14145 14363:15169 15387:16193" ht="24.75" customHeight="1">
      <c r="A4" s="435" t="str">
        <f>'Payroll Office'!A4:BO4</f>
        <v>From 1st -31th August 2024</v>
      </c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</row>
    <row r="6" spans="1:833 1051:1857 2075:2881 3099:3905 4123:4929 5147:5953 6171:6977 7195:8001 8219:9025 9243:10049 10267:11073 11291:12097 12315:13121 13339:14145 14363:15169 15387:16193" s="16" customFormat="1" ht="114.75" customHeight="1">
      <c r="A6" s="413" t="s">
        <v>2</v>
      </c>
      <c r="B6" s="413" t="s">
        <v>3</v>
      </c>
      <c r="C6" s="413" t="s">
        <v>4</v>
      </c>
      <c r="D6" s="430" t="s">
        <v>212</v>
      </c>
      <c r="E6" s="427" t="s">
        <v>5</v>
      </c>
      <c r="F6" s="427"/>
      <c r="G6" s="430" t="s">
        <v>92</v>
      </c>
      <c r="H6" s="427" t="s">
        <v>164</v>
      </c>
      <c r="I6" s="427"/>
      <c r="J6" s="427"/>
      <c r="K6" s="427"/>
      <c r="L6" s="427"/>
      <c r="M6" s="427"/>
      <c r="N6" s="427"/>
      <c r="O6" s="427"/>
      <c r="P6" s="427"/>
      <c r="Q6" s="427" t="s">
        <v>7</v>
      </c>
      <c r="R6" s="427"/>
      <c r="S6" s="427"/>
      <c r="T6" s="427"/>
      <c r="U6" s="413" t="s">
        <v>8</v>
      </c>
      <c r="V6" s="413"/>
      <c r="W6" s="413"/>
      <c r="X6" s="413"/>
      <c r="Y6" s="413"/>
      <c r="Z6" s="413"/>
      <c r="AA6" s="413"/>
      <c r="AB6" s="413"/>
      <c r="AC6" s="413"/>
      <c r="AD6" s="413"/>
      <c r="AE6" s="413"/>
      <c r="AF6" s="432" t="s">
        <v>316</v>
      </c>
      <c r="AG6" s="432" t="s">
        <v>280</v>
      </c>
      <c r="AH6" s="417" t="s">
        <v>55</v>
      </c>
      <c r="AI6" s="413" t="s">
        <v>9</v>
      </c>
      <c r="AJ6" s="417" t="s">
        <v>10</v>
      </c>
      <c r="AK6" s="413" t="s">
        <v>11</v>
      </c>
      <c r="AL6" s="414" t="s">
        <v>12</v>
      </c>
      <c r="AM6" s="415"/>
      <c r="AN6" s="415"/>
      <c r="AO6" s="415"/>
      <c r="AP6" s="415"/>
      <c r="AQ6" s="415"/>
      <c r="AR6" s="415"/>
      <c r="AS6" s="415"/>
      <c r="AT6" s="415"/>
      <c r="AU6" s="416"/>
      <c r="AV6" s="413" t="s">
        <v>226</v>
      </c>
      <c r="AW6" s="426" t="s">
        <v>14</v>
      </c>
      <c r="AX6" s="426"/>
      <c r="AY6" s="426"/>
      <c r="AZ6" s="426"/>
      <c r="BA6" s="426"/>
      <c r="BB6" s="426"/>
      <c r="BC6" s="426" t="s">
        <v>15</v>
      </c>
      <c r="BD6" s="426"/>
      <c r="BE6" s="426"/>
      <c r="BF6" s="426"/>
      <c r="BG6" s="414" t="s">
        <v>56</v>
      </c>
      <c r="BH6" s="415"/>
      <c r="BI6" s="415"/>
      <c r="BJ6" s="415"/>
      <c r="BK6" s="415"/>
      <c r="BL6" s="415"/>
      <c r="BM6" s="416"/>
      <c r="BN6" s="417" t="s">
        <v>305</v>
      </c>
      <c r="BO6" s="394" t="s">
        <v>57</v>
      </c>
      <c r="BP6" s="436" t="s">
        <v>176</v>
      </c>
      <c r="BQ6" s="437" t="s">
        <v>16</v>
      </c>
    </row>
    <row r="7" spans="1:833 1051:1857 2075:2881 3099:3905 4123:4929 5147:5953 6171:6977 7195:8001 8219:9025 9243:10049 10267:11073 11291:12097 12315:13121 13339:14145 14363:15169 15387:16193" s="16" customFormat="1" ht="89.25" customHeight="1">
      <c r="A7" s="413"/>
      <c r="B7" s="413"/>
      <c r="C7" s="413"/>
      <c r="D7" s="431"/>
      <c r="E7" s="166" t="s">
        <v>65</v>
      </c>
      <c r="F7" s="205" t="s">
        <v>58</v>
      </c>
      <c r="G7" s="431"/>
      <c r="H7" s="168" t="s">
        <v>230</v>
      </c>
      <c r="I7" s="168" t="s">
        <v>97</v>
      </c>
      <c r="J7" s="168" t="s">
        <v>271</v>
      </c>
      <c r="K7" s="168" t="s">
        <v>272</v>
      </c>
      <c r="L7" s="168" t="s">
        <v>273</v>
      </c>
      <c r="M7" s="168" t="s">
        <v>274</v>
      </c>
      <c r="N7" s="168" t="s">
        <v>275</v>
      </c>
      <c r="O7" s="168" t="s">
        <v>276</v>
      </c>
      <c r="P7" s="168" t="s">
        <v>277</v>
      </c>
      <c r="Q7" s="169" t="s">
        <v>7</v>
      </c>
      <c r="R7" s="169" t="s">
        <v>142</v>
      </c>
      <c r="S7" s="169" t="s">
        <v>143</v>
      </c>
      <c r="T7" s="169" t="s">
        <v>147</v>
      </c>
      <c r="U7" s="206" t="s">
        <v>214</v>
      </c>
      <c r="V7" s="206" t="s">
        <v>98</v>
      </c>
      <c r="W7" s="206" t="s">
        <v>215</v>
      </c>
      <c r="X7" s="206" t="s">
        <v>99</v>
      </c>
      <c r="Y7" s="206" t="s">
        <v>216</v>
      </c>
      <c r="Z7" s="206" t="s">
        <v>100</v>
      </c>
      <c r="AA7" s="165" t="s">
        <v>127</v>
      </c>
      <c r="AB7" s="207" t="s">
        <v>101</v>
      </c>
      <c r="AC7" s="207" t="s">
        <v>102</v>
      </c>
      <c r="AD7" s="207" t="s">
        <v>103</v>
      </c>
      <c r="AE7" s="208" t="str">
        <f>'Payroll Office'!AE8</f>
        <v>Thưởng sinh nhật tháng 08 /Birthday in August</v>
      </c>
      <c r="AF7" s="433"/>
      <c r="AG7" s="433"/>
      <c r="AH7" s="418"/>
      <c r="AI7" s="413"/>
      <c r="AJ7" s="418"/>
      <c r="AK7" s="413"/>
      <c r="AL7" s="172" t="s">
        <v>60</v>
      </c>
      <c r="AM7" s="172" t="s">
        <v>17</v>
      </c>
      <c r="AN7" s="172" t="s">
        <v>66</v>
      </c>
      <c r="AO7" s="172" t="s">
        <v>67</v>
      </c>
      <c r="AP7" s="172" t="s">
        <v>71</v>
      </c>
      <c r="AQ7" s="172" t="s">
        <v>68</v>
      </c>
      <c r="AR7" s="172" t="s">
        <v>59</v>
      </c>
      <c r="AS7" s="172" t="s">
        <v>69</v>
      </c>
      <c r="AT7" s="172" t="s">
        <v>70</v>
      </c>
      <c r="AU7" s="165" t="s">
        <v>19</v>
      </c>
      <c r="AV7" s="413"/>
      <c r="AW7" s="165" t="s">
        <v>20</v>
      </c>
      <c r="AX7" s="165" t="s">
        <v>21</v>
      </c>
      <c r="AY7" s="165" t="s">
        <v>22</v>
      </c>
      <c r="AZ7" s="165" t="s">
        <v>23</v>
      </c>
      <c r="BA7" s="165" t="s">
        <v>302</v>
      </c>
      <c r="BB7" s="173" t="s">
        <v>24</v>
      </c>
      <c r="BC7" s="173" t="s">
        <v>25</v>
      </c>
      <c r="BD7" s="173" t="s">
        <v>26</v>
      </c>
      <c r="BE7" s="173" t="s">
        <v>23</v>
      </c>
      <c r="BF7" s="173" t="s">
        <v>27</v>
      </c>
      <c r="BG7" s="165" t="s">
        <v>238</v>
      </c>
      <c r="BH7" s="165" t="s">
        <v>28</v>
      </c>
      <c r="BI7" s="165" t="s">
        <v>29</v>
      </c>
      <c r="BJ7" s="165" t="s">
        <v>30</v>
      </c>
      <c r="BK7" s="167" t="s">
        <v>31</v>
      </c>
      <c r="BL7" s="174" t="s">
        <v>239</v>
      </c>
      <c r="BM7" s="165" t="s">
        <v>240</v>
      </c>
      <c r="BN7" s="418"/>
      <c r="BO7" s="394"/>
      <c r="BP7" s="436"/>
      <c r="BQ7" s="437"/>
    </row>
    <row r="8" spans="1:833 1051:1857 2075:2881 3099:3905 4123:4929 5147:5953 6171:6977 7195:8001 8219:9025 9243:10049 10267:11073 11291:12097 12315:13121 13339:14145 14363:15169 15387:16193" s="267" customFormat="1" ht="43.5" customHeight="1">
      <c r="A8" s="263">
        <v>-1</v>
      </c>
      <c r="B8" s="263">
        <v>-2</v>
      </c>
      <c r="C8" s="263">
        <v>-3</v>
      </c>
      <c r="D8" s="263"/>
      <c r="E8" s="263" t="s">
        <v>72</v>
      </c>
      <c r="F8" s="263" t="s">
        <v>73</v>
      </c>
      <c r="G8" s="263"/>
      <c r="H8" s="263" t="s">
        <v>33</v>
      </c>
      <c r="I8" s="263" t="s">
        <v>74</v>
      </c>
      <c r="J8" s="263" t="s">
        <v>75</v>
      </c>
      <c r="K8" s="263" t="s">
        <v>76</v>
      </c>
      <c r="L8" s="263" t="s">
        <v>77</v>
      </c>
      <c r="M8" s="263" t="s">
        <v>78</v>
      </c>
      <c r="N8" s="263" t="s">
        <v>79</v>
      </c>
      <c r="O8" s="263">
        <v>-7</v>
      </c>
      <c r="P8" s="263" t="s">
        <v>80</v>
      </c>
      <c r="Q8" s="263">
        <v>-8</v>
      </c>
      <c r="R8" s="263">
        <v>-9</v>
      </c>
      <c r="S8" s="263"/>
      <c r="T8" s="263" t="s">
        <v>61</v>
      </c>
      <c r="U8" s="263"/>
      <c r="V8" s="263">
        <v>-10</v>
      </c>
      <c r="W8" s="263"/>
      <c r="X8" s="263">
        <v>-11</v>
      </c>
      <c r="Y8" s="263"/>
      <c r="Z8" s="263" t="s">
        <v>34</v>
      </c>
      <c r="AA8" s="263"/>
      <c r="AB8" s="263" t="s">
        <v>35</v>
      </c>
      <c r="AC8" s="263">
        <v>-12</v>
      </c>
      <c r="AD8" s="263">
        <v>-17</v>
      </c>
      <c r="AE8" s="263"/>
      <c r="AF8" s="264"/>
      <c r="AG8" s="264"/>
      <c r="AH8" s="263">
        <v>-13</v>
      </c>
      <c r="AI8" s="264">
        <v>-14</v>
      </c>
      <c r="AJ8" s="263">
        <v>-15</v>
      </c>
      <c r="AK8" s="264">
        <v>-16</v>
      </c>
      <c r="AL8" s="264">
        <v>-18</v>
      </c>
      <c r="AM8" s="264">
        <v>-19</v>
      </c>
      <c r="AN8" s="264">
        <v>-20</v>
      </c>
      <c r="AO8" s="264" t="s">
        <v>81</v>
      </c>
      <c r="AP8" s="264" t="s">
        <v>82</v>
      </c>
      <c r="AQ8" s="264" t="s">
        <v>83</v>
      </c>
      <c r="AR8" s="264" t="s">
        <v>84</v>
      </c>
      <c r="AS8" s="264" t="s">
        <v>85</v>
      </c>
      <c r="AT8" s="264" t="s">
        <v>86</v>
      </c>
      <c r="AU8" s="264">
        <v>-21</v>
      </c>
      <c r="AV8" s="263">
        <v>-22</v>
      </c>
      <c r="AW8" s="264">
        <v>-23</v>
      </c>
      <c r="AX8" s="263">
        <v>-24</v>
      </c>
      <c r="AY8" s="263">
        <v>-25</v>
      </c>
      <c r="AZ8" s="263">
        <v>-26</v>
      </c>
      <c r="BA8" s="263"/>
      <c r="BB8" s="263">
        <v>-27</v>
      </c>
      <c r="BC8" s="263">
        <v>-28</v>
      </c>
      <c r="BD8" s="263">
        <v>-29</v>
      </c>
      <c r="BE8" s="263">
        <v>-30</v>
      </c>
      <c r="BF8" s="263">
        <v>-31</v>
      </c>
      <c r="BG8" s="264">
        <v>-32</v>
      </c>
      <c r="BH8" s="263">
        <v>-33</v>
      </c>
      <c r="BI8" s="263">
        <v>-34</v>
      </c>
      <c r="BJ8" s="263">
        <v>-35</v>
      </c>
      <c r="BK8" s="263">
        <v>-36</v>
      </c>
      <c r="BL8" s="263">
        <v>-36</v>
      </c>
      <c r="BM8" s="263">
        <v>-37</v>
      </c>
      <c r="BN8" s="264"/>
      <c r="BO8" s="265">
        <v>-39</v>
      </c>
      <c r="BP8" s="265"/>
      <c r="BQ8" s="266"/>
    </row>
    <row r="9" spans="1:833 1051:1857 2075:2881 3099:3905 4123:4929 5147:5953 6171:6977 7195:8001 8219:9025 9243:10049 10267:11073 11291:12097 12315:13121 13339:14145 14363:15169 15387:16193" s="16" customFormat="1" ht="30" customHeight="1">
      <c r="A9" s="380">
        <v>1</v>
      </c>
      <c r="B9" s="348" t="s">
        <v>290</v>
      </c>
      <c r="C9" s="349" t="s">
        <v>157</v>
      </c>
      <c r="D9" s="363">
        <v>208</v>
      </c>
      <c r="E9" s="350">
        <v>192</v>
      </c>
      <c r="F9" s="364"/>
      <c r="G9" s="364"/>
      <c r="H9" s="351">
        <v>0.5</v>
      </c>
      <c r="I9" s="364"/>
      <c r="J9" s="28"/>
      <c r="K9" s="364"/>
      <c r="L9" s="364"/>
      <c r="M9" s="364"/>
      <c r="N9" s="364"/>
      <c r="O9" s="364"/>
      <c r="P9" s="364"/>
      <c r="Q9" s="234">
        <v>5141000</v>
      </c>
      <c r="R9" s="234">
        <v>1300000</v>
      </c>
      <c r="S9" s="365"/>
      <c r="T9" s="234">
        <v>600000</v>
      </c>
      <c r="U9" s="365">
        <v>1000000</v>
      </c>
      <c r="V9" s="358">
        <f t="shared" ref="V9:V21" si="0">IF((E9+F9)&gt;=160, U9, U9/D9*(E9+F9))</f>
        <v>1000000</v>
      </c>
      <c r="W9" s="365">
        <v>1000000</v>
      </c>
      <c r="X9" s="234">
        <f t="shared" ref="X9:X21" si="1">IF((E9+F9)&gt;=160, W9, W9/D9*(E9+F9))</f>
        <v>1000000</v>
      </c>
      <c r="Y9" s="365">
        <v>1000000</v>
      </c>
      <c r="Z9" s="234">
        <f t="shared" ref="Z9:Z21" si="2">IF((E9+F9)&gt;=160, Y9, Y9/D9*(E9+F9))</f>
        <v>1000000</v>
      </c>
      <c r="AA9" s="365">
        <v>0</v>
      </c>
      <c r="AB9" s="234">
        <v>20000</v>
      </c>
      <c r="AC9" s="234">
        <f>IF(E9&gt;=184,500000,0)</f>
        <v>500000</v>
      </c>
      <c r="AD9" s="234">
        <f t="shared" ref="AD9:AD14" si="3">G9*13000</f>
        <v>0</v>
      </c>
      <c r="AE9" s="234">
        <v>0</v>
      </c>
      <c r="AF9" s="365"/>
      <c r="AG9" s="365"/>
      <c r="AH9" s="234">
        <f t="shared" ref="AH9:AH20" si="4">V9+Z9+X9+AA9+AB9+AC9+AD9+AE9</f>
        <v>3520000</v>
      </c>
      <c r="AI9" s="234">
        <f t="shared" ref="AI9:AI20" si="5">Q9+R9+T9</f>
        <v>7041000</v>
      </c>
      <c r="AJ9" s="234">
        <f t="shared" ref="AJ9" si="6">AI9/208</f>
        <v>33850.961538461539</v>
      </c>
      <c r="AK9" s="234">
        <f t="shared" ref="AK9:AK20" si="7">AJ9*(E9+F9*130%)</f>
        <v>6499384.615384616</v>
      </c>
      <c r="AL9" s="234">
        <f t="shared" ref="AL9:AL20" si="8">AJ9*H9*150%</f>
        <v>25388.221153846156</v>
      </c>
      <c r="AM9" s="365">
        <f t="shared" ref="AM9:AM20" si="9">AJ9*I9*150%*130%</f>
        <v>0</v>
      </c>
      <c r="AN9" s="234">
        <f t="shared" ref="AN9:AN20" si="10">+AJ9*J9*200%</f>
        <v>0</v>
      </c>
      <c r="AO9" s="365">
        <f t="shared" ref="AO9:AO20" si="11">AJ9*K9*200%*130%</f>
        <v>0</v>
      </c>
      <c r="AP9" s="365">
        <f t="shared" ref="AP9:AP20" si="12">AJ9*L9*200%*150%</f>
        <v>0</v>
      </c>
      <c r="AQ9" s="365">
        <f t="shared" ref="AQ9:AQ20" si="13">AJ9*M9*200%*150%*130%</f>
        <v>0</v>
      </c>
      <c r="AR9" s="365">
        <f t="shared" ref="AR9:AR20" si="14">N9*AJ9*300%</f>
        <v>0</v>
      </c>
      <c r="AS9" s="365">
        <f t="shared" ref="AS9:AS20" si="15">AJ9*O9*300%</f>
        <v>0</v>
      </c>
      <c r="AT9" s="365">
        <f t="shared" ref="AT9:AT20" si="16">P9*AJ9*150%*300%</f>
        <v>0</v>
      </c>
      <c r="AU9" s="234">
        <f t="shared" ref="AU9" si="17">SUM(AL9:AT9)</f>
        <v>25388.221153846156</v>
      </c>
      <c r="AV9" s="234">
        <f>AH9+AK9+AU9+AG9+AF9</f>
        <v>10044772.836538462</v>
      </c>
      <c r="AW9" s="234">
        <f t="shared" ref="AW9:AW16" si="18">Q9+R9+T9</f>
        <v>7041000</v>
      </c>
      <c r="AX9" s="365">
        <f t="shared" ref="AX9:AX14" si="19">AW9*17.5%</f>
        <v>1232175</v>
      </c>
      <c r="AY9" s="365">
        <f t="shared" ref="AY9:AY14" si="20">AW9*3%</f>
        <v>211230</v>
      </c>
      <c r="AZ9" s="365">
        <f t="shared" ref="AZ9:AZ21" si="21">AW9*1%</f>
        <v>70410</v>
      </c>
      <c r="BA9" s="365">
        <f>AW9*2%</f>
        <v>140820</v>
      </c>
      <c r="BB9" s="234">
        <f>AX9+AY9+AZ9+BA9</f>
        <v>1654635</v>
      </c>
      <c r="BC9" s="365">
        <f t="shared" ref="BC9:BC21" si="22">AW9*8%</f>
        <v>563280</v>
      </c>
      <c r="BD9" s="365">
        <f t="shared" ref="BD9:BD21" si="23">AW9*1.5%</f>
        <v>105615</v>
      </c>
      <c r="BE9" s="365">
        <f t="shared" ref="BE9:BE21" si="24">AW9*1%</f>
        <v>70410</v>
      </c>
      <c r="BF9" s="234">
        <f>BC9+BD9+BE9</f>
        <v>739305</v>
      </c>
      <c r="BG9" s="365">
        <v>11000000</v>
      </c>
      <c r="BH9" s="365">
        <v>1</v>
      </c>
      <c r="BI9" s="365">
        <f>BH9*4400000</f>
        <v>4400000</v>
      </c>
      <c r="BJ9" s="365">
        <f t="shared" ref="BJ9:BJ21" si="25">V9+AA9</f>
        <v>1000000</v>
      </c>
      <c r="BK9" s="365">
        <f t="shared" ref="BK9:BK21" si="26">AV9-BJ9-AJ9*H9*0.5-AJ9*I9*0.95-AJ9*J9-AJ9*K9*1.6-AJ9*L9*2-AJ9*M9*2.9-AJ9*N9*2-AJ9*O9*2.9-AJ9*P9*3.5</f>
        <v>9036310.096153846</v>
      </c>
      <c r="BL9" s="365">
        <f t="shared" ref="BL9:BL14" si="27">IF(BK9-BG9-BF9-BI9&lt;0,0,BK9-BG9-BI9-BF9)</f>
        <v>0</v>
      </c>
      <c r="BM9" s="234">
        <f t="shared" ref="BM9:BM14" si="28">ROUND(IF(BL9&lt;=5000000,BL9*5%,IF(AND(BL9&gt;5000000,BL9&lt;=10000000),BL9*10%-250000,IF(AND(BL9&gt;10000000,BL9&lt;=18000000),BL9*15%-750000,IF(AND(BL9&gt;18000000,BL9&lt;=32000000),BL9*20%-1650000,IF(AND(BL9&gt;32000000,BL9&lt;=52000000),BL9*25%-3250000,IF(AND(BL9&gt;52000000,BL9&lt;80000000),BL9*30%-585000,IF(BL9&gt;80000000,BL9*35%-9850000))))))),0)</f>
        <v>0</v>
      </c>
      <c r="BN9" s="232">
        <v>35000</v>
      </c>
      <c r="BO9" s="234">
        <f>AV9-BF9-BM9-BN9</f>
        <v>9270467.836538462</v>
      </c>
      <c r="BP9" s="367" t="s">
        <v>186</v>
      </c>
      <c r="BQ9" s="234"/>
      <c r="BR9" s="352"/>
      <c r="JW9" s="368"/>
      <c r="KB9" s="368"/>
      <c r="KC9" s="368"/>
      <c r="KD9" s="368"/>
      <c r="KE9" s="368"/>
      <c r="KF9" s="368"/>
      <c r="KG9" s="368"/>
      <c r="KI9" s="368"/>
      <c r="KJ9" s="368"/>
      <c r="KK9" s="368"/>
      <c r="KM9" s="368"/>
      <c r="KN9" s="368"/>
      <c r="KO9" s="368"/>
      <c r="KP9" s="368"/>
      <c r="KQ9" s="368"/>
      <c r="LA9" s="368"/>
      <c r="LB9" s="368"/>
      <c r="LC9" s="368"/>
      <c r="LD9" s="368"/>
      <c r="LH9" s="368"/>
      <c r="LI9" s="368"/>
      <c r="TS9" s="368"/>
      <c r="TX9" s="368"/>
      <c r="TY9" s="368"/>
      <c r="TZ9" s="368"/>
      <c r="UA9" s="368"/>
      <c r="UB9" s="368"/>
      <c r="UC9" s="368"/>
      <c r="UE9" s="368"/>
      <c r="UF9" s="368"/>
      <c r="UG9" s="368"/>
      <c r="UI9" s="368"/>
      <c r="UJ9" s="368"/>
      <c r="UK9" s="368"/>
      <c r="UL9" s="368"/>
      <c r="UM9" s="368"/>
      <c r="UW9" s="368"/>
      <c r="UX9" s="368"/>
      <c r="UY9" s="368"/>
      <c r="UZ9" s="368"/>
      <c r="VD9" s="368"/>
      <c r="VE9" s="368"/>
      <c r="ADO9" s="368"/>
      <c r="ADT9" s="368"/>
      <c r="ADU9" s="368"/>
      <c r="ADV9" s="368"/>
      <c r="ADW9" s="368"/>
      <c r="ADX9" s="368"/>
      <c r="ADY9" s="368"/>
      <c r="AEA9" s="368"/>
      <c r="AEB9" s="368"/>
      <c r="AEC9" s="368"/>
      <c r="AEE9" s="368"/>
      <c r="AEF9" s="368"/>
      <c r="AEG9" s="368"/>
      <c r="AEH9" s="368"/>
      <c r="AEI9" s="368"/>
      <c r="AES9" s="368"/>
      <c r="AET9" s="368"/>
      <c r="AEU9" s="368"/>
      <c r="AEV9" s="368"/>
      <c r="AEZ9" s="368"/>
      <c r="AFA9" s="368"/>
      <c r="ANK9" s="368"/>
      <c r="ANP9" s="368"/>
      <c r="ANQ9" s="368"/>
      <c r="ANR9" s="368"/>
      <c r="ANS9" s="368"/>
      <c r="ANT9" s="368"/>
      <c r="ANU9" s="368"/>
      <c r="ANW9" s="368"/>
      <c r="ANX9" s="368"/>
      <c r="ANY9" s="368"/>
      <c r="AOA9" s="368"/>
      <c r="AOB9" s="368"/>
      <c r="AOC9" s="368"/>
      <c r="AOD9" s="368"/>
      <c r="AOE9" s="368"/>
      <c r="AOO9" s="368"/>
      <c r="AOP9" s="368"/>
      <c r="AOQ9" s="368"/>
      <c r="AOR9" s="368"/>
      <c r="AOV9" s="368"/>
      <c r="AOW9" s="368"/>
      <c r="AXG9" s="368"/>
      <c r="AXL9" s="368"/>
      <c r="AXM9" s="368"/>
      <c r="AXN9" s="368"/>
      <c r="AXO9" s="368"/>
      <c r="AXP9" s="368"/>
      <c r="AXQ9" s="368"/>
      <c r="AXS9" s="368"/>
      <c r="AXT9" s="368"/>
      <c r="AXU9" s="368"/>
      <c r="AXW9" s="368"/>
      <c r="AXX9" s="368"/>
      <c r="AXY9" s="368"/>
      <c r="AXZ9" s="368"/>
      <c r="AYA9" s="368"/>
      <c r="AYK9" s="368"/>
      <c r="AYL9" s="368"/>
      <c r="AYM9" s="368"/>
      <c r="AYN9" s="368"/>
      <c r="AYR9" s="368"/>
      <c r="AYS9" s="368"/>
      <c r="BHC9" s="368"/>
      <c r="BHH9" s="368"/>
      <c r="BHI9" s="368"/>
      <c r="BHJ9" s="368"/>
      <c r="BHK9" s="368"/>
      <c r="BHL9" s="368"/>
      <c r="BHM9" s="368"/>
      <c r="BHO9" s="368"/>
      <c r="BHP9" s="368"/>
      <c r="BHQ9" s="368"/>
      <c r="BHS9" s="368"/>
      <c r="BHT9" s="368"/>
      <c r="BHU9" s="368"/>
      <c r="BHV9" s="368"/>
      <c r="BHW9" s="368"/>
      <c r="BIG9" s="368"/>
      <c r="BIH9" s="368"/>
      <c r="BII9" s="368"/>
      <c r="BIJ9" s="368"/>
      <c r="BIN9" s="368"/>
      <c r="BIO9" s="368"/>
      <c r="BQY9" s="368"/>
      <c r="BRD9" s="368"/>
      <c r="BRE9" s="368"/>
      <c r="BRF9" s="368"/>
      <c r="BRG9" s="368"/>
      <c r="BRH9" s="368"/>
      <c r="BRI9" s="368"/>
      <c r="BRK9" s="368"/>
      <c r="BRL9" s="368"/>
      <c r="BRM9" s="368"/>
      <c r="BRO9" s="368"/>
      <c r="BRP9" s="368"/>
      <c r="BRQ9" s="368"/>
      <c r="BRR9" s="368"/>
      <c r="BRS9" s="368"/>
      <c r="BSC9" s="368"/>
      <c r="BSD9" s="368"/>
      <c r="BSE9" s="368"/>
      <c r="BSF9" s="368"/>
      <c r="BSJ9" s="368"/>
      <c r="BSK9" s="368"/>
      <c r="CAU9" s="368"/>
      <c r="CAZ9" s="368"/>
      <c r="CBA9" s="368"/>
      <c r="CBB9" s="368"/>
      <c r="CBC9" s="368"/>
      <c r="CBD9" s="368"/>
      <c r="CBE9" s="368"/>
      <c r="CBG9" s="368"/>
      <c r="CBH9" s="368"/>
      <c r="CBI9" s="368"/>
      <c r="CBK9" s="368"/>
      <c r="CBL9" s="368"/>
      <c r="CBM9" s="368"/>
      <c r="CBN9" s="368"/>
      <c r="CBO9" s="368"/>
      <c r="CBY9" s="368"/>
      <c r="CBZ9" s="368"/>
      <c r="CCA9" s="368"/>
      <c r="CCB9" s="368"/>
      <c r="CCF9" s="368"/>
      <c r="CCG9" s="368"/>
      <c r="CKQ9" s="368"/>
      <c r="CKV9" s="368"/>
      <c r="CKW9" s="368"/>
      <c r="CKX9" s="368"/>
      <c r="CKY9" s="368"/>
      <c r="CKZ9" s="368"/>
      <c r="CLA9" s="368"/>
      <c r="CLC9" s="368"/>
      <c r="CLD9" s="368"/>
      <c r="CLE9" s="368"/>
      <c r="CLG9" s="368"/>
      <c r="CLH9" s="368"/>
      <c r="CLI9" s="368"/>
      <c r="CLJ9" s="368"/>
      <c r="CLK9" s="368"/>
      <c r="CLU9" s="368"/>
      <c r="CLV9" s="368"/>
      <c r="CLW9" s="368"/>
      <c r="CLX9" s="368"/>
      <c r="CMB9" s="368"/>
      <c r="CMC9" s="368"/>
      <c r="CUM9" s="368"/>
      <c r="CUR9" s="368"/>
      <c r="CUS9" s="368"/>
      <c r="CUT9" s="368"/>
      <c r="CUU9" s="368"/>
      <c r="CUV9" s="368"/>
      <c r="CUW9" s="368"/>
      <c r="CUY9" s="368"/>
      <c r="CUZ9" s="368"/>
      <c r="CVA9" s="368"/>
      <c r="CVC9" s="368"/>
      <c r="CVD9" s="368"/>
      <c r="CVE9" s="368"/>
      <c r="CVF9" s="368"/>
      <c r="CVG9" s="368"/>
      <c r="CVQ9" s="368"/>
      <c r="CVR9" s="368"/>
      <c r="CVS9" s="368"/>
      <c r="CVT9" s="368"/>
      <c r="CVX9" s="368"/>
      <c r="CVY9" s="368"/>
      <c r="DEI9" s="368"/>
      <c r="DEN9" s="368"/>
      <c r="DEO9" s="368"/>
      <c r="DEP9" s="368"/>
      <c r="DEQ9" s="368"/>
      <c r="DER9" s="368"/>
      <c r="DES9" s="368"/>
      <c r="DEU9" s="368"/>
      <c r="DEV9" s="368"/>
      <c r="DEW9" s="368"/>
      <c r="DEY9" s="368"/>
      <c r="DEZ9" s="368"/>
      <c r="DFA9" s="368"/>
      <c r="DFB9" s="368"/>
      <c r="DFC9" s="368"/>
      <c r="DFM9" s="368"/>
      <c r="DFN9" s="368"/>
      <c r="DFO9" s="368"/>
      <c r="DFP9" s="368"/>
      <c r="DFT9" s="368"/>
      <c r="DFU9" s="368"/>
      <c r="DOE9" s="368"/>
      <c r="DOJ9" s="368"/>
      <c r="DOK9" s="368"/>
      <c r="DOL9" s="368"/>
      <c r="DOM9" s="368"/>
      <c r="DON9" s="368"/>
      <c r="DOO9" s="368"/>
      <c r="DOQ9" s="368"/>
      <c r="DOR9" s="368"/>
      <c r="DOS9" s="368"/>
      <c r="DOU9" s="368"/>
      <c r="DOV9" s="368"/>
      <c r="DOW9" s="368"/>
      <c r="DOX9" s="368"/>
      <c r="DOY9" s="368"/>
      <c r="DPI9" s="368"/>
      <c r="DPJ9" s="368"/>
      <c r="DPK9" s="368"/>
      <c r="DPL9" s="368"/>
      <c r="DPP9" s="368"/>
      <c r="DPQ9" s="368"/>
      <c r="DYA9" s="368"/>
      <c r="DYF9" s="368"/>
      <c r="DYG9" s="368"/>
      <c r="DYH9" s="368"/>
      <c r="DYI9" s="368"/>
      <c r="DYJ9" s="368"/>
      <c r="DYK9" s="368"/>
      <c r="DYM9" s="368"/>
      <c r="DYN9" s="368"/>
      <c r="DYO9" s="368"/>
      <c r="DYQ9" s="368"/>
      <c r="DYR9" s="368"/>
      <c r="DYS9" s="368"/>
      <c r="DYT9" s="368"/>
      <c r="DYU9" s="368"/>
      <c r="DZE9" s="368"/>
      <c r="DZF9" s="368"/>
      <c r="DZG9" s="368"/>
      <c r="DZH9" s="368"/>
      <c r="DZL9" s="368"/>
      <c r="DZM9" s="368"/>
      <c r="EHW9" s="368"/>
      <c r="EIB9" s="368"/>
      <c r="EIC9" s="368"/>
      <c r="EID9" s="368"/>
      <c r="EIE9" s="368"/>
      <c r="EIF9" s="368"/>
      <c r="EIG9" s="368"/>
      <c r="EII9" s="368"/>
      <c r="EIJ9" s="368"/>
      <c r="EIK9" s="368"/>
      <c r="EIM9" s="368"/>
      <c r="EIN9" s="368"/>
      <c r="EIO9" s="368"/>
      <c r="EIP9" s="368"/>
      <c r="EIQ9" s="368"/>
      <c r="EJA9" s="368"/>
      <c r="EJB9" s="368"/>
      <c r="EJC9" s="368"/>
      <c r="EJD9" s="368"/>
      <c r="EJH9" s="368"/>
      <c r="EJI9" s="368"/>
      <c r="ERS9" s="368"/>
      <c r="ERX9" s="368"/>
      <c r="ERY9" s="368"/>
      <c r="ERZ9" s="368"/>
      <c r="ESA9" s="368"/>
      <c r="ESB9" s="368"/>
      <c r="ESC9" s="368"/>
      <c r="ESE9" s="368"/>
      <c r="ESF9" s="368"/>
      <c r="ESG9" s="368"/>
      <c r="ESI9" s="368"/>
      <c r="ESJ9" s="368"/>
      <c r="ESK9" s="368"/>
      <c r="ESL9" s="368"/>
      <c r="ESM9" s="368"/>
      <c r="ESW9" s="368"/>
      <c r="ESX9" s="368"/>
      <c r="ESY9" s="368"/>
      <c r="ESZ9" s="368"/>
      <c r="ETD9" s="368"/>
      <c r="ETE9" s="368"/>
      <c r="FBO9" s="368"/>
      <c r="FBT9" s="368"/>
      <c r="FBU9" s="368"/>
      <c r="FBV9" s="368"/>
      <c r="FBW9" s="368"/>
      <c r="FBX9" s="368"/>
      <c r="FBY9" s="368"/>
      <c r="FCA9" s="368"/>
      <c r="FCB9" s="368"/>
      <c r="FCC9" s="368"/>
      <c r="FCE9" s="368"/>
      <c r="FCF9" s="368"/>
      <c r="FCG9" s="368"/>
      <c r="FCH9" s="368"/>
      <c r="FCI9" s="368"/>
      <c r="FCS9" s="368"/>
      <c r="FCT9" s="368"/>
      <c r="FCU9" s="368"/>
      <c r="FCV9" s="368"/>
      <c r="FCZ9" s="368"/>
      <c r="FDA9" s="368"/>
      <c r="FLK9" s="368"/>
      <c r="FLP9" s="368"/>
      <c r="FLQ9" s="368"/>
      <c r="FLR9" s="368"/>
      <c r="FLS9" s="368"/>
      <c r="FLT9" s="368"/>
      <c r="FLU9" s="368"/>
      <c r="FLW9" s="368"/>
      <c r="FLX9" s="368"/>
      <c r="FLY9" s="368"/>
      <c r="FMA9" s="368"/>
      <c r="FMB9" s="368"/>
      <c r="FMC9" s="368"/>
      <c r="FMD9" s="368"/>
      <c r="FME9" s="368"/>
      <c r="FMO9" s="368"/>
      <c r="FMP9" s="368"/>
      <c r="FMQ9" s="368"/>
      <c r="FMR9" s="368"/>
      <c r="FMV9" s="368"/>
      <c r="FMW9" s="368"/>
      <c r="FVG9" s="368"/>
      <c r="FVL9" s="368"/>
      <c r="FVM9" s="368"/>
      <c r="FVN9" s="368"/>
      <c r="FVO9" s="368"/>
      <c r="FVP9" s="368"/>
      <c r="FVQ9" s="368"/>
      <c r="FVS9" s="368"/>
      <c r="FVT9" s="368"/>
      <c r="FVU9" s="368"/>
      <c r="FVW9" s="368"/>
      <c r="FVX9" s="368"/>
      <c r="FVY9" s="368"/>
      <c r="FVZ9" s="368"/>
      <c r="FWA9" s="368"/>
      <c r="FWK9" s="368"/>
      <c r="FWL9" s="368"/>
      <c r="FWM9" s="368"/>
      <c r="FWN9" s="368"/>
      <c r="FWR9" s="368"/>
      <c r="FWS9" s="368"/>
      <c r="GFC9" s="368"/>
      <c r="GFH9" s="368"/>
      <c r="GFI9" s="368"/>
      <c r="GFJ9" s="368"/>
      <c r="GFK9" s="368"/>
      <c r="GFL9" s="368"/>
      <c r="GFM9" s="368"/>
      <c r="GFO9" s="368"/>
      <c r="GFP9" s="368"/>
      <c r="GFQ9" s="368"/>
      <c r="GFS9" s="368"/>
      <c r="GFT9" s="368"/>
      <c r="GFU9" s="368"/>
      <c r="GFV9" s="368"/>
      <c r="GFW9" s="368"/>
      <c r="GGG9" s="368"/>
      <c r="GGH9" s="368"/>
      <c r="GGI9" s="368"/>
      <c r="GGJ9" s="368"/>
      <c r="GGN9" s="368"/>
      <c r="GGO9" s="368"/>
      <c r="GOY9" s="368"/>
      <c r="GPD9" s="368"/>
      <c r="GPE9" s="368"/>
      <c r="GPF9" s="368"/>
      <c r="GPG9" s="368"/>
      <c r="GPH9" s="368"/>
      <c r="GPI9" s="368"/>
      <c r="GPK9" s="368"/>
      <c r="GPL9" s="368"/>
      <c r="GPM9" s="368"/>
      <c r="GPO9" s="368"/>
      <c r="GPP9" s="368"/>
      <c r="GPQ9" s="368"/>
      <c r="GPR9" s="368"/>
      <c r="GPS9" s="368"/>
      <c r="GQC9" s="368"/>
      <c r="GQD9" s="368"/>
      <c r="GQE9" s="368"/>
      <c r="GQF9" s="368"/>
      <c r="GQJ9" s="368"/>
      <c r="GQK9" s="368"/>
      <c r="GYU9" s="368"/>
      <c r="GYZ9" s="368"/>
      <c r="GZA9" s="368"/>
      <c r="GZB9" s="368"/>
      <c r="GZC9" s="368"/>
      <c r="GZD9" s="368"/>
      <c r="GZE9" s="368"/>
      <c r="GZG9" s="368"/>
      <c r="GZH9" s="368"/>
      <c r="GZI9" s="368"/>
      <c r="GZK9" s="368"/>
      <c r="GZL9" s="368"/>
      <c r="GZM9" s="368"/>
      <c r="GZN9" s="368"/>
      <c r="GZO9" s="368"/>
      <c r="GZY9" s="368"/>
      <c r="GZZ9" s="368"/>
      <c r="HAA9" s="368"/>
      <c r="HAB9" s="368"/>
      <c r="HAF9" s="368"/>
      <c r="HAG9" s="368"/>
      <c r="HIQ9" s="368"/>
      <c r="HIV9" s="368"/>
      <c r="HIW9" s="368"/>
      <c r="HIX9" s="368"/>
      <c r="HIY9" s="368"/>
      <c r="HIZ9" s="368"/>
      <c r="HJA9" s="368"/>
      <c r="HJC9" s="368"/>
      <c r="HJD9" s="368"/>
      <c r="HJE9" s="368"/>
      <c r="HJG9" s="368"/>
      <c r="HJH9" s="368"/>
      <c r="HJI9" s="368"/>
      <c r="HJJ9" s="368"/>
      <c r="HJK9" s="368"/>
      <c r="HJU9" s="368"/>
      <c r="HJV9" s="368"/>
      <c r="HJW9" s="368"/>
      <c r="HJX9" s="368"/>
      <c r="HKB9" s="368"/>
      <c r="HKC9" s="368"/>
      <c r="HSM9" s="368"/>
      <c r="HSR9" s="368"/>
      <c r="HSS9" s="368"/>
      <c r="HST9" s="368"/>
      <c r="HSU9" s="368"/>
      <c r="HSV9" s="368"/>
      <c r="HSW9" s="368"/>
      <c r="HSY9" s="368"/>
      <c r="HSZ9" s="368"/>
      <c r="HTA9" s="368"/>
      <c r="HTC9" s="368"/>
      <c r="HTD9" s="368"/>
      <c r="HTE9" s="368"/>
      <c r="HTF9" s="368"/>
      <c r="HTG9" s="368"/>
      <c r="HTQ9" s="368"/>
      <c r="HTR9" s="368"/>
      <c r="HTS9" s="368"/>
      <c r="HTT9" s="368"/>
      <c r="HTX9" s="368"/>
      <c r="HTY9" s="368"/>
      <c r="ICI9" s="368"/>
      <c r="ICN9" s="368"/>
      <c r="ICO9" s="368"/>
      <c r="ICP9" s="368"/>
      <c r="ICQ9" s="368"/>
      <c r="ICR9" s="368"/>
      <c r="ICS9" s="368"/>
      <c r="ICU9" s="368"/>
      <c r="ICV9" s="368"/>
      <c r="ICW9" s="368"/>
      <c r="ICY9" s="368"/>
      <c r="ICZ9" s="368"/>
      <c r="IDA9" s="368"/>
      <c r="IDB9" s="368"/>
      <c r="IDC9" s="368"/>
      <c r="IDM9" s="368"/>
      <c r="IDN9" s="368"/>
      <c r="IDO9" s="368"/>
      <c r="IDP9" s="368"/>
      <c r="IDT9" s="368"/>
      <c r="IDU9" s="368"/>
      <c r="IME9" s="368"/>
      <c r="IMJ9" s="368"/>
      <c r="IMK9" s="368"/>
      <c r="IML9" s="368"/>
      <c r="IMM9" s="368"/>
      <c r="IMN9" s="368"/>
      <c r="IMO9" s="368"/>
      <c r="IMQ9" s="368"/>
      <c r="IMR9" s="368"/>
      <c r="IMS9" s="368"/>
      <c r="IMU9" s="368"/>
      <c r="IMV9" s="368"/>
      <c r="IMW9" s="368"/>
      <c r="IMX9" s="368"/>
      <c r="IMY9" s="368"/>
      <c r="INI9" s="368"/>
      <c r="INJ9" s="368"/>
      <c r="INK9" s="368"/>
      <c r="INL9" s="368"/>
      <c r="INP9" s="368"/>
      <c r="INQ9" s="368"/>
      <c r="IWA9" s="368"/>
      <c r="IWF9" s="368"/>
      <c r="IWG9" s="368"/>
      <c r="IWH9" s="368"/>
      <c r="IWI9" s="368"/>
      <c r="IWJ9" s="368"/>
      <c r="IWK9" s="368"/>
      <c r="IWM9" s="368"/>
      <c r="IWN9" s="368"/>
      <c r="IWO9" s="368"/>
      <c r="IWQ9" s="368"/>
      <c r="IWR9" s="368"/>
      <c r="IWS9" s="368"/>
      <c r="IWT9" s="368"/>
      <c r="IWU9" s="368"/>
      <c r="IXE9" s="368"/>
      <c r="IXF9" s="368"/>
      <c r="IXG9" s="368"/>
      <c r="IXH9" s="368"/>
      <c r="IXL9" s="368"/>
      <c r="IXM9" s="368"/>
      <c r="JFW9" s="368"/>
      <c r="JGB9" s="368"/>
      <c r="JGC9" s="368"/>
      <c r="JGD9" s="368"/>
      <c r="JGE9" s="368"/>
      <c r="JGF9" s="368"/>
      <c r="JGG9" s="368"/>
      <c r="JGI9" s="368"/>
      <c r="JGJ9" s="368"/>
      <c r="JGK9" s="368"/>
      <c r="JGM9" s="368"/>
      <c r="JGN9" s="368"/>
      <c r="JGO9" s="368"/>
      <c r="JGP9" s="368"/>
      <c r="JGQ9" s="368"/>
      <c r="JHA9" s="368"/>
      <c r="JHB9" s="368"/>
      <c r="JHC9" s="368"/>
      <c r="JHD9" s="368"/>
      <c r="JHH9" s="368"/>
      <c r="JHI9" s="368"/>
      <c r="JPS9" s="368"/>
      <c r="JPX9" s="368"/>
      <c r="JPY9" s="368"/>
      <c r="JPZ9" s="368"/>
      <c r="JQA9" s="368"/>
      <c r="JQB9" s="368"/>
      <c r="JQC9" s="368"/>
      <c r="JQE9" s="368"/>
      <c r="JQF9" s="368"/>
      <c r="JQG9" s="368"/>
      <c r="JQI9" s="368"/>
      <c r="JQJ9" s="368"/>
      <c r="JQK9" s="368"/>
      <c r="JQL9" s="368"/>
      <c r="JQM9" s="368"/>
      <c r="JQW9" s="368"/>
      <c r="JQX9" s="368"/>
      <c r="JQY9" s="368"/>
      <c r="JQZ9" s="368"/>
      <c r="JRD9" s="368"/>
      <c r="JRE9" s="368"/>
      <c r="JZO9" s="368"/>
      <c r="JZT9" s="368"/>
      <c r="JZU9" s="368"/>
      <c r="JZV9" s="368"/>
      <c r="JZW9" s="368"/>
      <c r="JZX9" s="368"/>
      <c r="JZY9" s="368"/>
      <c r="KAA9" s="368"/>
      <c r="KAB9" s="368"/>
      <c r="KAC9" s="368"/>
      <c r="KAE9" s="368"/>
      <c r="KAF9" s="368"/>
      <c r="KAG9" s="368"/>
      <c r="KAH9" s="368"/>
      <c r="KAI9" s="368"/>
      <c r="KAS9" s="368"/>
      <c r="KAT9" s="368"/>
      <c r="KAU9" s="368"/>
      <c r="KAV9" s="368"/>
      <c r="KAZ9" s="368"/>
      <c r="KBA9" s="368"/>
      <c r="KJK9" s="368"/>
      <c r="KJP9" s="368"/>
      <c r="KJQ9" s="368"/>
      <c r="KJR9" s="368"/>
      <c r="KJS9" s="368"/>
      <c r="KJT9" s="368"/>
      <c r="KJU9" s="368"/>
      <c r="KJW9" s="368"/>
      <c r="KJX9" s="368"/>
      <c r="KJY9" s="368"/>
      <c r="KKA9" s="368"/>
      <c r="KKB9" s="368"/>
      <c r="KKC9" s="368"/>
      <c r="KKD9" s="368"/>
      <c r="KKE9" s="368"/>
      <c r="KKO9" s="368"/>
      <c r="KKP9" s="368"/>
      <c r="KKQ9" s="368"/>
      <c r="KKR9" s="368"/>
      <c r="KKV9" s="368"/>
      <c r="KKW9" s="368"/>
      <c r="KTG9" s="368"/>
      <c r="KTL9" s="368"/>
      <c r="KTM9" s="368"/>
      <c r="KTN9" s="368"/>
      <c r="KTO9" s="368"/>
      <c r="KTP9" s="368"/>
      <c r="KTQ9" s="368"/>
      <c r="KTS9" s="368"/>
      <c r="KTT9" s="368"/>
      <c r="KTU9" s="368"/>
      <c r="KTW9" s="368"/>
      <c r="KTX9" s="368"/>
      <c r="KTY9" s="368"/>
      <c r="KTZ9" s="368"/>
      <c r="KUA9" s="368"/>
      <c r="KUK9" s="368"/>
      <c r="KUL9" s="368"/>
      <c r="KUM9" s="368"/>
      <c r="KUN9" s="368"/>
      <c r="KUR9" s="368"/>
      <c r="KUS9" s="368"/>
      <c r="LDC9" s="368"/>
      <c r="LDH9" s="368"/>
      <c r="LDI9" s="368"/>
      <c r="LDJ9" s="368"/>
      <c r="LDK9" s="368"/>
      <c r="LDL9" s="368"/>
      <c r="LDM9" s="368"/>
      <c r="LDO9" s="368"/>
      <c r="LDP9" s="368"/>
      <c r="LDQ9" s="368"/>
      <c r="LDS9" s="368"/>
      <c r="LDT9" s="368"/>
      <c r="LDU9" s="368"/>
      <c r="LDV9" s="368"/>
      <c r="LDW9" s="368"/>
      <c r="LEG9" s="368"/>
      <c r="LEH9" s="368"/>
      <c r="LEI9" s="368"/>
      <c r="LEJ9" s="368"/>
      <c r="LEN9" s="368"/>
      <c r="LEO9" s="368"/>
      <c r="LMY9" s="368"/>
      <c r="LND9" s="368"/>
      <c r="LNE9" s="368"/>
      <c r="LNF9" s="368"/>
      <c r="LNG9" s="368"/>
      <c r="LNH9" s="368"/>
      <c r="LNI9" s="368"/>
      <c r="LNK9" s="368"/>
      <c r="LNL9" s="368"/>
      <c r="LNM9" s="368"/>
      <c r="LNO9" s="368"/>
      <c r="LNP9" s="368"/>
      <c r="LNQ9" s="368"/>
      <c r="LNR9" s="368"/>
      <c r="LNS9" s="368"/>
      <c r="LOC9" s="368"/>
      <c r="LOD9" s="368"/>
      <c r="LOE9" s="368"/>
      <c r="LOF9" s="368"/>
      <c r="LOJ9" s="368"/>
      <c r="LOK9" s="368"/>
      <c r="LWU9" s="368"/>
      <c r="LWZ9" s="368"/>
      <c r="LXA9" s="368"/>
      <c r="LXB9" s="368"/>
      <c r="LXC9" s="368"/>
      <c r="LXD9" s="368"/>
      <c r="LXE9" s="368"/>
      <c r="LXG9" s="368"/>
      <c r="LXH9" s="368"/>
      <c r="LXI9" s="368"/>
      <c r="LXK9" s="368"/>
      <c r="LXL9" s="368"/>
      <c r="LXM9" s="368"/>
      <c r="LXN9" s="368"/>
      <c r="LXO9" s="368"/>
      <c r="LXY9" s="368"/>
      <c r="LXZ9" s="368"/>
      <c r="LYA9" s="368"/>
      <c r="LYB9" s="368"/>
      <c r="LYF9" s="368"/>
      <c r="LYG9" s="368"/>
      <c r="MGQ9" s="368"/>
      <c r="MGV9" s="368"/>
      <c r="MGW9" s="368"/>
      <c r="MGX9" s="368"/>
      <c r="MGY9" s="368"/>
      <c r="MGZ9" s="368"/>
      <c r="MHA9" s="368"/>
      <c r="MHC9" s="368"/>
      <c r="MHD9" s="368"/>
      <c r="MHE9" s="368"/>
      <c r="MHG9" s="368"/>
      <c r="MHH9" s="368"/>
      <c r="MHI9" s="368"/>
      <c r="MHJ9" s="368"/>
      <c r="MHK9" s="368"/>
      <c r="MHU9" s="368"/>
      <c r="MHV9" s="368"/>
      <c r="MHW9" s="368"/>
      <c r="MHX9" s="368"/>
      <c r="MIB9" s="368"/>
      <c r="MIC9" s="368"/>
      <c r="MQM9" s="368"/>
      <c r="MQR9" s="368"/>
      <c r="MQS9" s="368"/>
      <c r="MQT9" s="368"/>
      <c r="MQU9" s="368"/>
      <c r="MQV9" s="368"/>
      <c r="MQW9" s="368"/>
      <c r="MQY9" s="368"/>
      <c r="MQZ9" s="368"/>
      <c r="MRA9" s="368"/>
      <c r="MRC9" s="368"/>
      <c r="MRD9" s="368"/>
      <c r="MRE9" s="368"/>
      <c r="MRF9" s="368"/>
      <c r="MRG9" s="368"/>
      <c r="MRQ9" s="368"/>
      <c r="MRR9" s="368"/>
      <c r="MRS9" s="368"/>
      <c r="MRT9" s="368"/>
      <c r="MRX9" s="368"/>
      <c r="MRY9" s="368"/>
      <c r="NAI9" s="368"/>
      <c r="NAN9" s="368"/>
      <c r="NAO9" s="368"/>
      <c r="NAP9" s="368"/>
      <c r="NAQ9" s="368"/>
      <c r="NAR9" s="368"/>
      <c r="NAS9" s="368"/>
      <c r="NAU9" s="368"/>
      <c r="NAV9" s="368"/>
      <c r="NAW9" s="368"/>
      <c r="NAY9" s="368"/>
      <c r="NAZ9" s="368"/>
      <c r="NBA9" s="368"/>
      <c r="NBB9" s="368"/>
      <c r="NBC9" s="368"/>
      <c r="NBM9" s="368"/>
      <c r="NBN9" s="368"/>
      <c r="NBO9" s="368"/>
      <c r="NBP9" s="368"/>
      <c r="NBT9" s="368"/>
      <c r="NBU9" s="368"/>
      <c r="NKE9" s="368"/>
      <c r="NKJ9" s="368"/>
      <c r="NKK9" s="368"/>
      <c r="NKL9" s="368"/>
      <c r="NKM9" s="368"/>
      <c r="NKN9" s="368"/>
      <c r="NKO9" s="368"/>
      <c r="NKQ9" s="368"/>
      <c r="NKR9" s="368"/>
      <c r="NKS9" s="368"/>
      <c r="NKU9" s="368"/>
      <c r="NKV9" s="368"/>
      <c r="NKW9" s="368"/>
      <c r="NKX9" s="368"/>
      <c r="NKY9" s="368"/>
      <c r="NLI9" s="368"/>
      <c r="NLJ9" s="368"/>
      <c r="NLK9" s="368"/>
      <c r="NLL9" s="368"/>
      <c r="NLP9" s="368"/>
      <c r="NLQ9" s="368"/>
      <c r="NUA9" s="368"/>
      <c r="NUF9" s="368"/>
      <c r="NUG9" s="368"/>
      <c r="NUH9" s="368"/>
      <c r="NUI9" s="368"/>
      <c r="NUJ9" s="368"/>
      <c r="NUK9" s="368"/>
      <c r="NUM9" s="368"/>
      <c r="NUN9" s="368"/>
      <c r="NUO9" s="368"/>
      <c r="NUQ9" s="368"/>
      <c r="NUR9" s="368"/>
      <c r="NUS9" s="368"/>
      <c r="NUT9" s="368"/>
      <c r="NUU9" s="368"/>
      <c r="NVE9" s="368"/>
      <c r="NVF9" s="368"/>
      <c r="NVG9" s="368"/>
      <c r="NVH9" s="368"/>
      <c r="NVL9" s="368"/>
      <c r="NVM9" s="368"/>
      <c r="ODW9" s="368"/>
      <c r="OEB9" s="368"/>
      <c r="OEC9" s="368"/>
      <c r="OED9" s="368"/>
      <c r="OEE9" s="368"/>
      <c r="OEF9" s="368"/>
      <c r="OEG9" s="368"/>
      <c r="OEI9" s="368"/>
      <c r="OEJ9" s="368"/>
      <c r="OEK9" s="368"/>
      <c r="OEM9" s="368"/>
      <c r="OEN9" s="368"/>
      <c r="OEO9" s="368"/>
      <c r="OEP9" s="368"/>
      <c r="OEQ9" s="368"/>
      <c r="OFA9" s="368"/>
      <c r="OFB9" s="368"/>
      <c r="OFC9" s="368"/>
      <c r="OFD9" s="368"/>
      <c r="OFH9" s="368"/>
      <c r="OFI9" s="368"/>
      <c r="ONS9" s="368"/>
      <c r="ONX9" s="368"/>
      <c r="ONY9" s="368"/>
      <c r="ONZ9" s="368"/>
      <c r="OOA9" s="368"/>
      <c r="OOB9" s="368"/>
      <c r="OOC9" s="368"/>
      <c r="OOE9" s="368"/>
      <c r="OOF9" s="368"/>
      <c r="OOG9" s="368"/>
      <c r="OOI9" s="368"/>
      <c r="OOJ9" s="368"/>
      <c r="OOK9" s="368"/>
      <c r="OOL9" s="368"/>
      <c r="OOM9" s="368"/>
      <c r="OOW9" s="368"/>
      <c r="OOX9" s="368"/>
      <c r="OOY9" s="368"/>
      <c r="OOZ9" s="368"/>
      <c r="OPD9" s="368"/>
      <c r="OPE9" s="368"/>
      <c r="OXO9" s="368"/>
      <c r="OXT9" s="368"/>
      <c r="OXU9" s="368"/>
      <c r="OXV9" s="368"/>
      <c r="OXW9" s="368"/>
      <c r="OXX9" s="368"/>
      <c r="OXY9" s="368"/>
      <c r="OYA9" s="368"/>
      <c r="OYB9" s="368"/>
      <c r="OYC9" s="368"/>
      <c r="OYE9" s="368"/>
      <c r="OYF9" s="368"/>
      <c r="OYG9" s="368"/>
      <c r="OYH9" s="368"/>
      <c r="OYI9" s="368"/>
      <c r="OYS9" s="368"/>
      <c r="OYT9" s="368"/>
      <c r="OYU9" s="368"/>
      <c r="OYV9" s="368"/>
      <c r="OYZ9" s="368"/>
      <c r="OZA9" s="368"/>
      <c r="PHK9" s="368"/>
      <c r="PHP9" s="368"/>
      <c r="PHQ9" s="368"/>
      <c r="PHR9" s="368"/>
      <c r="PHS9" s="368"/>
      <c r="PHT9" s="368"/>
      <c r="PHU9" s="368"/>
      <c r="PHW9" s="368"/>
      <c r="PHX9" s="368"/>
      <c r="PHY9" s="368"/>
      <c r="PIA9" s="368"/>
      <c r="PIB9" s="368"/>
      <c r="PIC9" s="368"/>
      <c r="PID9" s="368"/>
      <c r="PIE9" s="368"/>
      <c r="PIO9" s="368"/>
      <c r="PIP9" s="368"/>
      <c r="PIQ9" s="368"/>
      <c r="PIR9" s="368"/>
      <c r="PIV9" s="368"/>
      <c r="PIW9" s="368"/>
      <c r="PRG9" s="368"/>
      <c r="PRL9" s="368"/>
      <c r="PRM9" s="368"/>
      <c r="PRN9" s="368"/>
      <c r="PRO9" s="368"/>
      <c r="PRP9" s="368"/>
      <c r="PRQ9" s="368"/>
      <c r="PRS9" s="368"/>
      <c r="PRT9" s="368"/>
      <c r="PRU9" s="368"/>
      <c r="PRW9" s="368"/>
      <c r="PRX9" s="368"/>
      <c r="PRY9" s="368"/>
      <c r="PRZ9" s="368"/>
      <c r="PSA9" s="368"/>
      <c r="PSK9" s="368"/>
      <c r="PSL9" s="368"/>
      <c r="PSM9" s="368"/>
      <c r="PSN9" s="368"/>
      <c r="PSR9" s="368"/>
      <c r="PSS9" s="368"/>
      <c r="QBC9" s="368"/>
      <c r="QBH9" s="368"/>
      <c r="QBI9" s="368"/>
      <c r="QBJ9" s="368"/>
      <c r="QBK9" s="368"/>
      <c r="QBL9" s="368"/>
      <c r="QBM9" s="368"/>
      <c r="QBO9" s="368"/>
      <c r="QBP9" s="368"/>
      <c r="QBQ9" s="368"/>
      <c r="QBS9" s="368"/>
      <c r="QBT9" s="368"/>
      <c r="QBU9" s="368"/>
      <c r="QBV9" s="368"/>
      <c r="QBW9" s="368"/>
      <c r="QCG9" s="368"/>
      <c r="QCH9" s="368"/>
      <c r="QCI9" s="368"/>
      <c r="QCJ9" s="368"/>
      <c r="QCN9" s="368"/>
      <c r="QCO9" s="368"/>
      <c r="QKY9" s="368"/>
      <c r="QLD9" s="368"/>
      <c r="QLE9" s="368"/>
      <c r="QLF9" s="368"/>
      <c r="QLG9" s="368"/>
      <c r="QLH9" s="368"/>
      <c r="QLI9" s="368"/>
      <c r="QLK9" s="368"/>
      <c r="QLL9" s="368"/>
      <c r="QLM9" s="368"/>
      <c r="QLO9" s="368"/>
      <c r="QLP9" s="368"/>
      <c r="QLQ9" s="368"/>
      <c r="QLR9" s="368"/>
      <c r="QLS9" s="368"/>
      <c r="QMC9" s="368"/>
      <c r="QMD9" s="368"/>
      <c r="QME9" s="368"/>
      <c r="QMF9" s="368"/>
      <c r="QMJ9" s="368"/>
      <c r="QMK9" s="368"/>
      <c r="QUU9" s="368"/>
      <c r="QUZ9" s="368"/>
      <c r="QVA9" s="368"/>
      <c r="QVB9" s="368"/>
      <c r="QVC9" s="368"/>
      <c r="QVD9" s="368"/>
      <c r="QVE9" s="368"/>
      <c r="QVG9" s="368"/>
      <c r="QVH9" s="368"/>
      <c r="QVI9" s="368"/>
      <c r="QVK9" s="368"/>
      <c r="QVL9" s="368"/>
      <c r="QVM9" s="368"/>
      <c r="QVN9" s="368"/>
      <c r="QVO9" s="368"/>
      <c r="QVY9" s="368"/>
      <c r="QVZ9" s="368"/>
      <c r="QWA9" s="368"/>
      <c r="QWB9" s="368"/>
      <c r="QWF9" s="368"/>
      <c r="QWG9" s="368"/>
      <c r="REQ9" s="368"/>
      <c r="REV9" s="368"/>
      <c r="REW9" s="368"/>
      <c r="REX9" s="368"/>
      <c r="REY9" s="368"/>
      <c r="REZ9" s="368"/>
      <c r="RFA9" s="368"/>
      <c r="RFC9" s="368"/>
      <c r="RFD9" s="368"/>
      <c r="RFE9" s="368"/>
      <c r="RFG9" s="368"/>
      <c r="RFH9" s="368"/>
      <c r="RFI9" s="368"/>
      <c r="RFJ9" s="368"/>
      <c r="RFK9" s="368"/>
      <c r="RFU9" s="368"/>
      <c r="RFV9" s="368"/>
      <c r="RFW9" s="368"/>
      <c r="RFX9" s="368"/>
      <c r="RGB9" s="368"/>
      <c r="RGC9" s="368"/>
      <c r="ROM9" s="368"/>
      <c r="ROR9" s="368"/>
      <c r="ROS9" s="368"/>
      <c r="ROT9" s="368"/>
      <c r="ROU9" s="368"/>
      <c r="ROV9" s="368"/>
      <c r="ROW9" s="368"/>
      <c r="ROY9" s="368"/>
      <c r="ROZ9" s="368"/>
      <c r="RPA9" s="368"/>
      <c r="RPC9" s="368"/>
      <c r="RPD9" s="368"/>
      <c r="RPE9" s="368"/>
      <c r="RPF9" s="368"/>
      <c r="RPG9" s="368"/>
      <c r="RPQ9" s="368"/>
      <c r="RPR9" s="368"/>
      <c r="RPS9" s="368"/>
      <c r="RPT9" s="368"/>
      <c r="RPX9" s="368"/>
      <c r="RPY9" s="368"/>
      <c r="RYI9" s="368"/>
      <c r="RYN9" s="368"/>
      <c r="RYO9" s="368"/>
      <c r="RYP9" s="368"/>
      <c r="RYQ9" s="368"/>
      <c r="RYR9" s="368"/>
      <c r="RYS9" s="368"/>
      <c r="RYU9" s="368"/>
      <c r="RYV9" s="368"/>
      <c r="RYW9" s="368"/>
      <c r="RYY9" s="368"/>
      <c r="RYZ9" s="368"/>
      <c r="RZA9" s="368"/>
      <c r="RZB9" s="368"/>
      <c r="RZC9" s="368"/>
      <c r="RZM9" s="368"/>
      <c r="RZN9" s="368"/>
      <c r="RZO9" s="368"/>
      <c r="RZP9" s="368"/>
      <c r="RZT9" s="368"/>
      <c r="RZU9" s="368"/>
      <c r="SIE9" s="368"/>
      <c r="SIJ9" s="368"/>
      <c r="SIK9" s="368"/>
      <c r="SIL9" s="368"/>
      <c r="SIM9" s="368"/>
      <c r="SIN9" s="368"/>
      <c r="SIO9" s="368"/>
      <c r="SIQ9" s="368"/>
      <c r="SIR9" s="368"/>
      <c r="SIS9" s="368"/>
      <c r="SIU9" s="368"/>
      <c r="SIV9" s="368"/>
      <c r="SIW9" s="368"/>
      <c r="SIX9" s="368"/>
      <c r="SIY9" s="368"/>
      <c r="SJI9" s="368"/>
      <c r="SJJ9" s="368"/>
      <c r="SJK9" s="368"/>
      <c r="SJL9" s="368"/>
      <c r="SJP9" s="368"/>
      <c r="SJQ9" s="368"/>
      <c r="SSA9" s="368"/>
      <c r="SSF9" s="368"/>
      <c r="SSG9" s="368"/>
      <c r="SSH9" s="368"/>
      <c r="SSI9" s="368"/>
      <c r="SSJ9" s="368"/>
      <c r="SSK9" s="368"/>
      <c r="SSM9" s="368"/>
      <c r="SSN9" s="368"/>
      <c r="SSO9" s="368"/>
      <c r="SSQ9" s="368"/>
      <c r="SSR9" s="368"/>
      <c r="SSS9" s="368"/>
      <c r="SST9" s="368"/>
      <c r="SSU9" s="368"/>
      <c r="STE9" s="368"/>
      <c r="STF9" s="368"/>
      <c r="STG9" s="368"/>
      <c r="STH9" s="368"/>
      <c r="STL9" s="368"/>
      <c r="STM9" s="368"/>
      <c r="TBW9" s="368"/>
      <c r="TCB9" s="368"/>
      <c r="TCC9" s="368"/>
      <c r="TCD9" s="368"/>
      <c r="TCE9" s="368"/>
      <c r="TCF9" s="368"/>
      <c r="TCG9" s="368"/>
      <c r="TCI9" s="368"/>
      <c r="TCJ9" s="368"/>
      <c r="TCK9" s="368"/>
      <c r="TCM9" s="368"/>
      <c r="TCN9" s="368"/>
      <c r="TCO9" s="368"/>
      <c r="TCP9" s="368"/>
      <c r="TCQ9" s="368"/>
      <c r="TDA9" s="368"/>
      <c r="TDB9" s="368"/>
      <c r="TDC9" s="368"/>
      <c r="TDD9" s="368"/>
      <c r="TDH9" s="368"/>
      <c r="TDI9" s="368"/>
      <c r="TLS9" s="368"/>
      <c r="TLX9" s="368"/>
      <c r="TLY9" s="368"/>
      <c r="TLZ9" s="368"/>
      <c r="TMA9" s="368"/>
      <c r="TMB9" s="368"/>
      <c r="TMC9" s="368"/>
      <c r="TME9" s="368"/>
      <c r="TMF9" s="368"/>
      <c r="TMG9" s="368"/>
      <c r="TMI9" s="368"/>
      <c r="TMJ9" s="368"/>
      <c r="TMK9" s="368"/>
      <c r="TML9" s="368"/>
      <c r="TMM9" s="368"/>
      <c r="TMW9" s="368"/>
      <c r="TMX9" s="368"/>
      <c r="TMY9" s="368"/>
      <c r="TMZ9" s="368"/>
      <c r="TND9" s="368"/>
      <c r="TNE9" s="368"/>
      <c r="TVO9" s="368"/>
      <c r="TVT9" s="368"/>
      <c r="TVU9" s="368"/>
      <c r="TVV9" s="368"/>
      <c r="TVW9" s="368"/>
      <c r="TVX9" s="368"/>
      <c r="TVY9" s="368"/>
      <c r="TWA9" s="368"/>
      <c r="TWB9" s="368"/>
      <c r="TWC9" s="368"/>
      <c r="TWE9" s="368"/>
      <c r="TWF9" s="368"/>
      <c r="TWG9" s="368"/>
      <c r="TWH9" s="368"/>
      <c r="TWI9" s="368"/>
      <c r="TWS9" s="368"/>
      <c r="TWT9" s="368"/>
      <c r="TWU9" s="368"/>
      <c r="TWV9" s="368"/>
      <c r="TWZ9" s="368"/>
      <c r="TXA9" s="368"/>
      <c r="UFK9" s="368"/>
      <c r="UFP9" s="368"/>
      <c r="UFQ9" s="368"/>
      <c r="UFR9" s="368"/>
      <c r="UFS9" s="368"/>
      <c r="UFT9" s="368"/>
      <c r="UFU9" s="368"/>
      <c r="UFW9" s="368"/>
      <c r="UFX9" s="368"/>
      <c r="UFY9" s="368"/>
      <c r="UGA9" s="368"/>
      <c r="UGB9" s="368"/>
      <c r="UGC9" s="368"/>
      <c r="UGD9" s="368"/>
      <c r="UGE9" s="368"/>
      <c r="UGO9" s="368"/>
      <c r="UGP9" s="368"/>
      <c r="UGQ9" s="368"/>
      <c r="UGR9" s="368"/>
      <c r="UGV9" s="368"/>
      <c r="UGW9" s="368"/>
      <c r="UPG9" s="368"/>
      <c r="UPL9" s="368"/>
      <c r="UPM9" s="368"/>
      <c r="UPN9" s="368"/>
      <c r="UPO9" s="368"/>
      <c r="UPP9" s="368"/>
      <c r="UPQ9" s="368"/>
      <c r="UPS9" s="368"/>
      <c r="UPT9" s="368"/>
      <c r="UPU9" s="368"/>
      <c r="UPW9" s="368"/>
      <c r="UPX9" s="368"/>
      <c r="UPY9" s="368"/>
      <c r="UPZ9" s="368"/>
      <c r="UQA9" s="368"/>
      <c r="UQK9" s="368"/>
      <c r="UQL9" s="368"/>
      <c r="UQM9" s="368"/>
      <c r="UQN9" s="368"/>
      <c r="UQR9" s="368"/>
      <c r="UQS9" s="368"/>
      <c r="UZC9" s="368"/>
      <c r="UZH9" s="368"/>
      <c r="UZI9" s="368"/>
      <c r="UZJ9" s="368"/>
      <c r="UZK9" s="368"/>
      <c r="UZL9" s="368"/>
      <c r="UZM9" s="368"/>
      <c r="UZO9" s="368"/>
      <c r="UZP9" s="368"/>
      <c r="UZQ9" s="368"/>
      <c r="UZS9" s="368"/>
      <c r="UZT9" s="368"/>
      <c r="UZU9" s="368"/>
      <c r="UZV9" s="368"/>
      <c r="UZW9" s="368"/>
      <c r="VAG9" s="368"/>
      <c r="VAH9" s="368"/>
      <c r="VAI9" s="368"/>
      <c r="VAJ9" s="368"/>
      <c r="VAN9" s="368"/>
      <c r="VAO9" s="368"/>
      <c r="VIY9" s="368"/>
      <c r="VJD9" s="368"/>
      <c r="VJE9" s="368"/>
      <c r="VJF9" s="368"/>
      <c r="VJG9" s="368"/>
      <c r="VJH9" s="368"/>
      <c r="VJI9" s="368"/>
      <c r="VJK9" s="368"/>
      <c r="VJL9" s="368"/>
      <c r="VJM9" s="368"/>
      <c r="VJO9" s="368"/>
      <c r="VJP9" s="368"/>
      <c r="VJQ9" s="368"/>
      <c r="VJR9" s="368"/>
      <c r="VJS9" s="368"/>
      <c r="VKC9" s="368"/>
      <c r="VKD9" s="368"/>
      <c r="VKE9" s="368"/>
      <c r="VKF9" s="368"/>
      <c r="VKJ9" s="368"/>
      <c r="VKK9" s="368"/>
      <c r="VSU9" s="368"/>
      <c r="VSZ9" s="368"/>
      <c r="VTA9" s="368"/>
      <c r="VTB9" s="368"/>
      <c r="VTC9" s="368"/>
      <c r="VTD9" s="368"/>
      <c r="VTE9" s="368"/>
      <c r="VTG9" s="368"/>
      <c r="VTH9" s="368"/>
      <c r="VTI9" s="368"/>
      <c r="VTK9" s="368"/>
      <c r="VTL9" s="368"/>
      <c r="VTM9" s="368"/>
      <c r="VTN9" s="368"/>
      <c r="VTO9" s="368"/>
      <c r="VTY9" s="368"/>
      <c r="VTZ9" s="368"/>
      <c r="VUA9" s="368"/>
      <c r="VUB9" s="368"/>
      <c r="VUF9" s="368"/>
      <c r="VUG9" s="368"/>
      <c r="WCQ9" s="368"/>
      <c r="WCV9" s="368"/>
      <c r="WCW9" s="368"/>
      <c r="WCX9" s="368"/>
      <c r="WCY9" s="368"/>
      <c r="WCZ9" s="368"/>
      <c r="WDA9" s="368"/>
      <c r="WDC9" s="368"/>
      <c r="WDD9" s="368"/>
      <c r="WDE9" s="368"/>
      <c r="WDG9" s="368"/>
      <c r="WDH9" s="368"/>
      <c r="WDI9" s="368"/>
      <c r="WDJ9" s="368"/>
      <c r="WDK9" s="368"/>
      <c r="WDU9" s="368"/>
      <c r="WDV9" s="368"/>
      <c r="WDW9" s="368"/>
      <c r="WDX9" s="368"/>
      <c r="WEB9" s="368"/>
      <c r="WEC9" s="368"/>
      <c r="WMM9" s="368"/>
      <c r="WMR9" s="368"/>
      <c r="WMS9" s="368"/>
      <c r="WMT9" s="368"/>
      <c r="WMU9" s="368"/>
      <c r="WMV9" s="368"/>
      <c r="WMW9" s="368"/>
      <c r="WMY9" s="368"/>
      <c r="WMZ9" s="368"/>
      <c r="WNA9" s="368"/>
      <c r="WNC9" s="368"/>
      <c r="WND9" s="368"/>
      <c r="WNE9" s="368"/>
      <c r="WNF9" s="368"/>
      <c r="WNG9" s="368"/>
      <c r="WNQ9" s="368"/>
      <c r="WNR9" s="368"/>
      <c r="WNS9" s="368"/>
      <c r="WNT9" s="368"/>
      <c r="WNX9" s="368"/>
      <c r="WNY9" s="368"/>
      <c r="WWI9" s="368"/>
      <c r="WWN9" s="368"/>
      <c r="WWO9" s="368"/>
      <c r="WWP9" s="368"/>
      <c r="WWQ9" s="368"/>
      <c r="WWR9" s="368"/>
      <c r="WWS9" s="368"/>
      <c r="WWU9" s="368"/>
      <c r="WWV9" s="368"/>
      <c r="WWW9" s="368"/>
      <c r="WWY9" s="368"/>
      <c r="WWZ9" s="368"/>
      <c r="WXA9" s="368"/>
      <c r="WXB9" s="368"/>
      <c r="WXC9" s="368"/>
      <c r="WXM9" s="368"/>
      <c r="WXN9" s="368"/>
      <c r="WXO9" s="368"/>
      <c r="WXP9" s="368"/>
      <c r="WXT9" s="368"/>
      <c r="WXU9" s="368"/>
    </row>
    <row r="10" spans="1:833 1051:1857 2075:2881 3099:3905 4123:4929 5147:5953 6171:6977 7195:8001 8219:9025 9243:10049 10267:11073 11291:12097 12315:13121 13339:14145 14363:15169 15387:16193" s="38" customFormat="1" ht="32.25" customHeight="1">
      <c r="A10" s="353">
        <v>2</v>
      </c>
      <c r="B10" s="382" t="s">
        <v>336</v>
      </c>
      <c r="C10" s="354" t="s">
        <v>157</v>
      </c>
      <c r="D10" s="355">
        <v>208</v>
      </c>
      <c r="E10" s="350">
        <v>24</v>
      </c>
      <c r="F10" s="356"/>
      <c r="G10" s="356"/>
      <c r="H10" s="357"/>
      <c r="I10" s="356"/>
      <c r="J10" s="356"/>
      <c r="K10" s="356"/>
      <c r="L10" s="356"/>
      <c r="M10" s="356"/>
      <c r="N10" s="356"/>
      <c r="O10" s="356"/>
      <c r="P10" s="356"/>
      <c r="Q10" s="358">
        <v>5190000</v>
      </c>
      <c r="R10" s="358">
        <v>0</v>
      </c>
      <c r="S10" s="358">
        <v>0</v>
      </c>
      <c r="T10" s="358">
        <v>0</v>
      </c>
      <c r="U10" s="358">
        <v>0</v>
      </c>
      <c r="V10" s="358">
        <f t="shared" si="0"/>
        <v>0</v>
      </c>
      <c r="W10" s="358">
        <v>1200000</v>
      </c>
      <c r="X10" s="234"/>
      <c r="Y10" s="358"/>
      <c r="Z10" s="234"/>
      <c r="AA10" s="358"/>
      <c r="AB10" s="358"/>
      <c r="AC10" s="234"/>
      <c r="AD10" s="358">
        <f t="shared" ref="AD10" si="29">G10*13000</f>
        <v>0</v>
      </c>
      <c r="AE10" s="358"/>
      <c r="AF10" s="358"/>
      <c r="AG10" s="358"/>
      <c r="AH10" s="358">
        <f t="shared" si="4"/>
        <v>0</v>
      </c>
      <c r="AI10" s="358">
        <f t="shared" si="5"/>
        <v>5190000</v>
      </c>
      <c r="AJ10" s="358">
        <f t="shared" ref="AJ10" si="30">AI10/208</f>
        <v>24951.923076923078</v>
      </c>
      <c r="AK10" s="358">
        <f t="shared" si="7"/>
        <v>598846.15384615387</v>
      </c>
      <c r="AL10" s="358">
        <f t="shared" si="8"/>
        <v>0</v>
      </c>
      <c r="AM10" s="358">
        <f t="shared" si="9"/>
        <v>0</v>
      </c>
      <c r="AN10" s="358">
        <f t="shared" si="10"/>
        <v>0</v>
      </c>
      <c r="AO10" s="358">
        <f t="shared" si="11"/>
        <v>0</v>
      </c>
      <c r="AP10" s="358">
        <f t="shared" si="12"/>
        <v>0</v>
      </c>
      <c r="AQ10" s="358">
        <f t="shared" si="13"/>
        <v>0</v>
      </c>
      <c r="AR10" s="358">
        <f t="shared" si="14"/>
        <v>0</v>
      </c>
      <c r="AS10" s="358">
        <f t="shared" si="15"/>
        <v>0</v>
      </c>
      <c r="AT10" s="358">
        <f t="shared" si="16"/>
        <v>0</v>
      </c>
      <c r="AU10" s="358">
        <f t="shared" ref="AU10" si="31">SUM(AL10:AT10)</f>
        <v>0</v>
      </c>
      <c r="AV10" s="234">
        <f t="shared" ref="AV10:AV20" si="32">AH10+AK10+AU10+AG10+AF10</f>
        <v>598846.15384615387</v>
      </c>
      <c r="AW10" s="234">
        <v>0</v>
      </c>
      <c r="AX10" s="358">
        <f t="shared" ref="AX10" si="33">AW10*17.5%</f>
        <v>0</v>
      </c>
      <c r="AY10" s="358">
        <f t="shared" ref="AY10" si="34">AW10*3%</f>
        <v>0</v>
      </c>
      <c r="AZ10" s="358">
        <f t="shared" si="21"/>
        <v>0</v>
      </c>
      <c r="BA10" s="234">
        <f t="shared" ref="BA10:BA21" si="35">AW10*2%</f>
        <v>0</v>
      </c>
      <c r="BB10" s="234">
        <f t="shared" ref="BB10:BB21" si="36">AX10+AY10+AZ10+BA10</f>
        <v>0</v>
      </c>
      <c r="BC10" s="358">
        <f t="shared" si="22"/>
        <v>0</v>
      </c>
      <c r="BD10" s="358">
        <f t="shared" si="23"/>
        <v>0</v>
      </c>
      <c r="BE10" s="358">
        <f t="shared" si="24"/>
        <v>0</v>
      </c>
      <c r="BF10" s="234">
        <f t="shared" ref="BF10:BF21" si="37">BC10+BD10+BE10</f>
        <v>0</v>
      </c>
      <c r="BG10" s="358">
        <v>11000000</v>
      </c>
      <c r="BH10" s="358"/>
      <c r="BI10" s="234">
        <f t="shared" ref="BI10:BI20" si="38">BH10*4400000</f>
        <v>0</v>
      </c>
      <c r="BJ10" s="358">
        <f t="shared" si="25"/>
        <v>0</v>
      </c>
      <c r="BK10" s="234">
        <f t="shared" si="26"/>
        <v>598846.15384615387</v>
      </c>
      <c r="BL10" s="358">
        <f t="shared" ref="BL10" si="39">IF(BK10-BG10-BF10-BI10&lt;0,0,BK10-BG10-BI10-BF10)</f>
        <v>0</v>
      </c>
      <c r="BM10" s="358">
        <f t="shared" ref="BM10" si="40">ROUND(IF(BL10&lt;=5000000,BL10*5%,IF(AND(BL10&gt;5000000,BL10&lt;=10000000),BL10*10%-250000,IF(AND(BL10&gt;10000000,BL10&lt;=18000000),BL10*15%-750000,IF(AND(BL10&gt;18000000,BL10&lt;=32000000),BL10*20%-1650000,IF(AND(BL10&gt;32000000,BL10&lt;=52000000),BL10*25%-3250000,IF(AND(BL10&gt;52000000,BL10&lt;80000000),BL10*30%-585000,IF(BL10&gt;80000000,BL10*35%-9850000))))))),0)</f>
        <v>0</v>
      </c>
      <c r="BN10" s="232">
        <v>0</v>
      </c>
      <c r="BO10" s="358">
        <f t="shared" ref="BO10:BO21" si="41">AV10-BF10-BM10-BN10</f>
        <v>598846.15384615387</v>
      </c>
      <c r="BP10" s="257"/>
      <c r="BQ10" s="355">
        <f>BO10+BO11</f>
        <v>7423906.25</v>
      </c>
      <c r="BR10" s="359"/>
    </row>
    <row r="11" spans="1:833 1051:1857 2075:2881 3099:3905 4123:4929 5147:5953 6171:6977 7195:8001 8219:9025 9243:10049 10267:11073 11291:12097 12315:13121 13339:14145 14363:15169 15387:16193" s="38" customFormat="1" ht="32.25" customHeight="1">
      <c r="A11" s="380">
        <v>3</v>
      </c>
      <c r="B11" s="382" t="s">
        <v>337</v>
      </c>
      <c r="C11" s="354" t="s">
        <v>157</v>
      </c>
      <c r="D11" s="355">
        <v>208</v>
      </c>
      <c r="E11" s="350">
        <v>160</v>
      </c>
      <c r="F11" s="356"/>
      <c r="G11" s="356"/>
      <c r="H11" s="357">
        <v>0.5</v>
      </c>
      <c r="I11" s="356"/>
      <c r="J11" s="356"/>
      <c r="K11" s="356"/>
      <c r="L11" s="356"/>
      <c r="M11" s="356"/>
      <c r="N11" s="356"/>
      <c r="O11" s="356"/>
      <c r="P11" s="356"/>
      <c r="Q11" s="358">
        <v>5450000</v>
      </c>
      <c r="R11" s="358">
        <v>0</v>
      </c>
      <c r="S11" s="358">
        <v>0</v>
      </c>
      <c r="T11" s="358">
        <v>300000</v>
      </c>
      <c r="U11" s="358">
        <v>0</v>
      </c>
      <c r="V11" s="358">
        <f t="shared" ref="V11" si="42">IF((E11+F11)&gt;=160, U11, U11/D11*(E11+F11))</f>
        <v>0</v>
      </c>
      <c r="W11" s="358">
        <v>1200000</v>
      </c>
      <c r="X11" s="234">
        <f t="shared" ref="X11" si="43">IF((E11+F11)&gt;=160, W11, W11/D11*(E11+F11))</f>
        <v>1200000</v>
      </c>
      <c r="Y11" s="358">
        <v>1300000</v>
      </c>
      <c r="Z11" s="234">
        <f t="shared" ref="Z11" si="44">IF((E11+F11)&gt;=160, Y11, Y11/D11*(E11+F11))</f>
        <v>1300000</v>
      </c>
      <c r="AA11" s="358">
        <v>0</v>
      </c>
      <c r="AB11" s="358">
        <v>20000</v>
      </c>
      <c r="AC11" s="234">
        <v>500000</v>
      </c>
      <c r="AD11" s="358">
        <f t="shared" ref="AD11" si="45">G11*13000</f>
        <v>0</v>
      </c>
      <c r="AE11" s="358"/>
      <c r="AF11" s="358"/>
      <c r="AG11" s="358"/>
      <c r="AH11" s="358">
        <f t="shared" ref="AH11" si="46">V11+Z11+X11+AA11+AB11+AC11+AD11+AE11</f>
        <v>3020000</v>
      </c>
      <c r="AI11" s="358">
        <f t="shared" ref="AI11" si="47">Q11+R11+T11</f>
        <v>5750000</v>
      </c>
      <c r="AJ11" s="358">
        <f t="shared" ref="AJ11" si="48">AI11/208</f>
        <v>27644.23076923077</v>
      </c>
      <c r="AK11" s="358">
        <f t="shared" ref="AK11" si="49">AJ11*(E11+F11*130%)</f>
        <v>4423076.923076923</v>
      </c>
      <c r="AL11" s="358">
        <f t="shared" ref="AL11" si="50">AJ11*H11*150%</f>
        <v>20733.173076923078</v>
      </c>
      <c r="AM11" s="358">
        <f t="shared" ref="AM11" si="51">AJ11*I11*150%*130%</f>
        <v>0</v>
      </c>
      <c r="AN11" s="358">
        <f t="shared" ref="AN11" si="52">+AJ11*J11*200%</f>
        <v>0</v>
      </c>
      <c r="AO11" s="358">
        <f t="shared" ref="AO11" si="53">AJ11*K11*200%*130%</f>
        <v>0</v>
      </c>
      <c r="AP11" s="358">
        <f t="shared" ref="AP11" si="54">AJ11*L11*200%*150%</f>
        <v>0</v>
      </c>
      <c r="AQ11" s="358">
        <f t="shared" ref="AQ11" si="55">AJ11*M11*200%*150%*130%</f>
        <v>0</v>
      </c>
      <c r="AR11" s="358">
        <f t="shared" ref="AR11" si="56">N11*AJ11*300%</f>
        <v>0</v>
      </c>
      <c r="AS11" s="358">
        <f t="shared" ref="AS11" si="57">AJ11*O11*300%</f>
        <v>0</v>
      </c>
      <c r="AT11" s="358">
        <f t="shared" ref="AT11" si="58">P11*AJ11*150%*300%</f>
        <v>0</v>
      </c>
      <c r="AU11" s="358">
        <f t="shared" ref="AU11" si="59">SUM(AL11:AT11)</f>
        <v>20733.173076923078</v>
      </c>
      <c r="AV11" s="234">
        <f t="shared" ref="AV11" si="60">AH11+AK11+AU11+AG11+AF11</f>
        <v>7463810.096153846</v>
      </c>
      <c r="AW11" s="234">
        <f t="shared" ref="AW11" si="61">Q11+R11+T11</f>
        <v>5750000</v>
      </c>
      <c r="AX11" s="358">
        <f t="shared" ref="AX11" si="62">AW11*17.5%</f>
        <v>1006249.9999999999</v>
      </c>
      <c r="AY11" s="358">
        <f t="shared" ref="AY11" si="63">AW11*3%</f>
        <v>172500</v>
      </c>
      <c r="AZ11" s="358">
        <f t="shared" ref="AZ11" si="64">AW11*1%</f>
        <v>57500</v>
      </c>
      <c r="BA11" s="234">
        <f t="shared" ref="BA11" si="65">AW11*2%</f>
        <v>115000</v>
      </c>
      <c r="BB11" s="234">
        <f t="shared" ref="BB11" si="66">AX11+AY11+AZ11+BA11</f>
        <v>1351250</v>
      </c>
      <c r="BC11" s="358">
        <f t="shared" ref="BC11" si="67">AW11*8%</f>
        <v>460000</v>
      </c>
      <c r="BD11" s="358">
        <f t="shared" ref="BD11" si="68">AW11*1.5%</f>
        <v>86250</v>
      </c>
      <c r="BE11" s="358">
        <f t="shared" ref="BE11" si="69">AW11*1%</f>
        <v>57500</v>
      </c>
      <c r="BF11" s="234">
        <f t="shared" ref="BF11" si="70">BC11+BD11+BE11</f>
        <v>603750</v>
      </c>
      <c r="BG11" s="358">
        <v>11000000</v>
      </c>
      <c r="BH11" s="358"/>
      <c r="BI11" s="234">
        <f t="shared" ref="BI11" si="71">BH11*4400000</f>
        <v>0</v>
      </c>
      <c r="BJ11" s="358">
        <f t="shared" ref="BJ11" si="72">V11+AA11</f>
        <v>0</v>
      </c>
      <c r="BK11" s="234">
        <f t="shared" ref="BK11" si="73">AV11-BJ11-AJ11*H11*0.5-AJ11*I11*0.95-AJ11*J11-AJ11*K11*1.6-AJ11*L11*2-AJ11*M11*2.9-AJ11*N11*2-AJ11*O11*2.9-AJ11*P11*3.5</f>
        <v>7456899.038461538</v>
      </c>
      <c r="BL11" s="358">
        <f t="shared" ref="BL11" si="74">IF(BK11-BG11-BF11-BI11&lt;0,0,BK11-BG11-BI11-BF11)</f>
        <v>0</v>
      </c>
      <c r="BM11" s="358">
        <f t="shared" ref="BM11" si="75">ROUND(IF(BL11&lt;=5000000,BL11*5%,IF(AND(BL11&gt;5000000,BL11&lt;=10000000),BL11*10%-250000,IF(AND(BL11&gt;10000000,BL11&lt;=18000000),BL11*15%-750000,IF(AND(BL11&gt;18000000,BL11&lt;=32000000),BL11*20%-1650000,IF(AND(BL11&gt;32000000,BL11&lt;=52000000),BL11*25%-3250000,IF(AND(BL11&gt;52000000,BL11&lt;80000000),BL11*30%-585000,IF(BL11&gt;80000000,BL11*35%-9850000))))))),0)</f>
        <v>0</v>
      </c>
      <c r="BN11" s="232">
        <v>35000</v>
      </c>
      <c r="BO11" s="358">
        <f t="shared" ref="BO11" si="76">AV11-BF11-BM11-BN11</f>
        <v>6825060.096153846</v>
      </c>
      <c r="BP11" s="257"/>
      <c r="BQ11" s="355"/>
      <c r="BR11" s="359"/>
    </row>
    <row r="12" spans="1:833 1051:1857 2075:2881 3099:3905 4123:4929 5147:5953 6171:6977 7195:8001 8219:9025 9243:10049 10267:11073 11291:12097 12315:13121 13339:14145 14363:15169 15387:16193" s="16" customFormat="1" ht="30.75" customHeight="1">
      <c r="A12" s="353">
        <v>4</v>
      </c>
      <c r="B12" s="360" t="s">
        <v>334</v>
      </c>
      <c r="C12" s="349" t="s">
        <v>88</v>
      </c>
      <c r="D12" s="350">
        <v>208</v>
      </c>
      <c r="E12" s="350">
        <v>72</v>
      </c>
      <c r="F12" s="28"/>
      <c r="G12" s="28"/>
      <c r="H12" s="351"/>
      <c r="I12" s="28"/>
      <c r="J12" s="28"/>
      <c r="K12" s="28"/>
      <c r="L12" s="28"/>
      <c r="M12" s="28"/>
      <c r="N12" s="28"/>
      <c r="O12" s="28"/>
      <c r="P12" s="28"/>
      <c r="Q12" s="234">
        <v>4267000</v>
      </c>
      <c r="R12" s="234">
        <v>947000</v>
      </c>
      <c r="S12" s="234"/>
      <c r="T12" s="234">
        <v>600000</v>
      </c>
      <c r="U12" s="234">
        <v>700000</v>
      </c>
      <c r="V12" s="358"/>
      <c r="W12" s="234"/>
      <c r="X12" s="234"/>
      <c r="Y12" s="234"/>
      <c r="Z12" s="234"/>
      <c r="AA12" s="234"/>
      <c r="AB12" s="234"/>
      <c r="AC12" s="234"/>
      <c r="AD12" s="234">
        <f t="shared" si="3"/>
        <v>0</v>
      </c>
      <c r="AE12" s="234">
        <v>0</v>
      </c>
      <c r="AF12" s="234"/>
      <c r="AG12" s="234"/>
      <c r="AH12" s="234">
        <f t="shared" si="4"/>
        <v>0</v>
      </c>
      <c r="AI12" s="234">
        <f t="shared" si="5"/>
        <v>5814000</v>
      </c>
      <c r="AJ12" s="234">
        <f>AI12/208</f>
        <v>27951.923076923078</v>
      </c>
      <c r="AK12" s="234">
        <f t="shared" si="7"/>
        <v>2012538.4615384615</v>
      </c>
      <c r="AL12" s="234">
        <f t="shared" si="8"/>
        <v>0</v>
      </c>
      <c r="AM12" s="234">
        <f t="shared" si="9"/>
        <v>0</v>
      </c>
      <c r="AN12" s="234">
        <f t="shared" si="10"/>
        <v>0</v>
      </c>
      <c r="AO12" s="234">
        <f t="shared" si="11"/>
        <v>0</v>
      </c>
      <c r="AP12" s="234">
        <f t="shared" si="12"/>
        <v>0</v>
      </c>
      <c r="AQ12" s="234">
        <f t="shared" si="13"/>
        <v>0</v>
      </c>
      <c r="AR12" s="234">
        <f t="shared" si="14"/>
        <v>0</v>
      </c>
      <c r="AS12" s="234">
        <f t="shared" si="15"/>
        <v>0</v>
      </c>
      <c r="AT12" s="234">
        <f t="shared" si="16"/>
        <v>0</v>
      </c>
      <c r="AU12" s="234">
        <f>SUM(AL12:AT12)</f>
        <v>0</v>
      </c>
      <c r="AV12" s="234">
        <f t="shared" si="32"/>
        <v>2012538.4615384615</v>
      </c>
      <c r="AW12" s="234"/>
      <c r="AX12" s="234">
        <f t="shared" si="19"/>
        <v>0</v>
      </c>
      <c r="AY12" s="234">
        <f t="shared" si="20"/>
        <v>0</v>
      </c>
      <c r="AZ12" s="234">
        <f t="shared" si="21"/>
        <v>0</v>
      </c>
      <c r="BA12" s="234">
        <f t="shared" si="35"/>
        <v>0</v>
      </c>
      <c r="BB12" s="234">
        <f t="shared" si="36"/>
        <v>0</v>
      </c>
      <c r="BC12" s="234">
        <f t="shared" si="22"/>
        <v>0</v>
      </c>
      <c r="BD12" s="234">
        <f t="shared" si="23"/>
        <v>0</v>
      </c>
      <c r="BE12" s="234">
        <f t="shared" si="24"/>
        <v>0</v>
      </c>
      <c r="BF12" s="234">
        <f t="shared" si="37"/>
        <v>0</v>
      </c>
      <c r="BG12" s="234">
        <v>11000000</v>
      </c>
      <c r="BH12" s="234"/>
      <c r="BI12" s="234">
        <f t="shared" si="38"/>
        <v>0</v>
      </c>
      <c r="BJ12" s="234">
        <f t="shared" si="25"/>
        <v>0</v>
      </c>
      <c r="BK12" s="234">
        <f t="shared" si="26"/>
        <v>2012538.4615384615</v>
      </c>
      <c r="BL12" s="234">
        <f t="shared" si="27"/>
        <v>0</v>
      </c>
      <c r="BM12" s="234">
        <f t="shared" si="28"/>
        <v>0</v>
      </c>
      <c r="BN12" s="232"/>
      <c r="BO12" s="234">
        <f t="shared" si="41"/>
        <v>2012538.4615384615</v>
      </c>
      <c r="BP12" s="381"/>
      <c r="BQ12" s="350">
        <f>BO12+BO13</f>
        <v>7462876.153846154</v>
      </c>
      <c r="BR12" s="352"/>
    </row>
    <row r="13" spans="1:833 1051:1857 2075:2881 3099:3905 4123:4929 5147:5953 6171:6977 7195:8001 8219:9025 9243:10049 10267:11073 11291:12097 12315:13121 13339:14145 14363:15169 15387:16193" s="16" customFormat="1" ht="30.75" customHeight="1">
      <c r="A13" s="380">
        <v>5</v>
      </c>
      <c r="B13" s="360" t="s">
        <v>335</v>
      </c>
      <c r="C13" s="349" t="s">
        <v>88</v>
      </c>
      <c r="D13" s="350">
        <v>208</v>
      </c>
      <c r="E13" s="350">
        <v>120</v>
      </c>
      <c r="F13" s="28"/>
      <c r="G13" s="28"/>
      <c r="H13" s="351"/>
      <c r="I13" s="28"/>
      <c r="J13" s="28"/>
      <c r="K13" s="28"/>
      <c r="L13" s="28"/>
      <c r="M13" s="28"/>
      <c r="N13" s="28"/>
      <c r="O13" s="28"/>
      <c r="P13" s="28"/>
      <c r="Q13" s="234">
        <v>4267000</v>
      </c>
      <c r="R13" s="234">
        <v>947000</v>
      </c>
      <c r="S13" s="234"/>
      <c r="T13" s="234">
        <v>900000</v>
      </c>
      <c r="U13" s="234">
        <v>700000</v>
      </c>
      <c r="V13" s="358">
        <v>700000</v>
      </c>
      <c r="W13" s="234">
        <v>700000</v>
      </c>
      <c r="X13" s="234">
        <v>700000</v>
      </c>
      <c r="Y13" s="234">
        <v>700000</v>
      </c>
      <c r="Z13" s="234">
        <v>700000</v>
      </c>
      <c r="AA13" s="234">
        <v>0</v>
      </c>
      <c r="AB13" s="234"/>
      <c r="AC13" s="234">
        <v>500000</v>
      </c>
      <c r="AD13" s="234">
        <f t="shared" ref="AD13" si="77">G13*13000</f>
        <v>0</v>
      </c>
      <c r="AE13" s="234">
        <v>0</v>
      </c>
      <c r="AF13" s="234"/>
      <c r="AG13" s="234"/>
      <c r="AH13" s="234">
        <f t="shared" ref="AH13" si="78">V13+Z13+X13+AA13+AB13+AC13+AD13+AE13</f>
        <v>2600000</v>
      </c>
      <c r="AI13" s="234">
        <f t="shared" ref="AI13" si="79">Q13+R13+T13</f>
        <v>6114000</v>
      </c>
      <c r="AJ13" s="234">
        <f>AI13/208</f>
        <v>29394.23076923077</v>
      </c>
      <c r="AK13" s="234">
        <f t="shared" ref="AK13" si="80">AJ13*(E13+F13*130%)</f>
        <v>3527307.6923076925</v>
      </c>
      <c r="AL13" s="234">
        <f t="shared" ref="AL13" si="81">AJ13*H13*150%</f>
        <v>0</v>
      </c>
      <c r="AM13" s="234">
        <f t="shared" ref="AM13" si="82">AJ13*I13*150%*130%</f>
        <v>0</v>
      </c>
      <c r="AN13" s="234">
        <f t="shared" ref="AN13" si="83">+AJ13*J13*200%</f>
        <v>0</v>
      </c>
      <c r="AO13" s="234">
        <f t="shared" ref="AO13" si="84">AJ13*K13*200%*130%</f>
        <v>0</v>
      </c>
      <c r="AP13" s="234">
        <f t="shared" ref="AP13" si="85">AJ13*L13*200%*150%</f>
        <v>0</v>
      </c>
      <c r="AQ13" s="234">
        <f t="shared" ref="AQ13" si="86">AJ13*M13*200%*150%*130%</f>
        <v>0</v>
      </c>
      <c r="AR13" s="234">
        <f t="shared" ref="AR13" si="87">N13*AJ13*300%</f>
        <v>0</v>
      </c>
      <c r="AS13" s="234">
        <f t="shared" ref="AS13" si="88">AJ13*O13*300%</f>
        <v>0</v>
      </c>
      <c r="AT13" s="234">
        <f t="shared" ref="AT13" si="89">P13*AJ13*150%*300%</f>
        <v>0</v>
      </c>
      <c r="AU13" s="234">
        <f>SUM(AL13:AT13)</f>
        <v>0</v>
      </c>
      <c r="AV13" s="234">
        <f t="shared" ref="AV13" si="90">AH13+AK13+AU13+AG13+AF13</f>
        <v>6127307.692307692</v>
      </c>
      <c r="AW13" s="234">
        <f t="shared" ref="AW13" si="91">Q13+R13+T13</f>
        <v>6114000</v>
      </c>
      <c r="AX13" s="234">
        <f t="shared" ref="AX13" si="92">AW13*17.5%</f>
        <v>1069950</v>
      </c>
      <c r="AY13" s="234">
        <f t="shared" ref="AY13" si="93">AW13*3%</f>
        <v>183420</v>
      </c>
      <c r="AZ13" s="234">
        <f t="shared" ref="AZ13" si="94">AW13*1%</f>
        <v>61140</v>
      </c>
      <c r="BA13" s="234">
        <f t="shared" ref="BA13" si="95">AW13*2%</f>
        <v>122280</v>
      </c>
      <c r="BB13" s="234">
        <f t="shared" ref="BB13" si="96">AX13+AY13+AZ13+BA13</f>
        <v>1436790</v>
      </c>
      <c r="BC13" s="234">
        <f t="shared" ref="BC13" si="97">AW13*8%</f>
        <v>489120</v>
      </c>
      <c r="BD13" s="234">
        <f t="shared" ref="BD13" si="98">AW13*1.5%</f>
        <v>91710</v>
      </c>
      <c r="BE13" s="234">
        <f t="shared" ref="BE13" si="99">AW13*1%</f>
        <v>61140</v>
      </c>
      <c r="BF13" s="234">
        <f t="shared" ref="BF13" si="100">BC13+BD13+BE13</f>
        <v>641970</v>
      </c>
      <c r="BG13" s="234">
        <v>11000000</v>
      </c>
      <c r="BH13" s="234"/>
      <c r="BI13" s="234">
        <f t="shared" ref="BI13" si="101">BH13*4400000</f>
        <v>0</v>
      </c>
      <c r="BJ13" s="234">
        <f t="shared" ref="BJ13" si="102">V13+AA13</f>
        <v>700000</v>
      </c>
      <c r="BK13" s="234">
        <f t="shared" ref="BK13" si="103">AV13-BJ13-AJ13*H13*0.5-AJ13*I13*0.95-AJ13*J13-AJ13*K13*1.6-AJ13*L13*2-AJ13*M13*2.9-AJ13*N13*2-AJ13*O13*2.9-AJ13*P13*3.5</f>
        <v>5427307.692307692</v>
      </c>
      <c r="BL13" s="234">
        <f t="shared" ref="BL13" si="104">IF(BK13-BG13-BF13-BI13&lt;0,0,BK13-BG13-BI13-BF13)</f>
        <v>0</v>
      </c>
      <c r="BM13" s="234">
        <f t="shared" ref="BM13" si="105">ROUND(IF(BL13&lt;=5000000,BL13*5%,IF(AND(BL13&gt;5000000,BL13&lt;=10000000),BL13*10%-250000,IF(AND(BL13&gt;10000000,BL13&lt;=18000000),BL13*15%-750000,IF(AND(BL13&gt;18000000,BL13&lt;=32000000),BL13*20%-1650000,IF(AND(BL13&gt;32000000,BL13&lt;=52000000),BL13*25%-3250000,IF(AND(BL13&gt;52000000,BL13&lt;80000000),BL13*30%-585000,IF(BL13&gt;80000000,BL13*35%-9850000))))))),0)</f>
        <v>0</v>
      </c>
      <c r="BN13" s="232">
        <v>35000</v>
      </c>
      <c r="BO13" s="234">
        <f t="shared" ref="BO13" si="106">AV13-BF13-BM13-BN13</f>
        <v>5450337.692307692</v>
      </c>
      <c r="BP13" s="381"/>
      <c r="BQ13" s="350"/>
      <c r="BR13" s="352"/>
    </row>
    <row r="14" spans="1:833 1051:1857 2075:2881 3099:3905 4123:4929 5147:5953 6171:6977 7195:8001 8219:9025 9243:10049 10267:11073 11291:12097 12315:13121 13339:14145 14363:15169 15387:16193" s="16" customFormat="1" ht="27" customHeight="1">
      <c r="A14" s="353">
        <v>6</v>
      </c>
      <c r="B14" s="348" t="s">
        <v>242</v>
      </c>
      <c r="C14" s="349" t="s">
        <v>89</v>
      </c>
      <c r="D14" s="350">
        <v>208</v>
      </c>
      <c r="E14" s="350">
        <v>184</v>
      </c>
      <c r="F14" s="28"/>
      <c r="G14" s="28"/>
      <c r="H14" s="351">
        <v>2</v>
      </c>
      <c r="I14" s="28"/>
      <c r="J14" s="28"/>
      <c r="K14" s="28"/>
      <c r="L14" s="28"/>
      <c r="M14" s="28"/>
      <c r="N14" s="28"/>
      <c r="O14" s="28"/>
      <c r="P14" s="28"/>
      <c r="Q14" s="234">
        <v>4064000</v>
      </c>
      <c r="R14" s="234">
        <v>0</v>
      </c>
      <c r="S14" s="234"/>
      <c r="T14" s="234">
        <v>600000</v>
      </c>
      <c r="U14" s="234">
        <v>300000</v>
      </c>
      <c r="V14" s="358">
        <f t="shared" si="0"/>
        <v>300000</v>
      </c>
      <c r="W14" s="234">
        <v>300000</v>
      </c>
      <c r="X14" s="234">
        <f t="shared" si="1"/>
        <v>300000</v>
      </c>
      <c r="Y14" s="234">
        <v>0</v>
      </c>
      <c r="Z14" s="234">
        <f t="shared" si="2"/>
        <v>0</v>
      </c>
      <c r="AA14" s="234">
        <v>0</v>
      </c>
      <c r="AB14" s="234"/>
      <c r="AC14" s="234">
        <f t="shared" ref="AC14:AC21" si="107">IF(E14&gt;=184,500000,0)</f>
        <v>500000</v>
      </c>
      <c r="AD14" s="234">
        <f t="shared" si="3"/>
        <v>0</v>
      </c>
      <c r="AE14" s="234">
        <v>0</v>
      </c>
      <c r="AF14" s="234"/>
      <c r="AG14" s="234"/>
      <c r="AH14" s="234">
        <f t="shared" si="4"/>
        <v>1100000</v>
      </c>
      <c r="AI14" s="234">
        <f t="shared" si="5"/>
        <v>4664000</v>
      </c>
      <c r="AJ14" s="234">
        <f>AI14/208</f>
        <v>22423.076923076922</v>
      </c>
      <c r="AK14" s="234">
        <f t="shared" si="7"/>
        <v>4125846.1538461535</v>
      </c>
      <c r="AL14" s="234">
        <f t="shared" si="8"/>
        <v>67269.230769230766</v>
      </c>
      <c r="AM14" s="234">
        <f t="shared" si="9"/>
        <v>0</v>
      </c>
      <c r="AN14" s="234">
        <f t="shared" si="10"/>
        <v>0</v>
      </c>
      <c r="AO14" s="234">
        <f t="shared" si="11"/>
        <v>0</v>
      </c>
      <c r="AP14" s="234">
        <f t="shared" si="12"/>
        <v>0</v>
      </c>
      <c r="AQ14" s="234">
        <f t="shared" si="13"/>
        <v>0</v>
      </c>
      <c r="AR14" s="234">
        <f t="shared" si="14"/>
        <v>0</v>
      </c>
      <c r="AS14" s="234">
        <f t="shared" si="15"/>
        <v>0</v>
      </c>
      <c r="AT14" s="234">
        <f t="shared" si="16"/>
        <v>0</v>
      </c>
      <c r="AU14" s="234">
        <f>SUM(AL14:AT14)</f>
        <v>67269.230769230766</v>
      </c>
      <c r="AV14" s="234">
        <f t="shared" si="32"/>
        <v>5293115.384615385</v>
      </c>
      <c r="AW14" s="234">
        <f t="shared" si="18"/>
        <v>4664000</v>
      </c>
      <c r="AX14" s="234">
        <f t="shared" si="19"/>
        <v>816200</v>
      </c>
      <c r="AY14" s="234">
        <f t="shared" si="20"/>
        <v>139920</v>
      </c>
      <c r="AZ14" s="234">
        <f t="shared" si="21"/>
        <v>46640</v>
      </c>
      <c r="BA14" s="234">
        <f t="shared" si="35"/>
        <v>93280</v>
      </c>
      <c r="BB14" s="234">
        <f t="shared" si="36"/>
        <v>1096040</v>
      </c>
      <c r="BC14" s="234">
        <f t="shared" si="22"/>
        <v>373120</v>
      </c>
      <c r="BD14" s="234">
        <f t="shared" si="23"/>
        <v>69960</v>
      </c>
      <c r="BE14" s="234">
        <f t="shared" si="24"/>
        <v>46640</v>
      </c>
      <c r="BF14" s="234">
        <f t="shared" si="37"/>
        <v>489720</v>
      </c>
      <c r="BG14" s="234">
        <v>11000000</v>
      </c>
      <c r="BH14" s="234"/>
      <c r="BI14" s="234">
        <f t="shared" si="38"/>
        <v>0</v>
      </c>
      <c r="BJ14" s="234">
        <f t="shared" si="25"/>
        <v>300000</v>
      </c>
      <c r="BK14" s="234">
        <f t="shared" si="26"/>
        <v>4970692.307692308</v>
      </c>
      <c r="BL14" s="234">
        <f t="shared" si="27"/>
        <v>0</v>
      </c>
      <c r="BM14" s="234">
        <f t="shared" si="28"/>
        <v>0</v>
      </c>
      <c r="BN14" s="232">
        <v>35000</v>
      </c>
      <c r="BO14" s="234">
        <f t="shared" si="41"/>
        <v>4768395.384615385</v>
      </c>
      <c r="BP14" s="381">
        <v>108878727028</v>
      </c>
      <c r="BQ14" s="350">
        <f>SUM(BO9:BO14)+'Payroll of factory (SOI) '!BQ10</f>
        <v>39985495.841346152</v>
      </c>
      <c r="BR14" s="352"/>
    </row>
    <row r="15" spans="1:833 1051:1857 2075:2881 3099:3905 4123:4929 5147:5953 6171:6977 7195:8001 8219:9025 9243:10049 10267:11073 11291:12097 12315:13121 13339:14145 14363:15169 15387:16193" s="16" customFormat="1" ht="27" customHeight="1">
      <c r="A15" s="380">
        <v>7</v>
      </c>
      <c r="B15" s="360" t="s">
        <v>258</v>
      </c>
      <c r="C15" s="349" t="s">
        <v>87</v>
      </c>
      <c r="D15" s="363">
        <v>208</v>
      </c>
      <c r="E15" s="350">
        <v>192</v>
      </c>
      <c r="F15" s="364"/>
      <c r="G15" s="364"/>
      <c r="H15" s="351">
        <v>5</v>
      </c>
      <c r="I15" s="364"/>
      <c r="J15" s="364"/>
      <c r="K15" s="364"/>
      <c r="L15" s="364"/>
      <c r="M15" s="364"/>
      <c r="N15" s="364"/>
      <c r="O15" s="364"/>
      <c r="P15" s="364"/>
      <c r="Q15" s="234">
        <v>5450000</v>
      </c>
      <c r="R15" s="234">
        <v>1300000</v>
      </c>
      <c r="S15" s="365"/>
      <c r="T15" s="234">
        <v>600000</v>
      </c>
      <c r="U15" s="365">
        <v>1400000</v>
      </c>
      <c r="V15" s="358">
        <f t="shared" si="0"/>
        <v>1400000</v>
      </c>
      <c r="W15" s="365">
        <v>1400000</v>
      </c>
      <c r="X15" s="234">
        <f t="shared" si="1"/>
        <v>1400000</v>
      </c>
      <c r="Y15" s="365">
        <v>1400000</v>
      </c>
      <c r="Z15" s="234">
        <f t="shared" si="2"/>
        <v>1400000</v>
      </c>
      <c r="AA15" s="365">
        <v>0</v>
      </c>
      <c r="AB15" s="234"/>
      <c r="AC15" s="234">
        <f t="shared" si="107"/>
        <v>500000</v>
      </c>
      <c r="AD15" s="234">
        <f t="shared" ref="AD15" si="108">G15*13000</f>
        <v>0</v>
      </c>
      <c r="AE15" s="234">
        <v>0</v>
      </c>
      <c r="AF15" s="365"/>
      <c r="AG15" s="365"/>
      <c r="AH15" s="234">
        <f t="shared" si="4"/>
        <v>4700000</v>
      </c>
      <c r="AI15" s="234">
        <f t="shared" si="5"/>
        <v>7350000</v>
      </c>
      <c r="AJ15" s="234">
        <f>AI15/208</f>
        <v>35336.538461538461</v>
      </c>
      <c r="AK15" s="234">
        <f t="shared" si="7"/>
        <v>6784615.384615384</v>
      </c>
      <c r="AL15" s="234">
        <f t="shared" si="8"/>
        <v>265024.0384615385</v>
      </c>
      <c r="AM15" s="365">
        <f t="shared" si="9"/>
        <v>0</v>
      </c>
      <c r="AN15" s="234">
        <f t="shared" si="10"/>
        <v>0</v>
      </c>
      <c r="AO15" s="365">
        <f t="shared" si="11"/>
        <v>0</v>
      </c>
      <c r="AP15" s="365">
        <f t="shared" si="12"/>
        <v>0</v>
      </c>
      <c r="AQ15" s="365">
        <f t="shared" si="13"/>
        <v>0</v>
      </c>
      <c r="AR15" s="365">
        <f t="shared" si="14"/>
        <v>0</v>
      </c>
      <c r="AS15" s="365">
        <f t="shared" si="15"/>
        <v>0</v>
      </c>
      <c r="AT15" s="365">
        <f t="shared" si="16"/>
        <v>0</v>
      </c>
      <c r="AU15" s="234">
        <f t="shared" ref="AU15" si="109">SUM(AL15:AT15)</f>
        <v>265024.0384615385</v>
      </c>
      <c r="AV15" s="234">
        <f t="shared" si="32"/>
        <v>11749639.423076922</v>
      </c>
      <c r="AW15" s="234">
        <f t="shared" si="18"/>
        <v>7350000</v>
      </c>
      <c r="AX15" s="365">
        <f t="shared" ref="AX15" si="110">AW15*17.5%</f>
        <v>1286250</v>
      </c>
      <c r="AY15" s="365">
        <f t="shared" ref="AY15" si="111">AW15*3%</f>
        <v>220500</v>
      </c>
      <c r="AZ15" s="365">
        <f t="shared" si="21"/>
        <v>73500</v>
      </c>
      <c r="BA15" s="365">
        <f t="shared" si="35"/>
        <v>147000</v>
      </c>
      <c r="BB15" s="234">
        <f t="shared" si="36"/>
        <v>1727250</v>
      </c>
      <c r="BC15" s="365">
        <f t="shared" si="22"/>
        <v>588000</v>
      </c>
      <c r="BD15" s="365">
        <f t="shared" si="23"/>
        <v>110250</v>
      </c>
      <c r="BE15" s="365">
        <f t="shared" si="24"/>
        <v>73500</v>
      </c>
      <c r="BF15" s="234">
        <f t="shared" si="37"/>
        <v>771750</v>
      </c>
      <c r="BG15" s="365">
        <v>11000000</v>
      </c>
      <c r="BH15" s="365">
        <v>1</v>
      </c>
      <c r="BI15" s="365">
        <f t="shared" si="38"/>
        <v>4400000</v>
      </c>
      <c r="BJ15" s="365">
        <f t="shared" si="25"/>
        <v>1400000</v>
      </c>
      <c r="BK15" s="365">
        <f t="shared" si="26"/>
        <v>10261298.076923076</v>
      </c>
      <c r="BL15" s="365">
        <f t="shared" ref="BL15" si="112">IF(BK15-BG15-BF15-BI15&lt;0,0,BK15-BG15-BI15-BF15)</f>
        <v>0</v>
      </c>
      <c r="BM15" s="234">
        <f t="shared" ref="BM15" si="113">ROUND(IF(BL15&lt;=5000000,BL15*5%,IF(AND(BL15&gt;5000000,BL15&lt;=10000000),BL15*10%-250000,IF(AND(BL15&gt;10000000,BL15&lt;=18000000),BL15*15%-750000,IF(AND(BL15&gt;18000000,BL15&lt;=32000000),BL15*20%-1650000,IF(AND(BL15&gt;32000000,BL15&lt;=52000000),BL15*25%-3250000,IF(AND(BL15&gt;52000000,BL15&lt;80000000),BL15*30%-585000,IF(BL15&gt;80000000,BL15*35%-9850000))))))),0)</f>
        <v>0</v>
      </c>
      <c r="BN15" s="232">
        <v>35000</v>
      </c>
      <c r="BO15" s="234">
        <f t="shared" si="41"/>
        <v>10942889.423076922</v>
      </c>
      <c r="BP15" s="367" t="s">
        <v>188</v>
      </c>
      <c r="BQ15" s="234"/>
      <c r="BR15" s="352"/>
      <c r="JW15" s="368"/>
      <c r="KB15" s="368"/>
      <c r="KC15" s="368"/>
      <c r="KD15" s="368"/>
      <c r="KE15" s="368"/>
      <c r="KF15" s="368"/>
      <c r="KG15" s="368"/>
      <c r="KI15" s="368"/>
      <c r="KJ15" s="368"/>
      <c r="KK15" s="368"/>
      <c r="KM15" s="368"/>
      <c r="KN15" s="368"/>
      <c r="KO15" s="368"/>
      <c r="KP15" s="368"/>
      <c r="KQ15" s="368"/>
      <c r="LA15" s="368"/>
      <c r="LB15" s="368"/>
      <c r="LC15" s="368"/>
      <c r="LD15" s="368"/>
      <c r="LH15" s="368"/>
      <c r="LI15" s="368"/>
      <c r="TS15" s="368"/>
      <c r="TX15" s="368"/>
      <c r="TY15" s="368"/>
      <c r="TZ15" s="368"/>
      <c r="UA15" s="368"/>
      <c r="UB15" s="368"/>
      <c r="UC15" s="368"/>
      <c r="UE15" s="368"/>
      <c r="UF15" s="368"/>
      <c r="UG15" s="368"/>
      <c r="UI15" s="368"/>
      <c r="UJ15" s="368"/>
      <c r="UK15" s="368"/>
      <c r="UL15" s="368"/>
      <c r="UM15" s="368"/>
      <c r="UW15" s="368"/>
      <c r="UX15" s="368"/>
      <c r="UY15" s="368"/>
      <c r="UZ15" s="368"/>
      <c r="VD15" s="368"/>
      <c r="VE15" s="368"/>
      <c r="ADO15" s="368"/>
      <c r="ADT15" s="368"/>
      <c r="ADU15" s="368"/>
      <c r="ADV15" s="368"/>
      <c r="ADW15" s="368"/>
      <c r="ADX15" s="368"/>
      <c r="ADY15" s="368"/>
      <c r="AEA15" s="368"/>
      <c r="AEB15" s="368"/>
      <c r="AEC15" s="368"/>
      <c r="AEE15" s="368"/>
      <c r="AEF15" s="368"/>
      <c r="AEG15" s="368"/>
      <c r="AEH15" s="368"/>
      <c r="AEI15" s="368"/>
      <c r="AES15" s="368"/>
      <c r="AET15" s="368"/>
      <c r="AEU15" s="368"/>
      <c r="AEV15" s="368"/>
      <c r="AEZ15" s="368"/>
      <c r="AFA15" s="368"/>
      <c r="ANK15" s="368"/>
      <c r="ANP15" s="368"/>
      <c r="ANQ15" s="368"/>
      <c r="ANR15" s="368"/>
      <c r="ANS15" s="368"/>
      <c r="ANT15" s="368"/>
      <c r="ANU15" s="368"/>
      <c r="ANW15" s="368"/>
      <c r="ANX15" s="368"/>
      <c r="ANY15" s="368"/>
      <c r="AOA15" s="368"/>
      <c r="AOB15" s="368"/>
      <c r="AOC15" s="368"/>
      <c r="AOD15" s="368"/>
      <c r="AOE15" s="368"/>
      <c r="AOO15" s="368"/>
      <c r="AOP15" s="368"/>
      <c r="AOQ15" s="368"/>
      <c r="AOR15" s="368"/>
      <c r="AOV15" s="368"/>
      <c r="AOW15" s="368"/>
      <c r="AXG15" s="368"/>
      <c r="AXL15" s="368"/>
      <c r="AXM15" s="368"/>
      <c r="AXN15" s="368"/>
      <c r="AXO15" s="368"/>
      <c r="AXP15" s="368"/>
      <c r="AXQ15" s="368"/>
      <c r="AXS15" s="368"/>
      <c r="AXT15" s="368"/>
      <c r="AXU15" s="368"/>
      <c r="AXW15" s="368"/>
      <c r="AXX15" s="368"/>
      <c r="AXY15" s="368"/>
      <c r="AXZ15" s="368"/>
      <c r="AYA15" s="368"/>
      <c r="AYK15" s="368"/>
      <c r="AYL15" s="368"/>
      <c r="AYM15" s="368"/>
      <c r="AYN15" s="368"/>
      <c r="AYR15" s="368"/>
      <c r="AYS15" s="368"/>
      <c r="BHC15" s="368"/>
      <c r="BHH15" s="368"/>
      <c r="BHI15" s="368"/>
      <c r="BHJ15" s="368"/>
      <c r="BHK15" s="368"/>
      <c r="BHL15" s="368"/>
      <c r="BHM15" s="368"/>
      <c r="BHO15" s="368"/>
      <c r="BHP15" s="368"/>
      <c r="BHQ15" s="368"/>
      <c r="BHS15" s="368"/>
      <c r="BHT15" s="368"/>
      <c r="BHU15" s="368"/>
      <c r="BHV15" s="368"/>
      <c r="BHW15" s="368"/>
      <c r="BIG15" s="368"/>
      <c r="BIH15" s="368"/>
      <c r="BII15" s="368"/>
      <c r="BIJ15" s="368"/>
      <c r="BIN15" s="368"/>
      <c r="BIO15" s="368"/>
      <c r="BQY15" s="368"/>
      <c r="BRD15" s="368"/>
      <c r="BRE15" s="368"/>
      <c r="BRF15" s="368"/>
      <c r="BRG15" s="368"/>
      <c r="BRH15" s="368"/>
      <c r="BRI15" s="368"/>
      <c r="BRK15" s="368"/>
      <c r="BRL15" s="368"/>
      <c r="BRM15" s="368"/>
      <c r="BRO15" s="368"/>
      <c r="BRP15" s="368"/>
      <c r="BRQ15" s="368"/>
      <c r="BRR15" s="368"/>
      <c r="BRS15" s="368"/>
      <c r="BSC15" s="368"/>
      <c r="BSD15" s="368"/>
      <c r="BSE15" s="368"/>
      <c r="BSF15" s="368"/>
      <c r="BSJ15" s="368"/>
      <c r="BSK15" s="368"/>
      <c r="CAU15" s="368"/>
      <c r="CAZ15" s="368"/>
      <c r="CBA15" s="368"/>
      <c r="CBB15" s="368"/>
      <c r="CBC15" s="368"/>
      <c r="CBD15" s="368"/>
      <c r="CBE15" s="368"/>
      <c r="CBG15" s="368"/>
      <c r="CBH15" s="368"/>
      <c r="CBI15" s="368"/>
      <c r="CBK15" s="368"/>
      <c r="CBL15" s="368"/>
      <c r="CBM15" s="368"/>
      <c r="CBN15" s="368"/>
      <c r="CBO15" s="368"/>
      <c r="CBY15" s="368"/>
      <c r="CBZ15" s="368"/>
      <c r="CCA15" s="368"/>
      <c r="CCB15" s="368"/>
      <c r="CCF15" s="368"/>
      <c r="CCG15" s="368"/>
      <c r="CKQ15" s="368"/>
      <c r="CKV15" s="368"/>
      <c r="CKW15" s="368"/>
      <c r="CKX15" s="368"/>
      <c r="CKY15" s="368"/>
      <c r="CKZ15" s="368"/>
      <c r="CLA15" s="368"/>
      <c r="CLC15" s="368"/>
      <c r="CLD15" s="368"/>
      <c r="CLE15" s="368"/>
      <c r="CLG15" s="368"/>
      <c r="CLH15" s="368"/>
      <c r="CLI15" s="368"/>
      <c r="CLJ15" s="368"/>
      <c r="CLK15" s="368"/>
      <c r="CLU15" s="368"/>
      <c r="CLV15" s="368"/>
      <c r="CLW15" s="368"/>
      <c r="CLX15" s="368"/>
      <c r="CMB15" s="368"/>
      <c r="CMC15" s="368"/>
      <c r="CUM15" s="368"/>
      <c r="CUR15" s="368"/>
      <c r="CUS15" s="368"/>
      <c r="CUT15" s="368"/>
      <c r="CUU15" s="368"/>
      <c r="CUV15" s="368"/>
      <c r="CUW15" s="368"/>
      <c r="CUY15" s="368"/>
      <c r="CUZ15" s="368"/>
      <c r="CVA15" s="368"/>
      <c r="CVC15" s="368"/>
      <c r="CVD15" s="368"/>
      <c r="CVE15" s="368"/>
      <c r="CVF15" s="368"/>
      <c r="CVG15" s="368"/>
      <c r="CVQ15" s="368"/>
      <c r="CVR15" s="368"/>
      <c r="CVS15" s="368"/>
      <c r="CVT15" s="368"/>
      <c r="CVX15" s="368"/>
      <c r="CVY15" s="368"/>
      <c r="DEI15" s="368"/>
      <c r="DEN15" s="368"/>
      <c r="DEO15" s="368"/>
      <c r="DEP15" s="368"/>
      <c r="DEQ15" s="368"/>
      <c r="DER15" s="368"/>
      <c r="DES15" s="368"/>
      <c r="DEU15" s="368"/>
      <c r="DEV15" s="368"/>
      <c r="DEW15" s="368"/>
      <c r="DEY15" s="368"/>
      <c r="DEZ15" s="368"/>
      <c r="DFA15" s="368"/>
      <c r="DFB15" s="368"/>
      <c r="DFC15" s="368"/>
      <c r="DFM15" s="368"/>
      <c r="DFN15" s="368"/>
      <c r="DFO15" s="368"/>
      <c r="DFP15" s="368"/>
      <c r="DFT15" s="368"/>
      <c r="DFU15" s="368"/>
      <c r="DOE15" s="368"/>
      <c r="DOJ15" s="368"/>
      <c r="DOK15" s="368"/>
      <c r="DOL15" s="368"/>
      <c r="DOM15" s="368"/>
      <c r="DON15" s="368"/>
      <c r="DOO15" s="368"/>
      <c r="DOQ15" s="368"/>
      <c r="DOR15" s="368"/>
      <c r="DOS15" s="368"/>
      <c r="DOU15" s="368"/>
      <c r="DOV15" s="368"/>
      <c r="DOW15" s="368"/>
      <c r="DOX15" s="368"/>
      <c r="DOY15" s="368"/>
      <c r="DPI15" s="368"/>
      <c r="DPJ15" s="368"/>
      <c r="DPK15" s="368"/>
      <c r="DPL15" s="368"/>
      <c r="DPP15" s="368"/>
      <c r="DPQ15" s="368"/>
      <c r="DYA15" s="368"/>
      <c r="DYF15" s="368"/>
      <c r="DYG15" s="368"/>
      <c r="DYH15" s="368"/>
      <c r="DYI15" s="368"/>
      <c r="DYJ15" s="368"/>
      <c r="DYK15" s="368"/>
      <c r="DYM15" s="368"/>
      <c r="DYN15" s="368"/>
      <c r="DYO15" s="368"/>
      <c r="DYQ15" s="368"/>
      <c r="DYR15" s="368"/>
      <c r="DYS15" s="368"/>
      <c r="DYT15" s="368"/>
      <c r="DYU15" s="368"/>
      <c r="DZE15" s="368"/>
      <c r="DZF15" s="368"/>
      <c r="DZG15" s="368"/>
      <c r="DZH15" s="368"/>
      <c r="DZL15" s="368"/>
      <c r="DZM15" s="368"/>
      <c r="EHW15" s="368"/>
      <c r="EIB15" s="368"/>
      <c r="EIC15" s="368"/>
      <c r="EID15" s="368"/>
      <c r="EIE15" s="368"/>
      <c r="EIF15" s="368"/>
      <c r="EIG15" s="368"/>
      <c r="EII15" s="368"/>
      <c r="EIJ15" s="368"/>
      <c r="EIK15" s="368"/>
      <c r="EIM15" s="368"/>
      <c r="EIN15" s="368"/>
      <c r="EIO15" s="368"/>
      <c r="EIP15" s="368"/>
      <c r="EIQ15" s="368"/>
      <c r="EJA15" s="368"/>
      <c r="EJB15" s="368"/>
      <c r="EJC15" s="368"/>
      <c r="EJD15" s="368"/>
      <c r="EJH15" s="368"/>
      <c r="EJI15" s="368"/>
      <c r="ERS15" s="368"/>
      <c r="ERX15" s="368"/>
      <c r="ERY15" s="368"/>
      <c r="ERZ15" s="368"/>
      <c r="ESA15" s="368"/>
      <c r="ESB15" s="368"/>
      <c r="ESC15" s="368"/>
      <c r="ESE15" s="368"/>
      <c r="ESF15" s="368"/>
      <c r="ESG15" s="368"/>
      <c r="ESI15" s="368"/>
      <c r="ESJ15" s="368"/>
      <c r="ESK15" s="368"/>
      <c r="ESL15" s="368"/>
      <c r="ESM15" s="368"/>
      <c r="ESW15" s="368"/>
      <c r="ESX15" s="368"/>
      <c r="ESY15" s="368"/>
      <c r="ESZ15" s="368"/>
      <c r="ETD15" s="368"/>
      <c r="ETE15" s="368"/>
      <c r="FBO15" s="368"/>
      <c r="FBT15" s="368"/>
      <c r="FBU15" s="368"/>
      <c r="FBV15" s="368"/>
      <c r="FBW15" s="368"/>
      <c r="FBX15" s="368"/>
      <c r="FBY15" s="368"/>
      <c r="FCA15" s="368"/>
      <c r="FCB15" s="368"/>
      <c r="FCC15" s="368"/>
      <c r="FCE15" s="368"/>
      <c r="FCF15" s="368"/>
      <c r="FCG15" s="368"/>
      <c r="FCH15" s="368"/>
      <c r="FCI15" s="368"/>
      <c r="FCS15" s="368"/>
      <c r="FCT15" s="368"/>
      <c r="FCU15" s="368"/>
      <c r="FCV15" s="368"/>
      <c r="FCZ15" s="368"/>
      <c r="FDA15" s="368"/>
      <c r="FLK15" s="368"/>
      <c r="FLP15" s="368"/>
      <c r="FLQ15" s="368"/>
      <c r="FLR15" s="368"/>
      <c r="FLS15" s="368"/>
      <c r="FLT15" s="368"/>
      <c r="FLU15" s="368"/>
      <c r="FLW15" s="368"/>
      <c r="FLX15" s="368"/>
      <c r="FLY15" s="368"/>
      <c r="FMA15" s="368"/>
      <c r="FMB15" s="368"/>
      <c r="FMC15" s="368"/>
      <c r="FMD15" s="368"/>
      <c r="FME15" s="368"/>
      <c r="FMO15" s="368"/>
      <c r="FMP15" s="368"/>
      <c r="FMQ15" s="368"/>
      <c r="FMR15" s="368"/>
      <c r="FMV15" s="368"/>
      <c r="FMW15" s="368"/>
      <c r="FVG15" s="368"/>
      <c r="FVL15" s="368"/>
      <c r="FVM15" s="368"/>
      <c r="FVN15" s="368"/>
      <c r="FVO15" s="368"/>
      <c r="FVP15" s="368"/>
      <c r="FVQ15" s="368"/>
      <c r="FVS15" s="368"/>
      <c r="FVT15" s="368"/>
      <c r="FVU15" s="368"/>
      <c r="FVW15" s="368"/>
      <c r="FVX15" s="368"/>
      <c r="FVY15" s="368"/>
      <c r="FVZ15" s="368"/>
      <c r="FWA15" s="368"/>
      <c r="FWK15" s="368"/>
      <c r="FWL15" s="368"/>
      <c r="FWM15" s="368"/>
      <c r="FWN15" s="368"/>
      <c r="FWR15" s="368"/>
      <c r="FWS15" s="368"/>
      <c r="GFC15" s="368"/>
      <c r="GFH15" s="368"/>
      <c r="GFI15" s="368"/>
      <c r="GFJ15" s="368"/>
      <c r="GFK15" s="368"/>
      <c r="GFL15" s="368"/>
      <c r="GFM15" s="368"/>
      <c r="GFO15" s="368"/>
      <c r="GFP15" s="368"/>
      <c r="GFQ15" s="368"/>
      <c r="GFS15" s="368"/>
      <c r="GFT15" s="368"/>
      <c r="GFU15" s="368"/>
      <c r="GFV15" s="368"/>
      <c r="GFW15" s="368"/>
      <c r="GGG15" s="368"/>
      <c r="GGH15" s="368"/>
      <c r="GGI15" s="368"/>
      <c r="GGJ15" s="368"/>
      <c r="GGN15" s="368"/>
      <c r="GGO15" s="368"/>
      <c r="GOY15" s="368"/>
      <c r="GPD15" s="368"/>
      <c r="GPE15" s="368"/>
      <c r="GPF15" s="368"/>
      <c r="GPG15" s="368"/>
      <c r="GPH15" s="368"/>
      <c r="GPI15" s="368"/>
      <c r="GPK15" s="368"/>
      <c r="GPL15" s="368"/>
      <c r="GPM15" s="368"/>
      <c r="GPO15" s="368"/>
      <c r="GPP15" s="368"/>
      <c r="GPQ15" s="368"/>
      <c r="GPR15" s="368"/>
      <c r="GPS15" s="368"/>
      <c r="GQC15" s="368"/>
      <c r="GQD15" s="368"/>
      <c r="GQE15" s="368"/>
      <c r="GQF15" s="368"/>
      <c r="GQJ15" s="368"/>
      <c r="GQK15" s="368"/>
      <c r="GYU15" s="368"/>
      <c r="GYZ15" s="368"/>
      <c r="GZA15" s="368"/>
      <c r="GZB15" s="368"/>
      <c r="GZC15" s="368"/>
      <c r="GZD15" s="368"/>
      <c r="GZE15" s="368"/>
      <c r="GZG15" s="368"/>
      <c r="GZH15" s="368"/>
      <c r="GZI15" s="368"/>
      <c r="GZK15" s="368"/>
      <c r="GZL15" s="368"/>
      <c r="GZM15" s="368"/>
      <c r="GZN15" s="368"/>
      <c r="GZO15" s="368"/>
      <c r="GZY15" s="368"/>
      <c r="GZZ15" s="368"/>
      <c r="HAA15" s="368"/>
      <c r="HAB15" s="368"/>
      <c r="HAF15" s="368"/>
      <c r="HAG15" s="368"/>
      <c r="HIQ15" s="368"/>
      <c r="HIV15" s="368"/>
      <c r="HIW15" s="368"/>
      <c r="HIX15" s="368"/>
      <c r="HIY15" s="368"/>
      <c r="HIZ15" s="368"/>
      <c r="HJA15" s="368"/>
      <c r="HJC15" s="368"/>
      <c r="HJD15" s="368"/>
      <c r="HJE15" s="368"/>
      <c r="HJG15" s="368"/>
      <c r="HJH15" s="368"/>
      <c r="HJI15" s="368"/>
      <c r="HJJ15" s="368"/>
      <c r="HJK15" s="368"/>
      <c r="HJU15" s="368"/>
      <c r="HJV15" s="368"/>
      <c r="HJW15" s="368"/>
      <c r="HJX15" s="368"/>
      <c r="HKB15" s="368"/>
      <c r="HKC15" s="368"/>
      <c r="HSM15" s="368"/>
      <c r="HSR15" s="368"/>
      <c r="HSS15" s="368"/>
      <c r="HST15" s="368"/>
      <c r="HSU15" s="368"/>
      <c r="HSV15" s="368"/>
      <c r="HSW15" s="368"/>
      <c r="HSY15" s="368"/>
      <c r="HSZ15" s="368"/>
      <c r="HTA15" s="368"/>
      <c r="HTC15" s="368"/>
      <c r="HTD15" s="368"/>
      <c r="HTE15" s="368"/>
      <c r="HTF15" s="368"/>
      <c r="HTG15" s="368"/>
      <c r="HTQ15" s="368"/>
      <c r="HTR15" s="368"/>
      <c r="HTS15" s="368"/>
      <c r="HTT15" s="368"/>
      <c r="HTX15" s="368"/>
      <c r="HTY15" s="368"/>
      <c r="ICI15" s="368"/>
      <c r="ICN15" s="368"/>
      <c r="ICO15" s="368"/>
      <c r="ICP15" s="368"/>
      <c r="ICQ15" s="368"/>
      <c r="ICR15" s="368"/>
      <c r="ICS15" s="368"/>
      <c r="ICU15" s="368"/>
      <c r="ICV15" s="368"/>
      <c r="ICW15" s="368"/>
      <c r="ICY15" s="368"/>
      <c r="ICZ15" s="368"/>
      <c r="IDA15" s="368"/>
      <c r="IDB15" s="368"/>
      <c r="IDC15" s="368"/>
      <c r="IDM15" s="368"/>
      <c r="IDN15" s="368"/>
      <c r="IDO15" s="368"/>
      <c r="IDP15" s="368"/>
      <c r="IDT15" s="368"/>
      <c r="IDU15" s="368"/>
      <c r="IME15" s="368"/>
      <c r="IMJ15" s="368"/>
      <c r="IMK15" s="368"/>
      <c r="IML15" s="368"/>
      <c r="IMM15" s="368"/>
      <c r="IMN15" s="368"/>
      <c r="IMO15" s="368"/>
      <c r="IMQ15" s="368"/>
      <c r="IMR15" s="368"/>
      <c r="IMS15" s="368"/>
      <c r="IMU15" s="368"/>
      <c r="IMV15" s="368"/>
      <c r="IMW15" s="368"/>
      <c r="IMX15" s="368"/>
      <c r="IMY15" s="368"/>
      <c r="INI15" s="368"/>
      <c r="INJ15" s="368"/>
      <c r="INK15" s="368"/>
      <c r="INL15" s="368"/>
      <c r="INP15" s="368"/>
      <c r="INQ15" s="368"/>
      <c r="IWA15" s="368"/>
      <c r="IWF15" s="368"/>
      <c r="IWG15" s="368"/>
      <c r="IWH15" s="368"/>
      <c r="IWI15" s="368"/>
      <c r="IWJ15" s="368"/>
      <c r="IWK15" s="368"/>
      <c r="IWM15" s="368"/>
      <c r="IWN15" s="368"/>
      <c r="IWO15" s="368"/>
      <c r="IWQ15" s="368"/>
      <c r="IWR15" s="368"/>
      <c r="IWS15" s="368"/>
      <c r="IWT15" s="368"/>
      <c r="IWU15" s="368"/>
      <c r="IXE15" s="368"/>
      <c r="IXF15" s="368"/>
      <c r="IXG15" s="368"/>
      <c r="IXH15" s="368"/>
      <c r="IXL15" s="368"/>
      <c r="IXM15" s="368"/>
      <c r="JFW15" s="368"/>
      <c r="JGB15" s="368"/>
      <c r="JGC15" s="368"/>
      <c r="JGD15" s="368"/>
      <c r="JGE15" s="368"/>
      <c r="JGF15" s="368"/>
      <c r="JGG15" s="368"/>
      <c r="JGI15" s="368"/>
      <c r="JGJ15" s="368"/>
      <c r="JGK15" s="368"/>
      <c r="JGM15" s="368"/>
      <c r="JGN15" s="368"/>
      <c r="JGO15" s="368"/>
      <c r="JGP15" s="368"/>
      <c r="JGQ15" s="368"/>
      <c r="JHA15" s="368"/>
      <c r="JHB15" s="368"/>
      <c r="JHC15" s="368"/>
      <c r="JHD15" s="368"/>
      <c r="JHH15" s="368"/>
      <c r="JHI15" s="368"/>
      <c r="JPS15" s="368"/>
      <c r="JPX15" s="368"/>
      <c r="JPY15" s="368"/>
      <c r="JPZ15" s="368"/>
      <c r="JQA15" s="368"/>
      <c r="JQB15" s="368"/>
      <c r="JQC15" s="368"/>
      <c r="JQE15" s="368"/>
      <c r="JQF15" s="368"/>
      <c r="JQG15" s="368"/>
      <c r="JQI15" s="368"/>
      <c r="JQJ15" s="368"/>
      <c r="JQK15" s="368"/>
      <c r="JQL15" s="368"/>
      <c r="JQM15" s="368"/>
      <c r="JQW15" s="368"/>
      <c r="JQX15" s="368"/>
      <c r="JQY15" s="368"/>
      <c r="JQZ15" s="368"/>
      <c r="JRD15" s="368"/>
      <c r="JRE15" s="368"/>
      <c r="JZO15" s="368"/>
      <c r="JZT15" s="368"/>
      <c r="JZU15" s="368"/>
      <c r="JZV15" s="368"/>
      <c r="JZW15" s="368"/>
      <c r="JZX15" s="368"/>
      <c r="JZY15" s="368"/>
      <c r="KAA15" s="368"/>
      <c r="KAB15" s="368"/>
      <c r="KAC15" s="368"/>
      <c r="KAE15" s="368"/>
      <c r="KAF15" s="368"/>
      <c r="KAG15" s="368"/>
      <c r="KAH15" s="368"/>
      <c r="KAI15" s="368"/>
      <c r="KAS15" s="368"/>
      <c r="KAT15" s="368"/>
      <c r="KAU15" s="368"/>
      <c r="KAV15" s="368"/>
      <c r="KAZ15" s="368"/>
      <c r="KBA15" s="368"/>
      <c r="KJK15" s="368"/>
      <c r="KJP15" s="368"/>
      <c r="KJQ15" s="368"/>
      <c r="KJR15" s="368"/>
      <c r="KJS15" s="368"/>
      <c r="KJT15" s="368"/>
      <c r="KJU15" s="368"/>
      <c r="KJW15" s="368"/>
      <c r="KJX15" s="368"/>
      <c r="KJY15" s="368"/>
      <c r="KKA15" s="368"/>
      <c r="KKB15" s="368"/>
      <c r="KKC15" s="368"/>
      <c r="KKD15" s="368"/>
      <c r="KKE15" s="368"/>
      <c r="KKO15" s="368"/>
      <c r="KKP15" s="368"/>
      <c r="KKQ15" s="368"/>
      <c r="KKR15" s="368"/>
      <c r="KKV15" s="368"/>
      <c r="KKW15" s="368"/>
      <c r="KTG15" s="368"/>
      <c r="KTL15" s="368"/>
      <c r="KTM15" s="368"/>
      <c r="KTN15" s="368"/>
      <c r="KTO15" s="368"/>
      <c r="KTP15" s="368"/>
      <c r="KTQ15" s="368"/>
      <c r="KTS15" s="368"/>
      <c r="KTT15" s="368"/>
      <c r="KTU15" s="368"/>
      <c r="KTW15" s="368"/>
      <c r="KTX15" s="368"/>
      <c r="KTY15" s="368"/>
      <c r="KTZ15" s="368"/>
      <c r="KUA15" s="368"/>
      <c r="KUK15" s="368"/>
      <c r="KUL15" s="368"/>
      <c r="KUM15" s="368"/>
      <c r="KUN15" s="368"/>
      <c r="KUR15" s="368"/>
      <c r="KUS15" s="368"/>
      <c r="LDC15" s="368"/>
      <c r="LDH15" s="368"/>
      <c r="LDI15" s="368"/>
      <c r="LDJ15" s="368"/>
      <c r="LDK15" s="368"/>
      <c r="LDL15" s="368"/>
      <c r="LDM15" s="368"/>
      <c r="LDO15" s="368"/>
      <c r="LDP15" s="368"/>
      <c r="LDQ15" s="368"/>
      <c r="LDS15" s="368"/>
      <c r="LDT15" s="368"/>
      <c r="LDU15" s="368"/>
      <c r="LDV15" s="368"/>
      <c r="LDW15" s="368"/>
      <c r="LEG15" s="368"/>
      <c r="LEH15" s="368"/>
      <c r="LEI15" s="368"/>
      <c r="LEJ15" s="368"/>
      <c r="LEN15" s="368"/>
      <c r="LEO15" s="368"/>
      <c r="LMY15" s="368"/>
      <c r="LND15" s="368"/>
      <c r="LNE15" s="368"/>
      <c r="LNF15" s="368"/>
      <c r="LNG15" s="368"/>
      <c r="LNH15" s="368"/>
      <c r="LNI15" s="368"/>
      <c r="LNK15" s="368"/>
      <c r="LNL15" s="368"/>
      <c r="LNM15" s="368"/>
      <c r="LNO15" s="368"/>
      <c r="LNP15" s="368"/>
      <c r="LNQ15" s="368"/>
      <c r="LNR15" s="368"/>
      <c r="LNS15" s="368"/>
      <c r="LOC15" s="368"/>
      <c r="LOD15" s="368"/>
      <c r="LOE15" s="368"/>
      <c r="LOF15" s="368"/>
      <c r="LOJ15" s="368"/>
      <c r="LOK15" s="368"/>
      <c r="LWU15" s="368"/>
      <c r="LWZ15" s="368"/>
      <c r="LXA15" s="368"/>
      <c r="LXB15" s="368"/>
      <c r="LXC15" s="368"/>
      <c r="LXD15" s="368"/>
      <c r="LXE15" s="368"/>
      <c r="LXG15" s="368"/>
      <c r="LXH15" s="368"/>
      <c r="LXI15" s="368"/>
      <c r="LXK15" s="368"/>
      <c r="LXL15" s="368"/>
      <c r="LXM15" s="368"/>
      <c r="LXN15" s="368"/>
      <c r="LXO15" s="368"/>
      <c r="LXY15" s="368"/>
      <c r="LXZ15" s="368"/>
      <c r="LYA15" s="368"/>
      <c r="LYB15" s="368"/>
      <c r="LYF15" s="368"/>
      <c r="LYG15" s="368"/>
      <c r="MGQ15" s="368"/>
      <c r="MGV15" s="368"/>
      <c r="MGW15" s="368"/>
      <c r="MGX15" s="368"/>
      <c r="MGY15" s="368"/>
      <c r="MGZ15" s="368"/>
      <c r="MHA15" s="368"/>
      <c r="MHC15" s="368"/>
      <c r="MHD15" s="368"/>
      <c r="MHE15" s="368"/>
      <c r="MHG15" s="368"/>
      <c r="MHH15" s="368"/>
      <c r="MHI15" s="368"/>
      <c r="MHJ15" s="368"/>
      <c r="MHK15" s="368"/>
      <c r="MHU15" s="368"/>
      <c r="MHV15" s="368"/>
      <c r="MHW15" s="368"/>
      <c r="MHX15" s="368"/>
      <c r="MIB15" s="368"/>
      <c r="MIC15" s="368"/>
      <c r="MQM15" s="368"/>
      <c r="MQR15" s="368"/>
      <c r="MQS15" s="368"/>
      <c r="MQT15" s="368"/>
      <c r="MQU15" s="368"/>
      <c r="MQV15" s="368"/>
      <c r="MQW15" s="368"/>
      <c r="MQY15" s="368"/>
      <c r="MQZ15" s="368"/>
      <c r="MRA15" s="368"/>
      <c r="MRC15" s="368"/>
      <c r="MRD15" s="368"/>
      <c r="MRE15" s="368"/>
      <c r="MRF15" s="368"/>
      <c r="MRG15" s="368"/>
      <c r="MRQ15" s="368"/>
      <c r="MRR15" s="368"/>
      <c r="MRS15" s="368"/>
      <c r="MRT15" s="368"/>
      <c r="MRX15" s="368"/>
      <c r="MRY15" s="368"/>
      <c r="NAI15" s="368"/>
      <c r="NAN15" s="368"/>
      <c r="NAO15" s="368"/>
      <c r="NAP15" s="368"/>
      <c r="NAQ15" s="368"/>
      <c r="NAR15" s="368"/>
      <c r="NAS15" s="368"/>
      <c r="NAU15" s="368"/>
      <c r="NAV15" s="368"/>
      <c r="NAW15" s="368"/>
      <c r="NAY15" s="368"/>
      <c r="NAZ15" s="368"/>
      <c r="NBA15" s="368"/>
      <c r="NBB15" s="368"/>
      <c r="NBC15" s="368"/>
      <c r="NBM15" s="368"/>
      <c r="NBN15" s="368"/>
      <c r="NBO15" s="368"/>
      <c r="NBP15" s="368"/>
      <c r="NBT15" s="368"/>
      <c r="NBU15" s="368"/>
      <c r="NKE15" s="368"/>
      <c r="NKJ15" s="368"/>
      <c r="NKK15" s="368"/>
      <c r="NKL15" s="368"/>
      <c r="NKM15" s="368"/>
      <c r="NKN15" s="368"/>
      <c r="NKO15" s="368"/>
      <c r="NKQ15" s="368"/>
      <c r="NKR15" s="368"/>
      <c r="NKS15" s="368"/>
      <c r="NKU15" s="368"/>
      <c r="NKV15" s="368"/>
      <c r="NKW15" s="368"/>
      <c r="NKX15" s="368"/>
      <c r="NKY15" s="368"/>
      <c r="NLI15" s="368"/>
      <c r="NLJ15" s="368"/>
      <c r="NLK15" s="368"/>
      <c r="NLL15" s="368"/>
      <c r="NLP15" s="368"/>
      <c r="NLQ15" s="368"/>
      <c r="NUA15" s="368"/>
      <c r="NUF15" s="368"/>
      <c r="NUG15" s="368"/>
      <c r="NUH15" s="368"/>
      <c r="NUI15" s="368"/>
      <c r="NUJ15" s="368"/>
      <c r="NUK15" s="368"/>
      <c r="NUM15" s="368"/>
      <c r="NUN15" s="368"/>
      <c r="NUO15" s="368"/>
      <c r="NUQ15" s="368"/>
      <c r="NUR15" s="368"/>
      <c r="NUS15" s="368"/>
      <c r="NUT15" s="368"/>
      <c r="NUU15" s="368"/>
      <c r="NVE15" s="368"/>
      <c r="NVF15" s="368"/>
      <c r="NVG15" s="368"/>
      <c r="NVH15" s="368"/>
      <c r="NVL15" s="368"/>
      <c r="NVM15" s="368"/>
      <c r="ODW15" s="368"/>
      <c r="OEB15" s="368"/>
      <c r="OEC15" s="368"/>
      <c r="OED15" s="368"/>
      <c r="OEE15" s="368"/>
      <c r="OEF15" s="368"/>
      <c r="OEG15" s="368"/>
      <c r="OEI15" s="368"/>
      <c r="OEJ15" s="368"/>
      <c r="OEK15" s="368"/>
      <c r="OEM15" s="368"/>
      <c r="OEN15" s="368"/>
      <c r="OEO15" s="368"/>
      <c r="OEP15" s="368"/>
      <c r="OEQ15" s="368"/>
      <c r="OFA15" s="368"/>
      <c r="OFB15" s="368"/>
      <c r="OFC15" s="368"/>
      <c r="OFD15" s="368"/>
      <c r="OFH15" s="368"/>
      <c r="OFI15" s="368"/>
      <c r="ONS15" s="368"/>
      <c r="ONX15" s="368"/>
      <c r="ONY15" s="368"/>
      <c r="ONZ15" s="368"/>
      <c r="OOA15" s="368"/>
      <c r="OOB15" s="368"/>
      <c r="OOC15" s="368"/>
      <c r="OOE15" s="368"/>
      <c r="OOF15" s="368"/>
      <c r="OOG15" s="368"/>
      <c r="OOI15" s="368"/>
      <c r="OOJ15" s="368"/>
      <c r="OOK15" s="368"/>
      <c r="OOL15" s="368"/>
      <c r="OOM15" s="368"/>
      <c r="OOW15" s="368"/>
      <c r="OOX15" s="368"/>
      <c r="OOY15" s="368"/>
      <c r="OOZ15" s="368"/>
      <c r="OPD15" s="368"/>
      <c r="OPE15" s="368"/>
      <c r="OXO15" s="368"/>
      <c r="OXT15" s="368"/>
      <c r="OXU15" s="368"/>
      <c r="OXV15" s="368"/>
      <c r="OXW15" s="368"/>
      <c r="OXX15" s="368"/>
      <c r="OXY15" s="368"/>
      <c r="OYA15" s="368"/>
      <c r="OYB15" s="368"/>
      <c r="OYC15" s="368"/>
      <c r="OYE15" s="368"/>
      <c r="OYF15" s="368"/>
      <c r="OYG15" s="368"/>
      <c r="OYH15" s="368"/>
      <c r="OYI15" s="368"/>
      <c r="OYS15" s="368"/>
      <c r="OYT15" s="368"/>
      <c r="OYU15" s="368"/>
      <c r="OYV15" s="368"/>
      <c r="OYZ15" s="368"/>
      <c r="OZA15" s="368"/>
      <c r="PHK15" s="368"/>
      <c r="PHP15" s="368"/>
      <c r="PHQ15" s="368"/>
      <c r="PHR15" s="368"/>
      <c r="PHS15" s="368"/>
      <c r="PHT15" s="368"/>
      <c r="PHU15" s="368"/>
      <c r="PHW15" s="368"/>
      <c r="PHX15" s="368"/>
      <c r="PHY15" s="368"/>
      <c r="PIA15" s="368"/>
      <c r="PIB15" s="368"/>
      <c r="PIC15" s="368"/>
      <c r="PID15" s="368"/>
      <c r="PIE15" s="368"/>
      <c r="PIO15" s="368"/>
      <c r="PIP15" s="368"/>
      <c r="PIQ15" s="368"/>
      <c r="PIR15" s="368"/>
      <c r="PIV15" s="368"/>
      <c r="PIW15" s="368"/>
      <c r="PRG15" s="368"/>
      <c r="PRL15" s="368"/>
      <c r="PRM15" s="368"/>
      <c r="PRN15" s="368"/>
      <c r="PRO15" s="368"/>
      <c r="PRP15" s="368"/>
      <c r="PRQ15" s="368"/>
      <c r="PRS15" s="368"/>
      <c r="PRT15" s="368"/>
      <c r="PRU15" s="368"/>
      <c r="PRW15" s="368"/>
      <c r="PRX15" s="368"/>
      <c r="PRY15" s="368"/>
      <c r="PRZ15" s="368"/>
      <c r="PSA15" s="368"/>
      <c r="PSK15" s="368"/>
      <c r="PSL15" s="368"/>
      <c r="PSM15" s="368"/>
      <c r="PSN15" s="368"/>
      <c r="PSR15" s="368"/>
      <c r="PSS15" s="368"/>
      <c r="QBC15" s="368"/>
      <c r="QBH15" s="368"/>
      <c r="QBI15" s="368"/>
      <c r="QBJ15" s="368"/>
      <c r="QBK15" s="368"/>
      <c r="QBL15" s="368"/>
      <c r="QBM15" s="368"/>
      <c r="QBO15" s="368"/>
      <c r="QBP15" s="368"/>
      <c r="QBQ15" s="368"/>
      <c r="QBS15" s="368"/>
      <c r="QBT15" s="368"/>
      <c r="QBU15" s="368"/>
      <c r="QBV15" s="368"/>
      <c r="QBW15" s="368"/>
      <c r="QCG15" s="368"/>
      <c r="QCH15" s="368"/>
      <c r="QCI15" s="368"/>
      <c r="QCJ15" s="368"/>
      <c r="QCN15" s="368"/>
      <c r="QCO15" s="368"/>
      <c r="QKY15" s="368"/>
      <c r="QLD15" s="368"/>
      <c r="QLE15" s="368"/>
      <c r="QLF15" s="368"/>
      <c r="QLG15" s="368"/>
      <c r="QLH15" s="368"/>
      <c r="QLI15" s="368"/>
      <c r="QLK15" s="368"/>
      <c r="QLL15" s="368"/>
      <c r="QLM15" s="368"/>
      <c r="QLO15" s="368"/>
      <c r="QLP15" s="368"/>
      <c r="QLQ15" s="368"/>
      <c r="QLR15" s="368"/>
      <c r="QLS15" s="368"/>
      <c r="QMC15" s="368"/>
      <c r="QMD15" s="368"/>
      <c r="QME15" s="368"/>
      <c r="QMF15" s="368"/>
      <c r="QMJ15" s="368"/>
      <c r="QMK15" s="368"/>
      <c r="QUU15" s="368"/>
      <c r="QUZ15" s="368"/>
      <c r="QVA15" s="368"/>
      <c r="QVB15" s="368"/>
      <c r="QVC15" s="368"/>
      <c r="QVD15" s="368"/>
      <c r="QVE15" s="368"/>
      <c r="QVG15" s="368"/>
      <c r="QVH15" s="368"/>
      <c r="QVI15" s="368"/>
      <c r="QVK15" s="368"/>
      <c r="QVL15" s="368"/>
      <c r="QVM15" s="368"/>
      <c r="QVN15" s="368"/>
      <c r="QVO15" s="368"/>
      <c r="QVY15" s="368"/>
      <c r="QVZ15" s="368"/>
      <c r="QWA15" s="368"/>
      <c r="QWB15" s="368"/>
      <c r="QWF15" s="368"/>
      <c r="QWG15" s="368"/>
      <c r="REQ15" s="368"/>
      <c r="REV15" s="368"/>
      <c r="REW15" s="368"/>
      <c r="REX15" s="368"/>
      <c r="REY15" s="368"/>
      <c r="REZ15" s="368"/>
      <c r="RFA15" s="368"/>
      <c r="RFC15" s="368"/>
      <c r="RFD15" s="368"/>
      <c r="RFE15" s="368"/>
      <c r="RFG15" s="368"/>
      <c r="RFH15" s="368"/>
      <c r="RFI15" s="368"/>
      <c r="RFJ15" s="368"/>
      <c r="RFK15" s="368"/>
      <c r="RFU15" s="368"/>
      <c r="RFV15" s="368"/>
      <c r="RFW15" s="368"/>
      <c r="RFX15" s="368"/>
      <c r="RGB15" s="368"/>
      <c r="RGC15" s="368"/>
      <c r="ROM15" s="368"/>
      <c r="ROR15" s="368"/>
      <c r="ROS15" s="368"/>
      <c r="ROT15" s="368"/>
      <c r="ROU15" s="368"/>
      <c r="ROV15" s="368"/>
      <c r="ROW15" s="368"/>
      <c r="ROY15" s="368"/>
      <c r="ROZ15" s="368"/>
      <c r="RPA15" s="368"/>
      <c r="RPC15" s="368"/>
      <c r="RPD15" s="368"/>
      <c r="RPE15" s="368"/>
      <c r="RPF15" s="368"/>
      <c r="RPG15" s="368"/>
      <c r="RPQ15" s="368"/>
      <c r="RPR15" s="368"/>
      <c r="RPS15" s="368"/>
      <c r="RPT15" s="368"/>
      <c r="RPX15" s="368"/>
      <c r="RPY15" s="368"/>
      <c r="RYI15" s="368"/>
      <c r="RYN15" s="368"/>
      <c r="RYO15" s="368"/>
      <c r="RYP15" s="368"/>
      <c r="RYQ15" s="368"/>
      <c r="RYR15" s="368"/>
      <c r="RYS15" s="368"/>
      <c r="RYU15" s="368"/>
      <c r="RYV15" s="368"/>
      <c r="RYW15" s="368"/>
      <c r="RYY15" s="368"/>
      <c r="RYZ15" s="368"/>
      <c r="RZA15" s="368"/>
      <c r="RZB15" s="368"/>
      <c r="RZC15" s="368"/>
      <c r="RZM15" s="368"/>
      <c r="RZN15" s="368"/>
      <c r="RZO15" s="368"/>
      <c r="RZP15" s="368"/>
      <c r="RZT15" s="368"/>
      <c r="RZU15" s="368"/>
      <c r="SIE15" s="368"/>
      <c r="SIJ15" s="368"/>
      <c r="SIK15" s="368"/>
      <c r="SIL15" s="368"/>
      <c r="SIM15" s="368"/>
      <c r="SIN15" s="368"/>
      <c r="SIO15" s="368"/>
      <c r="SIQ15" s="368"/>
      <c r="SIR15" s="368"/>
      <c r="SIS15" s="368"/>
      <c r="SIU15" s="368"/>
      <c r="SIV15" s="368"/>
      <c r="SIW15" s="368"/>
      <c r="SIX15" s="368"/>
      <c r="SIY15" s="368"/>
      <c r="SJI15" s="368"/>
      <c r="SJJ15" s="368"/>
      <c r="SJK15" s="368"/>
      <c r="SJL15" s="368"/>
      <c r="SJP15" s="368"/>
      <c r="SJQ15" s="368"/>
      <c r="SSA15" s="368"/>
      <c r="SSF15" s="368"/>
      <c r="SSG15" s="368"/>
      <c r="SSH15" s="368"/>
      <c r="SSI15" s="368"/>
      <c r="SSJ15" s="368"/>
      <c r="SSK15" s="368"/>
      <c r="SSM15" s="368"/>
      <c r="SSN15" s="368"/>
      <c r="SSO15" s="368"/>
      <c r="SSQ15" s="368"/>
      <c r="SSR15" s="368"/>
      <c r="SSS15" s="368"/>
      <c r="SST15" s="368"/>
      <c r="SSU15" s="368"/>
      <c r="STE15" s="368"/>
      <c r="STF15" s="368"/>
      <c r="STG15" s="368"/>
      <c r="STH15" s="368"/>
      <c r="STL15" s="368"/>
      <c r="STM15" s="368"/>
      <c r="TBW15" s="368"/>
      <c r="TCB15" s="368"/>
      <c r="TCC15" s="368"/>
      <c r="TCD15" s="368"/>
      <c r="TCE15" s="368"/>
      <c r="TCF15" s="368"/>
      <c r="TCG15" s="368"/>
      <c r="TCI15" s="368"/>
      <c r="TCJ15" s="368"/>
      <c r="TCK15" s="368"/>
      <c r="TCM15" s="368"/>
      <c r="TCN15" s="368"/>
      <c r="TCO15" s="368"/>
      <c r="TCP15" s="368"/>
      <c r="TCQ15" s="368"/>
      <c r="TDA15" s="368"/>
      <c r="TDB15" s="368"/>
      <c r="TDC15" s="368"/>
      <c r="TDD15" s="368"/>
      <c r="TDH15" s="368"/>
      <c r="TDI15" s="368"/>
      <c r="TLS15" s="368"/>
      <c r="TLX15" s="368"/>
      <c r="TLY15" s="368"/>
      <c r="TLZ15" s="368"/>
      <c r="TMA15" s="368"/>
      <c r="TMB15" s="368"/>
      <c r="TMC15" s="368"/>
      <c r="TME15" s="368"/>
      <c r="TMF15" s="368"/>
      <c r="TMG15" s="368"/>
      <c r="TMI15" s="368"/>
      <c r="TMJ15" s="368"/>
      <c r="TMK15" s="368"/>
      <c r="TML15" s="368"/>
      <c r="TMM15" s="368"/>
      <c r="TMW15" s="368"/>
      <c r="TMX15" s="368"/>
      <c r="TMY15" s="368"/>
      <c r="TMZ15" s="368"/>
      <c r="TND15" s="368"/>
      <c r="TNE15" s="368"/>
      <c r="TVO15" s="368"/>
      <c r="TVT15" s="368"/>
      <c r="TVU15" s="368"/>
      <c r="TVV15" s="368"/>
      <c r="TVW15" s="368"/>
      <c r="TVX15" s="368"/>
      <c r="TVY15" s="368"/>
      <c r="TWA15" s="368"/>
      <c r="TWB15" s="368"/>
      <c r="TWC15" s="368"/>
      <c r="TWE15" s="368"/>
      <c r="TWF15" s="368"/>
      <c r="TWG15" s="368"/>
      <c r="TWH15" s="368"/>
      <c r="TWI15" s="368"/>
      <c r="TWS15" s="368"/>
      <c r="TWT15" s="368"/>
      <c r="TWU15" s="368"/>
      <c r="TWV15" s="368"/>
      <c r="TWZ15" s="368"/>
      <c r="TXA15" s="368"/>
      <c r="UFK15" s="368"/>
      <c r="UFP15" s="368"/>
      <c r="UFQ15" s="368"/>
      <c r="UFR15" s="368"/>
      <c r="UFS15" s="368"/>
      <c r="UFT15" s="368"/>
      <c r="UFU15" s="368"/>
      <c r="UFW15" s="368"/>
      <c r="UFX15" s="368"/>
      <c r="UFY15" s="368"/>
      <c r="UGA15" s="368"/>
      <c r="UGB15" s="368"/>
      <c r="UGC15" s="368"/>
      <c r="UGD15" s="368"/>
      <c r="UGE15" s="368"/>
      <c r="UGO15" s="368"/>
      <c r="UGP15" s="368"/>
      <c r="UGQ15" s="368"/>
      <c r="UGR15" s="368"/>
      <c r="UGV15" s="368"/>
      <c r="UGW15" s="368"/>
      <c r="UPG15" s="368"/>
      <c r="UPL15" s="368"/>
      <c r="UPM15" s="368"/>
      <c r="UPN15" s="368"/>
      <c r="UPO15" s="368"/>
      <c r="UPP15" s="368"/>
      <c r="UPQ15" s="368"/>
      <c r="UPS15" s="368"/>
      <c r="UPT15" s="368"/>
      <c r="UPU15" s="368"/>
      <c r="UPW15" s="368"/>
      <c r="UPX15" s="368"/>
      <c r="UPY15" s="368"/>
      <c r="UPZ15" s="368"/>
      <c r="UQA15" s="368"/>
      <c r="UQK15" s="368"/>
      <c r="UQL15" s="368"/>
      <c r="UQM15" s="368"/>
      <c r="UQN15" s="368"/>
      <c r="UQR15" s="368"/>
      <c r="UQS15" s="368"/>
      <c r="UZC15" s="368"/>
      <c r="UZH15" s="368"/>
      <c r="UZI15" s="368"/>
      <c r="UZJ15" s="368"/>
      <c r="UZK15" s="368"/>
      <c r="UZL15" s="368"/>
      <c r="UZM15" s="368"/>
      <c r="UZO15" s="368"/>
      <c r="UZP15" s="368"/>
      <c r="UZQ15" s="368"/>
      <c r="UZS15" s="368"/>
      <c r="UZT15" s="368"/>
      <c r="UZU15" s="368"/>
      <c r="UZV15" s="368"/>
      <c r="UZW15" s="368"/>
      <c r="VAG15" s="368"/>
      <c r="VAH15" s="368"/>
      <c r="VAI15" s="368"/>
      <c r="VAJ15" s="368"/>
      <c r="VAN15" s="368"/>
      <c r="VAO15" s="368"/>
      <c r="VIY15" s="368"/>
      <c r="VJD15" s="368"/>
      <c r="VJE15" s="368"/>
      <c r="VJF15" s="368"/>
      <c r="VJG15" s="368"/>
      <c r="VJH15" s="368"/>
      <c r="VJI15" s="368"/>
      <c r="VJK15" s="368"/>
      <c r="VJL15" s="368"/>
      <c r="VJM15" s="368"/>
      <c r="VJO15" s="368"/>
      <c r="VJP15" s="368"/>
      <c r="VJQ15" s="368"/>
      <c r="VJR15" s="368"/>
      <c r="VJS15" s="368"/>
      <c r="VKC15" s="368"/>
      <c r="VKD15" s="368"/>
      <c r="VKE15" s="368"/>
      <c r="VKF15" s="368"/>
      <c r="VKJ15" s="368"/>
      <c r="VKK15" s="368"/>
      <c r="VSU15" s="368"/>
      <c r="VSZ15" s="368"/>
      <c r="VTA15" s="368"/>
      <c r="VTB15" s="368"/>
      <c r="VTC15" s="368"/>
      <c r="VTD15" s="368"/>
      <c r="VTE15" s="368"/>
      <c r="VTG15" s="368"/>
      <c r="VTH15" s="368"/>
      <c r="VTI15" s="368"/>
      <c r="VTK15" s="368"/>
      <c r="VTL15" s="368"/>
      <c r="VTM15" s="368"/>
      <c r="VTN15" s="368"/>
      <c r="VTO15" s="368"/>
      <c r="VTY15" s="368"/>
      <c r="VTZ15" s="368"/>
      <c r="VUA15" s="368"/>
      <c r="VUB15" s="368"/>
      <c r="VUF15" s="368"/>
      <c r="VUG15" s="368"/>
      <c r="WCQ15" s="368"/>
      <c r="WCV15" s="368"/>
      <c r="WCW15" s="368"/>
      <c r="WCX15" s="368"/>
      <c r="WCY15" s="368"/>
      <c r="WCZ15" s="368"/>
      <c r="WDA15" s="368"/>
      <c r="WDC15" s="368"/>
      <c r="WDD15" s="368"/>
      <c r="WDE15" s="368"/>
      <c r="WDG15" s="368"/>
      <c r="WDH15" s="368"/>
      <c r="WDI15" s="368"/>
      <c r="WDJ15" s="368"/>
      <c r="WDK15" s="368"/>
      <c r="WDU15" s="368"/>
      <c r="WDV15" s="368"/>
      <c r="WDW15" s="368"/>
      <c r="WDX15" s="368"/>
      <c r="WEB15" s="368"/>
      <c r="WEC15" s="368"/>
      <c r="WMM15" s="368"/>
      <c r="WMR15" s="368"/>
      <c r="WMS15" s="368"/>
      <c r="WMT15" s="368"/>
      <c r="WMU15" s="368"/>
      <c r="WMV15" s="368"/>
      <c r="WMW15" s="368"/>
      <c r="WMY15" s="368"/>
      <c r="WMZ15" s="368"/>
      <c r="WNA15" s="368"/>
      <c r="WNC15" s="368"/>
      <c r="WND15" s="368"/>
      <c r="WNE15" s="368"/>
      <c r="WNF15" s="368"/>
      <c r="WNG15" s="368"/>
      <c r="WNQ15" s="368"/>
      <c r="WNR15" s="368"/>
      <c r="WNS15" s="368"/>
      <c r="WNT15" s="368"/>
      <c r="WNX15" s="368"/>
      <c r="WNY15" s="368"/>
      <c r="WWI15" s="368"/>
      <c r="WWN15" s="368"/>
      <c r="WWO15" s="368"/>
      <c r="WWP15" s="368"/>
      <c r="WWQ15" s="368"/>
      <c r="WWR15" s="368"/>
      <c r="WWS15" s="368"/>
      <c r="WWU15" s="368"/>
      <c r="WWV15" s="368"/>
      <c r="WWW15" s="368"/>
      <c r="WWY15" s="368"/>
      <c r="WWZ15" s="368"/>
      <c r="WXA15" s="368"/>
      <c r="WXB15" s="368"/>
      <c r="WXC15" s="368"/>
      <c r="WXM15" s="368"/>
      <c r="WXN15" s="368"/>
      <c r="WXO15" s="368"/>
      <c r="WXP15" s="368"/>
      <c r="WXT15" s="368"/>
      <c r="WXU15" s="368"/>
    </row>
    <row r="16" spans="1:833 1051:1857 2075:2881 3099:3905 4123:4929 5147:5953 6171:6977 7195:8001 8219:9025 9243:10049 10267:11073 11291:12097 12315:13121 13339:14145 14363:15169 15387:16193" s="16" customFormat="1" ht="27" customHeight="1">
      <c r="A16" s="353">
        <v>8</v>
      </c>
      <c r="B16" s="360" t="s">
        <v>282</v>
      </c>
      <c r="C16" s="349" t="s">
        <v>91</v>
      </c>
      <c r="D16" s="363">
        <v>208</v>
      </c>
      <c r="E16" s="350">
        <v>184</v>
      </c>
      <c r="F16" s="364"/>
      <c r="G16" s="364"/>
      <c r="H16" s="351">
        <v>1</v>
      </c>
      <c r="I16" s="364"/>
      <c r="J16" s="364"/>
      <c r="K16" s="364"/>
      <c r="L16" s="364"/>
      <c r="M16" s="364"/>
      <c r="N16" s="364"/>
      <c r="O16" s="364"/>
      <c r="P16" s="364"/>
      <c r="Q16" s="234">
        <v>4940000</v>
      </c>
      <c r="R16" s="234">
        <v>1000000</v>
      </c>
      <c r="S16" s="365"/>
      <c r="T16" s="234">
        <v>600000</v>
      </c>
      <c r="U16" s="365">
        <v>0</v>
      </c>
      <c r="V16" s="358">
        <f t="shared" si="0"/>
        <v>0</v>
      </c>
      <c r="W16" s="365">
        <v>600000</v>
      </c>
      <c r="X16" s="234">
        <f t="shared" si="1"/>
        <v>600000</v>
      </c>
      <c r="Y16" s="365">
        <v>600000</v>
      </c>
      <c r="Z16" s="234">
        <f t="shared" si="2"/>
        <v>600000</v>
      </c>
      <c r="AA16" s="365">
        <v>0</v>
      </c>
      <c r="AB16" s="234">
        <v>40000</v>
      </c>
      <c r="AC16" s="234">
        <f t="shared" si="107"/>
        <v>500000</v>
      </c>
      <c r="AD16" s="234">
        <f t="shared" ref="AD16" si="114">G16*13000</f>
        <v>0</v>
      </c>
      <c r="AE16" s="234">
        <v>100000</v>
      </c>
      <c r="AF16" s="365"/>
      <c r="AG16" s="365"/>
      <c r="AH16" s="234">
        <f t="shared" si="4"/>
        <v>1840000</v>
      </c>
      <c r="AI16" s="234">
        <f t="shared" si="5"/>
        <v>6540000</v>
      </c>
      <c r="AJ16" s="234">
        <f t="shared" ref="AJ16" si="115">AI16/208</f>
        <v>31442.307692307691</v>
      </c>
      <c r="AK16" s="234">
        <f t="shared" si="7"/>
        <v>5785384.615384615</v>
      </c>
      <c r="AL16" s="234">
        <f t="shared" si="8"/>
        <v>47163.461538461539</v>
      </c>
      <c r="AM16" s="365">
        <f t="shared" si="9"/>
        <v>0</v>
      </c>
      <c r="AN16" s="234">
        <f t="shared" si="10"/>
        <v>0</v>
      </c>
      <c r="AO16" s="365">
        <f t="shared" si="11"/>
        <v>0</v>
      </c>
      <c r="AP16" s="365">
        <f t="shared" si="12"/>
        <v>0</v>
      </c>
      <c r="AQ16" s="365">
        <f t="shared" si="13"/>
        <v>0</v>
      </c>
      <c r="AR16" s="365">
        <f t="shared" si="14"/>
        <v>0</v>
      </c>
      <c r="AS16" s="365">
        <f t="shared" si="15"/>
        <v>0</v>
      </c>
      <c r="AT16" s="365">
        <f t="shared" si="16"/>
        <v>0</v>
      </c>
      <c r="AU16" s="234">
        <f t="shared" ref="AU16" si="116">SUM(AL16:AT16)</f>
        <v>47163.461538461539</v>
      </c>
      <c r="AV16" s="234">
        <f t="shared" si="32"/>
        <v>7672548.076923077</v>
      </c>
      <c r="AW16" s="234">
        <f t="shared" si="18"/>
        <v>6540000</v>
      </c>
      <c r="AX16" s="365">
        <f t="shared" ref="AX16" si="117">AW16*17.5%</f>
        <v>1144500</v>
      </c>
      <c r="AY16" s="365">
        <f t="shared" ref="AY16" si="118">AW16*3%</f>
        <v>196200</v>
      </c>
      <c r="AZ16" s="365">
        <f t="shared" si="21"/>
        <v>65400</v>
      </c>
      <c r="BA16" s="365">
        <f t="shared" si="35"/>
        <v>130800</v>
      </c>
      <c r="BB16" s="234">
        <f t="shared" si="36"/>
        <v>1536900</v>
      </c>
      <c r="BC16" s="365">
        <f t="shared" si="22"/>
        <v>523200</v>
      </c>
      <c r="BD16" s="365">
        <f t="shared" si="23"/>
        <v>98100</v>
      </c>
      <c r="BE16" s="365">
        <f t="shared" si="24"/>
        <v>65400</v>
      </c>
      <c r="BF16" s="234">
        <f t="shared" si="37"/>
        <v>686700</v>
      </c>
      <c r="BG16" s="365">
        <v>11000000</v>
      </c>
      <c r="BH16" s="365"/>
      <c r="BI16" s="365">
        <f t="shared" si="38"/>
        <v>0</v>
      </c>
      <c r="BJ16" s="365">
        <f t="shared" si="25"/>
        <v>0</v>
      </c>
      <c r="BK16" s="365">
        <f t="shared" si="26"/>
        <v>7656826.923076923</v>
      </c>
      <c r="BL16" s="365">
        <f t="shared" ref="BL16" si="119">IF(BK16-BG16-BF16-BI16&lt;0,0,BK16-BG16-BI16-BF16)</f>
        <v>0</v>
      </c>
      <c r="BM16" s="234">
        <f t="shared" ref="BM16" si="120">ROUND(IF(BL16&lt;=5000000,BL16*5%,IF(AND(BL16&gt;5000000,BL16&lt;=10000000),BL16*10%-250000,IF(AND(BL16&gt;10000000,BL16&lt;=18000000),BL16*15%-750000,IF(AND(BL16&gt;18000000,BL16&lt;=32000000),BL16*20%-1650000,IF(AND(BL16&gt;32000000,BL16&lt;=52000000),BL16*25%-3250000,IF(AND(BL16&gt;52000000,BL16&lt;80000000),BL16*30%-585000,IF(BL16&gt;80000000,BL16*35%-9850000))))))),0)</f>
        <v>0</v>
      </c>
      <c r="BN16" s="232">
        <v>35000</v>
      </c>
      <c r="BO16" s="234">
        <f t="shared" si="41"/>
        <v>6950848.076923077</v>
      </c>
      <c r="BP16" s="367" t="s">
        <v>188</v>
      </c>
      <c r="BQ16" s="234"/>
      <c r="BR16" s="352"/>
      <c r="JW16" s="368"/>
      <c r="KB16" s="368"/>
      <c r="KC16" s="368"/>
      <c r="KD16" s="368"/>
      <c r="KE16" s="368"/>
      <c r="KF16" s="368"/>
      <c r="KG16" s="368"/>
      <c r="KI16" s="368"/>
      <c r="KJ16" s="368"/>
      <c r="KK16" s="368"/>
      <c r="KM16" s="368"/>
      <c r="KN16" s="368"/>
      <c r="KO16" s="368"/>
      <c r="KP16" s="368"/>
      <c r="KQ16" s="368"/>
      <c r="LA16" s="368"/>
      <c r="LB16" s="368"/>
      <c r="LC16" s="368"/>
      <c r="LD16" s="368"/>
      <c r="LH16" s="368"/>
      <c r="LI16" s="368"/>
      <c r="TS16" s="368"/>
      <c r="TX16" s="368"/>
      <c r="TY16" s="368"/>
      <c r="TZ16" s="368"/>
      <c r="UA16" s="368"/>
      <c r="UB16" s="368"/>
      <c r="UC16" s="368"/>
      <c r="UE16" s="368"/>
      <c r="UF16" s="368"/>
      <c r="UG16" s="368"/>
      <c r="UI16" s="368"/>
      <c r="UJ16" s="368"/>
      <c r="UK16" s="368"/>
      <c r="UL16" s="368"/>
      <c r="UM16" s="368"/>
      <c r="UW16" s="368"/>
      <c r="UX16" s="368"/>
      <c r="UY16" s="368"/>
      <c r="UZ16" s="368"/>
      <c r="VD16" s="368"/>
      <c r="VE16" s="368"/>
      <c r="ADO16" s="368"/>
      <c r="ADT16" s="368"/>
      <c r="ADU16" s="368"/>
      <c r="ADV16" s="368"/>
      <c r="ADW16" s="368"/>
      <c r="ADX16" s="368"/>
      <c r="ADY16" s="368"/>
      <c r="AEA16" s="368"/>
      <c r="AEB16" s="368"/>
      <c r="AEC16" s="368"/>
      <c r="AEE16" s="368"/>
      <c r="AEF16" s="368"/>
      <c r="AEG16" s="368"/>
      <c r="AEH16" s="368"/>
      <c r="AEI16" s="368"/>
      <c r="AES16" s="368"/>
      <c r="AET16" s="368"/>
      <c r="AEU16" s="368"/>
      <c r="AEV16" s="368"/>
      <c r="AEZ16" s="368"/>
      <c r="AFA16" s="368"/>
      <c r="ANK16" s="368"/>
      <c r="ANP16" s="368"/>
      <c r="ANQ16" s="368"/>
      <c r="ANR16" s="368"/>
      <c r="ANS16" s="368"/>
      <c r="ANT16" s="368"/>
      <c r="ANU16" s="368"/>
      <c r="ANW16" s="368"/>
      <c r="ANX16" s="368"/>
      <c r="ANY16" s="368"/>
      <c r="AOA16" s="368"/>
      <c r="AOB16" s="368"/>
      <c r="AOC16" s="368"/>
      <c r="AOD16" s="368"/>
      <c r="AOE16" s="368"/>
      <c r="AOO16" s="368"/>
      <c r="AOP16" s="368"/>
      <c r="AOQ16" s="368"/>
      <c r="AOR16" s="368"/>
      <c r="AOV16" s="368"/>
      <c r="AOW16" s="368"/>
      <c r="AXG16" s="368"/>
      <c r="AXL16" s="368"/>
      <c r="AXM16" s="368"/>
      <c r="AXN16" s="368"/>
      <c r="AXO16" s="368"/>
      <c r="AXP16" s="368"/>
      <c r="AXQ16" s="368"/>
      <c r="AXS16" s="368"/>
      <c r="AXT16" s="368"/>
      <c r="AXU16" s="368"/>
      <c r="AXW16" s="368"/>
      <c r="AXX16" s="368"/>
      <c r="AXY16" s="368"/>
      <c r="AXZ16" s="368"/>
      <c r="AYA16" s="368"/>
      <c r="AYK16" s="368"/>
      <c r="AYL16" s="368"/>
      <c r="AYM16" s="368"/>
      <c r="AYN16" s="368"/>
      <c r="AYR16" s="368"/>
      <c r="AYS16" s="368"/>
      <c r="BHC16" s="368"/>
      <c r="BHH16" s="368"/>
      <c r="BHI16" s="368"/>
      <c r="BHJ16" s="368"/>
      <c r="BHK16" s="368"/>
      <c r="BHL16" s="368"/>
      <c r="BHM16" s="368"/>
      <c r="BHO16" s="368"/>
      <c r="BHP16" s="368"/>
      <c r="BHQ16" s="368"/>
      <c r="BHS16" s="368"/>
      <c r="BHT16" s="368"/>
      <c r="BHU16" s="368"/>
      <c r="BHV16" s="368"/>
      <c r="BHW16" s="368"/>
      <c r="BIG16" s="368"/>
      <c r="BIH16" s="368"/>
      <c r="BII16" s="368"/>
      <c r="BIJ16" s="368"/>
      <c r="BIN16" s="368"/>
      <c r="BIO16" s="368"/>
      <c r="BQY16" s="368"/>
      <c r="BRD16" s="368"/>
      <c r="BRE16" s="368"/>
      <c r="BRF16" s="368"/>
      <c r="BRG16" s="368"/>
      <c r="BRH16" s="368"/>
      <c r="BRI16" s="368"/>
      <c r="BRK16" s="368"/>
      <c r="BRL16" s="368"/>
      <c r="BRM16" s="368"/>
      <c r="BRO16" s="368"/>
      <c r="BRP16" s="368"/>
      <c r="BRQ16" s="368"/>
      <c r="BRR16" s="368"/>
      <c r="BRS16" s="368"/>
      <c r="BSC16" s="368"/>
      <c r="BSD16" s="368"/>
      <c r="BSE16" s="368"/>
      <c r="BSF16" s="368"/>
      <c r="BSJ16" s="368"/>
      <c r="BSK16" s="368"/>
      <c r="CAU16" s="368"/>
      <c r="CAZ16" s="368"/>
      <c r="CBA16" s="368"/>
      <c r="CBB16" s="368"/>
      <c r="CBC16" s="368"/>
      <c r="CBD16" s="368"/>
      <c r="CBE16" s="368"/>
      <c r="CBG16" s="368"/>
      <c r="CBH16" s="368"/>
      <c r="CBI16" s="368"/>
      <c r="CBK16" s="368"/>
      <c r="CBL16" s="368"/>
      <c r="CBM16" s="368"/>
      <c r="CBN16" s="368"/>
      <c r="CBO16" s="368"/>
      <c r="CBY16" s="368"/>
      <c r="CBZ16" s="368"/>
      <c r="CCA16" s="368"/>
      <c r="CCB16" s="368"/>
      <c r="CCF16" s="368"/>
      <c r="CCG16" s="368"/>
      <c r="CKQ16" s="368"/>
      <c r="CKV16" s="368"/>
      <c r="CKW16" s="368"/>
      <c r="CKX16" s="368"/>
      <c r="CKY16" s="368"/>
      <c r="CKZ16" s="368"/>
      <c r="CLA16" s="368"/>
      <c r="CLC16" s="368"/>
      <c r="CLD16" s="368"/>
      <c r="CLE16" s="368"/>
      <c r="CLG16" s="368"/>
      <c r="CLH16" s="368"/>
      <c r="CLI16" s="368"/>
      <c r="CLJ16" s="368"/>
      <c r="CLK16" s="368"/>
      <c r="CLU16" s="368"/>
      <c r="CLV16" s="368"/>
      <c r="CLW16" s="368"/>
      <c r="CLX16" s="368"/>
      <c r="CMB16" s="368"/>
      <c r="CMC16" s="368"/>
      <c r="CUM16" s="368"/>
      <c r="CUR16" s="368"/>
      <c r="CUS16" s="368"/>
      <c r="CUT16" s="368"/>
      <c r="CUU16" s="368"/>
      <c r="CUV16" s="368"/>
      <c r="CUW16" s="368"/>
      <c r="CUY16" s="368"/>
      <c r="CUZ16" s="368"/>
      <c r="CVA16" s="368"/>
      <c r="CVC16" s="368"/>
      <c r="CVD16" s="368"/>
      <c r="CVE16" s="368"/>
      <c r="CVF16" s="368"/>
      <c r="CVG16" s="368"/>
      <c r="CVQ16" s="368"/>
      <c r="CVR16" s="368"/>
      <c r="CVS16" s="368"/>
      <c r="CVT16" s="368"/>
      <c r="CVX16" s="368"/>
      <c r="CVY16" s="368"/>
      <c r="DEI16" s="368"/>
      <c r="DEN16" s="368"/>
      <c r="DEO16" s="368"/>
      <c r="DEP16" s="368"/>
      <c r="DEQ16" s="368"/>
      <c r="DER16" s="368"/>
      <c r="DES16" s="368"/>
      <c r="DEU16" s="368"/>
      <c r="DEV16" s="368"/>
      <c r="DEW16" s="368"/>
      <c r="DEY16" s="368"/>
      <c r="DEZ16" s="368"/>
      <c r="DFA16" s="368"/>
      <c r="DFB16" s="368"/>
      <c r="DFC16" s="368"/>
      <c r="DFM16" s="368"/>
      <c r="DFN16" s="368"/>
      <c r="DFO16" s="368"/>
      <c r="DFP16" s="368"/>
      <c r="DFT16" s="368"/>
      <c r="DFU16" s="368"/>
      <c r="DOE16" s="368"/>
      <c r="DOJ16" s="368"/>
      <c r="DOK16" s="368"/>
      <c r="DOL16" s="368"/>
      <c r="DOM16" s="368"/>
      <c r="DON16" s="368"/>
      <c r="DOO16" s="368"/>
      <c r="DOQ16" s="368"/>
      <c r="DOR16" s="368"/>
      <c r="DOS16" s="368"/>
      <c r="DOU16" s="368"/>
      <c r="DOV16" s="368"/>
      <c r="DOW16" s="368"/>
      <c r="DOX16" s="368"/>
      <c r="DOY16" s="368"/>
      <c r="DPI16" s="368"/>
      <c r="DPJ16" s="368"/>
      <c r="DPK16" s="368"/>
      <c r="DPL16" s="368"/>
      <c r="DPP16" s="368"/>
      <c r="DPQ16" s="368"/>
      <c r="DYA16" s="368"/>
      <c r="DYF16" s="368"/>
      <c r="DYG16" s="368"/>
      <c r="DYH16" s="368"/>
      <c r="DYI16" s="368"/>
      <c r="DYJ16" s="368"/>
      <c r="DYK16" s="368"/>
      <c r="DYM16" s="368"/>
      <c r="DYN16" s="368"/>
      <c r="DYO16" s="368"/>
      <c r="DYQ16" s="368"/>
      <c r="DYR16" s="368"/>
      <c r="DYS16" s="368"/>
      <c r="DYT16" s="368"/>
      <c r="DYU16" s="368"/>
      <c r="DZE16" s="368"/>
      <c r="DZF16" s="368"/>
      <c r="DZG16" s="368"/>
      <c r="DZH16" s="368"/>
      <c r="DZL16" s="368"/>
      <c r="DZM16" s="368"/>
      <c r="EHW16" s="368"/>
      <c r="EIB16" s="368"/>
      <c r="EIC16" s="368"/>
      <c r="EID16" s="368"/>
      <c r="EIE16" s="368"/>
      <c r="EIF16" s="368"/>
      <c r="EIG16" s="368"/>
      <c r="EII16" s="368"/>
      <c r="EIJ16" s="368"/>
      <c r="EIK16" s="368"/>
      <c r="EIM16" s="368"/>
      <c r="EIN16" s="368"/>
      <c r="EIO16" s="368"/>
      <c r="EIP16" s="368"/>
      <c r="EIQ16" s="368"/>
      <c r="EJA16" s="368"/>
      <c r="EJB16" s="368"/>
      <c r="EJC16" s="368"/>
      <c r="EJD16" s="368"/>
      <c r="EJH16" s="368"/>
      <c r="EJI16" s="368"/>
      <c r="ERS16" s="368"/>
      <c r="ERX16" s="368"/>
      <c r="ERY16" s="368"/>
      <c r="ERZ16" s="368"/>
      <c r="ESA16" s="368"/>
      <c r="ESB16" s="368"/>
      <c r="ESC16" s="368"/>
      <c r="ESE16" s="368"/>
      <c r="ESF16" s="368"/>
      <c r="ESG16" s="368"/>
      <c r="ESI16" s="368"/>
      <c r="ESJ16" s="368"/>
      <c r="ESK16" s="368"/>
      <c r="ESL16" s="368"/>
      <c r="ESM16" s="368"/>
      <c r="ESW16" s="368"/>
      <c r="ESX16" s="368"/>
      <c r="ESY16" s="368"/>
      <c r="ESZ16" s="368"/>
      <c r="ETD16" s="368"/>
      <c r="ETE16" s="368"/>
      <c r="FBO16" s="368"/>
      <c r="FBT16" s="368"/>
      <c r="FBU16" s="368"/>
      <c r="FBV16" s="368"/>
      <c r="FBW16" s="368"/>
      <c r="FBX16" s="368"/>
      <c r="FBY16" s="368"/>
      <c r="FCA16" s="368"/>
      <c r="FCB16" s="368"/>
      <c r="FCC16" s="368"/>
      <c r="FCE16" s="368"/>
      <c r="FCF16" s="368"/>
      <c r="FCG16" s="368"/>
      <c r="FCH16" s="368"/>
      <c r="FCI16" s="368"/>
      <c r="FCS16" s="368"/>
      <c r="FCT16" s="368"/>
      <c r="FCU16" s="368"/>
      <c r="FCV16" s="368"/>
      <c r="FCZ16" s="368"/>
      <c r="FDA16" s="368"/>
      <c r="FLK16" s="368"/>
      <c r="FLP16" s="368"/>
      <c r="FLQ16" s="368"/>
      <c r="FLR16" s="368"/>
      <c r="FLS16" s="368"/>
      <c r="FLT16" s="368"/>
      <c r="FLU16" s="368"/>
      <c r="FLW16" s="368"/>
      <c r="FLX16" s="368"/>
      <c r="FLY16" s="368"/>
      <c r="FMA16" s="368"/>
      <c r="FMB16" s="368"/>
      <c r="FMC16" s="368"/>
      <c r="FMD16" s="368"/>
      <c r="FME16" s="368"/>
      <c r="FMO16" s="368"/>
      <c r="FMP16" s="368"/>
      <c r="FMQ16" s="368"/>
      <c r="FMR16" s="368"/>
      <c r="FMV16" s="368"/>
      <c r="FMW16" s="368"/>
      <c r="FVG16" s="368"/>
      <c r="FVL16" s="368"/>
      <c r="FVM16" s="368"/>
      <c r="FVN16" s="368"/>
      <c r="FVO16" s="368"/>
      <c r="FVP16" s="368"/>
      <c r="FVQ16" s="368"/>
      <c r="FVS16" s="368"/>
      <c r="FVT16" s="368"/>
      <c r="FVU16" s="368"/>
      <c r="FVW16" s="368"/>
      <c r="FVX16" s="368"/>
      <c r="FVY16" s="368"/>
      <c r="FVZ16" s="368"/>
      <c r="FWA16" s="368"/>
      <c r="FWK16" s="368"/>
      <c r="FWL16" s="368"/>
      <c r="FWM16" s="368"/>
      <c r="FWN16" s="368"/>
      <c r="FWR16" s="368"/>
      <c r="FWS16" s="368"/>
      <c r="GFC16" s="368"/>
      <c r="GFH16" s="368"/>
      <c r="GFI16" s="368"/>
      <c r="GFJ16" s="368"/>
      <c r="GFK16" s="368"/>
      <c r="GFL16" s="368"/>
      <c r="GFM16" s="368"/>
      <c r="GFO16" s="368"/>
      <c r="GFP16" s="368"/>
      <c r="GFQ16" s="368"/>
      <c r="GFS16" s="368"/>
      <c r="GFT16" s="368"/>
      <c r="GFU16" s="368"/>
      <c r="GFV16" s="368"/>
      <c r="GFW16" s="368"/>
      <c r="GGG16" s="368"/>
      <c r="GGH16" s="368"/>
      <c r="GGI16" s="368"/>
      <c r="GGJ16" s="368"/>
      <c r="GGN16" s="368"/>
      <c r="GGO16" s="368"/>
      <c r="GOY16" s="368"/>
      <c r="GPD16" s="368"/>
      <c r="GPE16" s="368"/>
      <c r="GPF16" s="368"/>
      <c r="GPG16" s="368"/>
      <c r="GPH16" s="368"/>
      <c r="GPI16" s="368"/>
      <c r="GPK16" s="368"/>
      <c r="GPL16" s="368"/>
      <c r="GPM16" s="368"/>
      <c r="GPO16" s="368"/>
      <c r="GPP16" s="368"/>
      <c r="GPQ16" s="368"/>
      <c r="GPR16" s="368"/>
      <c r="GPS16" s="368"/>
      <c r="GQC16" s="368"/>
      <c r="GQD16" s="368"/>
      <c r="GQE16" s="368"/>
      <c r="GQF16" s="368"/>
      <c r="GQJ16" s="368"/>
      <c r="GQK16" s="368"/>
      <c r="GYU16" s="368"/>
      <c r="GYZ16" s="368"/>
      <c r="GZA16" s="368"/>
      <c r="GZB16" s="368"/>
      <c r="GZC16" s="368"/>
      <c r="GZD16" s="368"/>
      <c r="GZE16" s="368"/>
      <c r="GZG16" s="368"/>
      <c r="GZH16" s="368"/>
      <c r="GZI16" s="368"/>
      <c r="GZK16" s="368"/>
      <c r="GZL16" s="368"/>
      <c r="GZM16" s="368"/>
      <c r="GZN16" s="368"/>
      <c r="GZO16" s="368"/>
      <c r="GZY16" s="368"/>
      <c r="GZZ16" s="368"/>
      <c r="HAA16" s="368"/>
      <c r="HAB16" s="368"/>
      <c r="HAF16" s="368"/>
      <c r="HAG16" s="368"/>
      <c r="HIQ16" s="368"/>
      <c r="HIV16" s="368"/>
      <c r="HIW16" s="368"/>
      <c r="HIX16" s="368"/>
      <c r="HIY16" s="368"/>
      <c r="HIZ16" s="368"/>
      <c r="HJA16" s="368"/>
      <c r="HJC16" s="368"/>
      <c r="HJD16" s="368"/>
      <c r="HJE16" s="368"/>
      <c r="HJG16" s="368"/>
      <c r="HJH16" s="368"/>
      <c r="HJI16" s="368"/>
      <c r="HJJ16" s="368"/>
      <c r="HJK16" s="368"/>
      <c r="HJU16" s="368"/>
      <c r="HJV16" s="368"/>
      <c r="HJW16" s="368"/>
      <c r="HJX16" s="368"/>
      <c r="HKB16" s="368"/>
      <c r="HKC16" s="368"/>
      <c r="HSM16" s="368"/>
      <c r="HSR16" s="368"/>
      <c r="HSS16" s="368"/>
      <c r="HST16" s="368"/>
      <c r="HSU16" s="368"/>
      <c r="HSV16" s="368"/>
      <c r="HSW16" s="368"/>
      <c r="HSY16" s="368"/>
      <c r="HSZ16" s="368"/>
      <c r="HTA16" s="368"/>
      <c r="HTC16" s="368"/>
      <c r="HTD16" s="368"/>
      <c r="HTE16" s="368"/>
      <c r="HTF16" s="368"/>
      <c r="HTG16" s="368"/>
      <c r="HTQ16" s="368"/>
      <c r="HTR16" s="368"/>
      <c r="HTS16" s="368"/>
      <c r="HTT16" s="368"/>
      <c r="HTX16" s="368"/>
      <c r="HTY16" s="368"/>
      <c r="ICI16" s="368"/>
      <c r="ICN16" s="368"/>
      <c r="ICO16" s="368"/>
      <c r="ICP16" s="368"/>
      <c r="ICQ16" s="368"/>
      <c r="ICR16" s="368"/>
      <c r="ICS16" s="368"/>
      <c r="ICU16" s="368"/>
      <c r="ICV16" s="368"/>
      <c r="ICW16" s="368"/>
      <c r="ICY16" s="368"/>
      <c r="ICZ16" s="368"/>
      <c r="IDA16" s="368"/>
      <c r="IDB16" s="368"/>
      <c r="IDC16" s="368"/>
      <c r="IDM16" s="368"/>
      <c r="IDN16" s="368"/>
      <c r="IDO16" s="368"/>
      <c r="IDP16" s="368"/>
      <c r="IDT16" s="368"/>
      <c r="IDU16" s="368"/>
      <c r="IME16" s="368"/>
      <c r="IMJ16" s="368"/>
      <c r="IMK16" s="368"/>
      <c r="IML16" s="368"/>
      <c r="IMM16" s="368"/>
      <c r="IMN16" s="368"/>
      <c r="IMO16" s="368"/>
      <c r="IMQ16" s="368"/>
      <c r="IMR16" s="368"/>
      <c r="IMS16" s="368"/>
      <c r="IMU16" s="368"/>
      <c r="IMV16" s="368"/>
      <c r="IMW16" s="368"/>
      <c r="IMX16" s="368"/>
      <c r="IMY16" s="368"/>
      <c r="INI16" s="368"/>
      <c r="INJ16" s="368"/>
      <c r="INK16" s="368"/>
      <c r="INL16" s="368"/>
      <c r="INP16" s="368"/>
      <c r="INQ16" s="368"/>
      <c r="IWA16" s="368"/>
      <c r="IWF16" s="368"/>
      <c r="IWG16" s="368"/>
      <c r="IWH16" s="368"/>
      <c r="IWI16" s="368"/>
      <c r="IWJ16" s="368"/>
      <c r="IWK16" s="368"/>
      <c r="IWM16" s="368"/>
      <c r="IWN16" s="368"/>
      <c r="IWO16" s="368"/>
      <c r="IWQ16" s="368"/>
      <c r="IWR16" s="368"/>
      <c r="IWS16" s="368"/>
      <c r="IWT16" s="368"/>
      <c r="IWU16" s="368"/>
      <c r="IXE16" s="368"/>
      <c r="IXF16" s="368"/>
      <c r="IXG16" s="368"/>
      <c r="IXH16" s="368"/>
      <c r="IXL16" s="368"/>
      <c r="IXM16" s="368"/>
      <c r="JFW16" s="368"/>
      <c r="JGB16" s="368"/>
      <c r="JGC16" s="368"/>
      <c r="JGD16" s="368"/>
      <c r="JGE16" s="368"/>
      <c r="JGF16" s="368"/>
      <c r="JGG16" s="368"/>
      <c r="JGI16" s="368"/>
      <c r="JGJ16" s="368"/>
      <c r="JGK16" s="368"/>
      <c r="JGM16" s="368"/>
      <c r="JGN16" s="368"/>
      <c r="JGO16" s="368"/>
      <c r="JGP16" s="368"/>
      <c r="JGQ16" s="368"/>
      <c r="JHA16" s="368"/>
      <c r="JHB16" s="368"/>
      <c r="JHC16" s="368"/>
      <c r="JHD16" s="368"/>
      <c r="JHH16" s="368"/>
      <c r="JHI16" s="368"/>
      <c r="JPS16" s="368"/>
      <c r="JPX16" s="368"/>
      <c r="JPY16" s="368"/>
      <c r="JPZ16" s="368"/>
      <c r="JQA16" s="368"/>
      <c r="JQB16" s="368"/>
      <c r="JQC16" s="368"/>
      <c r="JQE16" s="368"/>
      <c r="JQF16" s="368"/>
      <c r="JQG16" s="368"/>
      <c r="JQI16" s="368"/>
      <c r="JQJ16" s="368"/>
      <c r="JQK16" s="368"/>
      <c r="JQL16" s="368"/>
      <c r="JQM16" s="368"/>
      <c r="JQW16" s="368"/>
      <c r="JQX16" s="368"/>
      <c r="JQY16" s="368"/>
      <c r="JQZ16" s="368"/>
      <c r="JRD16" s="368"/>
      <c r="JRE16" s="368"/>
      <c r="JZO16" s="368"/>
      <c r="JZT16" s="368"/>
      <c r="JZU16" s="368"/>
      <c r="JZV16" s="368"/>
      <c r="JZW16" s="368"/>
      <c r="JZX16" s="368"/>
      <c r="JZY16" s="368"/>
      <c r="KAA16" s="368"/>
      <c r="KAB16" s="368"/>
      <c r="KAC16" s="368"/>
      <c r="KAE16" s="368"/>
      <c r="KAF16" s="368"/>
      <c r="KAG16" s="368"/>
      <c r="KAH16" s="368"/>
      <c r="KAI16" s="368"/>
      <c r="KAS16" s="368"/>
      <c r="KAT16" s="368"/>
      <c r="KAU16" s="368"/>
      <c r="KAV16" s="368"/>
      <c r="KAZ16" s="368"/>
      <c r="KBA16" s="368"/>
      <c r="KJK16" s="368"/>
      <c r="KJP16" s="368"/>
      <c r="KJQ16" s="368"/>
      <c r="KJR16" s="368"/>
      <c r="KJS16" s="368"/>
      <c r="KJT16" s="368"/>
      <c r="KJU16" s="368"/>
      <c r="KJW16" s="368"/>
      <c r="KJX16" s="368"/>
      <c r="KJY16" s="368"/>
      <c r="KKA16" s="368"/>
      <c r="KKB16" s="368"/>
      <c r="KKC16" s="368"/>
      <c r="KKD16" s="368"/>
      <c r="KKE16" s="368"/>
      <c r="KKO16" s="368"/>
      <c r="KKP16" s="368"/>
      <c r="KKQ16" s="368"/>
      <c r="KKR16" s="368"/>
      <c r="KKV16" s="368"/>
      <c r="KKW16" s="368"/>
      <c r="KTG16" s="368"/>
      <c r="KTL16" s="368"/>
      <c r="KTM16" s="368"/>
      <c r="KTN16" s="368"/>
      <c r="KTO16" s="368"/>
      <c r="KTP16" s="368"/>
      <c r="KTQ16" s="368"/>
      <c r="KTS16" s="368"/>
      <c r="KTT16" s="368"/>
      <c r="KTU16" s="368"/>
      <c r="KTW16" s="368"/>
      <c r="KTX16" s="368"/>
      <c r="KTY16" s="368"/>
      <c r="KTZ16" s="368"/>
      <c r="KUA16" s="368"/>
      <c r="KUK16" s="368"/>
      <c r="KUL16" s="368"/>
      <c r="KUM16" s="368"/>
      <c r="KUN16" s="368"/>
      <c r="KUR16" s="368"/>
      <c r="KUS16" s="368"/>
      <c r="LDC16" s="368"/>
      <c r="LDH16" s="368"/>
      <c r="LDI16" s="368"/>
      <c r="LDJ16" s="368"/>
      <c r="LDK16" s="368"/>
      <c r="LDL16" s="368"/>
      <c r="LDM16" s="368"/>
      <c r="LDO16" s="368"/>
      <c r="LDP16" s="368"/>
      <c r="LDQ16" s="368"/>
      <c r="LDS16" s="368"/>
      <c r="LDT16" s="368"/>
      <c r="LDU16" s="368"/>
      <c r="LDV16" s="368"/>
      <c r="LDW16" s="368"/>
      <c r="LEG16" s="368"/>
      <c r="LEH16" s="368"/>
      <c r="LEI16" s="368"/>
      <c r="LEJ16" s="368"/>
      <c r="LEN16" s="368"/>
      <c r="LEO16" s="368"/>
      <c r="LMY16" s="368"/>
      <c r="LND16" s="368"/>
      <c r="LNE16" s="368"/>
      <c r="LNF16" s="368"/>
      <c r="LNG16" s="368"/>
      <c r="LNH16" s="368"/>
      <c r="LNI16" s="368"/>
      <c r="LNK16" s="368"/>
      <c r="LNL16" s="368"/>
      <c r="LNM16" s="368"/>
      <c r="LNO16" s="368"/>
      <c r="LNP16" s="368"/>
      <c r="LNQ16" s="368"/>
      <c r="LNR16" s="368"/>
      <c r="LNS16" s="368"/>
      <c r="LOC16" s="368"/>
      <c r="LOD16" s="368"/>
      <c r="LOE16" s="368"/>
      <c r="LOF16" s="368"/>
      <c r="LOJ16" s="368"/>
      <c r="LOK16" s="368"/>
      <c r="LWU16" s="368"/>
      <c r="LWZ16" s="368"/>
      <c r="LXA16" s="368"/>
      <c r="LXB16" s="368"/>
      <c r="LXC16" s="368"/>
      <c r="LXD16" s="368"/>
      <c r="LXE16" s="368"/>
      <c r="LXG16" s="368"/>
      <c r="LXH16" s="368"/>
      <c r="LXI16" s="368"/>
      <c r="LXK16" s="368"/>
      <c r="LXL16" s="368"/>
      <c r="LXM16" s="368"/>
      <c r="LXN16" s="368"/>
      <c r="LXO16" s="368"/>
      <c r="LXY16" s="368"/>
      <c r="LXZ16" s="368"/>
      <c r="LYA16" s="368"/>
      <c r="LYB16" s="368"/>
      <c r="LYF16" s="368"/>
      <c r="LYG16" s="368"/>
      <c r="MGQ16" s="368"/>
      <c r="MGV16" s="368"/>
      <c r="MGW16" s="368"/>
      <c r="MGX16" s="368"/>
      <c r="MGY16" s="368"/>
      <c r="MGZ16" s="368"/>
      <c r="MHA16" s="368"/>
      <c r="MHC16" s="368"/>
      <c r="MHD16" s="368"/>
      <c r="MHE16" s="368"/>
      <c r="MHG16" s="368"/>
      <c r="MHH16" s="368"/>
      <c r="MHI16" s="368"/>
      <c r="MHJ16" s="368"/>
      <c r="MHK16" s="368"/>
      <c r="MHU16" s="368"/>
      <c r="MHV16" s="368"/>
      <c r="MHW16" s="368"/>
      <c r="MHX16" s="368"/>
      <c r="MIB16" s="368"/>
      <c r="MIC16" s="368"/>
      <c r="MQM16" s="368"/>
      <c r="MQR16" s="368"/>
      <c r="MQS16" s="368"/>
      <c r="MQT16" s="368"/>
      <c r="MQU16" s="368"/>
      <c r="MQV16" s="368"/>
      <c r="MQW16" s="368"/>
      <c r="MQY16" s="368"/>
      <c r="MQZ16" s="368"/>
      <c r="MRA16" s="368"/>
      <c r="MRC16" s="368"/>
      <c r="MRD16" s="368"/>
      <c r="MRE16" s="368"/>
      <c r="MRF16" s="368"/>
      <c r="MRG16" s="368"/>
      <c r="MRQ16" s="368"/>
      <c r="MRR16" s="368"/>
      <c r="MRS16" s="368"/>
      <c r="MRT16" s="368"/>
      <c r="MRX16" s="368"/>
      <c r="MRY16" s="368"/>
      <c r="NAI16" s="368"/>
      <c r="NAN16" s="368"/>
      <c r="NAO16" s="368"/>
      <c r="NAP16" s="368"/>
      <c r="NAQ16" s="368"/>
      <c r="NAR16" s="368"/>
      <c r="NAS16" s="368"/>
      <c r="NAU16" s="368"/>
      <c r="NAV16" s="368"/>
      <c r="NAW16" s="368"/>
      <c r="NAY16" s="368"/>
      <c r="NAZ16" s="368"/>
      <c r="NBA16" s="368"/>
      <c r="NBB16" s="368"/>
      <c r="NBC16" s="368"/>
      <c r="NBM16" s="368"/>
      <c r="NBN16" s="368"/>
      <c r="NBO16" s="368"/>
      <c r="NBP16" s="368"/>
      <c r="NBT16" s="368"/>
      <c r="NBU16" s="368"/>
      <c r="NKE16" s="368"/>
      <c r="NKJ16" s="368"/>
      <c r="NKK16" s="368"/>
      <c r="NKL16" s="368"/>
      <c r="NKM16" s="368"/>
      <c r="NKN16" s="368"/>
      <c r="NKO16" s="368"/>
      <c r="NKQ16" s="368"/>
      <c r="NKR16" s="368"/>
      <c r="NKS16" s="368"/>
      <c r="NKU16" s="368"/>
      <c r="NKV16" s="368"/>
      <c r="NKW16" s="368"/>
      <c r="NKX16" s="368"/>
      <c r="NKY16" s="368"/>
      <c r="NLI16" s="368"/>
      <c r="NLJ16" s="368"/>
      <c r="NLK16" s="368"/>
      <c r="NLL16" s="368"/>
      <c r="NLP16" s="368"/>
      <c r="NLQ16" s="368"/>
      <c r="NUA16" s="368"/>
      <c r="NUF16" s="368"/>
      <c r="NUG16" s="368"/>
      <c r="NUH16" s="368"/>
      <c r="NUI16" s="368"/>
      <c r="NUJ16" s="368"/>
      <c r="NUK16" s="368"/>
      <c r="NUM16" s="368"/>
      <c r="NUN16" s="368"/>
      <c r="NUO16" s="368"/>
      <c r="NUQ16" s="368"/>
      <c r="NUR16" s="368"/>
      <c r="NUS16" s="368"/>
      <c r="NUT16" s="368"/>
      <c r="NUU16" s="368"/>
      <c r="NVE16" s="368"/>
      <c r="NVF16" s="368"/>
      <c r="NVG16" s="368"/>
      <c r="NVH16" s="368"/>
      <c r="NVL16" s="368"/>
      <c r="NVM16" s="368"/>
      <c r="ODW16" s="368"/>
      <c r="OEB16" s="368"/>
      <c r="OEC16" s="368"/>
      <c r="OED16" s="368"/>
      <c r="OEE16" s="368"/>
      <c r="OEF16" s="368"/>
      <c r="OEG16" s="368"/>
      <c r="OEI16" s="368"/>
      <c r="OEJ16" s="368"/>
      <c r="OEK16" s="368"/>
      <c r="OEM16" s="368"/>
      <c r="OEN16" s="368"/>
      <c r="OEO16" s="368"/>
      <c r="OEP16" s="368"/>
      <c r="OEQ16" s="368"/>
      <c r="OFA16" s="368"/>
      <c r="OFB16" s="368"/>
      <c r="OFC16" s="368"/>
      <c r="OFD16" s="368"/>
      <c r="OFH16" s="368"/>
      <c r="OFI16" s="368"/>
      <c r="ONS16" s="368"/>
      <c r="ONX16" s="368"/>
      <c r="ONY16" s="368"/>
      <c r="ONZ16" s="368"/>
      <c r="OOA16" s="368"/>
      <c r="OOB16" s="368"/>
      <c r="OOC16" s="368"/>
      <c r="OOE16" s="368"/>
      <c r="OOF16" s="368"/>
      <c r="OOG16" s="368"/>
      <c r="OOI16" s="368"/>
      <c r="OOJ16" s="368"/>
      <c r="OOK16" s="368"/>
      <c r="OOL16" s="368"/>
      <c r="OOM16" s="368"/>
      <c r="OOW16" s="368"/>
      <c r="OOX16" s="368"/>
      <c r="OOY16" s="368"/>
      <c r="OOZ16" s="368"/>
      <c r="OPD16" s="368"/>
      <c r="OPE16" s="368"/>
      <c r="OXO16" s="368"/>
      <c r="OXT16" s="368"/>
      <c r="OXU16" s="368"/>
      <c r="OXV16" s="368"/>
      <c r="OXW16" s="368"/>
      <c r="OXX16" s="368"/>
      <c r="OXY16" s="368"/>
      <c r="OYA16" s="368"/>
      <c r="OYB16" s="368"/>
      <c r="OYC16" s="368"/>
      <c r="OYE16" s="368"/>
      <c r="OYF16" s="368"/>
      <c r="OYG16" s="368"/>
      <c r="OYH16" s="368"/>
      <c r="OYI16" s="368"/>
      <c r="OYS16" s="368"/>
      <c r="OYT16" s="368"/>
      <c r="OYU16" s="368"/>
      <c r="OYV16" s="368"/>
      <c r="OYZ16" s="368"/>
      <c r="OZA16" s="368"/>
      <c r="PHK16" s="368"/>
      <c r="PHP16" s="368"/>
      <c r="PHQ16" s="368"/>
      <c r="PHR16" s="368"/>
      <c r="PHS16" s="368"/>
      <c r="PHT16" s="368"/>
      <c r="PHU16" s="368"/>
      <c r="PHW16" s="368"/>
      <c r="PHX16" s="368"/>
      <c r="PHY16" s="368"/>
      <c r="PIA16" s="368"/>
      <c r="PIB16" s="368"/>
      <c r="PIC16" s="368"/>
      <c r="PID16" s="368"/>
      <c r="PIE16" s="368"/>
      <c r="PIO16" s="368"/>
      <c r="PIP16" s="368"/>
      <c r="PIQ16" s="368"/>
      <c r="PIR16" s="368"/>
      <c r="PIV16" s="368"/>
      <c r="PIW16" s="368"/>
      <c r="PRG16" s="368"/>
      <c r="PRL16" s="368"/>
      <c r="PRM16" s="368"/>
      <c r="PRN16" s="368"/>
      <c r="PRO16" s="368"/>
      <c r="PRP16" s="368"/>
      <c r="PRQ16" s="368"/>
      <c r="PRS16" s="368"/>
      <c r="PRT16" s="368"/>
      <c r="PRU16" s="368"/>
      <c r="PRW16" s="368"/>
      <c r="PRX16" s="368"/>
      <c r="PRY16" s="368"/>
      <c r="PRZ16" s="368"/>
      <c r="PSA16" s="368"/>
      <c r="PSK16" s="368"/>
      <c r="PSL16" s="368"/>
      <c r="PSM16" s="368"/>
      <c r="PSN16" s="368"/>
      <c r="PSR16" s="368"/>
      <c r="PSS16" s="368"/>
      <c r="QBC16" s="368"/>
      <c r="QBH16" s="368"/>
      <c r="QBI16" s="368"/>
      <c r="QBJ16" s="368"/>
      <c r="QBK16" s="368"/>
      <c r="QBL16" s="368"/>
      <c r="QBM16" s="368"/>
      <c r="QBO16" s="368"/>
      <c r="QBP16" s="368"/>
      <c r="QBQ16" s="368"/>
      <c r="QBS16" s="368"/>
      <c r="QBT16" s="368"/>
      <c r="QBU16" s="368"/>
      <c r="QBV16" s="368"/>
      <c r="QBW16" s="368"/>
      <c r="QCG16" s="368"/>
      <c r="QCH16" s="368"/>
      <c r="QCI16" s="368"/>
      <c r="QCJ16" s="368"/>
      <c r="QCN16" s="368"/>
      <c r="QCO16" s="368"/>
      <c r="QKY16" s="368"/>
      <c r="QLD16" s="368"/>
      <c r="QLE16" s="368"/>
      <c r="QLF16" s="368"/>
      <c r="QLG16" s="368"/>
      <c r="QLH16" s="368"/>
      <c r="QLI16" s="368"/>
      <c r="QLK16" s="368"/>
      <c r="QLL16" s="368"/>
      <c r="QLM16" s="368"/>
      <c r="QLO16" s="368"/>
      <c r="QLP16" s="368"/>
      <c r="QLQ16" s="368"/>
      <c r="QLR16" s="368"/>
      <c r="QLS16" s="368"/>
      <c r="QMC16" s="368"/>
      <c r="QMD16" s="368"/>
      <c r="QME16" s="368"/>
      <c r="QMF16" s="368"/>
      <c r="QMJ16" s="368"/>
      <c r="QMK16" s="368"/>
      <c r="QUU16" s="368"/>
      <c r="QUZ16" s="368"/>
      <c r="QVA16" s="368"/>
      <c r="QVB16" s="368"/>
      <c r="QVC16" s="368"/>
      <c r="QVD16" s="368"/>
      <c r="QVE16" s="368"/>
      <c r="QVG16" s="368"/>
      <c r="QVH16" s="368"/>
      <c r="QVI16" s="368"/>
      <c r="QVK16" s="368"/>
      <c r="QVL16" s="368"/>
      <c r="QVM16" s="368"/>
      <c r="QVN16" s="368"/>
      <c r="QVO16" s="368"/>
      <c r="QVY16" s="368"/>
      <c r="QVZ16" s="368"/>
      <c r="QWA16" s="368"/>
      <c r="QWB16" s="368"/>
      <c r="QWF16" s="368"/>
      <c r="QWG16" s="368"/>
      <c r="REQ16" s="368"/>
      <c r="REV16" s="368"/>
      <c r="REW16" s="368"/>
      <c r="REX16" s="368"/>
      <c r="REY16" s="368"/>
      <c r="REZ16" s="368"/>
      <c r="RFA16" s="368"/>
      <c r="RFC16" s="368"/>
      <c r="RFD16" s="368"/>
      <c r="RFE16" s="368"/>
      <c r="RFG16" s="368"/>
      <c r="RFH16" s="368"/>
      <c r="RFI16" s="368"/>
      <c r="RFJ16" s="368"/>
      <c r="RFK16" s="368"/>
      <c r="RFU16" s="368"/>
      <c r="RFV16" s="368"/>
      <c r="RFW16" s="368"/>
      <c r="RFX16" s="368"/>
      <c r="RGB16" s="368"/>
      <c r="RGC16" s="368"/>
      <c r="ROM16" s="368"/>
      <c r="ROR16" s="368"/>
      <c r="ROS16" s="368"/>
      <c r="ROT16" s="368"/>
      <c r="ROU16" s="368"/>
      <c r="ROV16" s="368"/>
      <c r="ROW16" s="368"/>
      <c r="ROY16" s="368"/>
      <c r="ROZ16" s="368"/>
      <c r="RPA16" s="368"/>
      <c r="RPC16" s="368"/>
      <c r="RPD16" s="368"/>
      <c r="RPE16" s="368"/>
      <c r="RPF16" s="368"/>
      <c r="RPG16" s="368"/>
      <c r="RPQ16" s="368"/>
      <c r="RPR16" s="368"/>
      <c r="RPS16" s="368"/>
      <c r="RPT16" s="368"/>
      <c r="RPX16" s="368"/>
      <c r="RPY16" s="368"/>
      <c r="RYI16" s="368"/>
      <c r="RYN16" s="368"/>
      <c r="RYO16" s="368"/>
      <c r="RYP16" s="368"/>
      <c r="RYQ16" s="368"/>
      <c r="RYR16" s="368"/>
      <c r="RYS16" s="368"/>
      <c r="RYU16" s="368"/>
      <c r="RYV16" s="368"/>
      <c r="RYW16" s="368"/>
      <c r="RYY16" s="368"/>
      <c r="RYZ16" s="368"/>
      <c r="RZA16" s="368"/>
      <c r="RZB16" s="368"/>
      <c r="RZC16" s="368"/>
      <c r="RZM16" s="368"/>
      <c r="RZN16" s="368"/>
      <c r="RZO16" s="368"/>
      <c r="RZP16" s="368"/>
      <c r="RZT16" s="368"/>
      <c r="RZU16" s="368"/>
      <c r="SIE16" s="368"/>
      <c r="SIJ16" s="368"/>
      <c r="SIK16" s="368"/>
      <c r="SIL16" s="368"/>
      <c r="SIM16" s="368"/>
      <c r="SIN16" s="368"/>
      <c r="SIO16" s="368"/>
      <c r="SIQ16" s="368"/>
      <c r="SIR16" s="368"/>
      <c r="SIS16" s="368"/>
      <c r="SIU16" s="368"/>
      <c r="SIV16" s="368"/>
      <c r="SIW16" s="368"/>
      <c r="SIX16" s="368"/>
      <c r="SIY16" s="368"/>
      <c r="SJI16" s="368"/>
      <c r="SJJ16" s="368"/>
      <c r="SJK16" s="368"/>
      <c r="SJL16" s="368"/>
      <c r="SJP16" s="368"/>
      <c r="SJQ16" s="368"/>
      <c r="SSA16" s="368"/>
      <c r="SSF16" s="368"/>
      <c r="SSG16" s="368"/>
      <c r="SSH16" s="368"/>
      <c r="SSI16" s="368"/>
      <c r="SSJ16" s="368"/>
      <c r="SSK16" s="368"/>
      <c r="SSM16" s="368"/>
      <c r="SSN16" s="368"/>
      <c r="SSO16" s="368"/>
      <c r="SSQ16" s="368"/>
      <c r="SSR16" s="368"/>
      <c r="SSS16" s="368"/>
      <c r="SST16" s="368"/>
      <c r="SSU16" s="368"/>
      <c r="STE16" s="368"/>
      <c r="STF16" s="368"/>
      <c r="STG16" s="368"/>
      <c r="STH16" s="368"/>
      <c r="STL16" s="368"/>
      <c r="STM16" s="368"/>
      <c r="TBW16" s="368"/>
      <c r="TCB16" s="368"/>
      <c r="TCC16" s="368"/>
      <c r="TCD16" s="368"/>
      <c r="TCE16" s="368"/>
      <c r="TCF16" s="368"/>
      <c r="TCG16" s="368"/>
      <c r="TCI16" s="368"/>
      <c r="TCJ16" s="368"/>
      <c r="TCK16" s="368"/>
      <c r="TCM16" s="368"/>
      <c r="TCN16" s="368"/>
      <c r="TCO16" s="368"/>
      <c r="TCP16" s="368"/>
      <c r="TCQ16" s="368"/>
      <c r="TDA16" s="368"/>
      <c r="TDB16" s="368"/>
      <c r="TDC16" s="368"/>
      <c r="TDD16" s="368"/>
      <c r="TDH16" s="368"/>
      <c r="TDI16" s="368"/>
      <c r="TLS16" s="368"/>
      <c r="TLX16" s="368"/>
      <c r="TLY16" s="368"/>
      <c r="TLZ16" s="368"/>
      <c r="TMA16" s="368"/>
      <c r="TMB16" s="368"/>
      <c r="TMC16" s="368"/>
      <c r="TME16" s="368"/>
      <c r="TMF16" s="368"/>
      <c r="TMG16" s="368"/>
      <c r="TMI16" s="368"/>
      <c r="TMJ16" s="368"/>
      <c r="TMK16" s="368"/>
      <c r="TML16" s="368"/>
      <c r="TMM16" s="368"/>
      <c r="TMW16" s="368"/>
      <c r="TMX16" s="368"/>
      <c r="TMY16" s="368"/>
      <c r="TMZ16" s="368"/>
      <c r="TND16" s="368"/>
      <c r="TNE16" s="368"/>
      <c r="TVO16" s="368"/>
      <c r="TVT16" s="368"/>
      <c r="TVU16" s="368"/>
      <c r="TVV16" s="368"/>
      <c r="TVW16" s="368"/>
      <c r="TVX16" s="368"/>
      <c r="TVY16" s="368"/>
      <c r="TWA16" s="368"/>
      <c r="TWB16" s="368"/>
      <c r="TWC16" s="368"/>
      <c r="TWE16" s="368"/>
      <c r="TWF16" s="368"/>
      <c r="TWG16" s="368"/>
      <c r="TWH16" s="368"/>
      <c r="TWI16" s="368"/>
      <c r="TWS16" s="368"/>
      <c r="TWT16" s="368"/>
      <c r="TWU16" s="368"/>
      <c r="TWV16" s="368"/>
      <c r="TWZ16" s="368"/>
      <c r="TXA16" s="368"/>
      <c r="UFK16" s="368"/>
      <c r="UFP16" s="368"/>
      <c r="UFQ16" s="368"/>
      <c r="UFR16" s="368"/>
      <c r="UFS16" s="368"/>
      <c r="UFT16" s="368"/>
      <c r="UFU16" s="368"/>
      <c r="UFW16" s="368"/>
      <c r="UFX16" s="368"/>
      <c r="UFY16" s="368"/>
      <c r="UGA16" s="368"/>
      <c r="UGB16" s="368"/>
      <c r="UGC16" s="368"/>
      <c r="UGD16" s="368"/>
      <c r="UGE16" s="368"/>
      <c r="UGO16" s="368"/>
      <c r="UGP16" s="368"/>
      <c r="UGQ16" s="368"/>
      <c r="UGR16" s="368"/>
      <c r="UGV16" s="368"/>
      <c r="UGW16" s="368"/>
      <c r="UPG16" s="368"/>
      <c r="UPL16" s="368"/>
      <c r="UPM16" s="368"/>
      <c r="UPN16" s="368"/>
      <c r="UPO16" s="368"/>
      <c r="UPP16" s="368"/>
      <c r="UPQ16" s="368"/>
      <c r="UPS16" s="368"/>
      <c r="UPT16" s="368"/>
      <c r="UPU16" s="368"/>
      <c r="UPW16" s="368"/>
      <c r="UPX16" s="368"/>
      <c r="UPY16" s="368"/>
      <c r="UPZ16" s="368"/>
      <c r="UQA16" s="368"/>
      <c r="UQK16" s="368"/>
      <c r="UQL16" s="368"/>
      <c r="UQM16" s="368"/>
      <c r="UQN16" s="368"/>
      <c r="UQR16" s="368"/>
      <c r="UQS16" s="368"/>
      <c r="UZC16" s="368"/>
      <c r="UZH16" s="368"/>
      <c r="UZI16" s="368"/>
      <c r="UZJ16" s="368"/>
      <c r="UZK16" s="368"/>
      <c r="UZL16" s="368"/>
      <c r="UZM16" s="368"/>
      <c r="UZO16" s="368"/>
      <c r="UZP16" s="368"/>
      <c r="UZQ16" s="368"/>
      <c r="UZS16" s="368"/>
      <c r="UZT16" s="368"/>
      <c r="UZU16" s="368"/>
      <c r="UZV16" s="368"/>
      <c r="UZW16" s="368"/>
      <c r="VAG16" s="368"/>
      <c r="VAH16" s="368"/>
      <c r="VAI16" s="368"/>
      <c r="VAJ16" s="368"/>
      <c r="VAN16" s="368"/>
      <c r="VAO16" s="368"/>
      <c r="VIY16" s="368"/>
      <c r="VJD16" s="368"/>
      <c r="VJE16" s="368"/>
      <c r="VJF16" s="368"/>
      <c r="VJG16" s="368"/>
      <c r="VJH16" s="368"/>
      <c r="VJI16" s="368"/>
      <c r="VJK16" s="368"/>
      <c r="VJL16" s="368"/>
      <c r="VJM16" s="368"/>
      <c r="VJO16" s="368"/>
      <c r="VJP16" s="368"/>
      <c r="VJQ16" s="368"/>
      <c r="VJR16" s="368"/>
      <c r="VJS16" s="368"/>
      <c r="VKC16" s="368"/>
      <c r="VKD16" s="368"/>
      <c r="VKE16" s="368"/>
      <c r="VKF16" s="368"/>
      <c r="VKJ16" s="368"/>
      <c r="VKK16" s="368"/>
      <c r="VSU16" s="368"/>
      <c r="VSZ16" s="368"/>
      <c r="VTA16" s="368"/>
      <c r="VTB16" s="368"/>
      <c r="VTC16" s="368"/>
      <c r="VTD16" s="368"/>
      <c r="VTE16" s="368"/>
      <c r="VTG16" s="368"/>
      <c r="VTH16" s="368"/>
      <c r="VTI16" s="368"/>
      <c r="VTK16" s="368"/>
      <c r="VTL16" s="368"/>
      <c r="VTM16" s="368"/>
      <c r="VTN16" s="368"/>
      <c r="VTO16" s="368"/>
      <c r="VTY16" s="368"/>
      <c r="VTZ16" s="368"/>
      <c r="VUA16" s="368"/>
      <c r="VUB16" s="368"/>
      <c r="VUF16" s="368"/>
      <c r="VUG16" s="368"/>
      <c r="WCQ16" s="368"/>
      <c r="WCV16" s="368"/>
      <c r="WCW16" s="368"/>
      <c r="WCX16" s="368"/>
      <c r="WCY16" s="368"/>
      <c r="WCZ16" s="368"/>
      <c r="WDA16" s="368"/>
      <c r="WDC16" s="368"/>
      <c r="WDD16" s="368"/>
      <c r="WDE16" s="368"/>
      <c r="WDG16" s="368"/>
      <c r="WDH16" s="368"/>
      <c r="WDI16" s="368"/>
      <c r="WDJ16" s="368"/>
      <c r="WDK16" s="368"/>
      <c r="WDU16" s="368"/>
      <c r="WDV16" s="368"/>
      <c r="WDW16" s="368"/>
      <c r="WDX16" s="368"/>
      <c r="WEB16" s="368"/>
      <c r="WEC16" s="368"/>
      <c r="WMM16" s="368"/>
      <c r="WMR16" s="368"/>
      <c r="WMS16" s="368"/>
      <c r="WMT16" s="368"/>
      <c r="WMU16" s="368"/>
      <c r="WMV16" s="368"/>
      <c r="WMW16" s="368"/>
      <c r="WMY16" s="368"/>
      <c r="WMZ16" s="368"/>
      <c r="WNA16" s="368"/>
      <c r="WNC16" s="368"/>
      <c r="WND16" s="368"/>
      <c r="WNE16" s="368"/>
      <c r="WNF16" s="368"/>
      <c r="WNG16" s="368"/>
      <c r="WNQ16" s="368"/>
      <c r="WNR16" s="368"/>
      <c r="WNS16" s="368"/>
      <c r="WNT16" s="368"/>
      <c r="WNX16" s="368"/>
      <c r="WNY16" s="368"/>
      <c r="WWI16" s="368"/>
      <c r="WWN16" s="368"/>
      <c r="WWO16" s="368"/>
      <c r="WWP16" s="368"/>
      <c r="WWQ16" s="368"/>
      <c r="WWR16" s="368"/>
      <c r="WWS16" s="368"/>
      <c r="WWU16" s="368"/>
      <c r="WWV16" s="368"/>
      <c r="WWW16" s="368"/>
      <c r="WWY16" s="368"/>
      <c r="WWZ16" s="368"/>
      <c r="WXA16" s="368"/>
      <c r="WXB16" s="368"/>
      <c r="WXC16" s="368"/>
      <c r="WXM16" s="368"/>
      <c r="WXN16" s="368"/>
      <c r="WXO16" s="368"/>
      <c r="WXP16" s="368"/>
      <c r="WXT16" s="368"/>
      <c r="WXU16" s="368"/>
    </row>
    <row r="17" spans="1:833 1051:1857 2075:2881 3099:3905 4123:4929 5147:5953 6171:6977 7195:8001 8219:9025 9243:10049 10267:11073 11291:12097 12315:13121 13339:14145 14363:15169 15387:16193" s="16" customFormat="1" ht="27" customHeight="1">
      <c r="A17" s="380">
        <v>9</v>
      </c>
      <c r="B17" s="360" t="s">
        <v>279</v>
      </c>
      <c r="C17" s="349" t="s">
        <v>91</v>
      </c>
      <c r="D17" s="363">
        <v>208</v>
      </c>
      <c r="E17" s="350">
        <v>184</v>
      </c>
      <c r="F17" s="364"/>
      <c r="G17" s="364"/>
      <c r="H17" s="351">
        <v>1.5</v>
      </c>
      <c r="I17" s="364"/>
      <c r="J17" s="364"/>
      <c r="K17" s="364"/>
      <c r="L17" s="364"/>
      <c r="M17" s="364"/>
      <c r="N17" s="364"/>
      <c r="O17" s="364"/>
      <c r="P17" s="364"/>
      <c r="Q17" s="234">
        <v>5450000</v>
      </c>
      <c r="R17" s="234">
        <v>0</v>
      </c>
      <c r="S17" s="365"/>
      <c r="T17" s="234">
        <v>300000</v>
      </c>
      <c r="U17" s="365">
        <v>800000</v>
      </c>
      <c r="V17" s="358">
        <f t="shared" si="0"/>
        <v>800000</v>
      </c>
      <c r="W17" s="365">
        <v>600000</v>
      </c>
      <c r="X17" s="234">
        <f t="shared" si="1"/>
        <v>600000</v>
      </c>
      <c r="Y17" s="365">
        <v>600000</v>
      </c>
      <c r="Z17" s="234">
        <f t="shared" si="2"/>
        <v>600000</v>
      </c>
      <c r="AA17" s="365">
        <v>0</v>
      </c>
      <c r="AB17" s="234">
        <v>20000</v>
      </c>
      <c r="AC17" s="234">
        <f t="shared" si="107"/>
        <v>500000</v>
      </c>
      <c r="AD17" s="234">
        <f t="shared" ref="AD17:AD18" si="121">G17*13000</f>
        <v>0</v>
      </c>
      <c r="AE17" s="234">
        <v>0</v>
      </c>
      <c r="AF17" s="365"/>
      <c r="AG17" s="365"/>
      <c r="AH17" s="234">
        <f t="shared" si="4"/>
        <v>2520000</v>
      </c>
      <c r="AI17" s="234">
        <f t="shared" si="5"/>
        <v>5750000</v>
      </c>
      <c r="AJ17" s="234">
        <f t="shared" ref="AJ17:AJ18" si="122">AI17/208</f>
        <v>27644.23076923077</v>
      </c>
      <c r="AK17" s="234">
        <f t="shared" si="7"/>
        <v>5086538.461538462</v>
      </c>
      <c r="AL17" s="234">
        <f t="shared" si="8"/>
        <v>62199.519230769234</v>
      </c>
      <c r="AM17" s="365">
        <f t="shared" si="9"/>
        <v>0</v>
      </c>
      <c r="AN17" s="234">
        <f t="shared" si="10"/>
        <v>0</v>
      </c>
      <c r="AO17" s="365">
        <f t="shared" si="11"/>
        <v>0</v>
      </c>
      <c r="AP17" s="365">
        <f t="shared" si="12"/>
        <v>0</v>
      </c>
      <c r="AQ17" s="365">
        <f t="shared" si="13"/>
        <v>0</v>
      </c>
      <c r="AR17" s="365">
        <f t="shared" si="14"/>
        <v>0</v>
      </c>
      <c r="AS17" s="365">
        <f t="shared" si="15"/>
        <v>0</v>
      </c>
      <c r="AT17" s="365">
        <f t="shared" si="16"/>
        <v>0</v>
      </c>
      <c r="AU17" s="234">
        <f t="shared" ref="AU17:AU18" si="123">SUM(AL17:AT17)</f>
        <v>62199.519230769234</v>
      </c>
      <c r="AV17" s="234">
        <f t="shared" si="32"/>
        <v>7668737.980769231</v>
      </c>
      <c r="AW17" s="234">
        <f>Q17+R17+T17</f>
        <v>5750000</v>
      </c>
      <c r="AX17" s="365">
        <f t="shared" ref="AX17:AX18" si="124">AW17*17.5%</f>
        <v>1006249.9999999999</v>
      </c>
      <c r="AY17" s="365">
        <f t="shared" ref="AY17:AY18" si="125">AW17*3%</f>
        <v>172500</v>
      </c>
      <c r="AZ17" s="365">
        <f t="shared" si="21"/>
        <v>57500</v>
      </c>
      <c r="BA17" s="365">
        <f t="shared" si="35"/>
        <v>115000</v>
      </c>
      <c r="BB17" s="234">
        <f t="shared" si="36"/>
        <v>1351250</v>
      </c>
      <c r="BC17" s="365">
        <f t="shared" si="22"/>
        <v>460000</v>
      </c>
      <c r="BD17" s="365">
        <f t="shared" si="23"/>
        <v>86250</v>
      </c>
      <c r="BE17" s="365">
        <f t="shared" si="24"/>
        <v>57500</v>
      </c>
      <c r="BF17" s="234">
        <f t="shared" si="37"/>
        <v>603750</v>
      </c>
      <c r="BG17" s="365">
        <v>11000000</v>
      </c>
      <c r="BH17" s="365"/>
      <c r="BI17" s="365">
        <f t="shared" ref="BI17:BI18" si="126">BH17*4400000</f>
        <v>0</v>
      </c>
      <c r="BJ17" s="365">
        <f t="shared" si="25"/>
        <v>800000</v>
      </c>
      <c r="BK17" s="365">
        <f t="shared" si="26"/>
        <v>6848004.807692308</v>
      </c>
      <c r="BL17" s="365">
        <f t="shared" ref="BL17:BL18" si="127">IF(BK17-BG17-BF17-BI17&lt;0,0,BK17-BG17-BI17-BF17)</f>
        <v>0</v>
      </c>
      <c r="BM17" s="234">
        <f t="shared" ref="BM17:BM18" si="128">ROUND(IF(BL17&lt;=5000000,BL17*5%,IF(AND(BL17&gt;5000000,BL17&lt;=10000000),BL17*10%-250000,IF(AND(BL17&gt;10000000,BL17&lt;=18000000),BL17*15%-750000,IF(AND(BL17&gt;18000000,BL17&lt;=32000000),BL17*20%-1650000,IF(AND(BL17&gt;32000000,BL17&lt;=52000000),BL17*25%-3250000,IF(AND(BL17&gt;52000000,BL17&lt;80000000),BL17*30%-585000,IF(BL17&gt;80000000,BL17*35%-9850000))))))),0)</f>
        <v>0</v>
      </c>
      <c r="BN17" s="232">
        <v>35000</v>
      </c>
      <c r="BO17" s="234">
        <f t="shared" si="41"/>
        <v>7029987.980769231</v>
      </c>
      <c r="BP17" s="369" t="s">
        <v>218</v>
      </c>
      <c r="BQ17" s="350"/>
      <c r="BR17" s="352"/>
      <c r="JW17" s="368"/>
      <c r="KB17" s="368"/>
      <c r="KC17" s="368"/>
      <c r="KD17" s="368"/>
      <c r="KE17" s="368"/>
      <c r="KF17" s="368"/>
      <c r="KG17" s="368"/>
      <c r="KI17" s="368"/>
      <c r="KJ17" s="368"/>
      <c r="KK17" s="368"/>
      <c r="KM17" s="368"/>
      <c r="KN17" s="368"/>
      <c r="KO17" s="368"/>
      <c r="KP17" s="368"/>
      <c r="KQ17" s="368"/>
      <c r="LA17" s="368"/>
      <c r="LB17" s="368"/>
      <c r="LC17" s="368"/>
      <c r="LD17" s="368"/>
      <c r="LH17" s="368"/>
      <c r="LI17" s="368"/>
      <c r="TS17" s="368"/>
      <c r="TX17" s="368"/>
      <c r="TY17" s="368"/>
      <c r="TZ17" s="368"/>
      <c r="UA17" s="368"/>
      <c r="UB17" s="368"/>
      <c r="UC17" s="368"/>
      <c r="UE17" s="368"/>
      <c r="UF17" s="368"/>
      <c r="UG17" s="368"/>
      <c r="UI17" s="368"/>
      <c r="UJ17" s="368"/>
      <c r="UK17" s="368"/>
      <c r="UL17" s="368"/>
      <c r="UM17" s="368"/>
      <c r="UW17" s="368"/>
      <c r="UX17" s="368"/>
      <c r="UY17" s="368"/>
      <c r="UZ17" s="368"/>
      <c r="VD17" s="368"/>
      <c r="VE17" s="368"/>
      <c r="ADO17" s="368"/>
      <c r="ADT17" s="368"/>
      <c r="ADU17" s="368"/>
      <c r="ADV17" s="368"/>
      <c r="ADW17" s="368"/>
      <c r="ADX17" s="368"/>
      <c r="ADY17" s="368"/>
      <c r="AEA17" s="368"/>
      <c r="AEB17" s="368"/>
      <c r="AEC17" s="368"/>
      <c r="AEE17" s="368"/>
      <c r="AEF17" s="368"/>
      <c r="AEG17" s="368"/>
      <c r="AEH17" s="368"/>
      <c r="AEI17" s="368"/>
      <c r="AES17" s="368"/>
      <c r="AET17" s="368"/>
      <c r="AEU17" s="368"/>
      <c r="AEV17" s="368"/>
      <c r="AEZ17" s="368"/>
      <c r="AFA17" s="368"/>
      <c r="ANK17" s="368"/>
      <c r="ANP17" s="368"/>
      <c r="ANQ17" s="368"/>
      <c r="ANR17" s="368"/>
      <c r="ANS17" s="368"/>
      <c r="ANT17" s="368"/>
      <c r="ANU17" s="368"/>
      <c r="ANW17" s="368"/>
      <c r="ANX17" s="368"/>
      <c r="ANY17" s="368"/>
      <c r="AOA17" s="368"/>
      <c r="AOB17" s="368"/>
      <c r="AOC17" s="368"/>
      <c r="AOD17" s="368"/>
      <c r="AOE17" s="368"/>
      <c r="AOO17" s="368"/>
      <c r="AOP17" s="368"/>
      <c r="AOQ17" s="368"/>
      <c r="AOR17" s="368"/>
      <c r="AOV17" s="368"/>
      <c r="AOW17" s="368"/>
      <c r="AXG17" s="368"/>
      <c r="AXL17" s="368"/>
      <c r="AXM17" s="368"/>
      <c r="AXN17" s="368"/>
      <c r="AXO17" s="368"/>
      <c r="AXP17" s="368"/>
      <c r="AXQ17" s="368"/>
      <c r="AXS17" s="368"/>
      <c r="AXT17" s="368"/>
      <c r="AXU17" s="368"/>
      <c r="AXW17" s="368"/>
      <c r="AXX17" s="368"/>
      <c r="AXY17" s="368"/>
      <c r="AXZ17" s="368"/>
      <c r="AYA17" s="368"/>
      <c r="AYK17" s="368"/>
      <c r="AYL17" s="368"/>
      <c r="AYM17" s="368"/>
      <c r="AYN17" s="368"/>
      <c r="AYR17" s="368"/>
      <c r="AYS17" s="368"/>
      <c r="BHC17" s="368"/>
      <c r="BHH17" s="368"/>
      <c r="BHI17" s="368"/>
      <c r="BHJ17" s="368"/>
      <c r="BHK17" s="368"/>
      <c r="BHL17" s="368"/>
      <c r="BHM17" s="368"/>
      <c r="BHO17" s="368"/>
      <c r="BHP17" s="368"/>
      <c r="BHQ17" s="368"/>
      <c r="BHS17" s="368"/>
      <c r="BHT17" s="368"/>
      <c r="BHU17" s="368"/>
      <c r="BHV17" s="368"/>
      <c r="BHW17" s="368"/>
      <c r="BIG17" s="368"/>
      <c r="BIH17" s="368"/>
      <c r="BII17" s="368"/>
      <c r="BIJ17" s="368"/>
      <c r="BIN17" s="368"/>
      <c r="BIO17" s="368"/>
      <c r="BQY17" s="368"/>
      <c r="BRD17" s="368"/>
      <c r="BRE17" s="368"/>
      <c r="BRF17" s="368"/>
      <c r="BRG17" s="368"/>
      <c r="BRH17" s="368"/>
      <c r="BRI17" s="368"/>
      <c r="BRK17" s="368"/>
      <c r="BRL17" s="368"/>
      <c r="BRM17" s="368"/>
      <c r="BRO17" s="368"/>
      <c r="BRP17" s="368"/>
      <c r="BRQ17" s="368"/>
      <c r="BRR17" s="368"/>
      <c r="BRS17" s="368"/>
      <c r="BSC17" s="368"/>
      <c r="BSD17" s="368"/>
      <c r="BSE17" s="368"/>
      <c r="BSF17" s="368"/>
      <c r="BSJ17" s="368"/>
      <c r="BSK17" s="368"/>
      <c r="CAU17" s="368"/>
      <c r="CAZ17" s="368"/>
      <c r="CBA17" s="368"/>
      <c r="CBB17" s="368"/>
      <c r="CBC17" s="368"/>
      <c r="CBD17" s="368"/>
      <c r="CBE17" s="368"/>
      <c r="CBG17" s="368"/>
      <c r="CBH17" s="368"/>
      <c r="CBI17" s="368"/>
      <c r="CBK17" s="368"/>
      <c r="CBL17" s="368"/>
      <c r="CBM17" s="368"/>
      <c r="CBN17" s="368"/>
      <c r="CBO17" s="368"/>
      <c r="CBY17" s="368"/>
      <c r="CBZ17" s="368"/>
      <c r="CCA17" s="368"/>
      <c r="CCB17" s="368"/>
      <c r="CCF17" s="368"/>
      <c r="CCG17" s="368"/>
      <c r="CKQ17" s="368"/>
      <c r="CKV17" s="368"/>
      <c r="CKW17" s="368"/>
      <c r="CKX17" s="368"/>
      <c r="CKY17" s="368"/>
      <c r="CKZ17" s="368"/>
      <c r="CLA17" s="368"/>
      <c r="CLC17" s="368"/>
      <c r="CLD17" s="368"/>
      <c r="CLE17" s="368"/>
      <c r="CLG17" s="368"/>
      <c r="CLH17" s="368"/>
      <c r="CLI17" s="368"/>
      <c r="CLJ17" s="368"/>
      <c r="CLK17" s="368"/>
      <c r="CLU17" s="368"/>
      <c r="CLV17" s="368"/>
      <c r="CLW17" s="368"/>
      <c r="CLX17" s="368"/>
      <c r="CMB17" s="368"/>
      <c r="CMC17" s="368"/>
      <c r="CUM17" s="368"/>
      <c r="CUR17" s="368"/>
      <c r="CUS17" s="368"/>
      <c r="CUT17" s="368"/>
      <c r="CUU17" s="368"/>
      <c r="CUV17" s="368"/>
      <c r="CUW17" s="368"/>
      <c r="CUY17" s="368"/>
      <c r="CUZ17" s="368"/>
      <c r="CVA17" s="368"/>
      <c r="CVC17" s="368"/>
      <c r="CVD17" s="368"/>
      <c r="CVE17" s="368"/>
      <c r="CVF17" s="368"/>
      <c r="CVG17" s="368"/>
      <c r="CVQ17" s="368"/>
      <c r="CVR17" s="368"/>
      <c r="CVS17" s="368"/>
      <c r="CVT17" s="368"/>
      <c r="CVX17" s="368"/>
      <c r="CVY17" s="368"/>
      <c r="DEI17" s="368"/>
      <c r="DEN17" s="368"/>
      <c r="DEO17" s="368"/>
      <c r="DEP17" s="368"/>
      <c r="DEQ17" s="368"/>
      <c r="DER17" s="368"/>
      <c r="DES17" s="368"/>
      <c r="DEU17" s="368"/>
      <c r="DEV17" s="368"/>
      <c r="DEW17" s="368"/>
      <c r="DEY17" s="368"/>
      <c r="DEZ17" s="368"/>
      <c r="DFA17" s="368"/>
      <c r="DFB17" s="368"/>
      <c r="DFC17" s="368"/>
      <c r="DFM17" s="368"/>
      <c r="DFN17" s="368"/>
      <c r="DFO17" s="368"/>
      <c r="DFP17" s="368"/>
      <c r="DFT17" s="368"/>
      <c r="DFU17" s="368"/>
      <c r="DOE17" s="368"/>
      <c r="DOJ17" s="368"/>
      <c r="DOK17" s="368"/>
      <c r="DOL17" s="368"/>
      <c r="DOM17" s="368"/>
      <c r="DON17" s="368"/>
      <c r="DOO17" s="368"/>
      <c r="DOQ17" s="368"/>
      <c r="DOR17" s="368"/>
      <c r="DOS17" s="368"/>
      <c r="DOU17" s="368"/>
      <c r="DOV17" s="368"/>
      <c r="DOW17" s="368"/>
      <c r="DOX17" s="368"/>
      <c r="DOY17" s="368"/>
      <c r="DPI17" s="368"/>
      <c r="DPJ17" s="368"/>
      <c r="DPK17" s="368"/>
      <c r="DPL17" s="368"/>
      <c r="DPP17" s="368"/>
      <c r="DPQ17" s="368"/>
      <c r="DYA17" s="368"/>
      <c r="DYF17" s="368"/>
      <c r="DYG17" s="368"/>
      <c r="DYH17" s="368"/>
      <c r="DYI17" s="368"/>
      <c r="DYJ17" s="368"/>
      <c r="DYK17" s="368"/>
      <c r="DYM17" s="368"/>
      <c r="DYN17" s="368"/>
      <c r="DYO17" s="368"/>
      <c r="DYQ17" s="368"/>
      <c r="DYR17" s="368"/>
      <c r="DYS17" s="368"/>
      <c r="DYT17" s="368"/>
      <c r="DYU17" s="368"/>
      <c r="DZE17" s="368"/>
      <c r="DZF17" s="368"/>
      <c r="DZG17" s="368"/>
      <c r="DZH17" s="368"/>
      <c r="DZL17" s="368"/>
      <c r="DZM17" s="368"/>
      <c r="EHW17" s="368"/>
      <c r="EIB17" s="368"/>
      <c r="EIC17" s="368"/>
      <c r="EID17" s="368"/>
      <c r="EIE17" s="368"/>
      <c r="EIF17" s="368"/>
      <c r="EIG17" s="368"/>
      <c r="EII17" s="368"/>
      <c r="EIJ17" s="368"/>
      <c r="EIK17" s="368"/>
      <c r="EIM17" s="368"/>
      <c r="EIN17" s="368"/>
      <c r="EIO17" s="368"/>
      <c r="EIP17" s="368"/>
      <c r="EIQ17" s="368"/>
      <c r="EJA17" s="368"/>
      <c r="EJB17" s="368"/>
      <c r="EJC17" s="368"/>
      <c r="EJD17" s="368"/>
      <c r="EJH17" s="368"/>
      <c r="EJI17" s="368"/>
      <c r="ERS17" s="368"/>
      <c r="ERX17" s="368"/>
      <c r="ERY17" s="368"/>
      <c r="ERZ17" s="368"/>
      <c r="ESA17" s="368"/>
      <c r="ESB17" s="368"/>
      <c r="ESC17" s="368"/>
      <c r="ESE17" s="368"/>
      <c r="ESF17" s="368"/>
      <c r="ESG17" s="368"/>
      <c r="ESI17" s="368"/>
      <c r="ESJ17" s="368"/>
      <c r="ESK17" s="368"/>
      <c r="ESL17" s="368"/>
      <c r="ESM17" s="368"/>
      <c r="ESW17" s="368"/>
      <c r="ESX17" s="368"/>
      <c r="ESY17" s="368"/>
      <c r="ESZ17" s="368"/>
      <c r="ETD17" s="368"/>
      <c r="ETE17" s="368"/>
      <c r="FBO17" s="368"/>
      <c r="FBT17" s="368"/>
      <c r="FBU17" s="368"/>
      <c r="FBV17" s="368"/>
      <c r="FBW17" s="368"/>
      <c r="FBX17" s="368"/>
      <c r="FBY17" s="368"/>
      <c r="FCA17" s="368"/>
      <c r="FCB17" s="368"/>
      <c r="FCC17" s="368"/>
      <c r="FCE17" s="368"/>
      <c r="FCF17" s="368"/>
      <c r="FCG17" s="368"/>
      <c r="FCH17" s="368"/>
      <c r="FCI17" s="368"/>
      <c r="FCS17" s="368"/>
      <c r="FCT17" s="368"/>
      <c r="FCU17" s="368"/>
      <c r="FCV17" s="368"/>
      <c r="FCZ17" s="368"/>
      <c r="FDA17" s="368"/>
      <c r="FLK17" s="368"/>
      <c r="FLP17" s="368"/>
      <c r="FLQ17" s="368"/>
      <c r="FLR17" s="368"/>
      <c r="FLS17" s="368"/>
      <c r="FLT17" s="368"/>
      <c r="FLU17" s="368"/>
      <c r="FLW17" s="368"/>
      <c r="FLX17" s="368"/>
      <c r="FLY17" s="368"/>
      <c r="FMA17" s="368"/>
      <c r="FMB17" s="368"/>
      <c r="FMC17" s="368"/>
      <c r="FMD17" s="368"/>
      <c r="FME17" s="368"/>
      <c r="FMO17" s="368"/>
      <c r="FMP17" s="368"/>
      <c r="FMQ17" s="368"/>
      <c r="FMR17" s="368"/>
      <c r="FMV17" s="368"/>
      <c r="FMW17" s="368"/>
      <c r="FVG17" s="368"/>
      <c r="FVL17" s="368"/>
      <c r="FVM17" s="368"/>
      <c r="FVN17" s="368"/>
      <c r="FVO17" s="368"/>
      <c r="FVP17" s="368"/>
      <c r="FVQ17" s="368"/>
      <c r="FVS17" s="368"/>
      <c r="FVT17" s="368"/>
      <c r="FVU17" s="368"/>
      <c r="FVW17" s="368"/>
      <c r="FVX17" s="368"/>
      <c r="FVY17" s="368"/>
      <c r="FVZ17" s="368"/>
      <c r="FWA17" s="368"/>
      <c r="FWK17" s="368"/>
      <c r="FWL17" s="368"/>
      <c r="FWM17" s="368"/>
      <c r="FWN17" s="368"/>
      <c r="FWR17" s="368"/>
      <c r="FWS17" s="368"/>
      <c r="GFC17" s="368"/>
      <c r="GFH17" s="368"/>
      <c r="GFI17" s="368"/>
      <c r="GFJ17" s="368"/>
      <c r="GFK17" s="368"/>
      <c r="GFL17" s="368"/>
      <c r="GFM17" s="368"/>
      <c r="GFO17" s="368"/>
      <c r="GFP17" s="368"/>
      <c r="GFQ17" s="368"/>
      <c r="GFS17" s="368"/>
      <c r="GFT17" s="368"/>
      <c r="GFU17" s="368"/>
      <c r="GFV17" s="368"/>
      <c r="GFW17" s="368"/>
      <c r="GGG17" s="368"/>
      <c r="GGH17" s="368"/>
      <c r="GGI17" s="368"/>
      <c r="GGJ17" s="368"/>
      <c r="GGN17" s="368"/>
      <c r="GGO17" s="368"/>
      <c r="GOY17" s="368"/>
      <c r="GPD17" s="368"/>
      <c r="GPE17" s="368"/>
      <c r="GPF17" s="368"/>
      <c r="GPG17" s="368"/>
      <c r="GPH17" s="368"/>
      <c r="GPI17" s="368"/>
      <c r="GPK17" s="368"/>
      <c r="GPL17" s="368"/>
      <c r="GPM17" s="368"/>
      <c r="GPO17" s="368"/>
      <c r="GPP17" s="368"/>
      <c r="GPQ17" s="368"/>
      <c r="GPR17" s="368"/>
      <c r="GPS17" s="368"/>
      <c r="GQC17" s="368"/>
      <c r="GQD17" s="368"/>
      <c r="GQE17" s="368"/>
      <c r="GQF17" s="368"/>
      <c r="GQJ17" s="368"/>
      <c r="GQK17" s="368"/>
      <c r="GYU17" s="368"/>
      <c r="GYZ17" s="368"/>
      <c r="GZA17" s="368"/>
      <c r="GZB17" s="368"/>
      <c r="GZC17" s="368"/>
      <c r="GZD17" s="368"/>
      <c r="GZE17" s="368"/>
      <c r="GZG17" s="368"/>
      <c r="GZH17" s="368"/>
      <c r="GZI17" s="368"/>
      <c r="GZK17" s="368"/>
      <c r="GZL17" s="368"/>
      <c r="GZM17" s="368"/>
      <c r="GZN17" s="368"/>
      <c r="GZO17" s="368"/>
      <c r="GZY17" s="368"/>
      <c r="GZZ17" s="368"/>
      <c r="HAA17" s="368"/>
      <c r="HAB17" s="368"/>
      <c r="HAF17" s="368"/>
      <c r="HAG17" s="368"/>
      <c r="HIQ17" s="368"/>
      <c r="HIV17" s="368"/>
      <c r="HIW17" s="368"/>
      <c r="HIX17" s="368"/>
      <c r="HIY17" s="368"/>
      <c r="HIZ17" s="368"/>
      <c r="HJA17" s="368"/>
      <c r="HJC17" s="368"/>
      <c r="HJD17" s="368"/>
      <c r="HJE17" s="368"/>
      <c r="HJG17" s="368"/>
      <c r="HJH17" s="368"/>
      <c r="HJI17" s="368"/>
      <c r="HJJ17" s="368"/>
      <c r="HJK17" s="368"/>
      <c r="HJU17" s="368"/>
      <c r="HJV17" s="368"/>
      <c r="HJW17" s="368"/>
      <c r="HJX17" s="368"/>
      <c r="HKB17" s="368"/>
      <c r="HKC17" s="368"/>
      <c r="HSM17" s="368"/>
      <c r="HSR17" s="368"/>
      <c r="HSS17" s="368"/>
      <c r="HST17" s="368"/>
      <c r="HSU17" s="368"/>
      <c r="HSV17" s="368"/>
      <c r="HSW17" s="368"/>
      <c r="HSY17" s="368"/>
      <c r="HSZ17" s="368"/>
      <c r="HTA17" s="368"/>
      <c r="HTC17" s="368"/>
      <c r="HTD17" s="368"/>
      <c r="HTE17" s="368"/>
      <c r="HTF17" s="368"/>
      <c r="HTG17" s="368"/>
      <c r="HTQ17" s="368"/>
      <c r="HTR17" s="368"/>
      <c r="HTS17" s="368"/>
      <c r="HTT17" s="368"/>
      <c r="HTX17" s="368"/>
      <c r="HTY17" s="368"/>
      <c r="ICI17" s="368"/>
      <c r="ICN17" s="368"/>
      <c r="ICO17" s="368"/>
      <c r="ICP17" s="368"/>
      <c r="ICQ17" s="368"/>
      <c r="ICR17" s="368"/>
      <c r="ICS17" s="368"/>
      <c r="ICU17" s="368"/>
      <c r="ICV17" s="368"/>
      <c r="ICW17" s="368"/>
      <c r="ICY17" s="368"/>
      <c r="ICZ17" s="368"/>
      <c r="IDA17" s="368"/>
      <c r="IDB17" s="368"/>
      <c r="IDC17" s="368"/>
      <c r="IDM17" s="368"/>
      <c r="IDN17" s="368"/>
      <c r="IDO17" s="368"/>
      <c r="IDP17" s="368"/>
      <c r="IDT17" s="368"/>
      <c r="IDU17" s="368"/>
      <c r="IME17" s="368"/>
      <c r="IMJ17" s="368"/>
      <c r="IMK17" s="368"/>
      <c r="IML17" s="368"/>
      <c r="IMM17" s="368"/>
      <c r="IMN17" s="368"/>
      <c r="IMO17" s="368"/>
      <c r="IMQ17" s="368"/>
      <c r="IMR17" s="368"/>
      <c r="IMS17" s="368"/>
      <c r="IMU17" s="368"/>
      <c r="IMV17" s="368"/>
      <c r="IMW17" s="368"/>
      <c r="IMX17" s="368"/>
      <c r="IMY17" s="368"/>
      <c r="INI17" s="368"/>
      <c r="INJ17" s="368"/>
      <c r="INK17" s="368"/>
      <c r="INL17" s="368"/>
      <c r="INP17" s="368"/>
      <c r="INQ17" s="368"/>
      <c r="IWA17" s="368"/>
      <c r="IWF17" s="368"/>
      <c r="IWG17" s="368"/>
      <c r="IWH17" s="368"/>
      <c r="IWI17" s="368"/>
      <c r="IWJ17" s="368"/>
      <c r="IWK17" s="368"/>
      <c r="IWM17" s="368"/>
      <c r="IWN17" s="368"/>
      <c r="IWO17" s="368"/>
      <c r="IWQ17" s="368"/>
      <c r="IWR17" s="368"/>
      <c r="IWS17" s="368"/>
      <c r="IWT17" s="368"/>
      <c r="IWU17" s="368"/>
      <c r="IXE17" s="368"/>
      <c r="IXF17" s="368"/>
      <c r="IXG17" s="368"/>
      <c r="IXH17" s="368"/>
      <c r="IXL17" s="368"/>
      <c r="IXM17" s="368"/>
      <c r="JFW17" s="368"/>
      <c r="JGB17" s="368"/>
      <c r="JGC17" s="368"/>
      <c r="JGD17" s="368"/>
      <c r="JGE17" s="368"/>
      <c r="JGF17" s="368"/>
      <c r="JGG17" s="368"/>
      <c r="JGI17" s="368"/>
      <c r="JGJ17" s="368"/>
      <c r="JGK17" s="368"/>
      <c r="JGM17" s="368"/>
      <c r="JGN17" s="368"/>
      <c r="JGO17" s="368"/>
      <c r="JGP17" s="368"/>
      <c r="JGQ17" s="368"/>
      <c r="JHA17" s="368"/>
      <c r="JHB17" s="368"/>
      <c r="JHC17" s="368"/>
      <c r="JHD17" s="368"/>
      <c r="JHH17" s="368"/>
      <c r="JHI17" s="368"/>
      <c r="JPS17" s="368"/>
      <c r="JPX17" s="368"/>
      <c r="JPY17" s="368"/>
      <c r="JPZ17" s="368"/>
      <c r="JQA17" s="368"/>
      <c r="JQB17" s="368"/>
      <c r="JQC17" s="368"/>
      <c r="JQE17" s="368"/>
      <c r="JQF17" s="368"/>
      <c r="JQG17" s="368"/>
      <c r="JQI17" s="368"/>
      <c r="JQJ17" s="368"/>
      <c r="JQK17" s="368"/>
      <c r="JQL17" s="368"/>
      <c r="JQM17" s="368"/>
      <c r="JQW17" s="368"/>
      <c r="JQX17" s="368"/>
      <c r="JQY17" s="368"/>
      <c r="JQZ17" s="368"/>
      <c r="JRD17" s="368"/>
      <c r="JRE17" s="368"/>
      <c r="JZO17" s="368"/>
      <c r="JZT17" s="368"/>
      <c r="JZU17" s="368"/>
      <c r="JZV17" s="368"/>
      <c r="JZW17" s="368"/>
      <c r="JZX17" s="368"/>
      <c r="JZY17" s="368"/>
      <c r="KAA17" s="368"/>
      <c r="KAB17" s="368"/>
      <c r="KAC17" s="368"/>
      <c r="KAE17" s="368"/>
      <c r="KAF17" s="368"/>
      <c r="KAG17" s="368"/>
      <c r="KAH17" s="368"/>
      <c r="KAI17" s="368"/>
      <c r="KAS17" s="368"/>
      <c r="KAT17" s="368"/>
      <c r="KAU17" s="368"/>
      <c r="KAV17" s="368"/>
      <c r="KAZ17" s="368"/>
      <c r="KBA17" s="368"/>
      <c r="KJK17" s="368"/>
      <c r="KJP17" s="368"/>
      <c r="KJQ17" s="368"/>
      <c r="KJR17" s="368"/>
      <c r="KJS17" s="368"/>
      <c r="KJT17" s="368"/>
      <c r="KJU17" s="368"/>
      <c r="KJW17" s="368"/>
      <c r="KJX17" s="368"/>
      <c r="KJY17" s="368"/>
      <c r="KKA17" s="368"/>
      <c r="KKB17" s="368"/>
      <c r="KKC17" s="368"/>
      <c r="KKD17" s="368"/>
      <c r="KKE17" s="368"/>
      <c r="KKO17" s="368"/>
      <c r="KKP17" s="368"/>
      <c r="KKQ17" s="368"/>
      <c r="KKR17" s="368"/>
      <c r="KKV17" s="368"/>
      <c r="KKW17" s="368"/>
      <c r="KTG17" s="368"/>
      <c r="KTL17" s="368"/>
      <c r="KTM17" s="368"/>
      <c r="KTN17" s="368"/>
      <c r="KTO17" s="368"/>
      <c r="KTP17" s="368"/>
      <c r="KTQ17" s="368"/>
      <c r="KTS17" s="368"/>
      <c r="KTT17" s="368"/>
      <c r="KTU17" s="368"/>
      <c r="KTW17" s="368"/>
      <c r="KTX17" s="368"/>
      <c r="KTY17" s="368"/>
      <c r="KTZ17" s="368"/>
      <c r="KUA17" s="368"/>
      <c r="KUK17" s="368"/>
      <c r="KUL17" s="368"/>
      <c r="KUM17" s="368"/>
      <c r="KUN17" s="368"/>
      <c r="KUR17" s="368"/>
      <c r="KUS17" s="368"/>
      <c r="LDC17" s="368"/>
      <c r="LDH17" s="368"/>
      <c r="LDI17" s="368"/>
      <c r="LDJ17" s="368"/>
      <c r="LDK17" s="368"/>
      <c r="LDL17" s="368"/>
      <c r="LDM17" s="368"/>
      <c r="LDO17" s="368"/>
      <c r="LDP17" s="368"/>
      <c r="LDQ17" s="368"/>
      <c r="LDS17" s="368"/>
      <c r="LDT17" s="368"/>
      <c r="LDU17" s="368"/>
      <c r="LDV17" s="368"/>
      <c r="LDW17" s="368"/>
      <c r="LEG17" s="368"/>
      <c r="LEH17" s="368"/>
      <c r="LEI17" s="368"/>
      <c r="LEJ17" s="368"/>
      <c r="LEN17" s="368"/>
      <c r="LEO17" s="368"/>
      <c r="LMY17" s="368"/>
      <c r="LND17" s="368"/>
      <c r="LNE17" s="368"/>
      <c r="LNF17" s="368"/>
      <c r="LNG17" s="368"/>
      <c r="LNH17" s="368"/>
      <c r="LNI17" s="368"/>
      <c r="LNK17" s="368"/>
      <c r="LNL17" s="368"/>
      <c r="LNM17" s="368"/>
      <c r="LNO17" s="368"/>
      <c r="LNP17" s="368"/>
      <c r="LNQ17" s="368"/>
      <c r="LNR17" s="368"/>
      <c r="LNS17" s="368"/>
      <c r="LOC17" s="368"/>
      <c r="LOD17" s="368"/>
      <c r="LOE17" s="368"/>
      <c r="LOF17" s="368"/>
      <c r="LOJ17" s="368"/>
      <c r="LOK17" s="368"/>
      <c r="LWU17" s="368"/>
      <c r="LWZ17" s="368"/>
      <c r="LXA17" s="368"/>
      <c r="LXB17" s="368"/>
      <c r="LXC17" s="368"/>
      <c r="LXD17" s="368"/>
      <c r="LXE17" s="368"/>
      <c r="LXG17" s="368"/>
      <c r="LXH17" s="368"/>
      <c r="LXI17" s="368"/>
      <c r="LXK17" s="368"/>
      <c r="LXL17" s="368"/>
      <c r="LXM17" s="368"/>
      <c r="LXN17" s="368"/>
      <c r="LXO17" s="368"/>
      <c r="LXY17" s="368"/>
      <c r="LXZ17" s="368"/>
      <c r="LYA17" s="368"/>
      <c r="LYB17" s="368"/>
      <c r="LYF17" s="368"/>
      <c r="LYG17" s="368"/>
      <c r="MGQ17" s="368"/>
      <c r="MGV17" s="368"/>
      <c r="MGW17" s="368"/>
      <c r="MGX17" s="368"/>
      <c r="MGY17" s="368"/>
      <c r="MGZ17" s="368"/>
      <c r="MHA17" s="368"/>
      <c r="MHC17" s="368"/>
      <c r="MHD17" s="368"/>
      <c r="MHE17" s="368"/>
      <c r="MHG17" s="368"/>
      <c r="MHH17" s="368"/>
      <c r="MHI17" s="368"/>
      <c r="MHJ17" s="368"/>
      <c r="MHK17" s="368"/>
      <c r="MHU17" s="368"/>
      <c r="MHV17" s="368"/>
      <c r="MHW17" s="368"/>
      <c r="MHX17" s="368"/>
      <c r="MIB17" s="368"/>
      <c r="MIC17" s="368"/>
      <c r="MQM17" s="368"/>
      <c r="MQR17" s="368"/>
      <c r="MQS17" s="368"/>
      <c r="MQT17" s="368"/>
      <c r="MQU17" s="368"/>
      <c r="MQV17" s="368"/>
      <c r="MQW17" s="368"/>
      <c r="MQY17" s="368"/>
      <c r="MQZ17" s="368"/>
      <c r="MRA17" s="368"/>
      <c r="MRC17" s="368"/>
      <c r="MRD17" s="368"/>
      <c r="MRE17" s="368"/>
      <c r="MRF17" s="368"/>
      <c r="MRG17" s="368"/>
      <c r="MRQ17" s="368"/>
      <c r="MRR17" s="368"/>
      <c r="MRS17" s="368"/>
      <c r="MRT17" s="368"/>
      <c r="MRX17" s="368"/>
      <c r="MRY17" s="368"/>
      <c r="NAI17" s="368"/>
      <c r="NAN17" s="368"/>
      <c r="NAO17" s="368"/>
      <c r="NAP17" s="368"/>
      <c r="NAQ17" s="368"/>
      <c r="NAR17" s="368"/>
      <c r="NAS17" s="368"/>
      <c r="NAU17" s="368"/>
      <c r="NAV17" s="368"/>
      <c r="NAW17" s="368"/>
      <c r="NAY17" s="368"/>
      <c r="NAZ17" s="368"/>
      <c r="NBA17" s="368"/>
      <c r="NBB17" s="368"/>
      <c r="NBC17" s="368"/>
      <c r="NBM17" s="368"/>
      <c r="NBN17" s="368"/>
      <c r="NBO17" s="368"/>
      <c r="NBP17" s="368"/>
      <c r="NBT17" s="368"/>
      <c r="NBU17" s="368"/>
      <c r="NKE17" s="368"/>
      <c r="NKJ17" s="368"/>
      <c r="NKK17" s="368"/>
      <c r="NKL17" s="368"/>
      <c r="NKM17" s="368"/>
      <c r="NKN17" s="368"/>
      <c r="NKO17" s="368"/>
      <c r="NKQ17" s="368"/>
      <c r="NKR17" s="368"/>
      <c r="NKS17" s="368"/>
      <c r="NKU17" s="368"/>
      <c r="NKV17" s="368"/>
      <c r="NKW17" s="368"/>
      <c r="NKX17" s="368"/>
      <c r="NKY17" s="368"/>
      <c r="NLI17" s="368"/>
      <c r="NLJ17" s="368"/>
      <c r="NLK17" s="368"/>
      <c r="NLL17" s="368"/>
      <c r="NLP17" s="368"/>
      <c r="NLQ17" s="368"/>
      <c r="NUA17" s="368"/>
      <c r="NUF17" s="368"/>
      <c r="NUG17" s="368"/>
      <c r="NUH17" s="368"/>
      <c r="NUI17" s="368"/>
      <c r="NUJ17" s="368"/>
      <c r="NUK17" s="368"/>
      <c r="NUM17" s="368"/>
      <c r="NUN17" s="368"/>
      <c r="NUO17" s="368"/>
      <c r="NUQ17" s="368"/>
      <c r="NUR17" s="368"/>
      <c r="NUS17" s="368"/>
      <c r="NUT17" s="368"/>
      <c r="NUU17" s="368"/>
      <c r="NVE17" s="368"/>
      <c r="NVF17" s="368"/>
      <c r="NVG17" s="368"/>
      <c r="NVH17" s="368"/>
      <c r="NVL17" s="368"/>
      <c r="NVM17" s="368"/>
      <c r="ODW17" s="368"/>
      <c r="OEB17" s="368"/>
      <c r="OEC17" s="368"/>
      <c r="OED17" s="368"/>
      <c r="OEE17" s="368"/>
      <c r="OEF17" s="368"/>
      <c r="OEG17" s="368"/>
      <c r="OEI17" s="368"/>
      <c r="OEJ17" s="368"/>
      <c r="OEK17" s="368"/>
      <c r="OEM17" s="368"/>
      <c r="OEN17" s="368"/>
      <c r="OEO17" s="368"/>
      <c r="OEP17" s="368"/>
      <c r="OEQ17" s="368"/>
      <c r="OFA17" s="368"/>
      <c r="OFB17" s="368"/>
      <c r="OFC17" s="368"/>
      <c r="OFD17" s="368"/>
      <c r="OFH17" s="368"/>
      <c r="OFI17" s="368"/>
      <c r="ONS17" s="368"/>
      <c r="ONX17" s="368"/>
      <c r="ONY17" s="368"/>
      <c r="ONZ17" s="368"/>
      <c r="OOA17" s="368"/>
      <c r="OOB17" s="368"/>
      <c r="OOC17" s="368"/>
      <c r="OOE17" s="368"/>
      <c r="OOF17" s="368"/>
      <c r="OOG17" s="368"/>
      <c r="OOI17" s="368"/>
      <c r="OOJ17" s="368"/>
      <c r="OOK17" s="368"/>
      <c r="OOL17" s="368"/>
      <c r="OOM17" s="368"/>
      <c r="OOW17" s="368"/>
      <c r="OOX17" s="368"/>
      <c r="OOY17" s="368"/>
      <c r="OOZ17" s="368"/>
      <c r="OPD17" s="368"/>
      <c r="OPE17" s="368"/>
      <c r="OXO17" s="368"/>
      <c r="OXT17" s="368"/>
      <c r="OXU17" s="368"/>
      <c r="OXV17" s="368"/>
      <c r="OXW17" s="368"/>
      <c r="OXX17" s="368"/>
      <c r="OXY17" s="368"/>
      <c r="OYA17" s="368"/>
      <c r="OYB17" s="368"/>
      <c r="OYC17" s="368"/>
      <c r="OYE17" s="368"/>
      <c r="OYF17" s="368"/>
      <c r="OYG17" s="368"/>
      <c r="OYH17" s="368"/>
      <c r="OYI17" s="368"/>
      <c r="OYS17" s="368"/>
      <c r="OYT17" s="368"/>
      <c r="OYU17" s="368"/>
      <c r="OYV17" s="368"/>
      <c r="OYZ17" s="368"/>
      <c r="OZA17" s="368"/>
      <c r="PHK17" s="368"/>
      <c r="PHP17" s="368"/>
      <c r="PHQ17" s="368"/>
      <c r="PHR17" s="368"/>
      <c r="PHS17" s="368"/>
      <c r="PHT17" s="368"/>
      <c r="PHU17" s="368"/>
      <c r="PHW17" s="368"/>
      <c r="PHX17" s="368"/>
      <c r="PHY17" s="368"/>
      <c r="PIA17" s="368"/>
      <c r="PIB17" s="368"/>
      <c r="PIC17" s="368"/>
      <c r="PID17" s="368"/>
      <c r="PIE17" s="368"/>
      <c r="PIO17" s="368"/>
      <c r="PIP17" s="368"/>
      <c r="PIQ17" s="368"/>
      <c r="PIR17" s="368"/>
      <c r="PIV17" s="368"/>
      <c r="PIW17" s="368"/>
      <c r="PRG17" s="368"/>
      <c r="PRL17" s="368"/>
      <c r="PRM17" s="368"/>
      <c r="PRN17" s="368"/>
      <c r="PRO17" s="368"/>
      <c r="PRP17" s="368"/>
      <c r="PRQ17" s="368"/>
      <c r="PRS17" s="368"/>
      <c r="PRT17" s="368"/>
      <c r="PRU17" s="368"/>
      <c r="PRW17" s="368"/>
      <c r="PRX17" s="368"/>
      <c r="PRY17" s="368"/>
      <c r="PRZ17" s="368"/>
      <c r="PSA17" s="368"/>
      <c r="PSK17" s="368"/>
      <c r="PSL17" s="368"/>
      <c r="PSM17" s="368"/>
      <c r="PSN17" s="368"/>
      <c r="PSR17" s="368"/>
      <c r="PSS17" s="368"/>
      <c r="QBC17" s="368"/>
      <c r="QBH17" s="368"/>
      <c r="QBI17" s="368"/>
      <c r="QBJ17" s="368"/>
      <c r="QBK17" s="368"/>
      <c r="QBL17" s="368"/>
      <c r="QBM17" s="368"/>
      <c r="QBO17" s="368"/>
      <c r="QBP17" s="368"/>
      <c r="QBQ17" s="368"/>
      <c r="QBS17" s="368"/>
      <c r="QBT17" s="368"/>
      <c r="QBU17" s="368"/>
      <c r="QBV17" s="368"/>
      <c r="QBW17" s="368"/>
      <c r="QCG17" s="368"/>
      <c r="QCH17" s="368"/>
      <c r="QCI17" s="368"/>
      <c r="QCJ17" s="368"/>
      <c r="QCN17" s="368"/>
      <c r="QCO17" s="368"/>
      <c r="QKY17" s="368"/>
      <c r="QLD17" s="368"/>
      <c r="QLE17" s="368"/>
      <c r="QLF17" s="368"/>
      <c r="QLG17" s="368"/>
      <c r="QLH17" s="368"/>
      <c r="QLI17" s="368"/>
      <c r="QLK17" s="368"/>
      <c r="QLL17" s="368"/>
      <c r="QLM17" s="368"/>
      <c r="QLO17" s="368"/>
      <c r="QLP17" s="368"/>
      <c r="QLQ17" s="368"/>
      <c r="QLR17" s="368"/>
      <c r="QLS17" s="368"/>
      <c r="QMC17" s="368"/>
      <c r="QMD17" s="368"/>
      <c r="QME17" s="368"/>
      <c r="QMF17" s="368"/>
      <c r="QMJ17" s="368"/>
      <c r="QMK17" s="368"/>
      <c r="QUU17" s="368"/>
      <c r="QUZ17" s="368"/>
      <c r="QVA17" s="368"/>
      <c r="QVB17" s="368"/>
      <c r="QVC17" s="368"/>
      <c r="QVD17" s="368"/>
      <c r="QVE17" s="368"/>
      <c r="QVG17" s="368"/>
      <c r="QVH17" s="368"/>
      <c r="QVI17" s="368"/>
      <c r="QVK17" s="368"/>
      <c r="QVL17" s="368"/>
      <c r="QVM17" s="368"/>
      <c r="QVN17" s="368"/>
      <c r="QVO17" s="368"/>
      <c r="QVY17" s="368"/>
      <c r="QVZ17" s="368"/>
      <c r="QWA17" s="368"/>
      <c r="QWB17" s="368"/>
      <c r="QWF17" s="368"/>
      <c r="QWG17" s="368"/>
      <c r="REQ17" s="368"/>
      <c r="REV17" s="368"/>
      <c r="REW17" s="368"/>
      <c r="REX17" s="368"/>
      <c r="REY17" s="368"/>
      <c r="REZ17" s="368"/>
      <c r="RFA17" s="368"/>
      <c r="RFC17" s="368"/>
      <c r="RFD17" s="368"/>
      <c r="RFE17" s="368"/>
      <c r="RFG17" s="368"/>
      <c r="RFH17" s="368"/>
      <c r="RFI17" s="368"/>
      <c r="RFJ17" s="368"/>
      <c r="RFK17" s="368"/>
      <c r="RFU17" s="368"/>
      <c r="RFV17" s="368"/>
      <c r="RFW17" s="368"/>
      <c r="RFX17" s="368"/>
      <c r="RGB17" s="368"/>
      <c r="RGC17" s="368"/>
      <c r="ROM17" s="368"/>
      <c r="ROR17" s="368"/>
      <c r="ROS17" s="368"/>
      <c r="ROT17" s="368"/>
      <c r="ROU17" s="368"/>
      <c r="ROV17" s="368"/>
      <c r="ROW17" s="368"/>
      <c r="ROY17" s="368"/>
      <c r="ROZ17" s="368"/>
      <c r="RPA17" s="368"/>
      <c r="RPC17" s="368"/>
      <c r="RPD17" s="368"/>
      <c r="RPE17" s="368"/>
      <c r="RPF17" s="368"/>
      <c r="RPG17" s="368"/>
      <c r="RPQ17" s="368"/>
      <c r="RPR17" s="368"/>
      <c r="RPS17" s="368"/>
      <c r="RPT17" s="368"/>
      <c r="RPX17" s="368"/>
      <c r="RPY17" s="368"/>
      <c r="RYI17" s="368"/>
      <c r="RYN17" s="368"/>
      <c r="RYO17" s="368"/>
      <c r="RYP17" s="368"/>
      <c r="RYQ17" s="368"/>
      <c r="RYR17" s="368"/>
      <c r="RYS17" s="368"/>
      <c r="RYU17" s="368"/>
      <c r="RYV17" s="368"/>
      <c r="RYW17" s="368"/>
      <c r="RYY17" s="368"/>
      <c r="RYZ17" s="368"/>
      <c r="RZA17" s="368"/>
      <c r="RZB17" s="368"/>
      <c r="RZC17" s="368"/>
      <c r="RZM17" s="368"/>
      <c r="RZN17" s="368"/>
      <c r="RZO17" s="368"/>
      <c r="RZP17" s="368"/>
      <c r="RZT17" s="368"/>
      <c r="RZU17" s="368"/>
      <c r="SIE17" s="368"/>
      <c r="SIJ17" s="368"/>
      <c r="SIK17" s="368"/>
      <c r="SIL17" s="368"/>
      <c r="SIM17" s="368"/>
      <c r="SIN17" s="368"/>
      <c r="SIO17" s="368"/>
      <c r="SIQ17" s="368"/>
      <c r="SIR17" s="368"/>
      <c r="SIS17" s="368"/>
      <c r="SIU17" s="368"/>
      <c r="SIV17" s="368"/>
      <c r="SIW17" s="368"/>
      <c r="SIX17" s="368"/>
      <c r="SIY17" s="368"/>
      <c r="SJI17" s="368"/>
      <c r="SJJ17" s="368"/>
      <c r="SJK17" s="368"/>
      <c r="SJL17" s="368"/>
      <c r="SJP17" s="368"/>
      <c r="SJQ17" s="368"/>
      <c r="SSA17" s="368"/>
      <c r="SSF17" s="368"/>
      <c r="SSG17" s="368"/>
      <c r="SSH17" s="368"/>
      <c r="SSI17" s="368"/>
      <c r="SSJ17" s="368"/>
      <c r="SSK17" s="368"/>
      <c r="SSM17" s="368"/>
      <c r="SSN17" s="368"/>
      <c r="SSO17" s="368"/>
      <c r="SSQ17" s="368"/>
      <c r="SSR17" s="368"/>
      <c r="SSS17" s="368"/>
      <c r="SST17" s="368"/>
      <c r="SSU17" s="368"/>
      <c r="STE17" s="368"/>
      <c r="STF17" s="368"/>
      <c r="STG17" s="368"/>
      <c r="STH17" s="368"/>
      <c r="STL17" s="368"/>
      <c r="STM17" s="368"/>
      <c r="TBW17" s="368"/>
      <c r="TCB17" s="368"/>
      <c r="TCC17" s="368"/>
      <c r="TCD17" s="368"/>
      <c r="TCE17" s="368"/>
      <c r="TCF17" s="368"/>
      <c r="TCG17" s="368"/>
      <c r="TCI17" s="368"/>
      <c r="TCJ17" s="368"/>
      <c r="TCK17" s="368"/>
      <c r="TCM17" s="368"/>
      <c r="TCN17" s="368"/>
      <c r="TCO17" s="368"/>
      <c r="TCP17" s="368"/>
      <c r="TCQ17" s="368"/>
      <c r="TDA17" s="368"/>
      <c r="TDB17" s="368"/>
      <c r="TDC17" s="368"/>
      <c r="TDD17" s="368"/>
      <c r="TDH17" s="368"/>
      <c r="TDI17" s="368"/>
      <c r="TLS17" s="368"/>
      <c r="TLX17" s="368"/>
      <c r="TLY17" s="368"/>
      <c r="TLZ17" s="368"/>
      <c r="TMA17" s="368"/>
      <c r="TMB17" s="368"/>
      <c r="TMC17" s="368"/>
      <c r="TME17" s="368"/>
      <c r="TMF17" s="368"/>
      <c r="TMG17" s="368"/>
      <c r="TMI17" s="368"/>
      <c r="TMJ17" s="368"/>
      <c r="TMK17" s="368"/>
      <c r="TML17" s="368"/>
      <c r="TMM17" s="368"/>
      <c r="TMW17" s="368"/>
      <c r="TMX17" s="368"/>
      <c r="TMY17" s="368"/>
      <c r="TMZ17" s="368"/>
      <c r="TND17" s="368"/>
      <c r="TNE17" s="368"/>
      <c r="TVO17" s="368"/>
      <c r="TVT17" s="368"/>
      <c r="TVU17" s="368"/>
      <c r="TVV17" s="368"/>
      <c r="TVW17" s="368"/>
      <c r="TVX17" s="368"/>
      <c r="TVY17" s="368"/>
      <c r="TWA17" s="368"/>
      <c r="TWB17" s="368"/>
      <c r="TWC17" s="368"/>
      <c r="TWE17" s="368"/>
      <c r="TWF17" s="368"/>
      <c r="TWG17" s="368"/>
      <c r="TWH17" s="368"/>
      <c r="TWI17" s="368"/>
      <c r="TWS17" s="368"/>
      <c r="TWT17" s="368"/>
      <c r="TWU17" s="368"/>
      <c r="TWV17" s="368"/>
      <c r="TWZ17" s="368"/>
      <c r="TXA17" s="368"/>
      <c r="UFK17" s="368"/>
      <c r="UFP17" s="368"/>
      <c r="UFQ17" s="368"/>
      <c r="UFR17" s="368"/>
      <c r="UFS17" s="368"/>
      <c r="UFT17" s="368"/>
      <c r="UFU17" s="368"/>
      <c r="UFW17" s="368"/>
      <c r="UFX17" s="368"/>
      <c r="UFY17" s="368"/>
      <c r="UGA17" s="368"/>
      <c r="UGB17" s="368"/>
      <c r="UGC17" s="368"/>
      <c r="UGD17" s="368"/>
      <c r="UGE17" s="368"/>
      <c r="UGO17" s="368"/>
      <c r="UGP17" s="368"/>
      <c r="UGQ17" s="368"/>
      <c r="UGR17" s="368"/>
      <c r="UGV17" s="368"/>
      <c r="UGW17" s="368"/>
      <c r="UPG17" s="368"/>
      <c r="UPL17" s="368"/>
      <c r="UPM17" s="368"/>
      <c r="UPN17" s="368"/>
      <c r="UPO17" s="368"/>
      <c r="UPP17" s="368"/>
      <c r="UPQ17" s="368"/>
      <c r="UPS17" s="368"/>
      <c r="UPT17" s="368"/>
      <c r="UPU17" s="368"/>
      <c r="UPW17" s="368"/>
      <c r="UPX17" s="368"/>
      <c r="UPY17" s="368"/>
      <c r="UPZ17" s="368"/>
      <c r="UQA17" s="368"/>
      <c r="UQK17" s="368"/>
      <c r="UQL17" s="368"/>
      <c r="UQM17" s="368"/>
      <c r="UQN17" s="368"/>
      <c r="UQR17" s="368"/>
      <c r="UQS17" s="368"/>
      <c r="UZC17" s="368"/>
      <c r="UZH17" s="368"/>
      <c r="UZI17" s="368"/>
      <c r="UZJ17" s="368"/>
      <c r="UZK17" s="368"/>
      <c r="UZL17" s="368"/>
      <c r="UZM17" s="368"/>
      <c r="UZO17" s="368"/>
      <c r="UZP17" s="368"/>
      <c r="UZQ17" s="368"/>
      <c r="UZS17" s="368"/>
      <c r="UZT17" s="368"/>
      <c r="UZU17" s="368"/>
      <c r="UZV17" s="368"/>
      <c r="UZW17" s="368"/>
      <c r="VAG17" s="368"/>
      <c r="VAH17" s="368"/>
      <c r="VAI17" s="368"/>
      <c r="VAJ17" s="368"/>
      <c r="VAN17" s="368"/>
      <c r="VAO17" s="368"/>
      <c r="VIY17" s="368"/>
      <c r="VJD17" s="368"/>
      <c r="VJE17" s="368"/>
      <c r="VJF17" s="368"/>
      <c r="VJG17" s="368"/>
      <c r="VJH17" s="368"/>
      <c r="VJI17" s="368"/>
      <c r="VJK17" s="368"/>
      <c r="VJL17" s="368"/>
      <c r="VJM17" s="368"/>
      <c r="VJO17" s="368"/>
      <c r="VJP17" s="368"/>
      <c r="VJQ17" s="368"/>
      <c r="VJR17" s="368"/>
      <c r="VJS17" s="368"/>
      <c r="VKC17" s="368"/>
      <c r="VKD17" s="368"/>
      <c r="VKE17" s="368"/>
      <c r="VKF17" s="368"/>
      <c r="VKJ17" s="368"/>
      <c r="VKK17" s="368"/>
      <c r="VSU17" s="368"/>
      <c r="VSZ17" s="368"/>
      <c r="VTA17" s="368"/>
      <c r="VTB17" s="368"/>
      <c r="VTC17" s="368"/>
      <c r="VTD17" s="368"/>
      <c r="VTE17" s="368"/>
      <c r="VTG17" s="368"/>
      <c r="VTH17" s="368"/>
      <c r="VTI17" s="368"/>
      <c r="VTK17" s="368"/>
      <c r="VTL17" s="368"/>
      <c r="VTM17" s="368"/>
      <c r="VTN17" s="368"/>
      <c r="VTO17" s="368"/>
      <c r="VTY17" s="368"/>
      <c r="VTZ17" s="368"/>
      <c r="VUA17" s="368"/>
      <c r="VUB17" s="368"/>
      <c r="VUF17" s="368"/>
      <c r="VUG17" s="368"/>
      <c r="WCQ17" s="368"/>
      <c r="WCV17" s="368"/>
      <c r="WCW17" s="368"/>
      <c r="WCX17" s="368"/>
      <c r="WCY17" s="368"/>
      <c r="WCZ17" s="368"/>
      <c r="WDA17" s="368"/>
      <c r="WDC17" s="368"/>
      <c r="WDD17" s="368"/>
      <c r="WDE17" s="368"/>
      <c r="WDG17" s="368"/>
      <c r="WDH17" s="368"/>
      <c r="WDI17" s="368"/>
      <c r="WDJ17" s="368"/>
      <c r="WDK17" s="368"/>
      <c r="WDU17" s="368"/>
      <c r="WDV17" s="368"/>
      <c r="WDW17" s="368"/>
      <c r="WDX17" s="368"/>
      <c r="WEB17" s="368"/>
      <c r="WEC17" s="368"/>
      <c r="WMM17" s="368"/>
      <c r="WMR17" s="368"/>
      <c r="WMS17" s="368"/>
      <c r="WMT17" s="368"/>
      <c r="WMU17" s="368"/>
      <c r="WMV17" s="368"/>
      <c r="WMW17" s="368"/>
      <c r="WMY17" s="368"/>
      <c r="WMZ17" s="368"/>
      <c r="WNA17" s="368"/>
      <c r="WNC17" s="368"/>
      <c r="WND17" s="368"/>
      <c r="WNE17" s="368"/>
      <c r="WNF17" s="368"/>
      <c r="WNG17" s="368"/>
      <c r="WNQ17" s="368"/>
      <c r="WNR17" s="368"/>
      <c r="WNS17" s="368"/>
      <c r="WNT17" s="368"/>
      <c r="WNX17" s="368"/>
      <c r="WNY17" s="368"/>
      <c r="WWI17" s="368"/>
      <c r="WWN17" s="368"/>
      <c r="WWO17" s="368"/>
      <c r="WWP17" s="368"/>
      <c r="WWQ17" s="368"/>
      <c r="WWR17" s="368"/>
      <c r="WWS17" s="368"/>
      <c r="WWU17" s="368"/>
      <c r="WWV17" s="368"/>
      <c r="WWW17" s="368"/>
      <c r="WWY17" s="368"/>
      <c r="WWZ17" s="368"/>
      <c r="WXA17" s="368"/>
      <c r="WXB17" s="368"/>
      <c r="WXC17" s="368"/>
      <c r="WXM17" s="368"/>
      <c r="WXN17" s="368"/>
      <c r="WXO17" s="368"/>
      <c r="WXP17" s="368"/>
      <c r="WXT17" s="368"/>
      <c r="WXU17" s="368"/>
    </row>
    <row r="18" spans="1:833 1051:1857 2075:2881 3099:3905 4123:4929 5147:5953 6171:6977 7195:8001 8219:9025 9243:10049 10267:11073 11291:12097 12315:13121 13339:14145 14363:15169 15387:16193" s="16" customFormat="1" ht="27" customHeight="1">
      <c r="A18" s="353">
        <v>10</v>
      </c>
      <c r="B18" s="360" t="s">
        <v>292</v>
      </c>
      <c r="C18" s="349" t="s">
        <v>91</v>
      </c>
      <c r="D18" s="363">
        <v>208</v>
      </c>
      <c r="E18" s="350">
        <v>184</v>
      </c>
      <c r="F18" s="364"/>
      <c r="G18" s="364"/>
      <c r="H18" s="351">
        <v>3</v>
      </c>
      <c r="I18" s="364"/>
      <c r="J18" s="364"/>
      <c r="K18" s="364"/>
      <c r="L18" s="364"/>
      <c r="M18" s="364"/>
      <c r="N18" s="364"/>
      <c r="O18" s="364"/>
      <c r="P18" s="364"/>
      <c r="Q18" s="234">
        <v>5450000</v>
      </c>
      <c r="R18" s="234">
        <v>0</v>
      </c>
      <c r="S18" s="365"/>
      <c r="T18" s="234">
        <v>300000</v>
      </c>
      <c r="U18" s="365">
        <v>300000</v>
      </c>
      <c r="V18" s="358">
        <f t="shared" si="0"/>
        <v>300000</v>
      </c>
      <c r="W18" s="365">
        <v>800000</v>
      </c>
      <c r="X18" s="234">
        <f t="shared" si="1"/>
        <v>800000</v>
      </c>
      <c r="Y18" s="365">
        <v>1000000</v>
      </c>
      <c r="Z18" s="234">
        <f t="shared" si="2"/>
        <v>1000000</v>
      </c>
      <c r="AA18" s="365">
        <v>0</v>
      </c>
      <c r="AB18" s="234"/>
      <c r="AC18" s="234">
        <f t="shared" si="107"/>
        <v>500000</v>
      </c>
      <c r="AD18" s="234">
        <f t="shared" si="121"/>
        <v>0</v>
      </c>
      <c r="AE18" s="234">
        <v>0</v>
      </c>
      <c r="AF18" s="365"/>
      <c r="AG18" s="365"/>
      <c r="AH18" s="234">
        <f t="shared" ref="AH18" si="129">V18+Z18+X18+AA18+AB18+AC18+AD18+AE18</f>
        <v>2600000</v>
      </c>
      <c r="AI18" s="234">
        <f t="shared" ref="AI18" si="130">Q18+R18+T18</f>
        <v>5750000</v>
      </c>
      <c r="AJ18" s="234">
        <f t="shared" si="122"/>
        <v>27644.23076923077</v>
      </c>
      <c r="AK18" s="234">
        <f t="shared" ref="AK18" si="131">AJ18*(E18+F18*130%)</f>
        <v>5086538.461538462</v>
      </c>
      <c r="AL18" s="234">
        <f t="shared" ref="AL18" si="132">AJ18*H18*150%</f>
        <v>124399.03846153847</v>
      </c>
      <c r="AM18" s="365">
        <f t="shared" ref="AM18" si="133">AJ18*I18*150%*130%</f>
        <v>0</v>
      </c>
      <c r="AN18" s="234">
        <f t="shared" ref="AN18" si="134">+AJ18*J18*200%</f>
        <v>0</v>
      </c>
      <c r="AO18" s="365">
        <f t="shared" ref="AO18" si="135">AJ18*K18*200%*130%</f>
        <v>0</v>
      </c>
      <c r="AP18" s="365">
        <f t="shared" ref="AP18" si="136">AJ18*L18*200%*150%</f>
        <v>0</v>
      </c>
      <c r="AQ18" s="365">
        <f t="shared" ref="AQ18" si="137">AJ18*M18*200%*150%*130%</f>
        <v>0</v>
      </c>
      <c r="AR18" s="365">
        <f t="shared" ref="AR18" si="138">N18*AJ18*300%</f>
        <v>0</v>
      </c>
      <c r="AS18" s="365">
        <f t="shared" ref="AS18" si="139">AJ18*O18*300%</f>
        <v>0</v>
      </c>
      <c r="AT18" s="365">
        <f t="shared" ref="AT18" si="140">P18*AJ18*150%*300%</f>
        <v>0</v>
      </c>
      <c r="AU18" s="234">
        <f t="shared" si="123"/>
        <v>124399.03846153847</v>
      </c>
      <c r="AV18" s="234">
        <f t="shared" ref="AV18" si="141">AH18+AK18+AU18+AG18+AF18</f>
        <v>7810937.5</v>
      </c>
      <c r="AW18" s="234">
        <f>Q18+R18+T18</f>
        <v>5750000</v>
      </c>
      <c r="AX18" s="365">
        <f t="shared" si="124"/>
        <v>1006249.9999999999</v>
      </c>
      <c r="AY18" s="365">
        <f t="shared" si="125"/>
        <v>172500</v>
      </c>
      <c r="AZ18" s="365">
        <f t="shared" si="21"/>
        <v>57500</v>
      </c>
      <c r="BA18" s="365">
        <f t="shared" si="35"/>
        <v>115000</v>
      </c>
      <c r="BB18" s="234">
        <f t="shared" si="36"/>
        <v>1351250</v>
      </c>
      <c r="BC18" s="365">
        <f t="shared" si="22"/>
        <v>460000</v>
      </c>
      <c r="BD18" s="365">
        <f t="shared" si="23"/>
        <v>86250</v>
      </c>
      <c r="BE18" s="365">
        <f t="shared" si="24"/>
        <v>57500</v>
      </c>
      <c r="BF18" s="234">
        <f t="shared" si="37"/>
        <v>603750</v>
      </c>
      <c r="BG18" s="365">
        <v>11000001</v>
      </c>
      <c r="BH18" s="365"/>
      <c r="BI18" s="365">
        <f t="shared" si="126"/>
        <v>0</v>
      </c>
      <c r="BJ18" s="365">
        <f t="shared" si="25"/>
        <v>300000</v>
      </c>
      <c r="BK18" s="365">
        <f t="shared" si="26"/>
        <v>7469471.153846154</v>
      </c>
      <c r="BL18" s="365">
        <f t="shared" si="127"/>
        <v>0</v>
      </c>
      <c r="BM18" s="234">
        <f t="shared" si="128"/>
        <v>0</v>
      </c>
      <c r="BN18" s="232">
        <v>35000</v>
      </c>
      <c r="BO18" s="234">
        <f t="shared" si="41"/>
        <v>7172187.5</v>
      </c>
      <c r="BP18" s="369" t="s">
        <v>219</v>
      </c>
      <c r="BQ18" s="350"/>
      <c r="BR18" s="352"/>
      <c r="JW18" s="368"/>
      <c r="KB18" s="368"/>
      <c r="KC18" s="368"/>
      <c r="KD18" s="368"/>
      <c r="KE18" s="368"/>
      <c r="KF18" s="368"/>
      <c r="KG18" s="368"/>
      <c r="KI18" s="368"/>
      <c r="KJ18" s="368"/>
      <c r="KK18" s="368"/>
      <c r="KM18" s="368"/>
      <c r="KN18" s="368"/>
      <c r="KO18" s="368"/>
      <c r="KP18" s="368"/>
      <c r="KQ18" s="368"/>
      <c r="LA18" s="368"/>
      <c r="LB18" s="368"/>
      <c r="LC18" s="368"/>
      <c r="LD18" s="368"/>
      <c r="LH18" s="368"/>
      <c r="LI18" s="368"/>
      <c r="TS18" s="368"/>
      <c r="TX18" s="368"/>
      <c r="TY18" s="368"/>
      <c r="TZ18" s="368"/>
      <c r="UA18" s="368"/>
      <c r="UB18" s="368"/>
      <c r="UC18" s="368"/>
      <c r="UE18" s="368"/>
      <c r="UF18" s="368"/>
      <c r="UG18" s="368"/>
      <c r="UI18" s="368"/>
      <c r="UJ18" s="368"/>
      <c r="UK18" s="368"/>
      <c r="UL18" s="368"/>
      <c r="UM18" s="368"/>
      <c r="UW18" s="368"/>
      <c r="UX18" s="368"/>
      <c r="UY18" s="368"/>
      <c r="UZ18" s="368"/>
      <c r="VD18" s="368"/>
      <c r="VE18" s="368"/>
      <c r="ADO18" s="368"/>
      <c r="ADT18" s="368"/>
      <c r="ADU18" s="368"/>
      <c r="ADV18" s="368"/>
      <c r="ADW18" s="368"/>
      <c r="ADX18" s="368"/>
      <c r="ADY18" s="368"/>
      <c r="AEA18" s="368"/>
      <c r="AEB18" s="368"/>
      <c r="AEC18" s="368"/>
      <c r="AEE18" s="368"/>
      <c r="AEF18" s="368"/>
      <c r="AEG18" s="368"/>
      <c r="AEH18" s="368"/>
      <c r="AEI18" s="368"/>
      <c r="AES18" s="368"/>
      <c r="AET18" s="368"/>
      <c r="AEU18" s="368"/>
      <c r="AEV18" s="368"/>
      <c r="AEZ18" s="368"/>
      <c r="AFA18" s="368"/>
      <c r="ANK18" s="368"/>
      <c r="ANP18" s="368"/>
      <c r="ANQ18" s="368"/>
      <c r="ANR18" s="368"/>
      <c r="ANS18" s="368"/>
      <c r="ANT18" s="368"/>
      <c r="ANU18" s="368"/>
      <c r="ANW18" s="368"/>
      <c r="ANX18" s="368"/>
      <c r="ANY18" s="368"/>
      <c r="AOA18" s="368"/>
      <c r="AOB18" s="368"/>
      <c r="AOC18" s="368"/>
      <c r="AOD18" s="368"/>
      <c r="AOE18" s="368"/>
      <c r="AOO18" s="368"/>
      <c r="AOP18" s="368"/>
      <c r="AOQ18" s="368"/>
      <c r="AOR18" s="368"/>
      <c r="AOV18" s="368"/>
      <c r="AOW18" s="368"/>
      <c r="AXG18" s="368"/>
      <c r="AXL18" s="368"/>
      <c r="AXM18" s="368"/>
      <c r="AXN18" s="368"/>
      <c r="AXO18" s="368"/>
      <c r="AXP18" s="368"/>
      <c r="AXQ18" s="368"/>
      <c r="AXS18" s="368"/>
      <c r="AXT18" s="368"/>
      <c r="AXU18" s="368"/>
      <c r="AXW18" s="368"/>
      <c r="AXX18" s="368"/>
      <c r="AXY18" s="368"/>
      <c r="AXZ18" s="368"/>
      <c r="AYA18" s="368"/>
      <c r="AYK18" s="368"/>
      <c r="AYL18" s="368"/>
      <c r="AYM18" s="368"/>
      <c r="AYN18" s="368"/>
      <c r="AYR18" s="368"/>
      <c r="AYS18" s="368"/>
      <c r="BHC18" s="368"/>
      <c r="BHH18" s="368"/>
      <c r="BHI18" s="368"/>
      <c r="BHJ18" s="368"/>
      <c r="BHK18" s="368"/>
      <c r="BHL18" s="368"/>
      <c r="BHM18" s="368"/>
      <c r="BHO18" s="368"/>
      <c r="BHP18" s="368"/>
      <c r="BHQ18" s="368"/>
      <c r="BHS18" s="368"/>
      <c r="BHT18" s="368"/>
      <c r="BHU18" s="368"/>
      <c r="BHV18" s="368"/>
      <c r="BHW18" s="368"/>
      <c r="BIG18" s="368"/>
      <c r="BIH18" s="368"/>
      <c r="BII18" s="368"/>
      <c r="BIJ18" s="368"/>
      <c r="BIN18" s="368"/>
      <c r="BIO18" s="368"/>
      <c r="BQY18" s="368"/>
      <c r="BRD18" s="368"/>
      <c r="BRE18" s="368"/>
      <c r="BRF18" s="368"/>
      <c r="BRG18" s="368"/>
      <c r="BRH18" s="368"/>
      <c r="BRI18" s="368"/>
      <c r="BRK18" s="368"/>
      <c r="BRL18" s="368"/>
      <c r="BRM18" s="368"/>
      <c r="BRO18" s="368"/>
      <c r="BRP18" s="368"/>
      <c r="BRQ18" s="368"/>
      <c r="BRR18" s="368"/>
      <c r="BRS18" s="368"/>
      <c r="BSC18" s="368"/>
      <c r="BSD18" s="368"/>
      <c r="BSE18" s="368"/>
      <c r="BSF18" s="368"/>
      <c r="BSJ18" s="368"/>
      <c r="BSK18" s="368"/>
      <c r="CAU18" s="368"/>
      <c r="CAZ18" s="368"/>
      <c r="CBA18" s="368"/>
      <c r="CBB18" s="368"/>
      <c r="CBC18" s="368"/>
      <c r="CBD18" s="368"/>
      <c r="CBE18" s="368"/>
      <c r="CBG18" s="368"/>
      <c r="CBH18" s="368"/>
      <c r="CBI18" s="368"/>
      <c r="CBK18" s="368"/>
      <c r="CBL18" s="368"/>
      <c r="CBM18" s="368"/>
      <c r="CBN18" s="368"/>
      <c r="CBO18" s="368"/>
      <c r="CBY18" s="368"/>
      <c r="CBZ18" s="368"/>
      <c r="CCA18" s="368"/>
      <c r="CCB18" s="368"/>
      <c r="CCF18" s="368"/>
      <c r="CCG18" s="368"/>
      <c r="CKQ18" s="368"/>
      <c r="CKV18" s="368"/>
      <c r="CKW18" s="368"/>
      <c r="CKX18" s="368"/>
      <c r="CKY18" s="368"/>
      <c r="CKZ18" s="368"/>
      <c r="CLA18" s="368"/>
      <c r="CLC18" s="368"/>
      <c r="CLD18" s="368"/>
      <c r="CLE18" s="368"/>
      <c r="CLG18" s="368"/>
      <c r="CLH18" s="368"/>
      <c r="CLI18" s="368"/>
      <c r="CLJ18" s="368"/>
      <c r="CLK18" s="368"/>
      <c r="CLU18" s="368"/>
      <c r="CLV18" s="368"/>
      <c r="CLW18" s="368"/>
      <c r="CLX18" s="368"/>
      <c r="CMB18" s="368"/>
      <c r="CMC18" s="368"/>
      <c r="CUM18" s="368"/>
      <c r="CUR18" s="368"/>
      <c r="CUS18" s="368"/>
      <c r="CUT18" s="368"/>
      <c r="CUU18" s="368"/>
      <c r="CUV18" s="368"/>
      <c r="CUW18" s="368"/>
      <c r="CUY18" s="368"/>
      <c r="CUZ18" s="368"/>
      <c r="CVA18" s="368"/>
      <c r="CVC18" s="368"/>
      <c r="CVD18" s="368"/>
      <c r="CVE18" s="368"/>
      <c r="CVF18" s="368"/>
      <c r="CVG18" s="368"/>
      <c r="CVQ18" s="368"/>
      <c r="CVR18" s="368"/>
      <c r="CVS18" s="368"/>
      <c r="CVT18" s="368"/>
      <c r="CVX18" s="368"/>
      <c r="CVY18" s="368"/>
      <c r="DEI18" s="368"/>
      <c r="DEN18" s="368"/>
      <c r="DEO18" s="368"/>
      <c r="DEP18" s="368"/>
      <c r="DEQ18" s="368"/>
      <c r="DER18" s="368"/>
      <c r="DES18" s="368"/>
      <c r="DEU18" s="368"/>
      <c r="DEV18" s="368"/>
      <c r="DEW18" s="368"/>
      <c r="DEY18" s="368"/>
      <c r="DEZ18" s="368"/>
      <c r="DFA18" s="368"/>
      <c r="DFB18" s="368"/>
      <c r="DFC18" s="368"/>
      <c r="DFM18" s="368"/>
      <c r="DFN18" s="368"/>
      <c r="DFO18" s="368"/>
      <c r="DFP18" s="368"/>
      <c r="DFT18" s="368"/>
      <c r="DFU18" s="368"/>
      <c r="DOE18" s="368"/>
      <c r="DOJ18" s="368"/>
      <c r="DOK18" s="368"/>
      <c r="DOL18" s="368"/>
      <c r="DOM18" s="368"/>
      <c r="DON18" s="368"/>
      <c r="DOO18" s="368"/>
      <c r="DOQ18" s="368"/>
      <c r="DOR18" s="368"/>
      <c r="DOS18" s="368"/>
      <c r="DOU18" s="368"/>
      <c r="DOV18" s="368"/>
      <c r="DOW18" s="368"/>
      <c r="DOX18" s="368"/>
      <c r="DOY18" s="368"/>
      <c r="DPI18" s="368"/>
      <c r="DPJ18" s="368"/>
      <c r="DPK18" s="368"/>
      <c r="DPL18" s="368"/>
      <c r="DPP18" s="368"/>
      <c r="DPQ18" s="368"/>
      <c r="DYA18" s="368"/>
      <c r="DYF18" s="368"/>
      <c r="DYG18" s="368"/>
      <c r="DYH18" s="368"/>
      <c r="DYI18" s="368"/>
      <c r="DYJ18" s="368"/>
      <c r="DYK18" s="368"/>
      <c r="DYM18" s="368"/>
      <c r="DYN18" s="368"/>
      <c r="DYO18" s="368"/>
      <c r="DYQ18" s="368"/>
      <c r="DYR18" s="368"/>
      <c r="DYS18" s="368"/>
      <c r="DYT18" s="368"/>
      <c r="DYU18" s="368"/>
      <c r="DZE18" s="368"/>
      <c r="DZF18" s="368"/>
      <c r="DZG18" s="368"/>
      <c r="DZH18" s="368"/>
      <c r="DZL18" s="368"/>
      <c r="DZM18" s="368"/>
      <c r="EHW18" s="368"/>
      <c r="EIB18" s="368"/>
      <c r="EIC18" s="368"/>
      <c r="EID18" s="368"/>
      <c r="EIE18" s="368"/>
      <c r="EIF18" s="368"/>
      <c r="EIG18" s="368"/>
      <c r="EII18" s="368"/>
      <c r="EIJ18" s="368"/>
      <c r="EIK18" s="368"/>
      <c r="EIM18" s="368"/>
      <c r="EIN18" s="368"/>
      <c r="EIO18" s="368"/>
      <c r="EIP18" s="368"/>
      <c r="EIQ18" s="368"/>
      <c r="EJA18" s="368"/>
      <c r="EJB18" s="368"/>
      <c r="EJC18" s="368"/>
      <c r="EJD18" s="368"/>
      <c r="EJH18" s="368"/>
      <c r="EJI18" s="368"/>
      <c r="ERS18" s="368"/>
      <c r="ERX18" s="368"/>
      <c r="ERY18" s="368"/>
      <c r="ERZ18" s="368"/>
      <c r="ESA18" s="368"/>
      <c r="ESB18" s="368"/>
      <c r="ESC18" s="368"/>
      <c r="ESE18" s="368"/>
      <c r="ESF18" s="368"/>
      <c r="ESG18" s="368"/>
      <c r="ESI18" s="368"/>
      <c r="ESJ18" s="368"/>
      <c r="ESK18" s="368"/>
      <c r="ESL18" s="368"/>
      <c r="ESM18" s="368"/>
      <c r="ESW18" s="368"/>
      <c r="ESX18" s="368"/>
      <c r="ESY18" s="368"/>
      <c r="ESZ18" s="368"/>
      <c r="ETD18" s="368"/>
      <c r="ETE18" s="368"/>
      <c r="FBO18" s="368"/>
      <c r="FBT18" s="368"/>
      <c r="FBU18" s="368"/>
      <c r="FBV18" s="368"/>
      <c r="FBW18" s="368"/>
      <c r="FBX18" s="368"/>
      <c r="FBY18" s="368"/>
      <c r="FCA18" s="368"/>
      <c r="FCB18" s="368"/>
      <c r="FCC18" s="368"/>
      <c r="FCE18" s="368"/>
      <c r="FCF18" s="368"/>
      <c r="FCG18" s="368"/>
      <c r="FCH18" s="368"/>
      <c r="FCI18" s="368"/>
      <c r="FCS18" s="368"/>
      <c r="FCT18" s="368"/>
      <c r="FCU18" s="368"/>
      <c r="FCV18" s="368"/>
      <c r="FCZ18" s="368"/>
      <c r="FDA18" s="368"/>
      <c r="FLK18" s="368"/>
      <c r="FLP18" s="368"/>
      <c r="FLQ18" s="368"/>
      <c r="FLR18" s="368"/>
      <c r="FLS18" s="368"/>
      <c r="FLT18" s="368"/>
      <c r="FLU18" s="368"/>
      <c r="FLW18" s="368"/>
      <c r="FLX18" s="368"/>
      <c r="FLY18" s="368"/>
      <c r="FMA18" s="368"/>
      <c r="FMB18" s="368"/>
      <c r="FMC18" s="368"/>
      <c r="FMD18" s="368"/>
      <c r="FME18" s="368"/>
      <c r="FMO18" s="368"/>
      <c r="FMP18" s="368"/>
      <c r="FMQ18" s="368"/>
      <c r="FMR18" s="368"/>
      <c r="FMV18" s="368"/>
      <c r="FMW18" s="368"/>
      <c r="FVG18" s="368"/>
      <c r="FVL18" s="368"/>
      <c r="FVM18" s="368"/>
      <c r="FVN18" s="368"/>
      <c r="FVO18" s="368"/>
      <c r="FVP18" s="368"/>
      <c r="FVQ18" s="368"/>
      <c r="FVS18" s="368"/>
      <c r="FVT18" s="368"/>
      <c r="FVU18" s="368"/>
      <c r="FVW18" s="368"/>
      <c r="FVX18" s="368"/>
      <c r="FVY18" s="368"/>
      <c r="FVZ18" s="368"/>
      <c r="FWA18" s="368"/>
      <c r="FWK18" s="368"/>
      <c r="FWL18" s="368"/>
      <c r="FWM18" s="368"/>
      <c r="FWN18" s="368"/>
      <c r="FWR18" s="368"/>
      <c r="FWS18" s="368"/>
      <c r="GFC18" s="368"/>
      <c r="GFH18" s="368"/>
      <c r="GFI18" s="368"/>
      <c r="GFJ18" s="368"/>
      <c r="GFK18" s="368"/>
      <c r="GFL18" s="368"/>
      <c r="GFM18" s="368"/>
      <c r="GFO18" s="368"/>
      <c r="GFP18" s="368"/>
      <c r="GFQ18" s="368"/>
      <c r="GFS18" s="368"/>
      <c r="GFT18" s="368"/>
      <c r="GFU18" s="368"/>
      <c r="GFV18" s="368"/>
      <c r="GFW18" s="368"/>
      <c r="GGG18" s="368"/>
      <c r="GGH18" s="368"/>
      <c r="GGI18" s="368"/>
      <c r="GGJ18" s="368"/>
      <c r="GGN18" s="368"/>
      <c r="GGO18" s="368"/>
      <c r="GOY18" s="368"/>
      <c r="GPD18" s="368"/>
      <c r="GPE18" s="368"/>
      <c r="GPF18" s="368"/>
      <c r="GPG18" s="368"/>
      <c r="GPH18" s="368"/>
      <c r="GPI18" s="368"/>
      <c r="GPK18" s="368"/>
      <c r="GPL18" s="368"/>
      <c r="GPM18" s="368"/>
      <c r="GPO18" s="368"/>
      <c r="GPP18" s="368"/>
      <c r="GPQ18" s="368"/>
      <c r="GPR18" s="368"/>
      <c r="GPS18" s="368"/>
      <c r="GQC18" s="368"/>
      <c r="GQD18" s="368"/>
      <c r="GQE18" s="368"/>
      <c r="GQF18" s="368"/>
      <c r="GQJ18" s="368"/>
      <c r="GQK18" s="368"/>
      <c r="GYU18" s="368"/>
      <c r="GYZ18" s="368"/>
      <c r="GZA18" s="368"/>
      <c r="GZB18" s="368"/>
      <c r="GZC18" s="368"/>
      <c r="GZD18" s="368"/>
      <c r="GZE18" s="368"/>
      <c r="GZG18" s="368"/>
      <c r="GZH18" s="368"/>
      <c r="GZI18" s="368"/>
      <c r="GZK18" s="368"/>
      <c r="GZL18" s="368"/>
      <c r="GZM18" s="368"/>
      <c r="GZN18" s="368"/>
      <c r="GZO18" s="368"/>
      <c r="GZY18" s="368"/>
      <c r="GZZ18" s="368"/>
      <c r="HAA18" s="368"/>
      <c r="HAB18" s="368"/>
      <c r="HAF18" s="368"/>
      <c r="HAG18" s="368"/>
      <c r="HIQ18" s="368"/>
      <c r="HIV18" s="368"/>
      <c r="HIW18" s="368"/>
      <c r="HIX18" s="368"/>
      <c r="HIY18" s="368"/>
      <c r="HIZ18" s="368"/>
      <c r="HJA18" s="368"/>
      <c r="HJC18" s="368"/>
      <c r="HJD18" s="368"/>
      <c r="HJE18" s="368"/>
      <c r="HJG18" s="368"/>
      <c r="HJH18" s="368"/>
      <c r="HJI18" s="368"/>
      <c r="HJJ18" s="368"/>
      <c r="HJK18" s="368"/>
      <c r="HJU18" s="368"/>
      <c r="HJV18" s="368"/>
      <c r="HJW18" s="368"/>
      <c r="HJX18" s="368"/>
      <c r="HKB18" s="368"/>
      <c r="HKC18" s="368"/>
      <c r="HSM18" s="368"/>
      <c r="HSR18" s="368"/>
      <c r="HSS18" s="368"/>
      <c r="HST18" s="368"/>
      <c r="HSU18" s="368"/>
      <c r="HSV18" s="368"/>
      <c r="HSW18" s="368"/>
      <c r="HSY18" s="368"/>
      <c r="HSZ18" s="368"/>
      <c r="HTA18" s="368"/>
      <c r="HTC18" s="368"/>
      <c r="HTD18" s="368"/>
      <c r="HTE18" s="368"/>
      <c r="HTF18" s="368"/>
      <c r="HTG18" s="368"/>
      <c r="HTQ18" s="368"/>
      <c r="HTR18" s="368"/>
      <c r="HTS18" s="368"/>
      <c r="HTT18" s="368"/>
      <c r="HTX18" s="368"/>
      <c r="HTY18" s="368"/>
      <c r="ICI18" s="368"/>
      <c r="ICN18" s="368"/>
      <c r="ICO18" s="368"/>
      <c r="ICP18" s="368"/>
      <c r="ICQ18" s="368"/>
      <c r="ICR18" s="368"/>
      <c r="ICS18" s="368"/>
      <c r="ICU18" s="368"/>
      <c r="ICV18" s="368"/>
      <c r="ICW18" s="368"/>
      <c r="ICY18" s="368"/>
      <c r="ICZ18" s="368"/>
      <c r="IDA18" s="368"/>
      <c r="IDB18" s="368"/>
      <c r="IDC18" s="368"/>
      <c r="IDM18" s="368"/>
      <c r="IDN18" s="368"/>
      <c r="IDO18" s="368"/>
      <c r="IDP18" s="368"/>
      <c r="IDT18" s="368"/>
      <c r="IDU18" s="368"/>
      <c r="IME18" s="368"/>
      <c r="IMJ18" s="368"/>
      <c r="IMK18" s="368"/>
      <c r="IML18" s="368"/>
      <c r="IMM18" s="368"/>
      <c r="IMN18" s="368"/>
      <c r="IMO18" s="368"/>
      <c r="IMQ18" s="368"/>
      <c r="IMR18" s="368"/>
      <c r="IMS18" s="368"/>
      <c r="IMU18" s="368"/>
      <c r="IMV18" s="368"/>
      <c r="IMW18" s="368"/>
      <c r="IMX18" s="368"/>
      <c r="IMY18" s="368"/>
      <c r="INI18" s="368"/>
      <c r="INJ18" s="368"/>
      <c r="INK18" s="368"/>
      <c r="INL18" s="368"/>
      <c r="INP18" s="368"/>
      <c r="INQ18" s="368"/>
      <c r="IWA18" s="368"/>
      <c r="IWF18" s="368"/>
      <c r="IWG18" s="368"/>
      <c r="IWH18" s="368"/>
      <c r="IWI18" s="368"/>
      <c r="IWJ18" s="368"/>
      <c r="IWK18" s="368"/>
      <c r="IWM18" s="368"/>
      <c r="IWN18" s="368"/>
      <c r="IWO18" s="368"/>
      <c r="IWQ18" s="368"/>
      <c r="IWR18" s="368"/>
      <c r="IWS18" s="368"/>
      <c r="IWT18" s="368"/>
      <c r="IWU18" s="368"/>
      <c r="IXE18" s="368"/>
      <c r="IXF18" s="368"/>
      <c r="IXG18" s="368"/>
      <c r="IXH18" s="368"/>
      <c r="IXL18" s="368"/>
      <c r="IXM18" s="368"/>
      <c r="JFW18" s="368"/>
      <c r="JGB18" s="368"/>
      <c r="JGC18" s="368"/>
      <c r="JGD18" s="368"/>
      <c r="JGE18" s="368"/>
      <c r="JGF18" s="368"/>
      <c r="JGG18" s="368"/>
      <c r="JGI18" s="368"/>
      <c r="JGJ18" s="368"/>
      <c r="JGK18" s="368"/>
      <c r="JGM18" s="368"/>
      <c r="JGN18" s="368"/>
      <c r="JGO18" s="368"/>
      <c r="JGP18" s="368"/>
      <c r="JGQ18" s="368"/>
      <c r="JHA18" s="368"/>
      <c r="JHB18" s="368"/>
      <c r="JHC18" s="368"/>
      <c r="JHD18" s="368"/>
      <c r="JHH18" s="368"/>
      <c r="JHI18" s="368"/>
      <c r="JPS18" s="368"/>
      <c r="JPX18" s="368"/>
      <c r="JPY18" s="368"/>
      <c r="JPZ18" s="368"/>
      <c r="JQA18" s="368"/>
      <c r="JQB18" s="368"/>
      <c r="JQC18" s="368"/>
      <c r="JQE18" s="368"/>
      <c r="JQF18" s="368"/>
      <c r="JQG18" s="368"/>
      <c r="JQI18" s="368"/>
      <c r="JQJ18" s="368"/>
      <c r="JQK18" s="368"/>
      <c r="JQL18" s="368"/>
      <c r="JQM18" s="368"/>
      <c r="JQW18" s="368"/>
      <c r="JQX18" s="368"/>
      <c r="JQY18" s="368"/>
      <c r="JQZ18" s="368"/>
      <c r="JRD18" s="368"/>
      <c r="JRE18" s="368"/>
      <c r="JZO18" s="368"/>
      <c r="JZT18" s="368"/>
      <c r="JZU18" s="368"/>
      <c r="JZV18" s="368"/>
      <c r="JZW18" s="368"/>
      <c r="JZX18" s="368"/>
      <c r="JZY18" s="368"/>
      <c r="KAA18" s="368"/>
      <c r="KAB18" s="368"/>
      <c r="KAC18" s="368"/>
      <c r="KAE18" s="368"/>
      <c r="KAF18" s="368"/>
      <c r="KAG18" s="368"/>
      <c r="KAH18" s="368"/>
      <c r="KAI18" s="368"/>
      <c r="KAS18" s="368"/>
      <c r="KAT18" s="368"/>
      <c r="KAU18" s="368"/>
      <c r="KAV18" s="368"/>
      <c r="KAZ18" s="368"/>
      <c r="KBA18" s="368"/>
      <c r="KJK18" s="368"/>
      <c r="KJP18" s="368"/>
      <c r="KJQ18" s="368"/>
      <c r="KJR18" s="368"/>
      <c r="KJS18" s="368"/>
      <c r="KJT18" s="368"/>
      <c r="KJU18" s="368"/>
      <c r="KJW18" s="368"/>
      <c r="KJX18" s="368"/>
      <c r="KJY18" s="368"/>
      <c r="KKA18" s="368"/>
      <c r="KKB18" s="368"/>
      <c r="KKC18" s="368"/>
      <c r="KKD18" s="368"/>
      <c r="KKE18" s="368"/>
      <c r="KKO18" s="368"/>
      <c r="KKP18" s="368"/>
      <c r="KKQ18" s="368"/>
      <c r="KKR18" s="368"/>
      <c r="KKV18" s="368"/>
      <c r="KKW18" s="368"/>
      <c r="KTG18" s="368"/>
      <c r="KTL18" s="368"/>
      <c r="KTM18" s="368"/>
      <c r="KTN18" s="368"/>
      <c r="KTO18" s="368"/>
      <c r="KTP18" s="368"/>
      <c r="KTQ18" s="368"/>
      <c r="KTS18" s="368"/>
      <c r="KTT18" s="368"/>
      <c r="KTU18" s="368"/>
      <c r="KTW18" s="368"/>
      <c r="KTX18" s="368"/>
      <c r="KTY18" s="368"/>
      <c r="KTZ18" s="368"/>
      <c r="KUA18" s="368"/>
      <c r="KUK18" s="368"/>
      <c r="KUL18" s="368"/>
      <c r="KUM18" s="368"/>
      <c r="KUN18" s="368"/>
      <c r="KUR18" s="368"/>
      <c r="KUS18" s="368"/>
      <c r="LDC18" s="368"/>
      <c r="LDH18" s="368"/>
      <c r="LDI18" s="368"/>
      <c r="LDJ18" s="368"/>
      <c r="LDK18" s="368"/>
      <c r="LDL18" s="368"/>
      <c r="LDM18" s="368"/>
      <c r="LDO18" s="368"/>
      <c r="LDP18" s="368"/>
      <c r="LDQ18" s="368"/>
      <c r="LDS18" s="368"/>
      <c r="LDT18" s="368"/>
      <c r="LDU18" s="368"/>
      <c r="LDV18" s="368"/>
      <c r="LDW18" s="368"/>
      <c r="LEG18" s="368"/>
      <c r="LEH18" s="368"/>
      <c r="LEI18" s="368"/>
      <c r="LEJ18" s="368"/>
      <c r="LEN18" s="368"/>
      <c r="LEO18" s="368"/>
      <c r="LMY18" s="368"/>
      <c r="LND18" s="368"/>
      <c r="LNE18" s="368"/>
      <c r="LNF18" s="368"/>
      <c r="LNG18" s="368"/>
      <c r="LNH18" s="368"/>
      <c r="LNI18" s="368"/>
      <c r="LNK18" s="368"/>
      <c r="LNL18" s="368"/>
      <c r="LNM18" s="368"/>
      <c r="LNO18" s="368"/>
      <c r="LNP18" s="368"/>
      <c r="LNQ18" s="368"/>
      <c r="LNR18" s="368"/>
      <c r="LNS18" s="368"/>
      <c r="LOC18" s="368"/>
      <c r="LOD18" s="368"/>
      <c r="LOE18" s="368"/>
      <c r="LOF18" s="368"/>
      <c r="LOJ18" s="368"/>
      <c r="LOK18" s="368"/>
      <c r="LWU18" s="368"/>
      <c r="LWZ18" s="368"/>
      <c r="LXA18" s="368"/>
      <c r="LXB18" s="368"/>
      <c r="LXC18" s="368"/>
      <c r="LXD18" s="368"/>
      <c r="LXE18" s="368"/>
      <c r="LXG18" s="368"/>
      <c r="LXH18" s="368"/>
      <c r="LXI18" s="368"/>
      <c r="LXK18" s="368"/>
      <c r="LXL18" s="368"/>
      <c r="LXM18" s="368"/>
      <c r="LXN18" s="368"/>
      <c r="LXO18" s="368"/>
      <c r="LXY18" s="368"/>
      <c r="LXZ18" s="368"/>
      <c r="LYA18" s="368"/>
      <c r="LYB18" s="368"/>
      <c r="LYF18" s="368"/>
      <c r="LYG18" s="368"/>
      <c r="MGQ18" s="368"/>
      <c r="MGV18" s="368"/>
      <c r="MGW18" s="368"/>
      <c r="MGX18" s="368"/>
      <c r="MGY18" s="368"/>
      <c r="MGZ18" s="368"/>
      <c r="MHA18" s="368"/>
      <c r="MHC18" s="368"/>
      <c r="MHD18" s="368"/>
      <c r="MHE18" s="368"/>
      <c r="MHG18" s="368"/>
      <c r="MHH18" s="368"/>
      <c r="MHI18" s="368"/>
      <c r="MHJ18" s="368"/>
      <c r="MHK18" s="368"/>
      <c r="MHU18" s="368"/>
      <c r="MHV18" s="368"/>
      <c r="MHW18" s="368"/>
      <c r="MHX18" s="368"/>
      <c r="MIB18" s="368"/>
      <c r="MIC18" s="368"/>
      <c r="MQM18" s="368"/>
      <c r="MQR18" s="368"/>
      <c r="MQS18" s="368"/>
      <c r="MQT18" s="368"/>
      <c r="MQU18" s="368"/>
      <c r="MQV18" s="368"/>
      <c r="MQW18" s="368"/>
      <c r="MQY18" s="368"/>
      <c r="MQZ18" s="368"/>
      <c r="MRA18" s="368"/>
      <c r="MRC18" s="368"/>
      <c r="MRD18" s="368"/>
      <c r="MRE18" s="368"/>
      <c r="MRF18" s="368"/>
      <c r="MRG18" s="368"/>
      <c r="MRQ18" s="368"/>
      <c r="MRR18" s="368"/>
      <c r="MRS18" s="368"/>
      <c r="MRT18" s="368"/>
      <c r="MRX18" s="368"/>
      <c r="MRY18" s="368"/>
      <c r="NAI18" s="368"/>
      <c r="NAN18" s="368"/>
      <c r="NAO18" s="368"/>
      <c r="NAP18" s="368"/>
      <c r="NAQ18" s="368"/>
      <c r="NAR18" s="368"/>
      <c r="NAS18" s="368"/>
      <c r="NAU18" s="368"/>
      <c r="NAV18" s="368"/>
      <c r="NAW18" s="368"/>
      <c r="NAY18" s="368"/>
      <c r="NAZ18" s="368"/>
      <c r="NBA18" s="368"/>
      <c r="NBB18" s="368"/>
      <c r="NBC18" s="368"/>
      <c r="NBM18" s="368"/>
      <c r="NBN18" s="368"/>
      <c r="NBO18" s="368"/>
      <c r="NBP18" s="368"/>
      <c r="NBT18" s="368"/>
      <c r="NBU18" s="368"/>
      <c r="NKE18" s="368"/>
      <c r="NKJ18" s="368"/>
      <c r="NKK18" s="368"/>
      <c r="NKL18" s="368"/>
      <c r="NKM18" s="368"/>
      <c r="NKN18" s="368"/>
      <c r="NKO18" s="368"/>
      <c r="NKQ18" s="368"/>
      <c r="NKR18" s="368"/>
      <c r="NKS18" s="368"/>
      <c r="NKU18" s="368"/>
      <c r="NKV18" s="368"/>
      <c r="NKW18" s="368"/>
      <c r="NKX18" s="368"/>
      <c r="NKY18" s="368"/>
      <c r="NLI18" s="368"/>
      <c r="NLJ18" s="368"/>
      <c r="NLK18" s="368"/>
      <c r="NLL18" s="368"/>
      <c r="NLP18" s="368"/>
      <c r="NLQ18" s="368"/>
      <c r="NUA18" s="368"/>
      <c r="NUF18" s="368"/>
      <c r="NUG18" s="368"/>
      <c r="NUH18" s="368"/>
      <c r="NUI18" s="368"/>
      <c r="NUJ18" s="368"/>
      <c r="NUK18" s="368"/>
      <c r="NUM18" s="368"/>
      <c r="NUN18" s="368"/>
      <c r="NUO18" s="368"/>
      <c r="NUQ18" s="368"/>
      <c r="NUR18" s="368"/>
      <c r="NUS18" s="368"/>
      <c r="NUT18" s="368"/>
      <c r="NUU18" s="368"/>
      <c r="NVE18" s="368"/>
      <c r="NVF18" s="368"/>
      <c r="NVG18" s="368"/>
      <c r="NVH18" s="368"/>
      <c r="NVL18" s="368"/>
      <c r="NVM18" s="368"/>
      <c r="ODW18" s="368"/>
      <c r="OEB18" s="368"/>
      <c r="OEC18" s="368"/>
      <c r="OED18" s="368"/>
      <c r="OEE18" s="368"/>
      <c r="OEF18" s="368"/>
      <c r="OEG18" s="368"/>
      <c r="OEI18" s="368"/>
      <c r="OEJ18" s="368"/>
      <c r="OEK18" s="368"/>
      <c r="OEM18" s="368"/>
      <c r="OEN18" s="368"/>
      <c r="OEO18" s="368"/>
      <c r="OEP18" s="368"/>
      <c r="OEQ18" s="368"/>
      <c r="OFA18" s="368"/>
      <c r="OFB18" s="368"/>
      <c r="OFC18" s="368"/>
      <c r="OFD18" s="368"/>
      <c r="OFH18" s="368"/>
      <c r="OFI18" s="368"/>
      <c r="ONS18" s="368"/>
      <c r="ONX18" s="368"/>
      <c r="ONY18" s="368"/>
      <c r="ONZ18" s="368"/>
      <c r="OOA18" s="368"/>
      <c r="OOB18" s="368"/>
      <c r="OOC18" s="368"/>
      <c r="OOE18" s="368"/>
      <c r="OOF18" s="368"/>
      <c r="OOG18" s="368"/>
      <c r="OOI18" s="368"/>
      <c r="OOJ18" s="368"/>
      <c r="OOK18" s="368"/>
      <c r="OOL18" s="368"/>
      <c r="OOM18" s="368"/>
      <c r="OOW18" s="368"/>
      <c r="OOX18" s="368"/>
      <c r="OOY18" s="368"/>
      <c r="OOZ18" s="368"/>
      <c r="OPD18" s="368"/>
      <c r="OPE18" s="368"/>
      <c r="OXO18" s="368"/>
      <c r="OXT18" s="368"/>
      <c r="OXU18" s="368"/>
      <c r="OXV18" s="368"/>
      <c r="OXW18" s="368"/>
      <c r="OXX18" s="368"/>
      <c r="OXY18" s="368"/>
      <c r="OYA18" s="368"/>
      <c r="OYB18" s="368"/>
      <c r="OYC18" s="368"/>
      <c r="OYE18" s="368"/>
      <c r="OYF18" s="368"/>
      <c r="OYG18" s="368"/>
      <c r="OYH18" s="368"/>
      <c r="OYI18" s="368"/>
      <c r="OYS18" s="368"/>
      <c r="OYT18" s="368"/>
      <c r="OYU18" s="368"/>
      <c r="OYV18" s="368"/>
      <c r="OYZ18" s="368"/>
      <c r="OZA18" s="368"/>
      <c r="PHK18" s="368"/>
      <c r="PHP18" s="368"/>
      <c r="PHQ18" s="368"/>
      <c r="PHR18" s="368"/>
      <c r="PHS18" s="368"/>
      <c r="PHT18" s="368"/>
      <c r="PHU18" s="368"/>
      <c r="PHW18" s="368"/>
      <c r="PHX18" s="368"/>
      <c r="PHY18" s="368"/>
      <c r="PIA18" s="368"/>
      <c r="PIB18" s="368"/>
      <c r="PIC18" s="368"/>
      <c r="PID18" s="368"/>
      <c r="PIE18" s="368"/>
      <c r="PIO18" s="368"/>
      <c r="PIP18" s="368"/>
      <c r="PIQ18" s="368"/>
      <c r="PIR18" s="368"/>
      <c r="PIV18" s="368"/>
      <c r="PIW18" s="368"/>
      <c r="PRG18" s="368"/>
      <c r="PRL18" s="368"/>
      <c r="PRM18" s="368"/>
      <c r="PRN18" s="368"/>
      <c r="PRO18" s="368"/>
      <c r="PRP18" s="368"/>
      <c r="PRQ18" s="368"/>
      <c r="PRS18" s="368"/>
      <c r="PRT18" s="368"/>
      <c r="PRU18" s="368"/>
      <c r="PRW18" s="368"/>
      <c r="PRX18" s="368"/>
      <c r="PRY18" s="368"/>
      <c r="PRZ18" s="368"/>
      <c r="PSA18" s="368"/>
      <c r="PSK18" s="368"/>
      <c r="PSL18" s="368"/>
      <c r="PSM18" s="368"/>
      <c r="PSN18" s="368"/>
      <c r="PSR18" s="368"/>
      <c r="PSS18" s="368"/>
      <c r="QBC18" s="368"/>
      <c r="QBH18" s="368"/>
      <c r="QBI18" s="368"/>
      <c r="QBJ18" s="368"/>
      <c r="QBK18" s="368"/>
      <c r="QBL18" s="368"/>
      <c r="QBM18" s="368"/>
      <c r="QBO18" s="368"/>
      <c r="QBP18" s="368"/>
      <c r="QBQ18" s="368"/>
      <c r="QBS18" s="368"/>
      <c r="QBT18" s="368"/>
      <c r="QBU18" s="368"/>
      <c r="QBV18" s="368"/>
      <c r="QBW18" s="368"/>
      <c r="QCG18" s="368"/>
      <c r="QCH18" s="368"/>
      <c r="QCI18" s="368"/>
      <c r="QCJ18" s="368"/>
      <c r="QCN18" s="368"/>
      <c r="QCO18" s="368"/>
      <c r="QKY18" s="368"/>
      <c r="QLD18" s="368"/>
      <c r="QLE18" s="368"/>
      <c r="QLF18" s="368"/>
      <c r="QLG18" s="368"/>
      <c r="QLH18" s="368"/>
      <c r="QLI18" s="368"/>
      <c r="QLK18" s="368"/>
      <c r="QLL18" s="368"/>
      <c r="QLM18" s="368"/>
      <c r="QLO18" s="368"/>
      <c r="QLP18" s="368"/>
      <c r="QLQ18" s="368"/>
      <c r="QLR18" s="368"/>
      <c r="QLS18" s="368"/>
      <c r="QMC18" s="368"/>
      <c r="QMD18" s="368"/>
      <c r="QME18" s="368"/>
      <c r="QMF18" s="368"/>
      <c r="QMJ18" s="368"/>
      <c r="QMK18" s="368"/>
      <c r="QUU18" s="368"/>
      <c r="QUZ18" s="368"/>
      <c r="QVA18" s="368"/>
      <c r="QVB18" s="368"/>
      <c r="QVC18" s="368"/>
      <c r="QVD18" s="368"/>
      <c r="QVE18" s="368"/>
      <c r="QVG18" s="368"/>
      <c r="QVH18" s="368"/>
      <c r="QVI18" s="368"/>
      <c r="QVK18" s="368"/>
      <c r="QVL18" s="368"/>
      <c r="QVM18" s="368"/>
      <c r="QVN18" s="368"/>
      <c r="QVO18" s="368"/>
      <c r="QVY18" s="368"/>
      <c r="QVZ18" s="368"/>
      <c r="QWA18" s="368"/>
      <c r="QWB18" s="368"/>
      <c r="QWF18" s="368"/>
      <c r="QWG18" s="368"/>
      <c r="REQ18" s="368"/>
      <c r="REV18" s="368"/>
      <c r="REW18" s="368"/>
      <c r="REX18" s="368"/>
      <c r="REY18" s="368"/>
      <c r="REZ18" s="368"/>
      <c r="RFA18" s="368"/>
      <c r="RFC18" s="368"/>
      <c r="RFD18" s="368"/>
      <c r="RFE18" s="368"/>
      <c r="RFG18" s="368"/>
      <c r="RFH18" s="368"/>
      <c r="RFI18" s="368"/>
      <c r="RFJ18" s="368"/>
      <c r="RFK18" s="368"/>
      <c r="RFU18" s="368"/>
      <c r="RFV18" s="368"/>
      <c r="RFW18" s="368"/>
      <c r="RFX18" s="368"/>
      <c r="RGB18" s="368"/>
      <c r="RGC18" s="368"/>
      <c r="ROM18" s="368"/>
      <c r="ROR18" s="368"/>
      <c r="ROS18" s="368"/>
      <c r="ROT18" s="368"/>
      <c r="ROU18" s="368"/>
      <c r="ROV18" s="368"/>
      <c r="ROW18" s="368"/>
      <c r="ROY18" s="368"/>
      <c r="ROZ18" s="368"/>
      <c r="RPA18" s="368"/>
      <c r="RPC18" s="368"/>
      <c r="RPD18" s="368"/>
      <c r="RPE18" s="368"/>
      <c r="RPF18" s="368"/>
      <c r="RPG18" s="368"/>
      <c r="RPQ18" s="368"/>
      <c r="RPR18" s="368"/>
      <c r="RPS18" s="368"/>
      <c r="RPT18" s="368"/>
      <c r="RPX18" s="368"/>
      <c r="RPY18" s="368"/>
      <c r="RYI18" s="368"/>
      <c r="RYN18" s="368"/>
      <c r="RYO18" s="368"/>
      <c r="RYP18" s="368"/>
      <c r="RYQ18" s="368"/>
      <c r="RYR18" s="368"/>
      <c r="RYS18" s="368"/>
      <c r="RYU18" s="368"/>
      <c r="RYV18" s="368"/>
      <c r="RYW18" s="368"/>
      <c r="RYY18" s="368"/>
      <c r="RYZ18" s="368"/>
      <c r="RZA18" s="368"/>
      <c r="RZB18" s="368"/>
      <c r="RZC18" s="368"/>
      <c r="RZM18" s="368"/>
      <c r="RZN18" s="368"/>
      <c r="RZO18" s="368"/>
      <c r="RZP18" s="368"/>
      <c r="RZT18" s="368"/>
      <c r="RZU18" s="368"/>
      <c r="SIE18" s="368"/>
      <c r="SIJ18" s="368"/>
      <c r="SIK18" s="368"/>
      <c r="SIL18" s="368"/>
      <c r="SIM18" s="368"/>
      <c r="SIN18" s="368"/>
      <c r="SIO18" s="368"/>
      <c r="SIQ18" s="368"/>
      <c r="SIR18" s="368"/>
      <c r="SIS18" s="368"/>
      <c r="SIU18" s="368"/>
      <c r="SIV18" s="368"/>
      <c r="SIW18" s="368"/>
      <c r="SIX18" s="368"/>
      <c r="SIY18" s="368"/>
      <c r="SJI18" s="368"/>
      <c r="SJJ18" s="368"/>
      <c r="SJK18" s="368"/>
      <c r="SJL18" s="368"/>
      <c r="SJP18" s="368"/>
      <c r="SJQ18" s="368"/>
      <c r="SSA18" s="368"/>
      <c r="SSF18" s="368"/>
      <c r="SSG18" s="368"/>
      <c r="SSH18" s="368"/>
      <c r="SSI18" s="368"/>
      <c r="SSJ18" s="368"/>
      <c r="SSK18" s="368"/>
      <c r="SSM18" s="368"/>
      <c r="SSN18" s="368"/>
      <c r="SSO18" s="368"/>
      <c r="SSQ18" s="368"/>
      <c r="SSR18" s="368"/>
      <c r="SSS18" s="368"/>
      <c r="SST18" s="368"/>
      <c r="SSU18" s="368"/>
      <c r="STE18" s="368"/>
      <c r="STF18" s="368"/>
      <c r="STG18" s="368"/>
      <c r="STH18" s="368"/>
      <c r="STL18" s="368"/>
      <c r="STM18" s="368"/>
      <c r="TBW18" s="368"/>
      <c r="TCB18" s="368"/>
      <c r="TCC18" s="368"/>
      <c r="TCD18" s="368"/>
      <c r="TCE18" s="368"/>
      <c r="TCF18" s="368"/>
      <c r="TCG18" s="368"/>
      <c r="TCI18" s="368"/>
      <c r="TCJ18" s="368"/>
      <c r="TCK18" s="368"/>
      <c r="TCM18" s="368"/>
      <c r="TCN18" s="368"/>
      <c r="TCO18" s="368"/>
      <c r="TCP18" s="368"/>
      <c r="TCQ18" s="368"/>
      <c r="TDA18" s="368"/>
      <c r="TDB18" s="368"/>
      <c r="TDC18" s="368"/>
      <c r="TDD18" s="368"/>
      <c r="TDH18" s="368"/>
      <c r="TDI18" s="368"/>
      <c r="TLS18" s="368"/>
      <c r="TLX18" s="368"/>
      <c r="TLY18" s="368"/>
      <c r="TLZ18" s="368"/>
      <c r="TMA18" s="368"/>
      <c r="TMB18" s="368"/>
      <c r="TMC18" s="368"/>
      <c r="TME18" s="368"/>
      <c r="TMF18" s="368"/>
      <c r="TMG18" s="368"/>
      <c r="TMI18" s="368"/>
      <c r="TMJ18" s="368"/>
      <c r="TMK18" s="368"/>
      <c r="TML18" s="368"/>
      <c r="TMM18" s="368"/>
      <c r="TMW18" s="368"/>
      <c r="TMX18" s="368"/>
      <c r="TMY18" s="368"/>
      <c r="TMZ18" s="368"/>
      <c r="TND18" s="368"/>
      <c r="TNE18" s="368"/>
      <c r="TVO18" s="368"/>
      <c r="TVT18" s="368"/>
      <c r="TVU18" s="368"/>
      <c r="TVV18" s="368"/>
      <c r="TVW18" s="368"/>
      <c r="TVX18" s="368"/>
      <c r="TVY18" s="368"/>
      <c r="TWA18" s="368"/>
      <c r="TWB18" s="368"/>
      <c r="TWC18" s="368"/>
      <c r="TWE18" s="368"/>
      <c r="TWF18" s="368"/>
      <c r="TWG18" s="368"/>
      <c r="TWH18" s="368"/>
      <c r="TWI18" s="368"/>
      <c r="TWS18" s="368"/>
      <c r="TWT18" s="368"/>
      <c r="TWU18" s="368"/>
      <c r="TWV18" s="368"/>
      <c r="TWZ18" s="368"/>
      <c r="TXA18" s="368"/>
      <c r="UFK18" s="368"/>
      <c r="UFP18" s="368"/>
      <c r="UFQ18" s="368"/>
      <c r="UFR18" s="368"/>
      <c r="UFS18" s="368"/>
      <c r="UFT18" s="368"/>
      <c r="UFU18" s="368"/>
      <c r="UFW18" s="368"/>
      <c r="UFX18" s="368"/>
      <c r="UFY18" s="368"/>
      <c r="UGA18" s="368"/>
      <c r="UGB18" s="368"/>
      <c r="UGC18" s="368"/>
      <c r="UGD18" s="368"/>
      <c r="UGE18" s="368"/>
      <c r="UGO18" s="368"/>
      <c r="UGP18" s="368"/>
      <c r="UGQ18" s="368"/>
      <c r="UGR18" s="368"/>
      <c r="UGV18" s="368"/>
      <c r="UGW18" s="368"/>
      <c r="UPG18" s="368"/>
      <c r="UPL18" s="368"/>
      <c r="UPM18" s="368"/>
      <c r="UPN18" s="368"/>
      <c r="UPO18" s="368"/>
      <c r="UPP18" s="368"/>
      <c r="UPQ18" s="368"/>
      <c r="UPS18" s="368"/>
      <c r="UPT18" s="368"/>
      <c r="UPU18" s="368"/>
      <c r="UPW18" s="368"/>
      <c r="UPX18" s="368"/>
      <c r="UPY18" s="368"/>
      <c r="UPZ18" s="368"/>
      <c r="UQA18" s="368"/>
      <c r="UQK18" s="368"/>
      <c r="UQL18" s="368"/>
      <c r="UQM18" s="368"/>
      <c r="UQN18" s="368"/>
      <c r="UQR18" s="368"/>
      <c r="UQS18" s="368"/>
      <c r="UZC18" s="368"/>
      <c r="UZH18" s="368"/>
      <c r="UZI18" s="368"/>
      <c r="UZJ18" s="368"/>
      <c r="UZK18" s="368"/>
      <c r="UZL18" s="368"/>
      <c r="UZM18" s="368"/>
      <c r="UZO18" s="368"/>
      <c r="UZP18" s="368"/>
      <c r="UZQ18" s="368"/>
      <c r="UZS18" s="368"/>
      <c r="UZT18" s="368"/>
      <c r="UZU18" s="368"/>
      <c r="UZV18" s="368"/>
      <c r="UZW18" s="368"/>
      <c r="VAG18" s="368"/>
      <c r="VAH18" s="368"/>
      <c r="VAI18" s="368"/>
      <c r="VAJ18" s="368"/>
      <c r="VAN18" s="368"/>
      <c r="VAO18" s="368"/>
      <c r="VIY18" s="368"/>
      <c r="VJD18" s="368"/>
      <c r="VJE18" s="368"/>
      <c r="VJF18" s="368"/>
      <c r="VJG18" s="368"/>
      <c r="VJH18" s="368"/>
      <c r="VJI18" s="368"/>
      <c r="VJK18" s="368"/>
      <c r="VJL18" s="368"/>
      <c r="VJM18" s="368"/>
      <c r="VJO18" s="368"/>
      <c r="VJP18" s="368"/>
      <c r="VJQ18" s="368"/>
      <c r="VJR18" s="368"/>
      <c r="VJS18" s="368"/>
      <c r="VKC18" s="368"/>
      <c r="VKD18" s="368"/>
      <c r="VKE18" s="368"/>
      <c r="VKF18" s="368"/>
      <c r="VKJ18" s="368"/>
      <c r="VKK18" s="368"/>
      <c r="VSU18" s="368"/>
      <c r="VSZ18" s="368"/>
      <c r="VTA18" s="368"/>
      <c r="VTB18" s="368"/>
      <c r="VTC18" s="368"/>
      <c r="VTD18" s="368"/>
      <c r="VTE18" s="368"/>
      <c r="VTG18" s="368"/>
      <c r="VTH18" s="368"/>
      <c r="VTI18" s="368"/>
      <c r="VTK18" s="368"/>
      <c r="VTL18" s="368"/>
      <c r="VTM18" s="368"/>
      <c r="VTN18" s="368"/>
      <c r="VTO18" s="368"/>
      <c r="VTY18" s="368"/>
      <c r="VTZ18" s="368"/>
      <c r="VUA18" s="368"/>
      <c r="VUB18" s="368"/>
      <c r="VUF18" s="368"/>
      <c r="VUG18" s="368"/>
      <c r="WCQ18" s="368"/>
      <c r="WCV18" s="368"/>
      <c r="WCW18" s="368"/>
      <c r="WCX18" s="368"/>
      <c r="WCY18" s="368"/>
      <c r="WCZ18" s="368"/>
      <c r="WDA18" s="368"/>
      <c r="WDC18" s="368"/>
      <c r="WDD18" s="368"/>
      <c r="WDE18" s="368"/>
      <c r="WDG18" s="368"/>
      <c r="WDH18" s="368"/>
      <c r="WDI18" s="368"/>
      <c r="WDJ18" s="368"/>
      <c r="WDK18" s="368"/>
      <c r="WDU18" s="368"/>
      <c r="WDV18" s="368"/>
      <c r="WDW18" s="368"/>
      <c r="WDX18" s="368"/>
      <c r="WEB18" s="368"/>
      <c r="WEC18" s="368"/>
      <c r="WMM18" s="368"/>
      <c r="WMR18" s="368"/>
      <c r="WMS18" s="368"/>
      <c r="WMT18" s="368"/>
      <c r="WMU18" s="368"/>
      <c r="WMV18" s="368"/>
      <c r="WMW18" s="368"/>
      <c r="WMY18" s="368"/>
      <c r="WMZ18" s="368"/>
      <c r="WNA18" s="368"/>
      <c r="WNC18" s="368"/>
      <c r="WND18" s="368"/>
      <c r="WNE18" s="368"/>
      <c r="WNF18" s="368"/>
      <c r="WNG18" s="368"/>
      <c r="WNQ18" s="368"/>
      <c r="WNR18" s="368"/>
      <c r="WNS18" s="368"/>
      <c r="WNT18" s="368"/>
      <c r="WNX18" s="368"/>
      <c r="WNY18" s="368"/>
      <c r="WWI18" s="368"/>
      <c r="WWN18" s="368"/>
      <c r="WWO18" s="368"/>
      <c r="WWP18" s="368"/>
      <c r="WWQ18" s="368"/>
      <c r="WWR18" s="368"/>
      <c r="WWS18" s="368"/>
      <c r="WWU18" s="368"/>
      <c r="WWV18" s="368"/>
      <c r="WWW18" s="368"/>
      <c r="WWY18" s="368"/>
      <c r="WWZ18" s="368"/>
      <c r="WXA18" s="368"/>
      <c r="WXB18" s="368"/>
      <c r="WXC18" s="368"/>
      <c r="WXM18" s="368"/>
      <c r="WXN18" s="368"/>
      <c r="WXO18" s="368"/>
      <c r="WXP18" s="368"/>
      <c r="WXT18" s="368"/>
      <c r="WXU18" s="368"/>
    </row>
    <row r="19" spans="1:833 1051:1857 2075:2881 3099:3905 4123:4929 5147:5953 6171:6977 7195:8001 8219:9025 9243:10049 10267:11073 11291:12097 12315:13121 13339:14145 14363:15169 15387:16193" s="16" customFormat="1" ht="27" customHeight="1">
      <c r="A19" s="380">
        <v>11</v>
      </c>
      <c r="B19" s="360" t="s">
        <v>259</v>
      </c>
      <c r="C19" s="349" t="s">
        <v>90</v>
      </c>
      <c r="D19" s="363">
        <v>208</v>
      </c>
      <c r="E19" s="350">
        <v>184</v>
      </c>
      <c r="F19" s="364"/>
      <c r="G19" s="364"/>
      <c r="H19" s="351"/>
      <c r="I19" s="364"/>
      <c r="J19" s="364"/>
      <c r="K19" s="364"/>
      <c r="L19" s="364"/>
      <c r="M19" s="364"/>
      <c r="N19" s="364"/>
      <c r="O19" s="364"/>
      <c r="P19" s="364"/>
      <c r="Q19" s="234">
        <v>4064000</v>
      </c>
      <c r="R19" s="234">
        <v>0</v>
      </c>
      <c r="S19" s="365"/>
      <c r="T19" s="234">
        <v>600000</v>
      </c>
      <c r="U19" s="365">
        <v>400000</v>
      </c>
      <c r="V19" s="358">
        <f t="shared" si="0"/>
        <v>400000</v>
      </c>
      <c r="W19" s="365">
        <v>300000</v>
      </c>
      <c r="X19" s="234">
        <f t="shared" si="1"/>
        <v>300000</v>
      </c>
      <c r="Y19" s="365">
        <v>300000</v>
      </c>
      <c r="Z19" s="234">
        <f t="shared" si="2"/>
        <v>300000</v>
      </c>
      <c r="AA19" s="365">
        <v>0</v>
      </c>
      <c r="AB19" s="234"/>
      <c r="AC19" s="234">
        <f t="shared" si="107"/>
        <v>500000</v>
      </c>
      <c r="AD19" s="234">
        <f t="shared" ref="AD19" si="142">G19*13000</f>
        <v>0</v>
      </c>
      <c r="AE19" s="234">
        <v>0</v>
      </c>
      <c r="AF19" s="365"/>
      <c r="AG19" s="365"/>
      <c r="AH19" s="234">
        <f t="shared" si="4"/>
        <v>1500000</v>
      </c>
      <c r="AI19" s="234">
        <f t="shared" si="5"/>
        <v>4664000</v>
      </c>
      <c r="AJ19" s="234">
        <f t="shared" ref="AJ19" si="143">AI19/208</f>
        <v>22423.076923076922</v>
      </c>
      <c r="AK19" s="234">
        <f t="shared" si="7"/>
        <v>4125846.1538461535</v>
      </c>
      <c r="AL19" s="234">
        <f t="shared" si="8"/>
        <v>0</v>
      </c>
      <c r="AM19" s="365">
        <f t="shared" si="9"/>
        <v>0</v>
      </c>
      <c r="AN19" s="234">
        <f t="shared" si="10"/>
        <v>0</v>
      </c>
      <c r="AO19" s="365">
        <f t="shared" si="11"/>
        <v>0</v>
      </c>
      <c r="AP19" s="365">
        <f t="shared" si="12"/>
        <v>0</v>
      </c>
      <c r="AQ19" s="365">
        <f t="shared" si="13"/>
        <v>0</v>
      </c>
      <c r="AR19" s="365">
        <f t="shared" si="14"/>
        <v>0</v>
      </c>
      <c r="AS19" s="365">
        <f t="shared" si="15"/>
        <v>0</v>
      </c>
      <c r="AT19" s="365">
        <f t="shared" si="16"/>
        <v>0</v>
      </c>
      <c r="AU19" s="234">
        <f t="shared" ref="AU19" si="144">SUM(AL19:AT19)</f>
        <v>0</v>
      </c>
      <c r="AV19" s="234">
        <f t="shared" si="32"/>
        <v>5625846.153846154</v>
      </c>
      <c r="AW19" s="234">
        <f>Q19+R19+T19</f>
        <v>4664000</v>
      </c>
      <c r="AX19" s="365">
        <f t="shared" ref="AX19" si="145">AW19*17.5%</f>
        <v>816200</v>
      </c>
      <c r="AY19" s="365">
        <f t="shared" ref="AY19" si="146">AW19*3%</f>
        <v>139920</v>
      </c>
      <c r="AZ19" s="365">
        <f t="shared" si="21"/>
        <v>46640</v>
      </c>
      <c r="BA19" s="365">
        <f t="shared" si="35"/>
        <v>93280</v>
      </c>
      <c r="BB19" s="234">
        <f t="shared" si="36"/>
        <v>1096040</v>
      </c>
      <c r="BC19" s="365">
        <f t="shared" si="22"/>
        <v>373120</v>
      </c>
      <c r="BD19" s="365">
        <f t="shared" si="23"/>
        <v>69960</v>
      </c>
      <c r="BE19" s="365">
        <f t="shared" si="24"/>
        <v>46640</v>
      </c>
      <c r="BF19" s="234">
        <f t="shared" si="37"/>
        <v>489720</v>
      </c>
      <c r="BG19" s="365">
        <v>11000000</v>
      </c>
      <c r="BH19" s="365"/>
      <c r="BI19" s="365">
        <f t="shared" si="38"/>
        <v>0</v>
      </c>
      <c r="BJ19" s="365">
        <f t="shared" si="25"/>
        <v>400000</v>
      </c>
      <c r="BK19" s="365">
        <f t="shared" si="26"/>
        <v>5225846.153846154</v>
      </c>
      <c r="BL19" s="365">
        <f t="shared" ref="BL19" si="147">IF(BK19-BG19-BF19-BI19&lt;0,0,BK19-BG19-BI19-BF19)</f>
        <v>0</v>
      </c>
      <c r="BM19" s="234">
        <f t="shared" ref="BM19" si="148">ROUND(IF(BL19&lt;=5000000,BL19*5%,IF(AND(BL19&gt;5000000,BL19&lt;=10000000),BL19*10%-250000,IF(AND(BL19&gt;10000000,BL19&lt;=18000000),BL19*15%-750000,IF(AND(BL19&gt;18000000,BL19&lt;=32000000),BL19*20%-1650000,IF(AND(BL19&gt;32000000,BL19&lt;=52000000),BL19*25%-3250000,IF(AND(BL19&gt;52000000,BL19&lt;80000000),BL19*30%-585000,IF(BL19&gt;80000000,BL19*35%-9850000))))))),0)</f>
        <v>0</v>
      </c>
      <c r="BN19" s="232">
        <v>35000</v>
      </c>
      <c r="BO19" s="234">
        <f t="shared" si="41"/>
        <v>5101126.153846154</v>
      </c>
      <c r="BP19" s="367" t="s">
        <v>189</v>
      </c>
      <c r="BQ19" s="234"/>
      <c r="BR19" s="352"/>
      <c r="JW19" s="368"/>
      <c r="KB19" s="368"/>
      <c r="KC19" s="368"/>
      <c r="KD19" s="368"/>
      <c r="KE19" s="368"/>
      <c r="KF19" s="368"/>
      <c r="KG19" s="368"/>
      <c r="KI19" s="368"/>
      <c r="KJ19" s="368"/>
      <c r="KK19" s="368"/>
      <c r="KM19" s="368"/>
      <c r="KN19" s="368"/>
      <c r="KO19" s="368"/>
      <c r="KP19" s="368"/>
      <c r="KQ19" s="368"/>
      <c r="LA19" s="368"/>
      <c r="LB19" s="368"/>
      <c r="LC19" s="368"/>
      <c r="LD19" s="368"/>
      <c r="LH19" s="368"/>
      <c r="LI19" s="368"/>
      <c r="TS19" s="368"/>
      <c r="TX19" s="368"/>
      <c r="TY19" s="368"/>
      <c r="TZ19" s="368"/>
      <c r="UA19" s="368"/>
      <c r="UB19" s="368"/>
      <c r="UC19" s="368"/>
      <c r="UE19" s="368"/>
      <c r="UF19" s="368"/>
      <c r="UG19" s="368"/>
      <c r="UI19" s="368"/>
      <c r="UJ19" s="368"/>
      <c r="UK19" s="368"/>
      <c r="UL19" s="368"/>
      <c r="UM19" s="368"/>
      <c r="UW19" s="368"/>
      <c r="UX19" s="368"/>
      <c r="UY19" s="368"/>
      <c r="UZ19" s="368"/>
      <c r="VD19" s="368"/>
      <c r="VE19" s="368"/>
      <c r="ADO19" s="368"/>
      <c r="ADT19" s="368"/>
      <c r="ADU19" s="368"/>
      <c r="ADV19" s="368"/>
      <c r="ADW19" s="368"/>
      <c r="ADX19" s="368"/>
      <c r="ADY19" s="368"/>
      <c r="AEA19" s="368"/>
      <c r="AEB19" s="368"/>
      <c r="AEC19" s="368"/>
      <c r="AEE19" s="368"/>
      <c r="AEF19" s="368"/>
      <c r="AEG19" s="368"/>
      <c r="AEH19" s="368"/>
      <c r="AEI19" s="368"/>
      <c r="AES19" s="368"/>
      <c r="AET19" s="368"/>
      <c r="AEU19" s="368"/>
      <c r="AEV19" s="368"/>
      <c r="AEZ19" s="368"/>
      <c r="AFA19" s="368"/>
      <c r="ANK19" s="368"/>
      <c r="ANP19" s="368"/>
      <c r="ANQ19" s="368"/>
      <c r="ANR19" s="368"/>
      <c r="ANS19" s="368"/>
      <c r="ANT19" s="368"/>
      <c r="ANU19" s="368"/>
      <c r="ANW19" s="368"/>
      <c r="ANX19" s="368"/>
      <c r="ANY19" s="368"/>
      <c r="AOA19" s="368"/>
      <c r="AOB19" s="368"/>
      <c r="AOC19" s="368"/>
      <c r="AOD19" s="368"/>
      <c r="AOE19" s="368"/>
      <c r="AOO19" s="368"/>
      <c r="AOP19" s="368"/>
      <c r="AOQ19" s="368"/>
      <c r="AOR19" s="368"/>
      <c r="AOV19" s="368"/>
      <c r="AOW19" s="368"/>
      <c r="AXG19" s="368"/>
      <c r="AXL19" s="368"/>
      <c r="AXM19" s="368"/>
      <c r="AXN19" s="368"/>
      <c r="AXO19" s="368"/>
      <c r="AXP19" s="368"/>
      <c r="AXQ19" s="368"/>
      <c r="AXS19" s="368"/>
      <c r="AXT19" s="368"/>
      <c r="AXU19" s="368"/>
      <c r="AXW19" s="368"/>
      <c r="AXX19" s="368"/>
      <c r="AXY19" s="368"/>
      <c r="AXZ19" s="368"/>
      <c r="AYA19" s="368"/>
      <c r="AYK19" s="368"/>
      <c r="AYL19" s="368"/>
      <c r="AYM19" s="368"/>
      <c r="AYN19" s="368"/>
      <c r="AYR19" s="368"/>
      <c r="AYS19" s="368"/>
      <c r="BHC19" s="368"/>
      <c r="BHH19" s="368"/>
      <c r="BHI19" s="368"/>
      <c r="BHJ19" s="368"/>
      <c r="BHK19" s="368"/>
      <c r="BHL19" s="368"/>
      <c r="BHM19" s="368"/>
      <c r="BHO19" s="368"/>
      <c r="BHP19" s="368"/>
      <c r="BHQ19" s="368"/>
      <c r="BHS19" s="368"/>
      <c r="BHT19" s="368"/>
      <c r="BHU19" s="368"/>
      <c r="BHV19" s="368"/>
      <c r="BHW19" s="368"/>
      <c r="BIG19" s="368"/>
      <c r="BIH19" s="368"/>
      <c r="BII19" s="368"/>
      <c r="BIJ19" s="368"/>
      <c r="BIN19" s="368"/>
      <c r="BIO19" s="368"/>
      <c r="BQY19" s="368"/>
      <c r="BRD19" s="368"/>
      <c r="BRE19" s="368"/>
      <c r="BRF19" s="368"/>
      <c r="BRG19" s="368"/>
      <c r="BRH19" s="368"/>
      <c r="BRI19" s="368"/>
      <c r="BRK19" s="368"/>
      <c r="BRL19" s="368"/>
      <c r="BRM19" s="368"/>
      <c r="BRO19" s="368"/>
      <c r="BRP19" s="368"/>
      <c r="BRQ19" s="368"/>
      <c r="BRR19" s="368"/>
      <c r="BRS19" s="368"/>
      <c r="BSC19" s="368"/>
      <c r="BSD19" s="368"/>
      <c r="BSE19" s="368"/>
      <c r="BSF19" s="368"/>
      <c r="BSJ19" s="368"/>
      <c r="BSK19" s="368"/>
      <c r="CAU19" s="368"/>
      <c r="CAZ19" s="368"/>
      <c r="CBA19" s="368"/>
      <c r="CBB19" s="368"/>
      <c r="CBC19" s="368"/>
      <c r="CBD19" s="368"/>
      <c r="CBE19" s="368"/>
      <c r="CBG19" s="368"/>
      <c r="CBH19" s="368"/>
      <c r="CBI19" s="368"/>
      <c r="CBK19" s="368"/>
      <c r="CBL19" s="368"/>
      <c r="CBM19" s="368"/>
      <c r="CBN19" s="368"/>
      <c r="CBO19" s="368"/>
      <c r="CBY19" s="368"/>
      <c r="CBZ19" s="368"/>
      <c r="CCA19" s="368"/>
      <c r="CCB19" s="368"/>
      <c r="CCF19" s="368"/>
      <c r="CCG19" s="368"/>
      <c r="CKQ19" s="368"/>
      <c r="CKV19" s="368"/>
      <c r="CKW19" s="368"/>
      <c r="CKX19" s="368"/>
      <c r="CKY19" s="368"/>
      <c r="CKZ19" s="368"/>
      <c r="CLA19" s="368"/>
      <c r="CLC19" s="368"/>
      <c r="CLD19" s="368"/>
      <c r="CLE19" s="368"/>
      <c r="CLG19" s="368"/>
      <c r="CLH19" s="368"/>
      <c r="CLI19" s="368"/>
      <c r="CLJ19" s="368"/>
      <c r="CLK19" s="368"/>
      <c r="CLU19" s="368"/>
      <c r="CLV19" s="368"/>
      <c r="CLW19" s="368"/>
      <c r="CLX19" s="368"/>
      <c r="CMB19" s="368"/>
      <c r="CMC19" s="368"/>
      <c r="CUM19" s="368"/>
      <c r="CUR19" s="368"/>
      <c r="CUS19" s="368"/>
      <c r="CUT19" s="368"/>
      <c r="CUU19" s="368"/>
      <c r="CUV19" s="368"/>
      <c r="CUW19" s="368"/>
      <c r="CUY19" s="368"/>
      <c r="CUZ19" s="368"/>
      <c r="CVA19" s="368"/>
      <c r="CVC19" s="368"/>
      <c r="CVD19" s="368"/>
      <c r="CVE19" s="368"/>
      <c r="CVF19" s="368"/>
      <c r="CVG19" s="368"/>
      <c r="CVQ19" s="368"/>
      <c r="CVR19" s="368"/>
      <c r="CVS19" s="368"/>
      <c r="CVT19" s="368"/>
      <c r="CVX19" s="368"/>
      <c r="CVY19" s="368"/>
      <c r="DEI19" s="368"/>
      <c r="DEN19" s="368"/>
      <c r="DEO19" s="368"/>
      <c r="DEP19" s="368"/>
      <c r="DEQ19" s="368"/>
      <c r="DER19" s="368"/>
      <c r="DES19" s="368"/>
      <c r="DEU19" s="368"/>
      <c r="DEV19" s="368"/>
      <c r="DEW19" s="368"/>
      <c r="DEY19" s="368"/>
      <c r="DEZ19" s="368"/>
      <c r="DFA19" s="368"/>
      <c r="DFB19" s="368"/>
      <c r="DFC19" s="368"/>
      <c r="DFM19" s="368"/>
      <c r="DFN19" s="368"/>
      <c r="DFO19" s="368"/>
      <c r="DFP19" s="368"/>
      <c r="DFT19" s="368"/>
      <c r="DFU19" s="368"/>
      <c r="DOE19" s="368"/>
      <c r="DOJ19" s="368"/>
      <c r="DOK19" s="368"/>
      <c r="DOL19" s="368"/>
      <c r="DOM19" s="368"/>
      <c r="DON19" s="368"/>
      <c r="DOO19" s="368"/>
      <c r="DOQ19" s="368"/>
      <c r="DOR19" s="368"/>
      <c r="DOS19" s="368"/>
      <c r="DOU19" s="368"/>
      <c r="DOV19" s="368"/>
      <c r="DOW19" s="368"/>
      <c r="DOX19" s="368"/>
      <c r="DOY19" s="368"/>
      <c r="DPI19" s="368"/>
      <c r="DPJ19" s="368"/>
      <c r="DPK19" s="368"/>
      <c r="DPL19" s="368"/>
      <c r="DPP19" s="368"/>
      <c r="DPQ19" s="368"/>
      <c r="DYA19" s="368"/>
      <c r="DYF19" s="368"/>
      <c r="DYG19" s="368"/>
      <c r="DYH19" s="368"/>
      <c r="DYI19" s="368"/>
      <c r="DYJ19" s="368"/>
      <c r="DYK19" s="368"/>
      <c r="DYM19" s="368"/>
      <c r="DYN19" s="368"/>
      <c r="DYO19" s="368"/>
      <c r="DYQ19" s="368"/>
      <c r="DYR19" s="368"/>
      <c r="DYS19" s="368"/>
      <c r="DYT19" s="368"/>
      <c r="DYU19" s="368"/>
      <c r="DZE19" s="368"/>
      <c r="DZF19" s="368"/>
      <c r="DZG19" s="368"/>
      <c r="DZH19" s="368"/>
      <c r="DZL19" s="368"/>
      <c r="DZM19" s="368"/>
      <c r="EHW19" s="368"/>
      <c r="EIB19" s="368"/>
      <c r="EIC19" s="368"/>
      <c r="EID19" s="368"/>
      <c r="EIE19" s="368"/>
      <c r="EIF19" s="368"/>
      <c r="EIG19" s="368"/>
      <c r="EII19" s="368"/>
      <c r="EIJ19" s="368"/>
      <c r="EIK19" s="368"/>
      <c r="EIM19" s="368"/>
      <c r="EIN19" s="368"/>
      <c r="EIO19" s="368"/>
      <c r="EIP19" s="368"/>
      <c r="EIQ19" s="368"/>
      <c r="EJA19" s="368"/>
      <c r="EJB19" s="368"/>
      <c r="EJC19" s="368"/>
      <c r="EJD19" s="368"/>
      <c r="EJH19" s="368"/>
      <c r="EJI19" s="368"/>
      <c r="ERS19" s="368"/>
      <c r="ERX19" s="368"/>
      <c r="ERY19" s="368"/>
      <c r="ERZ19" s="368"/>
      <c r="ESA19" s="368"/>
      <c r="ESB19" s="368"/>
      <c r="ESC19" s="368"/>
      <c r="ESE19" s="368"/>
      <c r="ESF19" s="368"/>
      <c r="ESG19" s="368"/>
      <c r="ESI19" s="368"/>
      <c r="ESJ19" s="368"/>
      <c r="ESK19" s="368"/>
      <c r="ESL19" s="368"/>
      <c r="ESM19" s="368"/>
      <c r="ESW19" s="368"/>
      <c r="ESX19" s="368"/>
      <c r="ESY19" s="368"/>
      <c r="ESZ19" s="368"/>
      <c r="ETD19" s="368"/>
      <c r="ETE19" s="368"/>
      <c r="FBO19" s="368"/>
      <c r="FBT19" s="368"/>
      <c r="FBU19" s="368"/>
      <c r="FBV19" s="368"/>
      <c r="FBW19" s="368"/>
      <c r="FBX19" s="368"/>
      <c r="FBY19" s="368"/>
      <c r="FCA19" s="368"/>
      <c r="FCB19" s="368"/>
      <c r="FCC19" s="368"/>
      <c r="FCE19" s="368"/>
      <c r="FCF19" s="368"/>
      <c r="FCG19" s="368"/>
      <c r="FCH19" s="368"/>
      <c r="FCI19" s="368"/>
      <c r="FCS19" s="368"/>
      <c r="FCT19" s="368"/>
      <c r="FCU19" s="368"/>
      <c r="FCV19" s="368"/>
      <c r="FCZ19" s="368"/>
      <c r="FDA19" s="368"/>
      <c r="FLK19" s="368"/>
      <c r="FLP19" s="368"/>
      <c r="FLQ19" s="368"/>
      <c r="FLR19" s="368"/>
      <c r="FLS19" s="368"/>
      <c r="FLT19" s="368"/>
      <c r="FLU19" s="368"/>
      <c r="FLW19" s="368"/>
      <c r="FLX19" s="368"/>
      <c r="FLY19" s="368"/>
      <c r="FMA19" s="368"/>
      <c r="FMB19" s="368"/>
      <c r="FMC19" s="368"/>
      <c r="FMD19" s="368"/>
      <c r="FME19" s="368"/>
      <c r="FMO19" s="368"/>
      <c r="FMP19" s="368"/>
      <c r="FMQ19" s="368"/>
      <c r="FMR19" s="368"/>
      <c r="FMV19" s="368"/>
      <c r="FMW19" s="368"/>
      <c r="FVG19" s="368"/>
      <c r="FVL19" s="368"/>
      <c r="FVM19" s="368"/>
      <c r="FVN19" s="368"/>
      <c r="FVO19" s="368"/>
      <c r="FVP19" s="368"/>
      <c r="FVQ19" s="368"/>
      <c r="FVS19" s="368"/>
      <c r="FVT19" s="368"/>
      <c r="FVU19" s="368"/>
      <c r="FVW19" s="368"/>
      <c r="FVX19" s="368"/>
      <c r="FVY19" s="368"/>
      <c r="FVZ19" s="368"/>
      <c r="FWA19" s="368"/>
      <c r="FWK19" s="368"/>
      <c r="FWL19" s="368"/>
      <c r="FWM19" s="368"/>
      <c r="FWN19" s="368"/>
      <c r="FWR19" s="368"/>
      <c r="FWS19" s="368"/>
      <c r="GFC19" s="368"/>
      <c r="GFH19" s="368"/>
      <c r="GFI19" s="368"/>
      <c r="GFJ19" s="368"/>
      <c r="GFK19" s="368"/>
      <c r="GFL19" s="368"/>
      <c r="GFM19" s="368"/>
      <c r="GFO19" s="368"/>
      <c r="GFP19" s="368"/>
      <c r="GFQ19" s="368"/>
      <c r="GFS19" s="368"/>
      <c r="GFT19" s="368"/>
      <c r="GFU19" s="368"/>
      <c r="GFV19" s="368"/>
      <c r="GFW19" s="368"/>
      <c r="GGG19" s="368"/>
      <c r="GGH19" s="368"/>
      <c r="GGI19" s="368"/>
      <c r="GGJ19" s="368"/>
      <c r="GGN19" s="368"/>
      <c r="GGO19" s="368"/>
      <c r="GOY19" s="368"/>
      <c r="GPD19" s="368"/>
      <c r="GPE19" s="368"/>
      <c r="GPF19" s="368"/>
      <c r="GPG19" s="368"/>
      <c r="GPH19" s="368"/>
      <c r="GPI19" s="368"/>
      <c r="GPK19" s="368"/>
      <c r="GPL19" s="368"/>
      <c r="GPM19" s="368"/>
      <c r="GPO19" s="368"/>
      <c r="GPP19" s="368"/>
      <c r="GPQ19" s="368"/>
      <c r="GPR19" s="368"/>
      <c r="GPS19" s="368"/>
      <c r="GQC19" s="368"/>
      <c r="GQD19" s="368"/>
      <c r="GQE19" s="368"/>
      <c r="GQF19" s="368"/>
      <c r="GQJ19" s="368"/>
      <c r="GQK19" s="368"/>
      <c r="GYU19" s="368"/>
      <c r="GYZ19" s="368"/>
      <c r="GZA19" s="368"/>
      <c r="GZB19" s="368"/>
      <c r="GZC19" s="368"/>
      <c r="GZD19" s="368"/>
      <c r="GZE19" s="368"/>
      <c r="GZG19" s="368"/>
      <c r="GZH19" s="368"/>
      <c r="GZI19" s="368"/>
      <c r="GZK19" s="368"/>
      <c r="GZL19" s="368"/>
      <c r="GZM19" s="368"/>
      <c r="GZN19" s="368"/>
      <c r="GZO19" s="368"/>
      <c r="GZY19" s="368"/>
      <c r="GZZ19" s="368"/>
      <c r="HAA19" s="368"/>
      <c r="HAB19" s="368"/>
      <c r="HAF19" s="368"/>
      <c r="HAG19" s="368"/>
      <c r="HIQ19" s="368"/>
      <c r="HIV19" s="368"/>
      <c r="HIW19" s="368"/>
      <c r="HIX19" s="368"/>
      <c r="HIY19" s="368"/>
      <c r="HIZ19" s="368"/>
      <c r="HJA19" s="368"/>
      <c r="HJC19" s="368"/>
      <c r="HJD19" s="368"/>
      <c r="HJE19" s="368"/>
      <c r="HJG19" s="368"/>
      <c r="HJH19" s="368"/>
      <c r="HJI19" s="368"/>
      <c r="HJJ19" s="368"/>
      <c r="HJK19" s="368"/>
      <c r="HJU19" s="368"/>
      <c r="HJV19" s="368"/>
      <c r="HJW19" s="368"/>
      <c r="HJX19" s="368"/>
      <c r="HKB19" s="368"/>
      <c r="HKC19" s="368"/>
      <c r="HSM19" s="368"/>
      <c r="HSR19" s="368"/>
      <c r="HSS19" s="368"/>
      <c r="HST19" s="368"/>
      <c r="HSU19" s="368"/>
      <c r="HSV19" s="368"/>
      <c r="HSW19" s="368"/>
      <c r="HSY19" s="368"/>
      <c r="HSZ19" s="368"/>
      <c r="HTA19" s="368"/>
      <c r="HTC19" s="368"/>
      <c r="HTD19" s="368"/>
      <c r="HTE19" s="368"/>
      <c r="HTF19" s="368"/>
      <c r="HTG19" s="368"/>
      <c r="HTQ19" s="368"/>
      <c r="HTR19" s="368"/>
      <c r="HTS19" s="368"/>
      <c r="HTT19" s="368"/>
      <c r="HTX19" s="368"/>
      <c r="HTY19" s="368"/>
      <c r="ICI19" s="368"/>
      <c r="ICN19" s="368"/>
      <c r="ICO19" s="368"/>
      <c r="ICP19" s="368"/>
      <c r="ICQ19" s="368"/>
      <c r="ICR19" s="368"/>
      <c r="ICS19" s="368"/>
      <c r="ICU19" s="368"/>
      <c r="ICV19" s="368"/>
      <c r="ICW19" s="368"/>
      <c r="ICY19" s="368"/>
      <c r="ICZ19" s="368"/>
      <c r="IDA19" s="368"/>
      <c r="IDB19" s="368"/>
      <c r="IDC19" s="368"/>
      <c r="IDM19" s="368"/>
      <c r="IDN19" s="368"/>
      <c r="IDO19" s="368"/>
      <c r="IDP19" s="368"/>
      <c r="IDT19" s="368"/>
      <c r="IDU19" s="368"/>
      <c r="IME19" s="368"/>
      <c r="IMJ19" s="368"/>
      <c r="IMK19" s="368"/>
      <c r="IML19" s="368"/>
      <c r="IMM19" s="368"/>
      <c r="IMN19" s="368"/>
      <c r="IMO19" s="368"/>
      <c r="IMQ19" s="368"/>
      <c r="IMR19" s="368"/>
      <c r="IMS19" s="368"/>
      <c r="IMU19" s="368"/>
      <c r="IMV19" s="368"/>
      <c r="IMW19" s="368"/>
      <c r="IMX19" s="368"/>
      <c r="IMY19" s="368"/>
      <c r="INI19" s="368"/>
      <c r="INJ19" s="368"/>
      <c r="INK19" s="368"/>
      <c r="INL19" s="368"/>
      <c r="INP19" s="368"/>
      <c r="INQ19" s="368"/>
      <c r="IWA19" s="368"/>
      <c r="IWF19" s="368"/>
      <c r="IWG19" s="368"/>
      <c r="IWH19" s="368"/>
      <c r="IWI19" s="368"/>
      <c r="IWJ19" s="368"/>
      <c r="IWK19" s="368"/>
      <c r="IWM19" s="368"/>
      <c r="IWN19" s="368"/>
      <c r="IWO19" s="368"/>
      <c r="IWQ19" s="368"/>
      <c r="IWR19" s="368"/>
      <c r="IWS19" s="368"/>
      <c r="IWT19" s="368"/>
      <c r="IWU19" s="368"/>
      <c r="IXE19" s="368"/>
      <c r="IXF19" s="368"/>
      <c r="IXG19" s="368"/>
      <c r="IXH19" s="368"/>
      <c r="IXL19" s="368"/>
      <c r="IXM19" s="368"/>
      <c r="JFW19" s="368"/>
      <c r="JGB19" s="368"/>
      <c r="JGC19" s="368"/>
      <c r="JGD19" s="368"/>
      <c r="JGE19" s="368"/>
      <c r="JGF19" s="368"/>
      <c r="JGG19" s="368"/>
      <c r="JGI19" s="368"/>
      <c r="JGJ19" s="368"/>
      <c r="JGK19" s="368"/>
      <c r="JGM19" s="368"/>
      <c r="JGN19" s="368"/>
      <c r="JGO19" s="368"/>
      <c r="JGP19" s="368"/>
      <c r="JGQ19" s="368"/>
      <c r="JHA19" s="368"/>
      <c r="JHB19" s="368"/>
      <c r="JHC19" s="368"/>
      <c r="JHD19" s="368"/>
      <c r="JHH19" s="368"/>
      <c r="JHI19" s="368"/>
      <c r="JPS19" s="368"/>
      <c r="JPX19" s="368"/>
      <c r="JPY19" s="368"/>
      <c r="JPZ19" s="368"/>
      <c r="JQA19" s="368"/>
      <c r="JQB19" s="368"/>
      <c r="JQC19" s="368"/>
      <c r="JQE19" s="368"/>
      <c r="JQF19" s="368"/>
      <c r="JQG19" s="368"/>
      <c r="JQI19" s="368"/>
      <c r="JQJ19" s="368"/>
      <c r="JQK19" s="368"/>
      <c r="JQL19" s="368"/>
      <c r="JQM19" s="368"/>
      <c r="JQW19" s="368"/>
      <c r="JQX19" s="368"/>
      <c r="JQY19" s="368"/>
      <c r="JQZ19" s="368"/>
      <c r="JRD19" s="368"/>
      <c r="JRE19" s="368"/>
      <c r="JZO19" s="368"/>
      <c r="JZT19" s="368"/>
      <c r="JZU19" s="368"/>
      <c r="JZV19" s="368"/>
      <c r="JZW19" s="368"/>
      <c r="JZX19" s="368"/>
      <c r="JZY19" s="368"/>
      <c r="KAA19" s="368"/>
      <c r="KAB19" s="368"/>
      <c r="KAC19" s="368"/>
      <c r="KAE19" s="368"/>
      <c r="KAF19" s="368"/>
      <c r="KAG19" s="368"/>
      <c r="KAH19" s="368"/>
      <c r="KAI19" s="368"/>
      <c r="KAS19" s="368"/>
      <c r="KAT19" s="368"/>
      <c r="KAU19" s="368"/>
      <c r="KAV19" s="368"/>
      <c r="KAZ19" s="368"/>
      <c r="KBA19" s="368"/>
      <c r="KJK19" s="368"/>
      <c r="KJP19" s="368"/>
      <c r="KJQ19" s="368"/>
      <c r="KJR19" s="368"/>
      <c r="KJS19" s="368"/>
      <c r="KJT19" s="368"/>
      <c r="KJU19" s="368"/>
      <c r="KJW19" s="368"/>
      <c r="KJX19" s="368"/>
      <c r="KJY19" s="368"/>
      <c r="KKA19" s="368"/>
      <c r="KKB19" s="368"/>
      <c r="KKC19" s="368"/>
      <c r="KKD19" s="368"/>
      <c r="KKE19" s="368"/>
      <c r="KKO19" s="368"/>
      <c r="KKP19" s="368"/>
      <c r="KKQ19" s="368"/>
      <c r="KKR19" s="368"/>
      <c r="KKV19" s="368"/>
      <c r="KKW19" s="368"/>
      <c r="KTG19" s="368"/>
      <c r="KTL19" s="368"/>
      <c r="KTM19" s="368"/>
      <c r="KTN19" s="368"/>
      <c r="KTO19" s="368"/>
      <c r="KTP19" s="368"/>
      <c r="KTQ19" s="368"/>
      <c r="KTS19" s="368"/>
      <c r="KTT19" s="368"/>
      <c r="KTU19" s="368"/>
      <c r="KTW19" s="368"/>
      <c r="KTX19" s="368"/>
      <c r="KTY19" s="368"/>
      <c r="KTZ19" s="368"/>
      <c r="KUA19" s="368"/>
      <c r="KUK19" s="368"/>
      <c r="KUL19" s="368"/>
      <c r="KUM19" s="368"/>
      <c r="KUN19" s="368"/>
      <c r="KUR19" s="368"/>
      <c r="KUS19" s="368"/>
      <c r="LDC19" s="368"/>
      <c r="LDH19" s="368"/>
      <c r="LDI19" s="368"/>
      <c r="LDJ19" s="368"/>
      <c r="LDK19" s="368"/>
      <c r="LDL19" s="368"/>
      <c r="LDM19" s="368"/>
      <c r="LDO19" s="368"/>
      <c r="LDP19" s="368"/>
      <c r="LDQ19" s="368"/>
      <c r="LDS19" s="368"/>
      <c r="LDT19" s="368"/>
      <c r="LDU19" s="368"/>
      <c r="LDV19" s="368"/>
      <c r="LDW19" s="368"/>
      <c r="LEG19" s="368"/>
      <c r="LEH19" s="368"/>
      <c r="LEI19" s="368"/>
      <c r="LEJ19" s="368"/>
      <c r="LEN19" s="368"/>
      <c r="LEO19" s="368"/>
      <c r="LMY19" s="368"/>
      <c r="LND19" s="368"/>
      <c r="LNE19" s="368"/>
      <c r="LNF19" s="368"/>
      <c r="LNG19" s="368"/>
      <c r="LNH19" s="368"/>
      <c r="LNI19" s="368"/>
      <c r="LNK19" s="368"/>
      <c r="LNL19" s="368"/>
      <c r="LNM19" s="368"/>
      <c r="LNO19" s="368"/>
      <c r="LNP19" s="368"/>
      <c r="LNQ19" s="368"/>
      <c r="LNR19" s="368"/>
      <c r="LNS19" s="368"/>
      <c r="LOC19" s="368"/>
      <c r="LOD19" s="368"/>
      <c r="LOE19" s="368"/>
      <c r="LOF19" s="368"/>
      <c r="LOJ19" s="368"/>
      <c r="LOK19" s="368"/>
      <c r="LWU19" s="368"/>
      <c r="LWZ19" s="368"/>
      <c r="LXA19" s="368"/>
      <c r="LXB19" s="368"/>
      <c r="LXC19" s="368"/>
      <c r="LXD19" s="368"/>
      <c r="LXE19" s="368"/>
      <c r="LXG19" s="368"/>
      <c r="LXH19" s="368"/>
      <c r="LXI19" s="368"/>
      <c r="LXK19" s="368"/>
      <c r="LXL19" s="368"/>
      <c r="LXM19" s="368"/>
      <c r="LXN19" s="368"/>
      <c r="LXO19" s="368"/>
      <c r="LXY19" s="368"/>
      <c r="LXZ19" s="368"/>
      <c r="LYA19" s="368"/>
      <c r="LYB19" s="368"/>
      <c r="LYF19" s="368"/>
      <c r="LYG19" s="368"/>
      <c r="MGQ19" s="368"/>
      <c r="MGV19" s="368"/>
      <c r="MGW19" s="368"/>
      <c r="MGX19" s="368"/>
      <c r="MGY19" s="368"/>
      <c r="MGZ19" s="368"/>
      <c r="MHA19" s="368"/>
      <c r="MHC19" s="368"/>
      <c r="MHD19" s="368"/>
      <c r="MHE19" s="368"/>
      <c r="MHG19" s="368"/>
      <c r="MHH19" s="368"/>
      <c r="MHI19" s="368"/>
      <c r="MHJ19" s="368"/>
      <c r="MHK19" s="368"/>
      <c r="MHU19" s="368"/>
      <c r="MHV19" s="368"/>
      <c r="MHW19" s="368"/>
      <c r="MHX19" s="368"/>
      <c r="MIB19" s="368"/>
      <c r="MIC19" s="368"/>
      <c r="MQM19" s="368"/>
      <c r="MQR19" s="368"/>
      <c r="MQS19" s="368"/>
      <c r="MQT19" s="368"/>
      <c r="MQU19" s="368"/>
      <c r="MQV19" s="368"/>
      <c r="MQW19" s="368"/>
      <c r="MQY19" s="368"/>
      <c r="MQZ19" s="368"/>
      <c r="MRA19" s="368"/>
      <c r="MRC19" s="368"/>
      <c r="MRD19" s="368"/>
      <c r="MRE19" s="368"/>
      <c r="MRF19" s="368"/>
      <c r="MRG19" s="368"/>
      <c r="MRQ19" s="368"/>
      <c r="MRR19" s="368"/>
      <c r="MRS19" s="368"/>
      <c r="MRT19" s="368"/>
      <c r="MRX19" s="368"/>
      <c r="MRY19" s="368"/>
      <c r="NAI19" s="368"/>
      <c r="NAN19" s="368"/>
      <c r="NAO19" s="368"/>
      <c r="NAP19" s="368"/>
      <c r="NAQ19" s="368"/>
      <c r="NAR19" s="368"/>
      <c r="NAS19" s="368"/>
      <c r="NAU19" s="368"/>
      <c r="NAV19" s="368"/>
      <c r="NAW19" s="368"/>
      <c r="NAY19" s="368"/>
      <c r="NAZ19" s="368"/>
      <c r="NBA19" s="368"/>
      <c r="NBB19" s="368"/>
      <c r="NBC19" s="368"/>
      <c r="NBM19" s="368"/>
      <c r="NBN19" s="368"/>
      <c r="NBO19" s="368"/>
      <c r="NBP19" s="368"/>
      <c r="NBT19" s="368"/>
      <c r="NBU19" s="368"/>
      <c r="NKE19" s="368"/>
      <c r="NKJ19" s="368"/>
      <c r="NKK19" s="368"/>
      <c r="NKL19" s="368"/>
      <c r="NKM19" s="368"/>
      <c r="NKN19" s="368"/>
      <c r="NKO19" s="368"/>
      <c r="NKQ19" s="368"/>
      <c r="NKR19" s="368"/>
      <c r="NKS19" s="368"/>
      <c r="NKU19" s="368"/>
      <c r="NKV19" s="368"/>
      <c r="NKW19" s="368"/>
      <c r="NKX19" s="368"/>
      <c r="NKY19" s="368"/>
      <c r="NLI19" s="368"/>
      <c r="NLJ19" s="368"/>
      <c r="NLK19" s="368"/>
      <c r="NLL19" s="368"/>
      <c r="NLP19" s="368"/>
      <c r="NLQ19" s="368"/>
      <c r="NUA19" s="368"/>
      <c r="NUF19" s="368"/>
      <c r="NUG19" s="368"/>
      <c r="NUH19" s="368"/>
      <c r="NUI19" s="368"/>
      <c r="NUJ19" s="368"/>
      <c r="NUK19" s="368"/>
      <c r="NUM19" s="368"/>
      <c r="NUN19" s="368"/>
      <c r="NUO19" s="368"/>
      <c r="NUQ19" s="368"/>
      <c r="NUR19" s="368"/>
      <c r="NUS19" s="368"/>
      <c r="NUT19" s="368"/>
      <c r="NUU19" s="368"/>
      <c r="NVE19" s="368"/>
      <c r="NVF19" s="368"/>
      <c r="NVG19" s="368"/>
      <c r="NVH19" s="368"/>
      <c r="NVL19" s="368"/>
      <c r="NVM19" s="368"/>
      <c r="ODW19" s="368"/>
      <c r="OEB19" s="368"/>
      <c r="OEC19" s="368"/>
      <c r="OED19" s="368"/>
      <c r="OEE19" s="368"/>
      <c r="OEF19" s="368"/>
      <c r="OEG19" s="368"/>
      <c r="OEI19" s="368"/>
      <c r="OEJ19" s="368"/>
      <c r="OEK19" s="368"/>
      <c r="OEM19" s="368"/>
      <c r="OEN19" s="368"/>
      <c r="OEO19" s="368"/>
      <c r="OEP19" s="368"/>
      <c r="OEQ19" s="368"/>
      <c r="OFA19" s="368"/>
      <c r="OFB19" s="368"/>
      <c r="OFC19" s="368"/>
      <c r="OFD19" s="368"/>
      <c r="OFH19" s="368"/>
      <c r="OFI19" s="368"/>
      <c r="ONS19" s="368"/>
      <c r="ONX19" s="368"/>
      <c r="ONY19" s="368"/>
      <c r="ONZ19" s="368"/>
      <c r="OOA19" s="368"/>
      <c r="OOB19" s="368"/>
      <c r="OOC19" s="368"/>
      <c r="OOE19" s="368"/>
      <c r="OOF19" s="368"/>
      <c r="OOG19" s="368"/>
      <c r="OOI19" s="368"/>
      <c r="OOJ19" s="368"/>
      <c r="OOK19" s="368"/>
      <c r="OOL19" s="368"/>
      <c r="OOM19" s="368"/>
      <c r="OOW19" s="368"/>
      <c r="OOX19" s="368"/>
      <c r="OOY19" s="368"/>
      <c r="OOZ19" s="368"/>
      <c r="OPD19" s="368"/>
      <c r="OPE19" s="368"/>
      <c r="OXO19" s="368"/>
      <c r="OXT19" s="368"/>
      <c r="OXU19" s="368"/>
      <c r="OXV19" s="368"/>
      <c r="OXW19" s="368"/>
      <c r="OXX19" s="368"/>
      <c r="OXY19" s="368"/>
      <c r="OYA19" s="368"/>
      <c r="OYB19" s="368"/>
      <c r="OYC19" s="368"/>
      <c r="OYE19" s="368"/>
      <c r="OYF19" s="368"/>
      <c r="OYG19" s="368"/>
      <c r="OYH19" s="368"/>
      <c r="OYI19" s="368"/>
      <c r="OYS19" s="368"/>
      <c r="OYT19" s="368"/>
      <c r="OYU19" s="368"/>
      <c r="OYV19" s="368"/>
      <c r="OYZ19" s="368"/>
      <c r="OZA19" s="368"/>
      <c r="PHK19" s="368"/>
      <c r="PHP19" s="368"/>
      <c r="PHQ19" s="368"/>
      <c r="PHR19" s="368"/>
      <c r="PHS19" s="368"/>
      <c r="PHT19" s="368"/>
      <c r="PHU19" s="368"/>
      <c r="PHW19" s="368"/>
      <c r="PHX19" s="368"/>
      <c r="PHY19" s="368"/>
      <c r="PIA19" s="368"/>
      <c r="PIB19" s="368"/>
      <c r="PIC19" s="368"/>
      <c r="PID19" s="368"/>
      <c r="PIE19" s="368"/>
      <c r="PIO19" s="368"/>
      <c r="PIP19" s="368"/>
      <c r="PIQ19" s="368"/>
      <c r="PIR19" s="368"/>
      <c r="PIV19" s="368"/>
      <c r="PIW19" s="368"/>
      <c r="PRG19" s="368"/>
      <c r="PRL19" s="368"/>
      <c r="PRM19" s="368"/>
      <c r="PRN19" s="368"/>
      <c r="PRO19" s="368"/>
      <c r="PRP19" s="368"/>
      <c r="PRQ19" s="368"/>
      <c r="PRS19" s="368"/>
      <c r="PRT19" s="368"/>
      <c r="PRU19" s="368"/>
      <c r="PRW19" s="368"/>
      <c r="PRX19" s="368"/>
      <c r="PRY19" s="368"/>
      <c r="PRZ19" s="368"/>
      <c r="PSA19" s="368"/>
      <c r="PSK19" s="368"/>
      <c r="PSL19" s="368"/>
      <c r="PSM19" s="368"/>
      <c r="PSN19" s="368"/>
      <c r="PSR19" s="368"/>
      <c r="PSS19" s="368"/>
      <c r="QBC19" s="368"/>
      <c r="QBH19" s="368"/>
      <c r="QBI19" s="368"/>
      <c r="QBJ19" s="368"/>
      <c r="QBK19" s="368"/>
      <c r="QBL19" s="368"/>
      <c r="QBM19" s="368"/>
      <c r="QBO19" s="368"/>
      <c r="QBP19" s="368"/>
      <c r="QBQ19" s="368"/>
      <c r="QBS19" s="368"/>
      <c r="QBT19" s="368"/>
      <c r="QBU19" s="368"/>
      <c r="QBV19" s="368"/>
      <c r="QBW19" s="368"/>
      <c r="QCG19" s="368"/>
      <c r="QCH19" s="368"/>
      <c r="QCI19" s="368"/>
      <c r="QCJ19" s="368"/>
      <c r="QCN19" s="368"/>
      <c r="QCO19" s="368"/>
      <c r="QKY19" s="368"/>
      <c r="QLD19" s="368"/>
      <c r="QLE19" s="368"/>
      <c r="QLF19" s="368"/>
      <c r="QLG19" s="368"/>
      <c r="QLH19" s="368"/>
      <c r="QLI19" s="368"/>
      <c r="QLK19" s="368"/>
      <c r="QLL19" s="368"/>
      <c r="QLM19" s="368"/>
      <c r="QLO19" s="368"/>
      <c r="QLP19" s="368"/>
      <c r="QLQ19" s="368"/>
      <c r="QLR19" s="368"/>
      <c r="QLS19" s="368"/>
      <c r="QMC19" s="368"/>
      <c r="QMD19" s="368"/>
      <c r="QME19" s="368"/>
      <c r="QMF19" s="368"/>
      <c r="QMJ19" s="368"/>
      <c r="QMK19" s="368"/>
      <c r="QUU19" s="368"/>
      <c r="QUZ19" s="368"/>
      <c r="QVA19" s="368"/>
      <c r="QVB19" s="368"/>
      <c r="QVC19" s="368"/>
      <c r="QVD19" s="368"/>
      <c r="QVE19" s="368"/>
      <c r="QVG19" s="368"/>
      <c r="QVH19" s="368"/>
      <c r="QVI19" s="368"/>
      <c r="QVK19" s="368"/>
      <c r="QVL19" s="368"/>
      <c r="QVM19" s="368"/>
      <c r="QVN19" s="368"/>
      <c r="QVO19" s="368"/>
      <c r="QVY19" s="368"/>
      <c r="QVZ19" s="368"/>
      <c r="QWA19" s="368"/>
      <c r="QWB19" s="368"/>
      <c r="QWF19" s="368"/>
      <c r="QWG19" s="368"/>
      <c r="REQ19" s="368"/>
      <c r="REV19" s="368"/>
      <c r="REW19" s="368"/>
      <c r="REX19" s="368"/>
      <c r="REY19" s="368"/>
      <c r="REZ19" s="368"/>
      <c r="RFA19" s="368"/>
      <c r="RFC19" s="368"/>
      <c r="RFD19" s="368"/>
      <c r="RFE19" s="368"/>
      <c r="RFG19" s="368"/>
      <c r="RFH19" s="368"/>
      <c r="RFI19" s="368"/>
      <c r="RFJ19" s="368"/>
      <c r="RFK19" s="368"/>
      <c r="RFU19" s="368"/>
      <c r="RFV19" s="368"/>
      <c r="RFW19" s="368"/>
      <c r="RFX19" s="368"/>
      <c r="RGB19" s="368"/>
      <c r="RGC19" s="368"/>
      <c r="ROM19" s="368"/>
      <c r="ROR19" s="368"/>
      <c r="ROS19" s="368"/>
      <c r="ROT19" s="368"/>
      <c r="ROU19" s="368"/>
      <c r="ROV19" s="368"/>
      <c r="ROW19" s="368"/>
      <c r="ROY19" s="368"/>
      <c r="ROZ19" s="368"/>
      <c r="RPA19" s="368"/>
      <c r="RPC19" s="368"/>
      <c r="RPD19" s="368"/>
      <c r="RPE19" s="368"/>
      <c r="RPF19" s="368"/>
      <c r="RPG19" s="368"/>
      <c r="RPQ19" s="368"/>
      <c r="RPR19" s="368"/>
      <c r="RPS19" s="368"/>
      <c r="RPT19" s="368"/>
      <c r="RPX19" s="368"/>
      <c r="RPY19" s="368"/>
      <c r="RYI19" s="368"/>
      <c r="RYN19" s="368"/>
      <c r="RYO19" s="368"/>
      <c r="RYP19" s="368"/>
      <c r="RYQ19" s="368"/>
      <c r="RYR19" s="368"/>
      <c r="RYS19" s="368"/>
      <c r="RYU19" s="368"/>
      <c r="RYV19" s="368"/>
      <c r="RYW19" s="368"/>
      <c r="RYY19" s="368"/>
      <c r="RYZ19" s="368"/>
      <c r="RZA19" s="368"/>
      <c r="RZB19" s="368"/>
      <c r="RZC19" s="368"/>
      <c r="RZM19" s="368"/>
      <c r="RZN19" s="368"/>
      <c r="RZO19" s="368"/>
      <c r="RZP19" s="368"/>
      <c r="RZT19" s="368"/>
      <c r="RZU19" s="368"/>
      <c r="SIE19" s="368"/>
      <c r="SIJ19" s="368"/>
      <c r="SIK19" s="368"/>
      <c r="SIL19" s="368"/>
      <c r="SIM19" s="368"/>
      <c r="SIN19" s="368"/>
      <c r="SIO19" s="368"/>
      <c r="SIQ19" s="368"/>
      <c r="SIR19" s="368"/>
      <c r="SIS19" s="368"/>
      <c r="SIU19" s="368"/>
      <c r="SIV19" s="368"/>
      <c r="SIW19" s="368"/>
      <c r="SIX19" s="368"/>
      <c r="SIY19" s="368"/>
      <c r="SJI19" s="368"/>
      <c r="SJJ19" s="368"/>
      <c r="SJK19" s="368"/>
      <c r="SJL19" s="368"/>
      <c r="SJP19" s="368"/>
      <c r="SJQ19" s="368"/>
      <c r="SSA19" s="368"/>
      <c r="SSF19" s="368"/>
      <c r="SSG19" s="368"/>
      <c r="SSH19" s="368"/>
      <c r="SSI19" s="368"/>
      <c r="SSJ19" s="368"/>
      <c r="SSK19" s="368"/>
      <c r="SSM19" s="368"/>
      <c r="SSN19" s="368"/>
      <c r="SSO19" s="368"/>
      <c r="SSQ19" s="368"/>
      <c r="SSR19" s="368"/>
      <c r="SSS19" s="368"/>
      <c r="SST19" s="368"/>
      <c r="SSU19" s="368"/>
      <c r="STE19" s="368"/>
      <c r="STF19" s="368"/>
      <c r="STG19" s="368"/>
      <c r="STH19" s="368"/>
      <c r="STL19" s="368"/>
      <c r="STM19" s="368"/>
      <c r="TBW19" s="368"/>
      <c r="TCB19" s="368"/>
      <c r="TCC19" s="368"/>
      <c r="TCD19" s="368"/>
      <c r="TCE19" s="368"/>
      <c r="TCF19" s="368"/>
      <c r="TCG19" s="368"/>
      <c r="TCI19" s="368"/>
      <c r="TCJ19" s="368"/>
      <c r="TCK19" s="368"/>
      <c r="TCM19" s="368"/>
      <c r="TCN19" s="368"/>
      <c r="TCO19" s="368"/>
      <c r="TCP19" s="368"/>
      <c r="TCQ19" s="368"/>
      <c r="TDA19" s="368"/>
      <c r="TDB19" s="368"/>
      <c r="TDC19" s="368"/>
      <c r="TDD19" s="368"/>
      <c r="TDH19" s="368"/>
      <c r="TDI19" s="368"/>
      <c r="TLS19" s="368"/>
      <c r="TLX19" s="368"/>
      <c r="TLY19" s="368"/>
      <c r="TLZ19" s="368"/>
      <c r="TMA19" s="368"/>
      <c r="TMB19" s="368"/>
      <c r="TMC19" s="368"/>
      <c r="TME19" s="368"/>
      <c r="TMF19" s="368"/>
      <c r="TMG19" s="368"/>
      <c r="TMI19" s="368"/>
      <c r="TMJ19" s="368"/>
      <c r="TMK19" s="368"/>
      <c r="TML19" s="368"/>
      <c r="TMM19" s="368"/>
      <c r="TMW19" s="368"/>
      <c r="TMX19" s="368"/>
      <c r="TMY19" s="368"/>
      <c r="TMZ19" s="368"/>
      <c r="TND19" s="368"/>
      <c r="TNE19" s="368"/>
      <c r="TVO19" s="368"/>
      <c r="TVT19" s="368"/>
      <c r="TVU19" s="368"/>
      <c r="TVV19" s="368"/>
      <c r="TVW19" s="368"/>
      <c r="TVX19" s="368"/>
      <c r="TVY19" s="368"/>
      <c r="TWA19" s="368"/>
      <c r="TWB19" s="368"/>
      <c r="TWC19" s="368"/>
      <c r="TWE19" s="368"/>
      <c r="TWF19" s="368"/>
      <c r="TWG19" s="368"/>
      <c r="TWH19" s="368"/>
      <c r="TWI19" s="368"/>
      <c r="TWS19" s="368"/>
      <c r="TWT19" s="368"/>
      <c r="TWU19" s="368"/>
      <c r="TWV19" s="368"/>
      <c r="TWZ19" s="368"/>
      <c r="TXA19" s="368"/>
      <c r="UFK19" s="368"/>
      <c r="UFP19" s="368"/>
      <c r="UFQ19" s="368"/>
      <c r="UFR19" s="368"/>
      <c r="UFS19" s="368"/>
      <c r="UFT19" s="368"/>
      <c r="UFU19" s="368"/>
      <c r="UFW19" s="368"/>
      <c r="UFX19" s="368"/>
      <c r="UFY19" s="368"/>
      <c r="UGA19" s="368"/>
      <c r="UGB19" s="368"/>
      <c r="UGC19" s="368"/>
      <c r="UGD19" s="368"/>
      <c r="UGE19" s="368"/>
      <c r="UGO19" s="368"/>
      <c r="UGP19" s="368"/>
      <c r="UGQ19" s="368"/>
      <c r="UGR19" s="368"/>
      <c r="UGV19" s="368"/>
      <c r="UGW19" s="368"/>
      <c r="UPG19" s="368"/>
      <c r="UPL19" s="368"/>
      <c r="UPM19" s="368"/>
      <c r="UPN19" s="368"/>
      <c r="UPO19" s="368"/>
      <c r="UPP19" s="368"/>
      <c r="UPQ19" s="368"/>
      <c r="UPS19" s="368"/>
      <c r="UPT19" s="368"/>
      <c r="UPU19" s="368"/>
      <c r="UPW19" s="368"/>
      <c r="UPX19" s="368"/>
      <c r="UPY19" s="368"/>
      <c r="UPZ19" s="368"/>
      <c r="UQA19" s="368"/>
      <c r="UQK19" s="368"/>
      <c r="UQL19" s="368"/>
      <c r="UQM19" s="368"/>
      <c r="UQN19" s="368"/>
      <c r="UQR19" s="368"/>
      <c r="UQS19" s="368"/>
      <c r="UZC19" s="368"/>
      <c r="UZH19" s="368"/>
      <c r="UZI19" s="368"/>
      <c r="UZJ19" s="368"/>
      <c r="UZK19" s="368"/>
      <c r="UZL19" s="368"/>
      <c r="UZM19" s="368"/>
      <c r="UZO19" s="368"/>
      <c r="UZP19" s="368"/>
      <c r="UZQ19" s="368"/>
      <c r="UZS19" s="368"/>
      <c r="UZT19" s="368"/>
      <c r="UZU19" s="368"/>
      <c r="UZV19" s="368"/>
      <c r="UZW19" s="368"/>
      <c r="VAG19" s="368"/>
      <c r="VAH19" s="368"/>
      <c r="VAI19" s="368"/>
      <c r="VAJ19" s="368"/>
      <c r="VAN19" s="368"/>
      <c r="VAO19" s="368"/>
      <c r="VIY19" s="368"/>
      <c r="VJD19" s="368"/>
      <c r="VJE19" s="368"/>
      <c r="VJF19" s="368"/>
      <c r="VJG19" s="368"/>
      <c r="VJH19" s="368"/>
      <c r="VJI19" s="368"/>
      <c r="VJK19" s="368"/>
      <c r="VJL19" s="368"/>
      <c r="VJM19" s="368"/>
      <c r="VJO19" s="368"/>
      <c r="VJP19" s="368"/>
      <c r="VJQ19" s="368"/>
      <c r="VJR19" s="368"/>
      <c r="VJS19" s="368"/>
      <c r="VKC19" s="368"/>
      <c r="VKD19" s="368"/>
      <c r="VKE19" s="368"/>
      <c r="VKF19" s="368"/>
      <c r="VKJ19" s="368"/>
      <c r="VKK19" s="368"/>
      <c r="VSU19" s="368"/>
      <c r="VSZ19" s="368"/>
      <c r="VTA19" s="368"/>
      <c r="VTB19" s="368"/>
      <c r="VTC19" s="368"/>
      <c r="VTD19" s="368"/>
      <c r="VTE19" s="368"/>
      <c r="VTG19" s="368"/>
      <c r="VTH19" s="368"/>
      <c r="VTI19" s="368"/>
      <c r="VTK19" s="368"/>
      <c r="VTL19" s="368"/>
      <c r="VTM19" s="368"/>
      <c r="VTN19" s="368"/>
      <c r="VTO19" s="368"/>
      <c r="VTY19" s="368"/>
      <c r="VTZ19" s="368"/>
      <c r="VUA19" s="368"/>
      <c r="VUB19" s="368"/>
      <c r="VUF19" s="368"/>
      <c r="VUG19" s="368"/>
      <c r="WCQ19" s="368"/>
      <c r="WCV19" s="368"/>
      <c r="WCW19" s="368"/>
      <c r="WCX19" s="368"/>
      <c r="WCY19" s="368"/>
      <c r="WCZ19" s="368"/>
      <c r="WDA19" s="368"/>
      <c r="WDC19" s="368"/>
      <c r="WDD19" s="368"/>
      <c r="WDE19" s="368"/>
      <c r="WDG19" s="368"/>
      <c r="WDH19" s="368"/>
      <c r="WDI19" s="368"/>
      <c r="WDJ19" s="368"/>
      <c r="WDK19" s="368"/>
      <c r="WDU19" s="368"/>
      <c r="WDV19" s="368"/>
      <c r="WDW19" s="368"/>
      <c r="WDX19" s="368"/>
      <c r="WEB19" s="368"/>
      <c r="WEC19" s="368"/>
      <c r="WMM19" s="368"/>
      <c r="WMR19" s="368"/>
      <c r="WMS19" s="368"/>
      <c r="WMT19" s="368"/>
      <c r="WMU19" s="368"/>
      <c r="WMV19" s="368"/>
      <c r="WMW19" s="368"/>
      <c r="WMY19" s="368"/>
      <c r="WMZ19" s="368"/>
      <c r="WNA19" s="368"/>
      <c r="WNC19" s="368"/>
      <c r="WND19" s="368"/>
      <c r="WNE19" s="368"/>
      <c r="WNF19" s="368"/>
      <c r="WNG19" s="368"/>
      <c r="WNQ19" s="368"/>
      <c r="WNR19" s="368"/>
      <c r="WNS19" s="368"/>
      <c r="WNT19" s="368"/>
      <c r="WNX19" s="368"/>
      <c r="WNY19" s="368"/>
      <c r="WWI19" s="368"/>
      <c r="WWN19" s="368"/>
      <c r="WWO19" s="368"/>
      <c r="WWP19" s="368"/>
      <c r="WWQ19" s="368"/>
      <c r="WWR19" s="368"/>
      <c r="WWS19" s="368"/>
      <c r="WWU19" s="368"/>
      <c r="WWV19" s="368"/>
      <c r="WWW19" s="368"/>
      <c r="WWY19" s="368"/>
      <c r="WWZ19" s="368"/>
      <c r="WXA19" s="368"/>
      <c r="WXB19" s="368"/>
      <c r="WXC19" s="368"/>
      <c r="WXM19" s="368"/>
      <c r="WXN19" s="368"/>
      <c r="WXO19" s="368"/>
      <c r="WXP19" s="368"/>
      <c r="WXT19" s="368"/>
      <c r="WXU19" s="368"/>
    </row>
    <row r="20" spans="1:833 1051:1857 2075:2881 3099:3905 4123:4929 5147:5953 6171:6977 7195:8001 8219:9025 9243:10049 10267:11073 11291:12097 12315:13121 13339:14145 14363:15169 15387:16193" s="38" customFormat="1" ht="27" customHeight="1">
      <c r="A20" s="353">
        <v>12</v>
      </c>
      <c r="B20" s="361" t="s">
        <v>161</v>
      </c>
      <c r="C20" s="354" t="s">
        <v>160</v>
      </c>
      <c r="D20" s="370">
        <v>208</v>
      </c>
      <c r="E20" s="350">
        <v>184</v>
      </c>
      <c r="F20" s="371"/>
      <c r="G20" s="371"/>
      <c r="H20" s="357"/>
      <c r="I20" s="371"/>
      <c r="J20" s="356">
        <v>1.5</v>
      </c>
      <c r="K20" s="371"/>
      <c r="L20" s="371"/>
      <c r="M20" s="371"/>
      <c r="N20" s="371"/>
      <c r="O20" s="371"/>
      <c r="P20" s="371"/>
      <c r="Q20" s="358">
        <v>4480000</v>
      </c>
      <c r="R20" s="358">
        <v>800000</v>
      </c>
      <c r="S20" s="366"/>
      <c r="T20" s="358">
        <v>600000</v>
      </c>
      <c r="U20" s="366">
        <v>900000</v>
      </c>
      <c r="V20" s="358">
        <f t="shared" si="0"/>
        <v>900000</v>
      </c>
      <c r="W20" s="366">
        <v>1000000</v>
      </c>
      <c r="X20" s="234">
        <f t="shared" si="1"/>
        <v>1000000</v>
      </c>
      <c r="Y20" s="366">
        <v>1000000</v>
      </c>
      <c r="Z20" s="234">
        <f t="shared" si="2"/>
        <v>1000000</v>
      </c>
      <c r="AA20" s="366">
        <v>0</v>
      </c>
      <c r="AB20" s="358"/>
      <c r="AC20" s="234">
        <f t="shared" si="107"/>
        <v>500000</v>
      </c>
      <c r="AD20" s="358">
        <f>G20*13000</f>
        <v>0</v>
      </c>
      <c r="AE20" s="234">
        <v>0</v>
      </c>
      <c r="AF20" s="366"/>
      <c r="AG20" s="366"/>
      <c r="AH20" s="358">
        <f t="shared" si="4"/>
        <v>3400000</v>
      </c>
      <c r="AI20" s="358">
        <f t="shared" si="5"/>
        <v>5880000</v>
      </c>
      <c r="AJ20" s="358">
        <f>AI20/208</f>
        <v>28269.23076923077</v>
      </c>
      <c r="AK20" s="358">
        <f t="shared" si="7"/>
        <v>5201538.461538462</v>
      </c>
      <c r="AL20" s="358">
        <f t="shared" si="8"/>
        <v>0</v>
      </c>
      <c r="AM20" s="366">
        <f t="shared" si="9"/>
        <v>0</v>
      </c>
      <c r="AN20" s="358">
        <f t="shared" si="10"/>
        <v>84807.692307692312</v>
      </c>
      <c r="AO20" s="366">
        <f t="shared" si="11"/>
        <v>0</v>
      </c>
      <c r="AP20" s="366">
        <f t="shared" si="12"/>
        <v>0</v>
      </c>
      <c r="AQ20" s="366">
        <f t="shared" si="13"/>
        <v>0</v>
      </c>
      <c r="AR20" s="366">
        <f t="shared" si="14"/>
        <v>0</v>
      </c>
      <c r="AS20" s="366">
        <f t="shared" si="15"/>
        <v>0</v>
      </c>
      <c r="AT20" s="366">
        <f t="shared" si="16"/>
        <v>0</v>
      </c>
      <c r="AU20" s="358">
        <f>SUM(AL20:AT20)</f>
        <v>84807.692307692312</v>
      </c>
      <c r="AV20" s="234">
        <f t="shared" si="32"/>
        <v>8686346.153846154</v>
      </c>
      <c r="AW20" s="234">
        <f>Q20+R20+T20</f>
        <v>5880000</v>
      </c>
      <c r="AX20" s="366">
        <f>AW20*17.5%</f>
        <v>1028999.9999999999</v>
      </c>
      <c r="AY20" s="366">
        <f>AW20*3%</f>
        <v>176400</v>
      </c>
      <c r="AZ20" s="366">
        <f t="shared" si="21"/>
        <v>58800</v>
      </c>
      <c r="BA20" s="365">
        <f t="shared" si="35"/>
        <v>117600</v>
      </c>
      <c r="BB20" s="234">
        <f t="shared" si="36"/>
        <v>1381800</v>
      </c>
      <c r="BC20" s="366">
        <f t="shared" si="22"/>
        <v>470400</v>
      </c>
      <c r="BD20" s="366">
        <f t="shared" si="23"/>
        <v>88200</v>
      </c>
      <c r="BE20" s="366">
        <f t="shared" si="24"/>
        <v>58800</v>
      </c>
      <c r="BF20" s="234">
        <f t="shared" si="37"/>
        <v>617400</v>
      </c>
      <c r="BG20" s="366">
        <v>11000000</v>
      </c>
      <c r="BH20" s="366"/>
      <c r="BI20" s="365">
        <f t="shared" si="38"/>
        <v>0</v>
      </c>
      <c r="BJ20" s="366">
        <f t="shared" si="25"/>
        <v>900000</v>
      </c>
      <c r="BK20" s="365">
        <f t="shared" si="26"/>
        <v>7743942.307692308</v>
      </c>
      <c r="BL20" s="366">
        <f>IF(BK20-BG20-BF20-BI20&lt;0,0,BK20-BG20-BI20-BF20)</f>
        <v>0</v>
      </c>
      <c r="BM20" s="358">
        <f>ROUND(IF(BL20&lt;=5000000,BL20*5%,IF(AND(BL20&gt;5000000,BL20&lt;=10000000),BL20*10%-250000,IF(AND(BL20&gt;10000000,BL20&lt;=18000000),BL20*15%-750000,IF(AND(BL20&gt;18000000,BL20&lt;=32000000),BL20*20%-1650000,IF(AND(BL20&gt;32000000,BL20&lt;=52000000),BL20*25%-3250000,IF(AND(BL20&gt;52000000,BL20&lt;80000000),BL20*30%-585000,IF(BL20&gt;80000000,BL20*35%-9850000))))))),0)</f>
        <v>0</v>
      </c>
      <c r="BN20" s="232">
        <v>35000</v>
      </c>
      <c r="BO20" s="358">
        <f t="shared" si="41"/>
        <v>8033946.153846154</v>
      </c>
      <c r="BP20" s="372" t="s">
        <v>187</v>
      </c>
      <c r="BQ20" s="355"/>
      <c r="BR20" s="359"/>
      <c r="JW20" s="373"/>
      <c r="KB20" s="373"/>
      <c r="KC20" s="373"/>
      <c r="KD20" s="373"/>
      <c r="KE20" s="373"/>
      <c r="KF20" s="373"/>
      <c r="KG20" s="373"/>
      <c r="KI20" s="373"/>
      <c r="KJ20" s="373"/>
      <c r="KK20" s="373"/>
      <c r="KM20" s="373"/>
      <c r="KN20" s="373"/>
      <c r="KO20" s="373"/>
      <c r="KP20" s="373"/>
      <c r="KQ20" s="373"/>
      <c r="LA20" s="373"/>
      <c r="LB20" s="373"/>
      <c r="LC20" s="373"/>
      <c r="LD20" s="373"/>
      <c r="LH20" s="373"/>
      <c r="LI20" s="373"/>
      <c r="TS20" s="373"/>
      <c r="TX20" s="373"/>
      <c r="TY20" s="373"/>
      <c r="TZ20" s="373"/>
      <c r="UA20" s="373"/>
      <c r="UB20" s="373"/>
      <c r="UC20" s="373"/>
      <c r="UE20" s="373"/>
      <c r="UF20" s="373"/>
      <c r="UG20" s="373"/>
      <c r="UI20" s="373"/>
      <c r="UJ20" s="373"/>
      <c r="UK20" s="373"/>
      <c r="UL20" s="373"/>
      <c r="UM20" s="373"/>
      <c r="UW20" s="373"/>
      <c r="UX20" s="373"/>
      <c r="UY20" s="373"/>
      <c r="UZ20" s="373"/>
      <c r="VD20" s="373"/>
      <c r="VE20" s="373"/>
      <c r="ADO20" s="373"/>
      <c r="ADT20" s="373"/>
      <c r="ADU20" s="373"/>
      <c r="ADV20" s="373"/>
      <c r="ADW20" s="373"/>
      <c r="ADX20" s="373"/>
      <c r="ADY20" s="373"/>
      <c r="AEA20" s="373"/>
      <c r="AEB20" s="373"/>
      <c r="AEC20" s="373"/>
      <c r="AEE20" s="373"/>
      <c r="AEF20" s="373"/>
      <c r="AEG20" s="373"/>
      <c r="AEH20" s="373"/>
      <c r="AEI20" s="373"/>
      <c r="AES20" s="373"/>
      <c r="AET20" s="373"/>
      <c r="AEU20" s="373"/>
      <c r="AEV20" s="373"/>
      <c r="AEZ20" s="373"/>
      <c r="AFA20" s="373"/>
      <c r="ANK20" s="373"/>
      <c r="ANP20" s="373"/>
      <c r="ANQ20" s="373"/>
      <c r="ANR20" s="373"/>
      <c r="ANS20" s="373"/>
      <c r="ANT20" s="373"/>
      <c r="ANU20" s="373"/>
      <c r="ANW20" s="373"/>
      <c r="ANX20" s="373"/>
      <c r="ANY20" s="373"/>
      <c r="AOA20" s="373"/>
      <c r="AOB20" s="373"/>
      <c r="AOC20" s="373"/>
      <c r="AOD20" s="373"/>
      <c r="AOE20" s="373"/>
      <c r="AOO20" s="373"/>
      <c r="AOP20" s="373"/>
      <c r="AOQ20" s="373"/>
      <c r="AOR20" s="373"/>
      <c r="AOV20" s="373"/>
      <c r="AOW20" s="373"/>
      <c r="AXG20" s="373"/>
      <c r="AXL20" s="373"/>
      <c r="AXM20" s="373"/>
      <c r="AXN20" s="373"/>
      <c r="AXO20" s="373"/>
      <c r="AXP20" s="373"/>
      <c r="AXQ20" s="373"/>
      <c r="AXS20" s="373"/>
      <c r="AXT20" s="373"/>
      <c r="AXU20" s="373"/>
      <c r="AXW20" s="373"/>
      <c r="AXX20" s="373"/>
      <c r="AXY20" s="373"/>
      <c r="AXZ20" s="373"/>
      <c r="AYA20" s="373"/>
      <c r="AYK20" s="373"/>
      <c r="AYL20" s="373"/>
      <c r="AYM20" s="373"/>
      <c r="AYN20" s="373"/>
      <c r="AYR20" s="373"/>
      <c r="AYS20" s="373"/>
      <c r="BHC20" s="373"/>
      <c r="BHH20" s="373"/>
      <c r="BHI20" s="373"/>
      <c r="BHJ20" s="373"/>
      <c r="BHK20" s="373"/>
      <c r="BHL20" s="373"/>
      <c r="BHM20" s="373"/>
      <c r="BHO20" s="373"/>
      <c r="BHP20" s="373"/>
      <c r="BHQ20" s="373"/>
      <c r="BHS20" s="373"/>
      <c r="BHT20" s="373"/>
      <c r="BHU20" s="373"/>
      <c r="BHV20" s="373"/>
      <c r="BHW20" s="373"/>
      <c r="BIG20" s="373"/>
      <c r="BIH20" s="373"/>
      <c r="BII20" s="373"/>
      <c r="BIJ20" s="373"/>
      <c r="BIN20" s="373"/>
      <c r="BIO20" s="373"/>
      <c r="BQY20" s="373"/>
      <c r="BRD20" s="373"/>
      <c r="BRE20" s="373"/>
      <c r="BRF20" s="373"/>
      <c r="BRG20" s="373"/>
      <c r="BRH20" s="373"/>
      <c r="BRI20" s="373"/>
      <c r="BRK20" s="373"/>
      <c r="BRL20" s="373"/>
      <c r="BRM20" s="373"/>
      <c r="BRO20" s="373"/>
      <c r="BRP20" s="373"/>
      <c r="BRQ20" s="373"/>
      <c r="BRR20" s="373"/>
      <c r="BRS20" s="373"/>
      <c r="BSC20" s="373"/>
      <c r="BSD20" s="373"/>
      <c r="BSE20" s="373"/>
      <c r="BSF20" s="373"/>
      <c r="BSJ20" s="373"/>
      <c r="BSK20" s="373"/>
      <c r="CAU20" s="373"/>
      <c r="CAZ20" s="373"/>
      <c r="CBA20" s="373"/>
      <c r="CBB20" s="373"/>
      <c r="CBC20" s="373"/>
      <c r="CBD20" s="373"/>
      <c r="CBE20" s="373"/>
      <c r="CBG20" s="373"/>
      <c r="CBH20" s="373"/>
      <c r="CBI20" s="373"/>
      <c r="CBK20" s="373"/>
      <c r="CBL20" s="373"/>
      <c r="CBM20" s="373"/>
      <c r="CBN20" s="373"/>
      <c r="CBO20" s="373"/>
      <c r="CBY20" s="373"/>
      <c r="CBZ20" s="373"/>
      <c r="CCA20" s="373"/>
      <c r="CCB20" s="373"/>
      <c r="CCF20" s="373"/>
      <c r="CCG20" s="373"/>
      <c r="CKQ20" s="373"/>
      <c r="CKV20" s="373"/>
      <c r="CKW20" s="373"/>
      <c r="CKX20" s="373"/>
      <c r="CKY20" s="373"/>
      <c r="CKZ20" s="373"/>
      <c r="CLA20" s="373"/>
      <c r="CLC20" s="373"/>
      <c r="CLD20" s="373"/>
      <c r="CLE20" s="373"/>
      <c r="CLG20" s="373"/>
      <c r="CLH20" s="373"/>
      <c r="CLI20" s="373"/>
      <c r="CLJ20" s="373"/>
      <c r="CLK20" s="373"/>
      <c r="CLU20" s="373"/>
      <c r="CLV20" s="373"/>
      <c r="CLW20" s="373"/>
      <c r="CLX20" s="373"/>
      <c r="CMB20" s="373"/>
      <c r="CMC20" s="373"/>
      <c r="CUM20" s="373"/>
      <c r="CUR20" s="373"/>
      <c r="CUS20" s="373"/>
      <c r="CUT20" s="373"/>
      <c r="CUU20" s="373"/>
      <c r="CUV20" s="373"/>
      <c r="CUW20" s="373"/>
      <c r="CUY20" s="373"/>
      <c r="CUZ20" s="373"/>
      <c r="CVA20" s="373"/>
      <c r="CVC20" s="373"/>
      <c r="CVD20" s="373"/>
      <c r="CVE20" s="373"/>
      <c r="CVF20" s="373"/>
      <c r="CVG20" s="373"/>
      <c r="CVQ20" s="373"/>
      <c r="CVR20" s="373"/>
      <c r="CVS20" s="373"/>
      <c r="CVT20" s="373"/>
      <c r="CVX20" s="373"/>
      <c r="CVY20" s="373"/>
      <c r="DEI20" s="373"/>
      <c r="DEN20" s="373"/>
      <c r="DEO20" s="373"/>
      <c r="DEP20" s="373"/>
      <c r="DEQ20" s="373"/>
      <c r="DER20" s="373"/>
      <c r="DES20" s="373"/>
      <c r="DEU20" s="373"/>
      <c r="DEV20" s="373"/>
      <c r="DEW20" s="373"/>
      <c r="DEY20" s="373"/>
      <c r="DEZ20" s="373"/>
      <c r="DFA20" s="373"/>
      <c r="DFB20" s="373"/>
      <c r="DFC20" s="373"/>
      <c r="DFM20" s="373"/>
      <c r="DFN20" s="373"/>
      <c r="DFO20" s="373"/>
      <c r="DFP20" s="373"/>
      <c r="DFT20" s="373"/>
      <c r="DFU20" s="373"/>
      <c r="DOE20" s="373"/>
      <c r="DOJ20" s="373"/>
      <c r="DOK20" s="373"/>
      <c r="DOL20" s="373"/>
      <c r="DOM20" s="373"/>
      <c r="DON20" s="373"/>
      <c r="DOO20" s="373"/>
      <c r="DOQ20" s="373"/>
      <c r="DOR20" s="373"/>
      <c r="DOS20" s="373"/>
      <c r="DOU20" s="373"/>
      <c r="DOV20" s="373"/>
      <c r="DOW20" s="373"/>
      <c r="DOX20" s="373"/>
      <c r="DOY20" s="373"/>
      <c r="DPI20" s="373"/>
      <c r="DPJ20" s="373"/>
      <c r="DPK20" s="373"/>
      <c r="DPL20" s="373"/>
      <c r="DPP20" s="373"/>
      <c r="DPQ20" s="373"/>
      <c r="DYA20" s="373"/>
      <c r="DYF20" s="373"/>
      <c r="DYG20" s="373"/>
      <c r="DYH20" s="373"/>
      <c r="DYI20" s="373"/>
      <c r="DYJ20" s="373"/>
      <c r="DYK20" s="373"/>
      <c r="DYM20" s="373"/>
      <c r="DYN20" s="373"/>
      <c r="DYO20" s="373"/>
      <c r="DYQ20" s="373"/>
      <c r="DYR20" s="373"/>
      <c r="DYS20" s="373"/>
      <c r="DYT20" s="373"/>
      <c r="DYU20" s="373"/>
      <c r="DZE20" s="373"/>
      <c r="DZF20" s="373"/>
      <c r="DZG20" s="373"/>
      <c r="DZH20" s="373"/>
      <c r="DZL20" s="373"/>
      <c r="DZM20" s="373"/>
      <c r="EHW20" s="373"/>
      <c r="EIB20" s="373"/>
      <c r="EIC20" s="373"/>
      <c r="EID20" s="373"/>
      <c r="EIE20" s="373"/>
      <c r="EIF20" s="373"/>
      <c r="EIG20" s="373"/>
      <c r="EII20" s="373"/>
      <c r="EIJ20" s="373"/>
      <c r="EIK20" s="373"/>
      <c r="EIM20" s="373"/>
      <c r="EIN20" s="373"/>
      <c r="EIO20" s="373"/>
      <c r="EIP20" s="373"/>
      <c r="EIQ20" s="373"/>
      <c r="EJA20" s="373"/>
      <c r="EJB20" s="373"/>
      <c r="EJC20" s="373"/>
      <c r="EJD20" s="373"/>
      <c r="EJH20" s="373"/>
      <c r="EJI20" s="373"/>
      <c r="ERS20" s="373"/>
      <c r="ERX20" s="373"/>
      <c r="ERY20" s="373"/>
      <c r="ERZ20" s="373"/>
      <c r="ESA20" s="373"/>
      <c r="ESB20" s="373"/>
      <c r="ESC20" s="373"/>
      <c r="ESE20" s="373"/>
      <c r="ESF20" s="373"/>
      <c r="ESG20" s="373"/>
      <c r="ESI20" s="373"/>
      <c r="ESJ20" s="373"/>
      <c r="ESK20" s="373"/>
      <c r="ESL20" s="373"/>
      <c r="ESM20" s="373"/>
      <c r="ESW20" s="373"/>
      <c r="ESX20" s="373"/>
      <c r="ESY20" s="373"/>
      <c r="ESZ20" s="373"/>
      <c r="ETD20" s="373"/>
      <c r="ETE20" s="373"/>
      <c r="FBO20" s="373"/>
      <c r="FBT20" s="373"/>
      <c r="FBU20" s="373"/>
      <c r="FBV20" s="373"/>
      <c r="FBW20" s="373"/>
      <c r="FBX20" s="373"/>
      <c r="FBY20" s="373"/>
      <c r="FCA20" s="373"/>
      <c r="FCB20" s="373"/>
      <c r="FCC20" s="373"/>
      <c r="FCE20" s="373"/>
      <c r="FCF20" s="373"/>
      <c r="FCG20" s="373"/>
      <c r="FCH20" s="373"/>
      <c r="FCI20" s="373"/>
      <c r="FCS20" s="373"/>
      <c r="FCT20" s="373"/>
      <c r="FCU20" s="373"/>
      <c r="FCV20" s="373"/>
      <c r="FCZ20" s="373"/>
      <c r="FDA20" s="373"/>
      <c r="FLK20" s="373"/>
      <c r="FLP20" s="373"/>
      <c r="FLQ20" s="373"/>
      <c r="FLR20" s="373"/>
      <c r="FLS20" s="373"/>
      <c r="FLT20" s="373"/>
      <c r="FLU20" s="373"/>
      <c r="FLW20" s="373"/>
      <c r="FLX20" s="373"/>
      <c r="FLY20" s="373"/>
      <c r="FMA20" s="373"/>
      <c r="FMB20" s="373"/>
      <c r="FMC20" s="373"/>
      <c r="FMD20" s="373"/>
      <c r="FME20" s="373"/>
      <c r="FMO20" s="373"/>
      <c r="FMP20" s="373"/>
      <c r="FMQ20" s="373"/>
      <c r="FMR20" s="373"/>
      <c r="FMV20" s="373"/>
      <c r="FMW20" s="373"/>
      <c r="FVG20" s="373"/>
      <c r="FVL20" s="373"/>
      <c r="FVM20" s="373"/>
      <c r="FVN20" s="373"/>
      <c r="FVO20" s="373"/>
      <c r="FVP20" s="373"/>
      <c r="FVQ20" s="373"/>
      <c r="FVS20" s="373"/>
      <c r="FVT20" s="373"/>
      <c r="FVU20" s="373"/>
      <c r="FVW20" s="373"/>
      <c r="FVX20" s="373"/>
      <c r="FVY20" s="373"/>
      <c r="FVZ20" s="373"/>
      <c r="FWA20" s="373"/>
      <c r="FWK20" s="373"/>
      <c r="FWL20" s="373"/>
      <c r="FWM20" s="373"/>
      <c r="FWN20" s="373"/>
      <c r="FWR20" s="373"/>
      <c r="FWS20" s="373"/>
      <c r="GFC20" s="373"/>
      <c r="GFH20" s="373"/>
      <c r="GFI20" s="373"/>
      <c r="GFJ20" s="373"/>
      <c r="GFK20" s="373"/>
      <c r="GFL20" s="373"/>
      <c r="GFM20" s="373"/>
      <c r="GFO20" s="373"/>
      <c r="GFP20" s="373"/>
      <c r="GFQ20" s="373"/>
      <c r="GFS20" s="373"/>
      <c r="GFT20" s="373"/>
      <c r="GFU20" s="373"/>
      <c r="GFV20" s="373"/>
      <c r="GFW20" s="373"/>
      <c r="GGG20" s="373"/>
      <c r="GGH20" s="373"/>
      <c r="GGI20" s="373"/>
      <c r="GGJ20" s="373"/>
      <c r="GGN20" s="373"/>
      <c r="GGO20" s="373"/>
      <c r="GOY20" s="373"/>
      <c r="GPD20" s="373"/>
      <c r="GPE20" s="373"/>
      <c r="GPF20" s="373"/>
      <c r="GPG20" s="373"/>
      <c r="GPH20" s="373"/>
      <c r="GPI20" s="373"/>
      <c r="GPK20" s="373"/>
      <c r="GPL20" s="373"/>
      <c r="GPM20" s="373"/>
      <c r="GPO20" s="373"/>
      <c r="GPP20" s="373"/>
      <c r="GPQ20" s="373"/>
      <c r="GPR20" s="373"/>
      <c r="GPS20" s="373"/>
      <c r="GQC20" s="373"/>
      <c r="GQD20" s="373"/>
      <c r="GQE20" s="373"/>
      <c r="GQF20" s="373"/>
      <c r="GQJ20" s="373"/>
      <c r="GQK20" s="373"/>
      <c r="GYU20" s="373"/>
      <c r="GYZ20" s="373"/>
      <c r="GZA20" s="373"/>
      <c r="GZB20" s="373"/>
      <c r="GZC20" s="373"/>
      <c r="GZD20" s="373"/>
      <c r="GZE20" s="373"/>
      <c r="GZG20" s="373"/>
      <c r="GZH20" s="373"/>
      <c r="GZI20" s="373"/>
      <c r="GZK20" s="373"/>
      <c r="GZL20" s="373"/>
      <c r="GZM20" s="373"/>
      <c r="GZN20" s="373"/>
      <c r="GZO20" s="373"/>
      <c r="GZY20" s="373"/>
      <c r="GZZ20" s="373"/>
      <c r="HAA20" s="373"/>
      <c r="HAB20" s="373"/>
      <c r="HAF20" s="373"/>
      <c r="HAG20" s="373"/>
      <c r="HIQ20" s="373"/>
      <c r="HIV20" s="373"/>
      <c r="HIW20" s="373"/>
      <c r="HIX20" s="373"/>
      <c r="HIY20" s="373"/>
      <c r="HIZ20" s="373"/>
      <c r="HJA20" s="373"/>
      <c r="HJC20" s="373"/>
      <c r="HJD20" s="373"/>
      <c r="HJE20" s="373"/>
      <c r="HJG20" s="373"/>
      <c r="HJH20" s="373"/>
      <c r="HJI20" s="373"/>
      <c r="HJJ20" s="373"/>
      <c r="HJK20" s="373"/>
      <c r="HJU20" s="373"/>
      <c r="HJV20" s="373"/>
      <c r="HJW20" s="373"/>
      <c r="HJX20" s="373"/>
      <c r="HKB20" s="373"/>
      <c r="HKC20" s="373"/>
      <c r="HSM20" s="373"/>
      <c r="HSR20" s="373"/>
      <c r="HSS20" s="373"/>
      <c r="HST20" s="373"/>
      <c r="HSU20" s="373"/>
      <c r="HSV20" s="373"/>
      <c r="HSW20" s="373"/>
      <c r="HSY20" s="373"/>
      <c r="HSZ20" s="373"/>
      <c r="HTA20" s="373"/>
      <c r="HTC20" s="373"/>
      <c r="HTD20" s="373"/>
      <c r="HTE20" s="373"/>
      <c r="HTF20" s="373"/>
      <c r="HTG20" s="373"/>
      <c r="HTQ20" s="373"/>
      <c r="HTR20" s="373"/>
      <c r="HTS20" s="373"/>
      <c r="HTT20" s="373"/>
      <c r="HTX20" s="373"/>
      <c r="HTY20" s="373"/>
      <c r="ICI20" s="373"/>
      <c r="ICN20" s="373"/>
      <c r="ICO20" s="373"/>
      <c r="ICP20" s="373"/>
      <c r="ICQ20" s="373"/>
      <c r="ICR20" s="373"/>
      <c r="ICS20" s="373"/>
      <c r="ICU20" s="373"/>
      <c r="ICV20" s="373"/>
      <c r="ICW20" s="373"/>
      <c r="ICY20" s="373"/>
      <c r="ICZ20" s="373"/>
      <c r="IDA20" s="373"/>
      <c r="IDB20" s="373"/>
      <c r="IDC20" s="373"/>
      <c r="IDM20" s="373"/>
      <c r="IDN20" s="373"/>
      <c r="IDO20" s="373"/>
      <c r="IDP20" s="373"/>
      <c r="IDT20" s="373"/>
      <c r="IDU20" s="373"/>
      <c r="IME20" s="373"/>
      <c r="IMJ20" s="373"/>
      <c r="IMK20" s="373"/>
      <c r="IML20" s="373"/>
      <c r="IMM20" s="373"/>
      <c r="IMN20" s="373"/>
      <c r="IMO20" s="373"/>
      <c r="IMQ20" s="373"/>
      <c r="IMR20" s="373"/>
      <c r="IMS20" s="373"/>
      <c r="IMU20" s="373"/>
      <c r="IMV20" s="373"/>
      <c r="IMW20" s="373"/>
      <c r="IMX20" s="373"/>
      <c r="IMY20" s="373"/>
      <c r="INI20" s="373"/>
      <c r="INJ20" s="373"/>
      <c r="INK20" s="373"/>
      <c r="INL20" s="373"/>
      <c r="INP20" s="373"/>
      <c r="INQ20" s="373"/>
      <c r="IWA20" s="373"/>
      <c r="IWF20" s="373"/>
      <c r="IWG20" s="373"/>
      <c r="IWH20" s="373"/>
      <c r="IWI20" s="373"/>
      <c r="IWJ20" s="373"/>
      <c r="IWK20" s="373"/>
      <c r="IWM20" s="373"/>
      <c r="IWN20" s="373"/>
      <c r="IWO20" s="373"/>
      <c r="IWQ20" s="373"/>
      <c r="IWR20" s="373"/>
      <c r="IWS20" s="373"/>
      <c r="IWT20" s="373"/>
      <c r="IWU20" s="373"/>
      <c r="IXE20" s="373"/>
      <c r="IXF20" s="373"/>
      <c r="IXG20" s="373"/>
      <c r="IXH20" s="373"/>
      <c r="IXL20" s="373"/>
      <c r="IXM20" s="373"/>
      <c r="JFW20" s="373"/>
      <c r="JGB20" s="373"/>
      <c r="JGC20" s="373"/>
      <c r="JGD20" s="373"/>
      <c r="JGE20" s="373"/>
      <c r="JGF20" s="373"/>
      <c r="JGG20" s="373"/>
      <c r="JGI20" s="373"/>
      <c r="JGJ20" s="373"/>
      <c r="JGK20" s="373"/>
      <c r="JGM20" s="373"/>
      <c r="JGN20" s="373"/>
      <c r="JGO20" s="373"/>
      <c r="JGP20" s="373"/>
      <c r="JGQ20" s="373"/>
      <c r="JHA20" s="373"/>
      <c r="JHB20" s="373"/>
      <c r="JHC20" s="373"/>
      <c r="JHD20" s="373"/>
      <c r="JHH20" s="373"/>
      <c r="JHI20" s="373"/>
      <c r="JPS20" s="373"/>
      <c r="JPX20" s="373"/>
      <c r="JPY20" s="373"/>
      <c r="JPZ20" s="373"/>
      <c r="JQA20" s="373"/>
      <c r="JQB20" s="373"/>
      <c r="JQC20" s="373"/>
      <c r="JQE20" s="373"/>
      <c r="JQF20" s="373"/>
      <c r="JQG20" s="373"/>
      <c r="JQI20" s="373"/>
      <c r="JQJ20" s="373"/>
      <c r="JQK20" s="373"/>
      <c r="JQL20" s="373"/>
      <c r="JQM20" s="373"/>
      <c r="JQW20" s="373"/>
      <c r="JQX20" s="373"/>
      <c r="JQY20" s="373"/>
      <c r="JQZ20" s="373"/>
      <c r="JRD20" s="373"/>
      <c r="JRE20" s="373"/>
      <c r="JZO20" s="373"/>
      <c r="JZT20" s="373"/>
      <c r="JZU20" s="373"/>
      <c r="JZV20" s="373"/>
      <c r="JZW20" s="373"/>
      <c r="JZX20" s="373"/>
      <c r="JZY20" s="373"/>
      <c r="KAA20" s="373"/>
      <c r="KAB20" s="373"/>
      <c r="KAC20" s="373"/>
      <c r="KAE20" s="373"/>
      <c r="KAF20" s="373"/>
      <c r="KAG20" s="373"/>
      <c r="KAH20" s="373"/>
      <c r="KAI20" s="373"/>
      <c r="KAS20" s="373"/>
      <c r="KAT20" s="373"/>
      <c r="KAU20" s="373"/>
      <c r="KAV20" s="373"/>
      <c r="KAZ20" s="373"/>
      <c r="KBA20" s="373"/>
      <c r="KJK20" s="373"/>
      <c r="KJP20" s="373"/>
      <c r="KJQ20" s="373"/>
      <c r="KJR20" s="373"/>
      <c r="KJS20" s="373"/>
      <c r="KJT20" s="373"/>
      <c r="KJU20" s="373"/>
      <c r="KJW20" s="373"/>
      <c r="KJX20" s="373"/>
      <c r="KJY20" s="373"/>
      <c r="KKA20" s="373"/>
      <c r="KKB20" s="373"/>
      <c r="KKC20" s="373"/>
      <c r="KKD20" s="373"/>
      <c r="KKE20" s="373"/>
      <c r="KKO20" s="373"/>
      <c r="KKP20" s="373"/>
      <c r="KKQ20" s="373"/>
      <c r="KKR20" s="373"/>
      <c r="KKV20" s="373"/>
      <c r="KKW20" s="373"/>
      <c r="KTG20" s="373"/>
      <c r="KTL20" s="373"/>
      <c r="KTM20" s="373"/>
      <c r="KTN20" s="373"/>
      <c r="KTO20" s="373"/>
      <c r="KTP20" s="373"/>
      <c r="KTQ20" s="373"/>
      <c r="KTS20" s="373"/>
      <c r="KTT20" s="373"/>
      <c r="KTU20" s="373"/>
      <c r="KTW20" s="373"/>
      <c r="KTX20" s="373"/>
      <c r="KTY20" s="373"/>
      <c r="KTZ20" s="373"/>
      <c r="KUA20" s="373"/>
      <c r="KUK20" s="373"/>
      <c r="KUL20" s="373"/>
      <c r="KUM20" s="373"/>
      <c r="KUN20" s="373"/>
      <c r="KUR20" s="373"/>
      <c r="KUS20" s="373"/>
      <c r="LDC20" s="373"/>
      <c r="LDH20" s="373"/>
      <c r="LDI20" s="373"/>
      <c r="LDJ20" s="373"/>
      <c r="LDK20" s="373"/>
      <c r="LDL20" s="373"/>
      <c r="LDM20" s="373"/>
      <c r="LDO20" s="373"/>
      <c r="LDP20" s="373"/>
      <c r="LDQ20" s="373"/>
      <c r="LDS20" s="373"/>
      <c r="LDT20" s="373"/>
      <c r="LDU20" s="373"/>
      <c r="LDV20" s="373"/>
      <c r="LDW20" s="373"/>
      <c r="LEG20" s="373"/>
      <c r="LEH20" s="373"/>
      <c r="LEI20" s="373"/>
      <c r="LEJ20" s="373"/>
      <c r="LEN20" s="373"/>
      <c r="LEO20" s="373"/>
      <c r="LMY20" s="373"/>
      <c r="LND20" s="373"/>
      <c r="LNE20" s="373"/>
      <c r="LNF20" s="373"/>
      <c r="LNG20" s="373"/>
      <c r="LNH20" s="373"/>
      <c r="LNI20" s="373"/>
      <c r="LNK20" s="373"/>
      <c r="LNL20" s="373"/>
      <c r="LNM20" s="373"/>
      <c r="LNO20" s="373"/>
      <c r="LNP20" s="373"/>
      <c r="LNQ20" s="373"/>
      <c r="LNR20" s="373"/>
      <c r="LNS20" s="373"/>
      <c r="LOC20" s="373"/>
      <c r="LOD20" s="373"/>
      <c r="LOE20" s="373"/>
      <c r="LOF20" s="373"/>
      <c r="LOJ20" s="373"/>
      <c r="LOK20" s="373"/>
      <c r="LWU20" s="373"/>
      <c r="LWZ20" s="373"/>
      <c r="LXA20" s="373"/>
      <c r="LXB20" s="373"/>
      <c r="LXC20" s="373"/>
      <c r="LXD20" s="373"/>
      <c r="LXE20" s="373"/>
      <c r="LXG20" s="373"/>
      <c r="LXH20" s="373"/>
      <c r="LXI20" s="373"/>
      <c r="LXK20" s="373"/>
      <c r="LXL20" s="373"/>
      <c r="LXM20" s="373"/>
      <c r="LXN20" s="373"/>
      <c r="LXO20" s="373"/>
      <c r="LXY20" s="373"/>
      <c r="LXZ20" s="373"/>
      <c r="LYA20" s="373"/>
      <c r="LYB20" s="373"/>
      <c r="LYF20" s="373"/>
      <c r="LYG20" s="373"/>
      <c r="MGQ20" s="373"/>
      <c r="MGV20" s="373"/>
      <c r="MGW20" s="373"/>
      <c r="MGX20" s="373"/>
      <c r="MGY20" s="373"/>
      <c r="MGZ20" s="373"/>
      <c r="MHA20" s="373"/>
      <c r="MHC20" s="373"/>
      <c r="MHD20" s="373"/>
      <c r="MHE20" s="373"/>
      <c r="MHG20" s="373"/>
      <c r="MHH20" s="373"/>
      <c r="MHI20" s="373"/>
      <c r="MHJ20" s="373"/>
      <c r="MHK20" s="373"/>
      <c r="MHU20" s="373"/>
      <c r="MHV20" s="373"/>
      <c r="MHW20" s="373"/>
      <c r="MHX20" s="373"/>
      <c r="MIB20" s="373"/>
      <c r="MIC20" s="373"/>
      <c r="MQM20" s="373"/>
      <c r="MQR20" s="373"/>
      <c r="MQS20" s="373"/>
      <c r="MQT20" s="373"/>
      <c r="MQU20" s="373"/>
      <c r="MQV20" s="373"/>
      <c r="MQW20" s="373"/>
      <c r="MQY20" s="373"/>
      <c r="MQZ20" s="373"/>
      <c r="MRA20" s="373"/>
      <c r="MRC20" s="373"/>
      <c r="MRD20" s="373"/>
      <c r="MRE20" s="373"/>
      <c r="MRF20" s="373"/>
      <c r="MRG20" s="373"/>
      <c r="MRQ20" s="373"/>
      <c r="MRR20" s="373"/>
      <c r="MRS20" s="373"/>
      <c r="MRT20" s="373"/>
      <c r="MRX20" s="373"/>
      <c r="MRY20" s="373"/>
      <c r="NAI20" s="373"/>
      <c r="NAN20" s="373"/>
      <c r="NAO20" s="373"/>
      <c r="NAP20" s="373"/>
      <c r="NAQ20" s="373"/>
      <c r="NAR20" s="373"/>
      <c r="NAS20" s="373"/>
      <c r="NAU20" s="373"/>
      <c r="NAV20" s="373"/>
      <c r="NAW20" s="373"/>
      <c r="NAY20" s="373"/>
      <c r="NAZ20" s="373"/>
      <c r="NBA20" s="373"/>
      <c r="NBB20" s="373"/>
      <c r="NBC20" s="373"/>
      <c r="NBM20" s="373"/>
      <c r="NBN20" s="373"/>
      <c r="NBO20" s="373"/>
      <c r="NBP20" s="373"/>
      <c r="NBT20" s="373"/>
      <c r="NBU20" s="373"/>
      <c r="NKE20" s="373"/>
      <c r="NKJ20" s="373"/>
      <c r="NKK20" s="373"/>
      <c r="NKL20" s="373"/>
      <c r="NKM20" s="373"/>
      <c r="NKN20" s="373"/>
      <c r="NKO20" s="373"/>
      <c r="NKQ20" s="373"/>
      <c r="NKR20" s="373"/>
      <c r="NKS20" s="373"/>
      <c r="NKU20" s="373"/>
      <c r="NKV20" s="373"/>
      <c r="NKW20" s="373"/>
      <c r="NKX20" s="373"/>
      <c r="NKY20" s="373"/>
      <c r="NLI20" s="373"/>
      <c r="NLJ20" s="373"/>
      <c r="NLK20" s="373"/>
      <c r="NLL20" s="373"/>
      <c r="NLP20" s="373"/>
      <c r="NLQ20" s="373"/>
      <c r="NUA20" s="373"/>
      <c r="NUF20" s="373"/>
      <c r="NUG20" s="373"/>
      <c r="NUH20" s="373"/>
      <c r="NUI20" s="373"/>
      <c r="NUJ20" s="373"/>
      <c r="NUK20" s="373"/>
      <c r="NUM20" s="373"/>
      <c r="NUN20" s="373"/>
      <c r="NUO20" s="373"/>
      <c r="NUQ20" s="373"/>
      <c r="NUR20" s="373"/>
      <c r="NUS20" s="373"/>
      <c r="NUT20" s="373"/>
      <c r="NUU20" s="373"/>
      <c r="NVE20" s="373"/>
      <c r="NVF20" s="373"/>
      <c r="NVG20" s="373"/>
      <c r="NVH20" s="373"/>
      <c r="NVL20" s="373"/>
      <c r="NVM20" s="373"/>
      <c r="ODW20" s="373"/>
      <c r="OEB20" s="373"/>
      <c r="OEC20" s="373"/>
      <c r="OED20" s="373"/>
      <c r="OEE20" s="373"/>
      <c r="OEF20" s="373"/>
      <c r="OEG20" s="373"/>
      <c r="OEI20" s="373"/>
      <c r="OEJ20" s="373"/>
      <c r="OEK20" s="373"/>
      <c r="OEM20" s="373"/>
      <c r="OEN20" s="373"/>
      <c r="OEO20" s="373"/>
      <c r="OEP20" s="373"/>
      <c r="OEQ20" s="373"/>
      <c r="OFA20" s="373"/>
      <c r="OFB20" s="373"/>
      <c r="OFC20" s="373"/>
      <c r="OFD20" s="373"/>
      <c r="OFH20" s="373"/>
      <c r="OFI20" s="373"/>
      <c r="ONS20" s="373"/>
      <c r="ONX20" s="373"/>
      <c r="ONY20" s="373"/>
      <c r="ONZ20" s="373"/>
      <c r="OOA20" s="373"/>
      <c r="OOB20" s="373"/>
      <c r="OOC20" s="373"/>
      <c r="OOE20" s="373"/>
      <c r="OOF20" s="373"/>
      <c r="OOG20" s="373"/>
      <c r="OOI20" s="373"/>
      <c r="OOJ20" s="373"/>
      <c r="OOK20" s="373"/>
      <c r="OOL20" s="373"/>
      <c r="OOM20" s="373"/>
      <c r="OOW20" s="373"/>
      <c r="OOX20" s="373"/>
      <c r="OOY20" s="373"/>
      <c r="OOZ20" s="373"/>
      <c r="OPD20" s="373"/>
      <c r="OPE20" s="373"/>
      <c r="OXO20" s="373"/>
      <c r="OXT20" s="373"/>
      <c r="OXU20" s="373"/>
      <c r="OXV20" s="373"/>
      <c r="OXW20" s="373"/>
      <c r="OXX20" s="373"/>
      <c r="OXY20" s="373"/>
      <c r="OYA20" s="373"/>
      <c r="OYB20" s="373"/>
      <c r="OYC20" s="373"/>
      <c r="OYE20" s="373"/>
      <c r="OYF20" s="373"/>
      <c r="OYG20" s="373"/>
      <c r="OYH20" s="373"/>
      <c r="OYI20" s="373"/>
      <c r="OYS20" s="373"/>
      <c r="OYT20" s="373"/>
      <c r="OYU20" s="373"/>
      <c r="OYV20" s="373"/>
      <c r="OYZ20" s="373"/>
      <c r="OZA20" s="373"/>
      <c r="PHK20" s="373"/>
      <c r="PHP20" s="373"/>
      <c r="PHQ20" s="373"/>
      <c r="PHR20" s="373"/>
      <c r="PHS20" s="373"/>
      <c r="PHT20" s="373"/>
      <c r="PHU20" s="373"/>
      <c r="PHW20" s="373"/>
      <c r="PHX20" s="373"/>
      <c r="PHY20" s="373"/>
      <c r="PIA20" s="373"/>
      <c r="PIB20" s="373"/>
      <c r="PIC20" s="373"/>
      <c r="PID20" s="373"/>
      <c r="PIE20" s="373"/>
      <c r="PIO20" s="373"/>
      <c r="PIP20" s="373"/>
      <c r="PIQ20" s="373"/>
      <c r="PIR20" s="373"/>
      <c r="PIV20" s="373"/>
      <c r="PIW20" s="373"/>
      <c r="PRG20" s="373"/>
      <c r="PRL20" s="373"/>
      <c r="PRM20" s="373"/>
      <c r="PRN20" s="373"/>
      <c r="PRO20" s="373"/>
      <c r="PRP20" s="373"/>
      <c r="PRQ20" s="373"/>
      <c r="PRS20" s="373"/>
      <c r="PRT20" s="373"/>
      <c r="PRU20" s="373"/>
      <c r="PRW20" s="373"/>
      <c r="PRX20" s="373"/>
      <c r="PRY20" s="373"/>
      <c r="PRZ20" s="373"/>
      <c r="PSA20" s="373"/>
      <c r="PSK20" s="373"/>
      <c r="PSL20" s="373"/>
      <c r="PSM20" s="373"/>
      <c r="PSN20" s="373"/>
      <c r="PSR20" s="373"/>
      <c r="PSS20" s="373"/>
      <c r="QBC20" s="373"/>
      <c r="QBH20" s="373"/>
      <c r="QBI20" s="373"/>
      <c r="QBJ20" s="373"/>
      <c r="QBK20" s="373"/>
      <c r="QBL20" s="373"/>
      <c r="QBM20" s="373"/>
      <c r="QBO20" s="373"/>
      <c r="QBP20" s="373"/>
      <c r="QBQ20" s="373"/>
      <c r="QBS20" s="373"/>
      <c r="QBT20" s="373"/>
      <c r="QBU20" s="373"/>
      <c r="QBV20" s="373"/>
      <c r="QBW20" s="373"/>
      <c r="QCG20" s="373"/>
      <c r="QCH20" s="373"/>
      <c r="QCI20" s="373"/>
      <c r="QCJ20" s="373"/>
      <c r="QCN20" s="373"/>
      <c r="QCO20" s="373"/>
      <c r="QKY20" s="373"/>
      <c r="QLD20" s="373"/>
      <c r="QLE20" s="373"/>
      <c r="QLF20" s="373"/>
      <c r="QLG20" s="373"/>
      <c r="QLH20" s="373"/>
      <c r="QLI20" s="373"/>
      <c r="QLK20" s="373"/>
      <c r="QLL20" s="373"/>
      <c r="QLM20" s="373"/>
      <c r="QLO20" s="373"/>
      <c r="QLP20" s="373"/>
      <c r="QLQ20" s="373"/>
      <c r="QLR20" s="373"/>
      <c r="QLS20" s="373"/>
      <c r="QMC20" s="373"/>
      <c r="QMD20" s="373"/>
      <c r="QME20" s="373"/>
      <c r="QMF20" s="373"/>
      <c r="QMJ20" s="373"/>
      <c r="QMK20" s="373"/>
      <c r="QUU20" s="373"/>
      <c r="QUZ20" s="373"/>
      <c r="QVA20" s="373"/>
      <c r="QVB20" s="373"/>
      <c r="QVC20" s="373"/>
      <c r="QVD20" s="373"/>
      <c r="QVE20" s="373"/>
      <c r="QVG20" s="373"/>
      <c r="QVH20" s="373"/>
      <c r="QVI20" s="373"/>
      <c r="QVK20" s="373"/>
      <c r="QVL20" s="373"/>
      <c r="QVM20" s="373"/>
      <c r="QVN20" s="373"/>
      <c r="QVO20" s="373"/>
      <c r="QVY20" s="373"/>
      <c r="QVZ20" s="373"/>
      <c r="QWA20" s="373"/>
      <c r="QWB20" s="373"/>
      <c r="QWF20" s="373"/>
      <c r="QWG20" s="373"/>
      <c r="REQ20" s="373"/>
      <c r="REV20" s="373"/>
      <c r="REW20" s="373"/>
      <c r="REX20" s="373"/>
      <c r="REY20" s="373"/>
      <c r="REZ20" s="373"/>
      <c r="RFA20" s="373"/>
      <c r="RFC20" s="373"/>
      <c r="RFD20" s="373"/>
      <c r="RFE20" s="373"/>
      <c r="RFG20" s="373"/>
      <c r="RFH20" s="373"/>
      <c r="RFI20" s="373"/>
      <c r="RFJ20" s="373"/>
      <c r="RFK20" s="373"/>
      <c r="RFU20" s="373"/>
      <c r="RFV20" s="373"/>
      <c r="RFW20" s="373"/>
      <c r="RFX20" s="373"/>
      <c r="RGB20" s="373"/>
      <c r="RGC20" s="373"/>
      <c r="ROM20" s="373"/>
      <c r="ROR20" s="373"/>
      <c r="ROS20" s="373"/>
      <c r="ROT20" s="373"/>
      <c r="ROU20" s="373"/>
      <c r="ROV20" s="373"/>
      <c r="ROW20" s="373"/>
      <c r="ROY20" s="373"/>
      <c r="ROZ20" s="373"/>
      <c r="RPA20" s="373"/>
      <c r="RPC20" s="373"/>
      <c r="RPD20" s="373"/>
      <c r="RPE20" s="373"/>
      <c r="RPF20" s="373"/>
      <c r="RPG20" s="373"/>
      <c r="RPQ20" s="373"/>
      <c r="RPR20" s="373"/>
      <c r="RPS20" s="373"/>
      <c r="RPT20" s="373"/>
      <c r="RPX20" s="373"/>
      <c r="RPY20" s="373"/>
      <c r="RYI20" s="373"/>
      <c r="RYN20" s="373"/>
      <c r="RYO20" s="373"/>
      <c r="RYP20" s="373"/>
      <c r="RYQ20" s="373"/>
      <c r="RYR20" s="373"/>
      <c r="RYS20" s="373"/>
      <c r="RYU20" s="373"/>
      <c r="RYV20" s="373"/>
      <c r="RYW20" s="373"/>
      <c r="RYY20" s="373"/>
      <c r="RYZ20" s="373"/>
      <c r="RZA20" s="373"/>
      <c r="RZB20" s="373"/>
      <c r="RZC20" s="373"/>
      <c r="RZM20" s="373"/>
      <c r="RZN20" s="373"/>
      <c r="RZO20" s="373"/>
      <c r="RZP20" s="373"/>
      <c r="RZT20" s="373"/>
      <c r="RZU20" s="373"/>
      <c r="SIE20" s="373"/>
      <c r="SIJ20" s="373"/>
      <c r="SIK20" s="373"/>
      <c r="SIL20" s="373"/>
      <c r="SIM20" s="373"/>
      <c r="SIN20" s="373"/>
      <c r="SIO20" s="373"/>
      <c r="SIQ20" s="373"/>
      <c r="SIR20" s="373"/>
      <c r="SIS20" s="373"/>
      <c r="SIU20" s="373"/>
      <c r="SIV20" s="373"/>
      <c r="SIW20" s="373"/>
      <c r="SIX20" s="373"/>
      <c r="SIY20" s="373"/>
      <c r="SJI20" s="373"/>
      <c r="SJJ20" s="373"/>
      <c r="SJK20" s="373"/>
      <c r="SJL20" s="373"/>
      <c r="SJP20" s="373"/>
      <c r="SJQ20" s="373"/>
      <c r="SSA20" s="373"/>
      <c r="SSF20" s="373"/>
      <c r="SSG20" s="373"/>
      <c r="SSH20" s="373"/>
      <c r="SSI20" s="373"/>
      <c r="SSJ20" s="373"/>
      <c r="SSK20" s="373"/>
      <c r="SSM20" s="373"/>
      <c r="SSN20" s="373"/>
      <c r="SSO20" s="373"/>
      <c r="SSQ20" s="373"/>
      <c r="SSR20" s="373"/>
      <c r="SSS20" s="373"/>
      <c r="SST20" s="373"/>
      <c r="SSU20" s="373"/>
      <c r="STE20" s="373"/>
      <c r="STF20" s="373"/>
      <c r="STG20" s="373"/>
      <c r="STH20" s="373"/>
      <c r="STL20" s="373"/>
      <c r="STM20" s="373"/>
      <c r="TBW20" s="373"/>
      <c r="TCB20" s="373"/>
      <c r="TCC20" s="373"/>
      <c r="TCD20" s="373"/>
      <c r="TCE20" s="373"/>
      <c r="TCF20" s="373"/>
      <c r="TCG20" s="373"/>
      <c r="TCI20" s="373"/>
      <c r="TCJ20" s="373"/>
      <c r="TCK20" s="373"/>
      <c r="TCM20" s="373"/>
      <c r="TCN20" s="373"/>
      <c r="TCO20" s="373"/>
      <c r="TCP20" s="373"/>
      <c r="TCQ20" s="373"/>
      <c r="TDA20" s="373"/>
      <c r="TDB20" s="373"/>
      <c r="TDC20" s="373"/>
      <c r="TDD20" s="373"/>
      <c r="TDH20" s="373"/>
      <c r="TDI20" s="373"/>
      <c r="TLS20" s="373"/>
      <c r="TLX20" s="373"/>
      <c r="TLY20" s="373"/>
      <c r="TLZ20" s="373"/>
      <c r="TMA20" s="373"/>
      <c r="TMB20" s="373"/>
      <c r="TMC20" s="373"/>
      <c r="TME20" s="373"/>
      <c r="TMF20" s="373"/>
      <c r="TMG20" s="373"/>
      <c r="TMI20" s="373"/>
      <c r="TMJ20" s="373"/>
      <c r="TMK20" s="373"/>
      <c r="TML20" s="373"/>
      <c r="TMM20" s="373"/>
      <c r="TMW20" s="373"/>
      <c r="TMX20" s="373"/>
      <c r="TMY20" s="373"/>
      <c r="TMZ20" s="373"/>
      <c r="TND20" s="373"/>
      <c r="TNE20" s="373"/>
      <c r="TVO20" s="373"/>
      <c r="TVT20" s="373"/>
      <c r="TVU20" s="373"/>
      <c r="TVV20" s="373"/>
      <c r="TVW20" s="373"/>
      <c r="TVX20" s="373"/>
      <c r="TVY20" s="373"/>
      <c r="TWA20" s="373"/>
      <c r="TWB20" s="373"/>
      <c r="TWC20" s="373"/>
      <c r="TWE20" s="373"/>
      <c r="TWF20" s="373"/>
      <c r="TWG20" s="373"/>
      <c r="TWH20" s="373"/>
      <c r="TWI20" s="373"/>
      <c r="TWS20" s="373"/>
      <c r="TWT20" s="373"/>
      <c r="TWU20" s="373"/>
      <c r="TWV20" s="373"/>
      <c r="TWZ20" s="373"/>
      <c r="TXA20" s="373"/>
      <c r="UFK20" s="373"/>
      <c r="UFP20" s="373"/>
      <c r="UFQ20" s="373"/>
      <c r="UFR20" s="373"/>
      <c r="UFS20" s="373"/>
      <c r="UFT20" s="373"/>
      <c r="UFU20" s="373"/>
      <c r="UFW20" s="373"/>
      <c r="UFX20" s="373"/>
      <c r="UFY20" s="373"/>
      <c r="UGA20" s="373"/>
      <c r="UGB20" s="373"/>
      <c r="UGC20" s="373"/>
      <c r="UGD20" s="373"/>
      <c r="UGE20" s="373"/>
      <c r="UGO20" s="373"/>
      <c r="UGP20" s="373"/>
      <c r="UGQ20" s="373"/>
      <c r="UGR20" s="373"/>
      <c r="UGV20" s="373"/>
      <c r="UGW20" s="373"/>
      <c r="UPG20" s="373"/>
      <c r="UPL20" s="373"/>
      <c r="UPM20" s="373"/>
      <c r="UPN20" s="373"/>
      <c r="UPO20" s="373"/>
      <c r="UPP20" s="373"/>
      <c r="UPQ20" s="373"/>
      <c r="UPS20" s="373"/>
      <c r="UPT20" s="373"/>
      <c r="UPU20" s="373"/>
      <c r="UPW20" s="373"/>
      <c r="UPX20" s="373"/>
      <c r="UPY20" s="373"/>
      <c r="UPZ20" s="373"/>
      <c r="UQA20" s="373"/>
      <c r="UQK20" s="373"/>
      <c r="UQL20" s="373"/>
      <c r="UQM20" s="373"/>
      <c r="UQN20" s="373"/>
      <c r="UQR20" s="373"/>
      <c r="UQS20" s="373"/>
      <c r="UZC20" s="373"/>
      <c r="UZH20" s="373"/>
      <c r="UZI20" s="373"/>
      <c r="UZJ20" s="373"/>
      <c r="UZK20" s="373"/>
      <c r="UZL20" s="373"/>
      <c r="UZM20" s="373"/>
      <c r="UZO20" s="373"/>
      <c r="UZP20" s="373"/>
      <c r="UZQ20" s="373"/>
      <c r="UZS20" s="373"/>
      <c r="UZT20" s="373"/>
      <c r="UZU20" s="373"/>
      <c r="UZV20" s="373"/>
      <c r="UZW20" s="373"/>
      <c r="VAG20" s="373"/>
      <c r="VAH20" s="373"/>
      <c r="VAI20" s="373"/>
      <c r="VAJ20" s="373"/>
      <c r="VAN20" s="373"/>
      <c r="VAO20" s="373"/>
      <c r="VIY20" s="373"/>
      <c r="VJD20" s="373"/>
      <c r="VJE20" s="373"/>
      <c r="VJF20" s="373"/>
      <c r="VJG20" s="373"/>
      <c r="VJH20" s="373"/>
      <c r="VJI20" s="373"/>
      <c r="VJK20" s="373"/>
      <c r="VJL20" s="373"/>
      <c r="VJM20" s="373"/>
      <c r="VJO20" s="373"/>
      <c r="VJP20" s="373"/>
      <c r="VJQ20" s="373"/>
      <c r="VJR20" s="373"/>
      <c r="VJS20" s="373"/>
      <c r="VKC20" s="373"/>
      <c r="VKD20" s="373"/>
      <c r="VKE20" s="373"/>
      <c r="VKF20" s="373"/>
      <c r="VKJ20" s="373"/>
      <c r="VKK20" s="373"/>
      <c r="VSU20" s="373"/>
      <c r="VSZ20" s="373"/>
      <c r="VTA20" s="373"/>
      <c r="VTB20" s="373"/>
      <c r="VTC20" s="373"/>
      <c r="VTD20" s="373"/>
      <c r="VTE20" s="373"/>
      <c r="VTG20" s="373"/>
      <c r="VTH20" s="373"/>
      <c r="VTI20" s="373"/>
      <c r="VTK20" s="373"/>
      <c r="VTL20" s="373"/>
      <c r="VTM20" s="373"/>
      <c r="VTN20" s="373"/>
      <c r="VTO20" s="373"/>
      <c r="VTY20" s="373"/>
      <c r="VTZ20" s="373"/>
      <c r="VUA20" s="373"/>
      <c r="VUB20" s="373"/>
      <c r="VUF20" s="373"/>
      <c r="VUG20" s="373"/>
      <c r="WCQ20" s="373"/>
      <c r="WCV20" s="373"/>
      <c r="WCW20" s="373"/>
      <c r="WCX20" s="373"/>
      <c r="WCY20" s="373"/>
      <c r="WCZ20" s="373"/>
      <c r="WDA20" s="373"/>
      <c r="WDC20" s="373"/>
      <c r="WDD20" s="373"/>
      <c r="WDE20" s="373"/>
      <c r="WDG20" s="373"/>
      <c r="WDH20" s="373"/>
      <c r="WDI20" s="373"/>
      <c r="WDJ20" s="373"/>
      <c r="WDK20" s="373"/>
      <c r="WDU20" s="373"/>
      <c r="WDV20" s="373"/>
      <c r="WDW20" s="373"/>
      <c r="WDX20" s="373"/>
      <c r="WEB20" s="373"/>
      <c r="WEC20" s="373"/>
      <c r="WMM20" s="373"/>
      <c r="WMR20" s="373"/>
      <c r="WMS20" s="373"/>
      <c r="WMT20" s="373"/>
      <c r="WMU20" s="373"/>
      <c r="WMV20" s="373"/>
      <c r="WMW20" s="373"/>
      <c r="WMY20" s="373"/>
      <c r="WMZ20" s="373"/>
      <c r="WNA20" s="373"/>
      <c r="WNC20" s="373"/>
      <c r="WND20" s="373"/>
      <c r="WNE20" s="373"/>
      <c r="WNF20" s="373"/>
      <c r="WNG20" s="373"/>
      <c r="WNQ20" s="373"/>
      <c r="WNR20" s="373"/>
      <c r="WNS20" s="373"/>
      <c r="WNT20" s="373"/>
      <c r="WNX20" s="373"/>
      <c r="WNY20" s="373"/>
      <c r="WWI20" s="373"/>
      <c r="WWN20" s="373"/>
      <c r="WWO20" s="373"/>
      <c r="WWP20" s="373"/>
      <c r="WWQ20" s="373"/>
      <c r="WWR20" s="373"/>
      <c r="WWS20" s="373"/>
      <c r="WWU20" s="373"/>
      <c r="WWV20" s="373"/>
      <c r="WWW20" s="373"/>
      <c r="WWY20" s="373"/>
      <c r="WWZ20" s="373"/>
      <c r="WXA20" s="373"/>
      <c r="WXB20" s="373"/>
      <c r="WXC20" s="373"/>
      <c r="WXM20" s="373"/>
      <c r="WXN20" s="373"/>
      <c r="WXO20" s="373"/>
      <c r="WXP20" s="373"/>
      <c r="WXT20" s="373"/>
      <c r="WXU20" s="373"/>
    </row>
    <row r="21" spans="1:833 1051:1857 2075:2881 3099:3905 4123:4929 5147:5953 6171:6977 7195:8001 8219:9025 9243:10049 10267:11073 11291:12097 12315:13121 13339:14145 14363:15169 15387:16193" s="16" customFormat="1" ht="27" customHeight="1">
      <c r="A21" s="380">
        <v>13</v>
      </c>
      <c r="B21" s="348" t="s">
        <v>291</v>
      </c>
      <c r="C21" s="349" t="s">
        <v>88</v>
      </c>
      <c r="D21" s="363">
        <v>208</v>
      </c>
      <c r="E21" s="350">
        <v>184</v>
      </c>
      <c r="F21" s="364"/>
      <c r="G21" s="364"/>
      <c r="H21" s="351">
        <v>0</v>
      </c>
      <c r="I21" s="364"/>
      <c r="J21" s="364"/>
      <c r="K21" s="364"/>
      <c r="L21" s="364"/>
      <c r="M21" s="364"/>
      <c r="N21" s="364"/>
      <c r="O21" s="364"/>
      <c r="P21" s="364"/>
      <c r="Q21" s="234">
        <v>4940000</v>
      </c>
      <c r="R21" s="234">
        <v>0</v>
      </c>
      <c r="S21" s="365"/>
      <c r="T21" s="234">
        <v>300000</v>
      </c>
      <c r="U21" s="365">
        <v>600000</v>
      </c>
      <c r="V21" s="358">
        <f t="shared" si="0"/>
        <v>600000</v>
      </c>
      <c r="W21" s="365">
        <v>800000</v>
      </c>
      <c r="X21" s="234">
        <f t="shared" si="1"/>
        <v>800000</v>
      </c>
      <c r="Y21" s="365">
        <v>800000</v>
      </c>
      <c r="Z21" s="234">
        <f t="shared" si="2"/>
        <v>800000</v>
      </c>
      <c r="AA21" s="365">
        <v>0</v>
      </c>
      <c r="AB21" s="234">
        <v>20000</v>
      </c>
      <c r="AC21" s="234">
        <f t="shared" si="107"/>
        <v>500000</v>
      </c>
      <c r="AD21" s="234">
        <f t="shared" ref="AD21" si="149">G21*13000</f>
        <v>0</v>
      </c>
      <c r="AE21" s="234">
        <v>0</v>
      </c>
      <c r="AF21" s="365"/>
      <c r="AG21" s="365"/>
      <c r="AH21" s="234">
        <f t="shared" ref="AH21" si="150">V21+Z21+X21+AA21+AB21+AC21+AD21+AE21</f>
        <v>2720000</v>
      </c>
      <c r="AI21" s="234">
        <f t="shared" ref="AI21" si="151">Q21+R21+T21</f>
        <v>5240000</v>
      </c>
      <c r="AJ21" s="234">
        <f t="shared" ref="AJ21" si="152">AI21/208</f>
        <v>25192.307692307691</v>
      </c>
      <c r="AK21" s="234">
        <f t="shared" ref="AK21" si="153">AJ21*(E21+F21*130%)</f>
        <v>4635384.615384615</v>
      </c>
      <c r="AL21" s="234">
        <f t="shared" ref="AL21" si="154">AJ21*H21*150%</f>
        <v>0</v>
      </c>
      <c r="AM21" s="365">
        <f t="shared" ref="AM21" si="155">AJ21*I21*150%*130%</f>
        <v>0</v>
      </c>
      <c r="AN21" s="234">
        <f t="shared" ref="AN21" si="156">+AJ21*J21*200%</f>
        <v>0</v>
      </c>
      <c r="AO21" s="365">
        <f t="shared" ref="AO21" si="157">AJ21*K21*200%*130%</f>
        <v>0</v>
      </c>
      <c r="AP21" s="365">
        <f t="shared" ref="AP21" si="158">AJ21*L21*200%*150%</f>
        <v>0</v>
      </c>
      <c r="AQ21" s="365">
        <f t="shared" ref="AQ21" si="159">AJ21*M21*200%*150%*130%</f>
        <v>0</v>
      </c>
      <c r="AR21" s="365">
        <f t="shared" ref="AR21" si="160">N21*AJ21*300%</f>
        <v>0</v>
      </c>
      <c r="AS21" s="365">
        <f t="shared" ref="AS21" si="161">AJ21*O21*300%</f>
        <v>0</v>
      </c>
      <c r="AT21" s="365">
        <f t="shared" ref="AT21" si="162">P21*AJ21*150%*300%</f>
        <v>0</v>
      </c>
      <c r="AU21" s="234">
        <f t="shared" ref="AU21" si="163">SUM(AL21:AT21)</f>
        <v>0</v>
      </c>
      <c r="AV21" s="234">
        <f t="shared" ref="AV21" si="164">AH21+AK21+AU21+AG21+AF21</f>
        <v>7355384.615384615</v>
      </c>
      <c r="AW21" s="234">
        <f>Q21+R21+T21</f>
        <v>5240000</v>
      </c>
      <c r="AX21" s="365">
        <f t="shared" ref="AX21" si="165">AW21*17.5%</f>
        <v>917000</v>
      </c>
      <c r="AY21" s="365">
        <f t="shared" ref="AY21" si="166">AW21*3%</f>
        <v>157200</v>
      </c>
      <c r="AZ21" s="365">
        <f t="shared" si="21"/>
        <v>52400</v>
      </c>
      <c r="BA21" s="365">
        <f t="shared" si="35"/>
        <v>104800</v>
      </c>
      <c r="BB21" s="234">
        <f t="shared" si="36"/>
        <v>1231400</v>
      </c>
      <c r="BC21" s="365">
        <f t="shared" si="22"/>
        <v>419200</v>
      </c>
      <c r="BD21" s="365">
        <f t="shared" si="23"/>
        <v>78600</v>
      </c>
      <c r="BE21" s="365">
        <f t="shared" si="24"/>
        <v>52400</v>
      </c>
      <c r="BF21" s="234">
        <f t="shared" si="37"/>
        <v>550200</v>
      </c>
      <c r="BG21" s="365">
        <v>11000000</v>
      </c>
      <c r="BH21" s="365"/>
      <c r="BI21" s="365">
        <f t="shared" ref="BI21" si="167">BH21*4400000</f>
        <v>0</v>
      </c>
      <c r="BJ21" s="365">
        <f t="shared" si="25"/>
        <v>600000</v>
      </c>
      <c r="BK21" s="365">
        <f t="shared" si="26"/>
        <v>6755384.615384615</v>
      </c>
      <c r="BL21" s="365">
        <f t="shared" ref="BL21" si="168">IF(BK21-BG21-BF21-BI21&lt;0,0,BK21-BG21-BI21-BF21)</f>
        <v>0</v>
      </c>
      <c r="BM21" s="234">
        <f t="shared" ref="BM21" si="169">ROUND(IF(BL21&lt;=5000000,BL21*5%,IF(AND(BL21&gt;5000000,BL21&lt;=10000000),BL21*10%-250000,IF(AND(BL21&gt;10000000,BL21&lt;=18000000),BL21*15%-750000,IF(AND(BL21&gt;18000000,BL21&lt;=32000000),BL21*20%-1650000,IF(AND(BL21&gt;32000000,BL21&lt;=52000000),BL21*25%-3250000,IF(AND(BL21&gt;52000000,BL21&lt;80000000),BL21*30%-585000,IF(BL21&gt;80000000,BL21*35%-9850000))))))),0)</f>
        <v>0</v>
      </c>
      <c r="BN21" s="232">
        <v>35000</v>
      </c>
      <c r="BO21" s="234">
        <f t="shared" si="41"/>
        <v>6770184.615384615</v>
      </c>
      <c r="BP21" s="367">
        <v>109878727109</v>
      </c>
      <c r="BQ21" s="350">
        <f>BQ22+'Payroll of factory (DET).1'!BR40</f>
        <v>272166822.35576922</v>
      </c>
      <c r="BR21" s="352"/>
      <c r="JW21" s="368"/>
      <c r="KB21" s="368"/>
      <c r="KC21" s="368"/>
      <c r="KD21" s="368"/>
      <c r="KE21" s="368"/>
      <c r="KF21" s="368"/>
      <c r="KG21" s="368"/>
      <c r="KI21" s="368"/>
      <c r="KJ21" s="368"/>
      <c r="KK21" s="368"/>
      <c r="KM21" s="368"/>
      <c r="KN21" s="368"/>
      <c r="KO21" s="368"/>
      <c r="KP21" s="368"/>
      <c r="KQ21" s="368"/>
      <c r="LA21" s="368"/>
      <c r="LB21" s="368"/>
      <c r="LC21" s="368"/>
      <c r="LD21" s="368"/>
      <c r="LH21" s="368"/>
      <c r="LI21" s="368"/>
      <c r="TS21" s="368"/>
      <c r="TX21" s="368"/>
      <c r="TY21" s="368"/>
      <c r="TZ21" s="368"/>
      <c r="UA21" s="368"/>
      <c r="UB21" s="368"/>
      <c r="UC21" s="368"/>
      <c r="UE21" s="368"/>
      <c r="UF21" s="368"/>
      <c r="UG21" s="368"/>
      <c r="UI21" s="368"/>
      <c r="UJ21" s="368"/>
      <c r="UK21" s="368"/>
      <c r="UL21" s="368"/>
      <c r="UM21" s="368"/>
      <c r="UW21" s="368"/>
      <c r="UX21" s="368"/>
      <c r="UY21" s="368"/>
      <c r="UZ21" s="368"/>
      <c r="VD21" s="368"/>
      <c r="VE21" s="368"/>
      <c r="ADO21" s="368"/>
      <c r="ADT21" s="368"/>
      <c r="ADU21" s="368"/>
      <c r="ADV21" s="368"/>
      <c r="ADW21" s="368"/>
      <c r="ADX21" s="368"/>
      <c r="ADY21" s="368"/>
      <c r="AEA21" s="368"/>
      <c r="AEB21" s="368"/>
      <c r="AEC21" s="368"/>
      <c r="AEE21" s="368"/>
      <c r="AEF21" s="368"/>
      <c r="AEG21" s="368"/>
      <c r="AEH21" s="368"/>
      <c r="AEI21" s="368"/>
      <c r="AES21" s="368"/>
      <c r="AET21" s="368"/>
      <c r="AEU21" s="368"/>
      <c r="AEV21" s="368"/>
      <c r="AEZ21" s="368"/>
      <c r="AFA21" s="368"/>
      <c r="ANK21" s="368"/>
      <c r="ANP21" s="368"/>
      <c r="ANQ21" s="368"/>
      <c r="ANR21" s="368"/>
      <c r="ANS21" s="368"/>
      <c r="ANT21" s="368"/>
      <c r="ANU21" s="368"/>
      <c r="ANW21" s="368"/>
      <c r="ANX21" s="368"/>
      <c r="ANY21" s="368"/>
      <c r="AOA21" s="368"/>
      <c r="AOB21" s="368"/>
      <c r="AOC21" s="368"/>
      <c r="AOD21" s="368"/>
      <c r="AOE21" s="368"/>
      <c r="AOO21" s="368"/>
      <c r="AOP21" s="368"/>
      <c r="AOQ21" s="368"/>
      <c r="AOR21" s="368"/>
      <c r="AOV21" s="368"/>
      <c r="AOW21" s="368"/>
      <c r="AXG21" s="368"/>
      <c r="AXL21" s="368"/>
      <c r="AXM21" s="368"/>
      <c r="AXN21" s="368"/>
      <c r="AXO21" s="368"/>
      <c r="AXP21" s="368"/>
      <c r="AXQ21" s="368"/>
      <c r="AXS21" s="368"/>
      <c r="AXT21" s="368"/>
      <c r="AXU21" s="368"/>
      <c r="AXW21" s="368"/>
      <c r="AXX21" s="368"/>
      <c r="AXY21" s="368"/>
      <c r="AXZ21" s="368"/>
      <c r="AYA21" s="368"/>
      <c r="AYK21" s="368"/>
      <c r="AYL21" s="368"/>
      <c r="AYM21" s="368"/>
      <c r="AYN21" s="368"/>
      <c r="AYR21" s="368"/>
      <c r="AYS21" s="368"/>
      <c r="BHC21" s="368"/>
      <c r="BHH21" s="368"/>
      <c r="BHI21" s="368"/>
      <c r="BHJ21" s="368"/>
      <c r="BHK21" s="368"/>
      <c r="BHL21" s="368"/>
      <c r="BHM21" s="368"/>
      <c r="BHO21" s="368"/>
      <c r="BHP21" s="368"/>
      <c r="BHQ21" s="368"/>
      <c r="BHS21" s="368"/>
      <c r="BHT21" s="368"/>
      <c r="BHU21" s="368"/>
      <c r="BHV21" s="368"/>
      <c r="BHW21" s="368"/>
      <c r="BIG21" s="368"/>
      <c r="BIH21" s="368"/>
      <c r="BII21" s="368"/>
      <c r="BIJ21" s="368"/>
      <c r="BIN21" s="368"/>
      <c r="BIO21" s="368"/>
      <c r="BQY21" s="368"/>
      <c r="BRD21" s="368"/>
      <c r="BRE21" s="368"/>
      <c r="BRF21" s="368"/>
      <c r="BRG21" s="368"/>
      <c r="BRH21" s="368"/>
      <c r="BRI21" s="368"/>
      <c r="BRK21" s="368"/>
      <c r="BRL21" s="368"/>
      <c r="BRM21" s="368"/>
      <c r="BRO21" s="368"/>
      <c r="BRP21" s="368"/>
      <c r="BRQ21" s="368"/>
      <c r="BRR21" s="368"/>
      <c r="BRS21" s="368"/>
      <c r="BSC21" s="368"/>
      <c r="BSD21" s="368"/>
      <c r="BSE21" s="368"/>
      <c r="BSF21" s="368"/>
      <c r="BSJ21" s="368"/>
      <c r="BSK21" s="368"/>
      <c r="CAU21" s="368"/>
      <c r="CAZ21" s="368"/>
      <c r="CBA21" s="368"/>
      <c r="CBB21" s="368"/>
      <c r="CBC21" s="368"/>
      <c r="CBD21" s="368"/>
      <c r="CBE21" s="368"/>
      <c r="CBG21" s="368"/>
      <c r="CBH21" s="368"/>
      <c r="CBI21" s="368"/>
      <c r="CBK21" s="368"/>
      <c r="CBL21" s="368"/>
      <c r="CBM21" s="368"/>
      <c r="CBN21" s="368"/>
      <c r="CBO21" s="368"/>
      <c r="CBY21" s="368"/>
      <c r="CBZ21" s="368"/>
      <c r="CCA21" s="368"/>
      <c r="CCB21" s="368"/>
      <c r="CCF21" s="368"/>
      <c r="CCG21" s="368"/>
      <c r="CKQ21" s="368"/>
      <c r="CKV21" s="368"/>
      <c r="CKW21" s="368"/>
      <c r="CKX21" s="368"/>
      <c r="CKY21" s="368"/>
      <c r="CKZ21" s="368"/>
      <c r="CLA21" s="368"/>
      <c r="CLC21" s="368"/>
      <c r="CLD21" s="368"/>
      <c r="CLE21" s="368"/>
      <c r="CLG21" s="368"/>
      <c r="CLH21" s="368"/>
      <c r="CLI21" s="368"/>
      <c r="CLJ21" s="368"/>
      <c r="CLK21" s="368"/>
      <c r="CLU21" s="368"/>
      <c r="CLV21" s="368"/>
      <c r="CLW21" s="368"/>
      <c r="CLX21" s="368"/>
      <c r="CMB21" s="368"/>
      <c r="CMC21" s="368"/>
      <c r="CUM21" s="368"/>
      <c r="CUR21" s="368"/>
      <c r="CUS21" s="368"/>
      <c r="CUT21" s="368"/>
      <c r="CUU21" s="368"/>
      <c r="CUV21" s="368"/>
      <c r="CUW21" s="368"/>
      <c r="CUY21" s="368"/>
      <c r="CUZ21" s="368"/>
      <c r="CVA21" s="368"/>
      <c r="CVC21" s="368"/>
      <c r="CVD21" s="368"/>
      <c r="CVE21" s="368"/>
      <c r="CVF21" s="368"/>
      <c r="CVG21" s="368"/>
      <c r="CVQ21" s="368"/>
      <c r="CVR21" s="368"/>
      <c r="CVS21" s="368"/>
      <c r="CVT21" s="368"/>
      <c r="CVX21" s="368"/>
      <c r="CVY21" s="368"/>
      <c r="DEI21" s="368"/>
      <c r="DEN21" s="368"/>
      <c r="DEO21" s="368"/>
      <c r="DEP21" s="368"/>
      <c r="DEQ21" s="368"/>
      <c r="DER21" s="368"/>
      <c r="DES21" s="368"/>
      <c r="DEU21" s="368"/>
      <c r="DEV21" s="368"/>
      <c r="DEW21" s="368"/>
      <c r="DEY21" s="368"/>
      <c r="DEZ21" s="368"/>
      <c r="DFA21" s="368"/>
      <c r="DFB21" s="368"/>
      <c r="DFC21" s="368"/>
      <c r="DFM21" s="368"/>
      <c r="DFN21" s="368"/>
      <c r="DFO21" s="368"/>
      <c r="DFP21" s="368"/>
      <c r="DFT21" s="368"/>
      <c r="DFU21" s="368"/>
      <c r="DOE21" s="368"/>
      <c r="DOJ21" s="368"/>
      <c r="DOK21" s="368"/>
      <c r="DOL21" s="368"/>
      <c r="DOM21" s="368"/>
      <c r="DON21" s="368"/>
      <c r="DOO21" s="368"/>
      <c r="DOQ21" s="368"/>
      <c r="DOR21" s="368"/>
      <c r="DOS21" s="368"/>
      <c r="DOU21" s="368"/>
      <c r="DOV21" s="368"/>
      <c r="DOW21" s="368"/>
      <c r="DOX21" s="368"/>
      <c r="DOY21" s="368"/>
      <c r="DPI21" s="368"/>
      <c r="DPJ21" s="368"/>
      <c r="DPK21" s="368"/>
      <c r="DPL21" s="368"/>
      <c r="DPP21" s="368"/>
      <c r="DPQ21" s="368"/>
      <c r="DYA21" s="368"/>
      <c r="DYF21" s="368"/>
      <c r="DYG21" s="368"/>
      <c r="DYH21" s="368"/>
      <c r="DYI21" s="368"/>
      <c r="DYJ21" s="368"/>
      <c r="DYK21" s="368"/>
      <c r="DYM21" s="368"/>
      <c r="DYN21" s="368"/>
      <c r="DYO21" s="368"/>
      <c r="DYQ21" s="368"/>
      <c r="DYR21" s="368"/>
      <c r="DYS21" s="368"/>
      <c r="DYT21" s="368"/>
      <c r="DYU21" s="368"/>
      <c r="DZE21" s="368"/>
      <c r="DZF21" s="368"/>
      <c r="DZG21" s="368"/>
      <c r="DZH21" s="368"/>
      <c r="DZL21" s="368"/>
      <c r="DZM21" s="368"/>
      <c r="EHW21" s="368"/>
      <c r="EIB21" s="368"/>
      <c r="EIC21" s="368"/>
      <c r="EID21" s="368"/>
      <c r="EIE21" s="368"/>
      <c r="EIF21" s="368"/>
      <c r="EIG21" s="368"/>
      <c r="EII21" s="368"/>
      <c r="EIJ21" s="368"/>
      <c r="EIK21" s="368"/>
      <c r="EIM21" s="368"/>
      <c r="EIN21" s="368"/>
      <c r="EIO21" s="368"/>
      <c r="EIP21" s="368"/>
      <c r="EIQ21" s="368"/>
      <c r="EJA21" s="368"/>
      <c r="EJB21" s="368"/>
      <c r="EJC21" s="368"/>
      <c r="EJD21" s="368"/>
      <c r="EJH21" s="368"/>
      <c r="EJI21" s="368"/>
      <c r="ERS21" s="368"/>
      <c r="ERX21" s="368"/>
      <c r="ERY21" s="368"/>
      <c r="ERZ21" s="368"/>
      <c r="ESA21" s="368"/>
      <c r="ESB21" s="368"/>
      <c r="ESC21" s="368"/>
      <c r="ESE21" s="368"/>
      <c r="ESF21" s="368"/>
      <c r="ESG21" s="368"/>
      <c r="ESI21" s="368"/>
      <c r="ESJ21" s="368"/>
      <c r="ESK21" s="368"/>
      <c r="ESL21" s="368"/>
      <c r="ESM21" s="368"/>
      <c r="ESW21" s="368"/>
      <c r="ESX21" s="368"/>
      <c r="ESY21" s="368"/>
      <c r="ESZ21" s="368"/>
      <c r="ETD21" s="368"/>
      <c r="ETE21" s="368"/>
      <c r="FBO21" s="368"/>
      <c r="FBT21" s="368"/>
      <c r="FBU21" s="368"/>
      <c r="FBV21" s="368"/>
      <c r="FBW21" s="368"/>
      <c r="FBX21" s="368"/>
      <c r="FBY21" s="368"/>
      <c r="FCA21" s="368"/>
      <c r="FCB21" s="368"/>
      <c r="FCC21" s="368"/>
      <c r="FCE21" s="368"/>
      <c r="FCF21" s="368"/>
      <c r="FCG21" s="368"/>
      <c r="FCH21" s="368"/>
      <c r="FCI21" s="368"/>
      <c r="FCS21" s="368"/>
      <c r="FCT21" s="368"/>
      <c r="FCU21" s="368"/>
      <c r="FCV21" s="368"/>
      <c r="FCZ21" s="368"/>
      <c r="FDA21" s="368"/>
      <c r="FLK21" s="368"/>
      <c r="FLP21" s="368"/>
      <c r="FLQ21" s="368"/>
      <c r="FLR21" s="368"/>
      <c r="FLS21" s="368"/>
      <c r="FLT21" s="368"/>
      <c r="FLU21" s="368"/>
      <c r="FLW21" s="368"/>
      <c r="FLX21" s="368"/>
      <c r="FLY21" s="368"/>
      <c r="FMA21" s="368"/>
      <c r="FMB21" s="368"/>
      <c r="FMC21" s="368"/>
      <c r="FMD21" s="368"/>
      <c r="FME21" s="368"/>
      <c r="FMO21" s="368"/>
      <c r="FMP21" s="368"/>
      <c r="FMQ21" s="368"/>
      <c r="FMR21" s="368"/>
      <c r="FMV21" s="368"/>
      <c r="FMW21" s="368"/>
      <c r="FVG21" s="368"/>
      <c r="FVL21" s="368"/>
      <c r="FVM21" s="368"/>
      <c r="FVN21" s="368"/>
      <c r="FVO21" s="368"/>
      <c r="FVP21" s="368"/>
      <c r="FVQ21" s="368"/>
      <c r="FVS21" s="368"/>
      <c r="FVT21" s="368"/>
      <c r="FVU21" s="368"/>
      <c r="FVW21" s="368"/>
      <c r="FVX21" s="368"/>
      <c r="FVY21" s="368"/>
      <c r="FVZ21" s="368"/>
      <c r="FWA21" s="368"/>
      <c r="FWK21" s="368"/>
      <c r="FWL21" s="368"/>
      <c r="FWM21" s="368"/>
      <c r="FWN21" s="368"/>
      <c r="FWR21" s="368"/>
      <c r="FWS21" s="368"/>
      <c r="GFC21" s="368"/>
      <c r="GFH21" s="368"/>
      <c r="GFI21" s="368"/>
      <c r="GFJ21" s="368"/>
      <c r="GFK21" s="368"/>
      <c r="GFL21" s="368"/>
      <c r="GFM21" s="368"/>
      <c r="GFO21" s="368"/>
      <c r="GFP21" s="368"/>
      <c r="GFQ21" s="368"/>
      <c r="GFS21" s="368"/>
      <c r="GFT21" s="368"/>
      <c r="GFU21" s="368"/>
      <c r="GFV21" s="368"/>
      <c r="GFW21" s="368"/>
      <c r="GGG21" s="368"/>
      <c r="GGH21" s="368"/>
      <c r="GGI21" s="368"/>
      <c r="GGJ21" s="368"/>
      <c r="GGN21" s="368"/>
      <c r="GGO21" s="368"/>
      <c r="GOY21" s="368"/>
      <c r="GPD21" s="368"/>
      <c r="GPE21" s="368"/>
      <c r="GPF21" s="368"/>
      <c r="GPG21" s="368"/>
      <c r="GPH21" s="368"/>
      <c r="GPI21" s="368"/>
      <c r="GPK21" s="368"/>
      <c r="GPL21" s="368"/>
      <c r="GPM21" s="368"/>
      <c r="GPO21" s="368"/>
      <c r="GPP21" s="368"/>
      <c r="GPQ21" s="368"/>
      <c r="GPR21" s="368"/>
      <c r="GPS21" s="368"/>
      <c r="GQC21" s="368"/>
      <c r="GQD21" s="368"/>
      <c r="GQE21" s="368"/>
      <c r="GQF21" s="368"/>
      <c r="GQJ21" s="368"/>
      <c r="GQK21" s="368"/>
      <c r="GYU21" s="368"/>
      <c r="GYZ21" s="368"/>
      <c r="GZA21" s="368"/>
      <c r="GZB21" s="368"/>
      <c r="GZC21" s="368"/>
      <c r="GZD21" s="368"/>
      <c r="GZE21" s="368"/>
      <c r="GZG21" s="368"/>
      <c r="GZH21" s="368"/>
      <c r="GZI21" s="368"/>
      <c r="GZK21" s="368"/>
      <c r="GZL21" s="368"/>
      <c r="GZM21" s="368"/>
      <c r="GZN21" s="368"/>
      <c r="GZO21" s="368"/>
      <c r="GZY21" s="368"/>
      <c r="GZZ21" s="368"/>
      <c r="HAA21" s="368"/>
      <c r="HAB21" s="368"/>
      <c r="HAF21" s="368"/>
      <c r="HAG21" s="368"/>
      <c r="HIQ21" s="368"/>
      <c r="HIV21" s="368"/>
      <c r="HIW21" s="368"/>
      <c r="HIX21" s="368"/>
      <c r="HIY21" s="368"/>
      <c r="HIZ21" s="368"/>
      <c r="HJA21" s="368"/>
      <c r="HJC21" s="368"/>
      <c r="HJD21" s="368"/>
      <c r="HJE21" s="368"/>
      <c r="HJG21" s="368"/>
      <c r="HJH21" s="368"/>
      <c r="HJI21" s="368"/>
      <c r="HJJ21" s="368"/>
      <c r="HJK21" s="368"/>
      <c r="HJU21" s="368"/>
      <c r="HJV21" s="368"/>
      <c r="HJW21" s="368"/>
      <c r="HJX21" s="368"/>
      <c r="HKB21" s="368"/>
      <c r="HKC21" s="368"/>
      <c r="HSM21" s="368"/>
      <c r="HSR21" s="368"/>
      <c r="HSS21" s="368"/>
      <c r="HST21" s="368"/>
      <c r="HSU21" s="368"/>
      <c r="HSV21" s="368"/>
      <c r="HSW21" s="368"/>
      <c r="HSY21" s="368"/>
      <c r="HSZ21" s="368"/>
      <c r="HTA21" s="368"/>
      <c r="HTC21" s="368"/>
      <c r="HTD21" s="368"/>
      <c r="HTE21" s="368"/>
      <c r="HTF21" s="368"/>
      <c r="HTG21" s="368"/>
      <c r="HTQ21" s="368"/>
      <c r="HTR21" s="368"/>
      <c r="HTS21" s="368"/>
      <c r="HTT21" s="368"/>
      <c r="HTX21" s="368"/>
      <c r="HTY21" s="368"/>
      <c r="ICI21" s="368"/>
      <c r="ICN21" s="368"/>
      <c r="ICO21" s="368"/>
      <c r="ICP21" s="368"/>
      <c r="ICQ21" s="368"/>
      <c r="ICR21" s="368"/>
      <c r="ICS21" s="368"/>
      <c r="ICU21" s="368"/>
      <c r="ICV21" s="368"/>
      <c r="ICW21" s="368"/>
      <c r="ICY21" s="368"/>
      <c r="ICZ21" s="368"/>
      <c r="IDA21" s="368"/>
      <c r="IDB21" s="368"/>
      <c r="IDC21" s="368"/>
      <c r="IDM21" s="368"/>
      <c r="IDN21" s="368"/>
      <c r="IDO21" s="368"/>
      <c r="IDP21" s="368"/>
      <c r="IDT21" s="368"/>
      <c r="IDU21" s="368"/>
      <c r="IME21" s="368"/>
      <c r="IMJ21" s="368"/>
      <c r="IMK21" s="368"/>
      <c r="IML21" s="368"/>
      <c r="IMM21" s="368"/>
      <c r="IMN21" s="368"/>
      <c r="IMO21" s="368"/>
      <c r="IMQ21" s="368"/>
      <c r="IMR21" s="368"/>
      <c r="IMS21" s="368"/>
      <c r="IMU21" s="368"/>
      <c r="IMV21" s="368"/>
      <c r="IMW21" s="368"/>
      <c r="IMX21" s="368"/>
      <c r="IMY21" s="368"/>
      <c r="INI21" s="368"/>
      <c r="INJ21" s="368"/>
      <c r="INK21" s="368"/>
      <c r="INL21" s="368"/>
      <c r="INP21" s="368"/>
      <c r="INQ21" s="368"/>
      <c r="IWA21" s="368"/>
      <c r="IWF21" s="368"/>
      <c r="IWG21" s="368"/>
      <c r="IWH21" s="368"/>
      <c r="IWI21" s="368"/>
      <c r="IWJ21" s="368"/>
      <c r="IWK21" s="368"/>
      <c r="IWM21" s="368"/>
      <c r="IWN21" s="368"/>
      <c r="IWO21" s="368"/>
      <c r="IWQ21" s="368"/>
      <c r="IWR21" s="368"/>
      <c r="IWS21" s="368"/>
      <c r="IWT21" s="368"/>
      <c r="IWU21" s="368"/>
      <c r="IXE21" s="368"/>
      <c r="IXF21" s="368"/>
      <c r="IXG21" s="368"/>
      <c r="IXH21" s="368"/>
      <c r="IXL21" s="368"/>
      <c r="IXM21" s="368"/>
      <c r="JFW21" s="368"/>
      <c r="JGB21" s="368"/>
      <c r="JGC21" s="368"/>
      <c r="JGD21" s="368"/>
      <c r="JGE21" s="368"/>
      <c r="JGF21" s="368"/>
      <c r="JGG21" s="368"/>
      <c r="JGI21" s="368"/>
      <c r="JGJ21" s="368"/>
      <c r="JGK21" s="368"/>
      <c r="JGM21" s="368"/>
      <c r="JGN21" s="368"/>
      <c r="JGO21" s="368"/>
      <c r="JGP21" s="368"/>
      <c r="JGQ21" s="368"/>
      <c r="JHA21" s="368"/>
      <c r="JHB21" s="368"/>
      <c r="JHC21" s="368"/>
      <c r="JHD21" s="368"/>
      <c r="JHH21" s="368"/>
      <c r="JHI21" s="368"/>
      <c r="JPS21" s="368"/>
      <c r="JPX21" s="368"/>
      <c r="JPY21" s="368"/>
      <c r="JPZ21" s="368"/>
      <c r="JQA21" s="368"/>
      <c r="JQB21" s="368"/>
      <c r="JQC21" s="368"/>
      <c r="JQE21" s="368"/>
      <c r="JQF21" s="368"/>
      <c r="JQG21" s="368"/>
      <c r="JQI21" s="368"/>
      <c r="JQJ21" s="368"/>
      <c r="JQK21" s="368"/>
      <c r="JQL21" s="368"/>
      <c r="JQM21" s="368"/>
      <c r="JQW21" s="368"/>
      <c r="JQX21" s="368"/>
      <c r="JQY21" s="368"/>
      <c r="JQZ21" s="368"/>
      <c r="JRD21" s="368"/>
      <c r="JRE21" s="368"/>
      <c r="JZO21" s="368"/>
      <c r="JZT21" s="368"/>
      <c r="JZU21" s="368"/>
      <c r="JZV21" s="368"/>
      <c r="JZW21" s="368"/>
      <c r="JZX21" s="368"/>
      <c r="JZY21" s="368"/>
      <c r="KAA21" s="368"/>
      <c r="KAB21" s="368"/>
      <c r="KAC21" s="368"/>
      <c r="KAE21" s="368"/>
      <c r="KAF21" s="368"/>
      <c r="KAG21" s="368"/>
      <c r="KAH21" s="368"/>
      <c r="KAI21" s="368"/>
      <c r="KAS21" s="368"/>
      <c r="KAT21" s="368"/>
      <c r="KAU21" s="368"/>
      <c r="KAV21" s="368"/>
      <c r="KAZ21" s="368"/>
      <c r="KBA21" s="368"/>
      <c r="KJK21" s="368"/>
      <c r="KJP21" s="368"/>
      <c r="KJQ21" s="368"/>
      <c r="KJR21" s="368"/>
      <c r="KJS21" s="368"/>
      <c r="KJT21" s="368"/>
      <c r="KJU21" s="368"/>
      <c r="KJW21" s="368"/>
      <c r="KJX21" s="368"/>
      <c r="KJY21" s="368"/>
      <c r="KKA21" s="368"/>
      <c r="KKB21" s="368"/>
      <c r="KKC21" s="368"/>
      <c r="KKD21" s="368"/>
      <c r="KKE21" s="368"/>
      <c r="KKO21" s="368"/>
      <c r="KKP21" s="368"/>
      <c r="KKQ21" s="368"/>
      <c r="KKR21" s="368"/>
      <c r="KKV21" s="368"/>
      <c r="KKW21" s="368"/>
      <c r="KTG21" s="368"/>
      <c r="KTL21" s="368"/>
      <c r="KTM21" s="368"/>
      <c r="KTN21" s="368"/>
      <c r="KTO21" s="368"/>
      <c r="KTP21" s="368"/>
      <c r="KTQ21" s="368"/>
      <c r="KTS21" s="368"/>
      <c r="KTT21" s="368"/>
      <c r="KTU21" s="368"/>
      <c r="KTW21" s="368"/>
      <c r="KTX21" s="368"/>
      <c r="KTY21" s="368"/>
      <c r="KTZ21" s="368"/>
      <c r="KUA21" s="368"/>
      <c r="KUK21" s="368"/>
      <c r="KUL21" s="368"/>
      <c r="KUM21" s="368"/>
      <c r="KUN21" s="368"/>
      <c r="KUR21" s="368"/>
      <c r="KUS21" s="368"/>
      <c r="LDC21" s="368"/>
      <c r="LDH21" s="368"/>
      <c r="LDI21" s="368"/>
      <c r="LDJ21" s="368"/>
      <c r="LDK21" s="368"/>
      <c r="LDL21" s="368"/>
      <c r="LDM21" s="368"/>
      <c r="LDO21" s="368"/>
      <c r="LDP21" s="368"/>
      <c r="LDQ21" s="368"/>
      <c r="LDS21" s="368"/>
      <c r="LDT21" s="368"/>
      <c r="LDU21" s="368"/>
      <c r="LDV21" s="368"/>
      <c r="LDW21" s="368"/>
      <c r="LEG21" s="368"/>
      <c r="LEH21" s="368"/>
      <c r="LEI21" s="368"/>
      <c r="LEJ21" s="368"/>
      <c r="LEN21" s="368"/>
      <c r="LEO21" s="368"/>
      <c r="LMY21" s="368"/>
      <c r="LND21" s="368"/>
      <c r="LNE21" s="368"/>
      <c r="LNF21" s="368"/>
      <c r="LNG21" s="368"/>
      <c r="LNH21" s="368"/>
      <c r="LNI21" s="368"/>
      <c r="LNK21" s="368"/>
      <c r="LNL21" s="368"/>
      <c r="LNM21" s="368"/>
      <c r="LNO21" s="368"/>
      <c r="LNP21" s="368"/>
      <c r="LNQ21" s="368"/>
      <c r="LNR21" s="368"/>
      <c r="LNS21" s="368"/>
      <c r="LOC21" s="368"/>
      <c r="LOD21" s="368"/>
      <c r="LOE21" s="368"/>
      <c r="LOF21" s="368"/>
      <c r="LOJ21" s="368"/>
      <c r="LOK21" s="368"/>
      <c r="LWU21" s="368"/>
      <c r="LWZ21" s="368"/>
      <c r="LXA21" s="368"/>
      <c r="LXB21" s="368"/>
      <c r="LXC21" s="368"/>
      <c r="LXD21" s="368"/>
      <c r="LXE21" s="368"/>
      <c r="LXG21" s="368"/>
      <c r="LXH21" s="368"/>
      <c r="LXI21" s="368"/>
      <c r="LXK21" s="368"/>
      <c r="LXL21" s="368"/>
      <c r="LXM21" s="368"/>
      <c r="LXN21" s="368"/>
      <c r="LXO21" s="368"/>
      <c r="LXY21" s="368"/>
      <c r="LXZ21" s="368"/>
      <c r="LYA21" s="368"/>
      <c r="LYB21" s="368"/>
      <c r="LYF21" s="368"/>
      <c r="LYG21" s="368"/>
      <c r="MGQ21" s="368"/>
      <c r="MGV21" s="368"/>
      <c r="MGW21" s="368"/>
      <c r="MGX21" s="368"/>
      <c r="MGY21" s="368"/>
      <c r="MGZ21" s="368"/>
      <c r="MHA21" s="368"/>
      <c r="MHC21" s="368"/>
      <c r="MHD21" s="368"/>
      <c r="MHE21" s="368"/>
      <c r="MHG21" s="368"/>
      <c r="MHH21" s="368"/>
      <c r="MHI21" s="368"/>
      <c r="MHJ21" s="368"/>
      <c r="MHK21" s="368"/>
      <c r="MHU21" s="368"/>
      <c r="MHV21" s="368"/>
      <c r="MHW21" s="368"/>
      <c r="MHX21" s="368"/>
      <c r="MIB21" s="368"/>
      <c r="MIC21" s="368"/>
      <c r="MQM21" s="368"/>
      <c r="MQR21" s="368"/>
      <c r="MQS21" s="368"/>
      <c r="MQT21" s="368"/>
      <c r="MQU21" s="368"/>
      <c r="MQV21" s="368"/>
      <c r="MQW21" s="368"/>
      <c r="MQY21" s="368"/>
      <c r="MQZ21" s="368"/>
      <c r="MRA21" s="368"/>
      <c r="MRC21" s="368"/>
      <c r="MRD21" s="368"/>
      <c r="MRE21" s="368"/>
      <c r="MRF21" s="368"/>
      <c r="MRG21" s="368"/>
      <c r="MRQ21" s="368"/>
      <c r="MRR21" s="368"/>
      <c r="MRS21" s="368"/>
      <c r="MRT21" s="368"/>
      <c r="MRX21" s="368"/>
      <c r="MRY21" s="368"/>
      <c r="NAI21" s="368"/>
      <c r="NAN21" s="368"/>
      <c r="NAO21" s="368"/>
      <c r="NAP21" s="368"/>
      <c r="NAQ21" s="368"/>
      <c r="NAR21" s="368"/>
      <c r="NAS21" s="368"/>
      <c r="NAU21" s="368"/>
      <c r="NAV21" s="368"/>
      <c r="NAW21" s="368"/>
      <c r="NAY21" s="368"/>
      <c r="NAZ21" s="368"/>
      <c r="NBA21" s="368"/>
      <c r="NBB21" s="368"/>
      <c r="NBC21" s="368"/>
      <c r="NBM21" s="368"/>
      <c r="NBN21" s="368"/>
      <c r="NBO21" s="368"/>
      <c r="NBP21" s="368"/>
      <c r="NBT21" s="368"/>
      <c r="NBU21" s="368"/>
      <c r="NKE21" s="368"/>
      <c r="NKJ21" s="368"/>
      <c r="NKK21" s="368"/>
      <c r="NKL21" s="368"/>
      <c r="NKM21" s="368"/>
      <c r="NKN21" s="368"/>
      <c r="NKO21" s="368"/>
      <c r="NKQ21" s="368"/>
      <c r="NKR21" s="368"/>
      <c r="NKS21" s="368"/>
      <c r="NKU21" s="368"/>
      <c r="NKV21" s="368"/>
      <c r="NKW21" s="368"/>
      <c r="NKX21" s="368"/>
      <c r="NKY21" s="368"/>
      <c r="NLI21" s="368"/>
      <c r="NLJ21" s="368"/>
      <c r="NLK21" s="368"/>
      <c r="NLL21" s="368"/>
      <c r="NLP21" s="368"/>
      <c r="NLQ21" s="368"/>
      <c r="NUA21" s="368"/>
      <c r="NUF21" s="368"/>
      <c r="NUG21" s="368"/>
      <c r="NUH21" s="368"/>
      <c r="NUI21" s="368"/>
      <c r="NUJ21" s="368"/>
      <c r="NUK21" s="368"/>
      <c r="NUM21" s="368"/>
      <c r="NUN21" s="368"/>
      <c r="NUO21" s="368"/>
      <c r="NUQ21" s="368"/>
      <c r="NUR21" s="368"/>
      <c r="NUS21" s="368"/>
      <c r="NUT21" s="368"/>
      <c r="NUU21" s="368"/>
      <c r="NVE21" s="368"/>
      <c r="NVF21" s="368"/>
      <c r="NVG21" s="368"/>
      <c r="NVH21" s="368"/>
      <c r="NVL21" s="368"/>
      <c r="NVM21" s="368"/>
      <c r="ODW21" s="368"/>
      <c r="OEB21" s="368"/>
      <c r="OEC21" s="368"/>
      <c r="OED21" s="368"/>
      <c r="OEE21" s="368"/>
      <c r="OEF21" s="368"/>
      <c r="OEG21" s="368"/>
      <c r="OEI21" s="368"/>
      <c r="OEJ21" s="368"/>
      <c r="OEK21" s="368"/>
      <c r="OEM21" s="368"/>
      <c r="OEN21" s="368"/>
      <c r="OEO21" s="368"/>
      <c r="OEP21" s="368"/>
      <c r="OEQ21" s="368"/>
      <c r="OFA21" s="368"/>
      <c r="OFB21" s="368"/>
      <c r="OFC21" s="368"/>
      <c r="OFD21" s="368"/>
      <c r="OFH21" s="368"/>
      <c r="OFI21" s="368"/>
      <c r="ONS21" s="368"/>
      <c r="ONX21" s="368"/>
      <c r="ONY21" s="368"/>
      <c r="ONZ21" s="368"/>
      <c r="OOA21" s="368"/>
      <c r="OOB21" s="368"/>
      <c r="OOC21" s="368"/>
      <c r="OOE21" s="368"/>
      <c r="OOF21" s="368"/>
      <c r="OOG21" s="368"/>
      <c r="OOI21" s="368"/>
      <c r="OOJ21" s="368"/>
      <c r="OOK21" s="368"/>
      <c r="OOL21" s="368"/>
      <c r="OOM21" s="368"/>
      <c r="OOW21" s="368"/>
      <c r="OOX21" s="368"/>
      <c r="OOY21" s="368"/>
      <c r="OOZ21" s="368"/>
      <c r="OPD21" s="368"/>
      <c r="OPE21" s="368"/>
      <c r="OXO21" s="368"/>
      <c r="OXT21" s="368"/>
      <c r="OXU21" s="368"/>
      <c r="OXV21" s="368"/>
      <c r="OXW21" s="368"/>
      <c r="OXX21" s="368"/>
      <c r="OXY21" s="368"/>
      <c r="OYA21" s="368"/>
      <c r="OYB21" s="368"/>
      <c r="OYC21" s="368"/>
      <c r="OYE21" s="368"/>
      <c r="OYF21" s="368"/>
      <c r="OYG21" s="368"/>
      <c r="OYH21" s="368"/>
      <c r="OYI21" s="368"/>
      <c r="OYS21" s="368"/>
      <c r="OYT21" s="368"/>
      <c r="OYU21" s="368"/>
      <c r="OYV21" s="368"/>
      <c r="OYZ21" s="368"/>
      <c r="OZA21" s="368"/>
      <c r="PHK21" s="368"/>
      <c r="PHP21" s="368"/>
      <c r="PHQ21" s="368"/>
      <c r="PHR21" s="368"/>
      <c r="PHS21" s="368"/>
      <c r="PHT21" s="368"/>
      <c r="PHU21" s="368"/>
      <c r="PHW21" s="368"/>
      <c r="PHX21" s="368"/>
      <c r="PHY21" s="368"/>
      <c r="PIA21" s="368"/>
      <c r="PIB21" s="368"/>
      <c r="PIC21" s="368"/>
      <c r="PID21" s="368"/>
      <c r="PIE21" s="368"/>
      <c r="PIO21" s="368"/>
      <c r="PIP21" s="368"/>
      <c r="PIQ21" s="368"/>
      <c r="PIR21" s="368"/>
      <c r="PIV21" s="368"/>
      <c r="PIW21" s="368"/>
      <c r="PRG21" s="368"/>
      <c r="PRL21" s="368"/>
      <c r="PRM21" s="368"/>
      <c r="PRN21" s="368"/>
      <c r="PRO21" s="368"/>
      <c r="PRP21" s="368"/>
      <c r="PRQ21" s="368"/>
      <c r="PRS21" s="368"/>
      <c r="PRT21" s="368"/>
      <c r="PRU21" s="368"/>
      <c r="PRW21" s="368"/>
      <c r="PRX21" s="368"/>
      <c r="PRY21" s="368"/>
      <c r="PRZ21" s="368"/>
      <c r="PSA21" s="368"/>
      <c r="PSK21" s="368"/>
      <c r="PSL21" s="368"/>
      <c r="PSM21" s="368"/>
      <c r="PSN21" s="368"/>
      <c r="PSR21" s="368"/>
      <c r="PSS21" s="368"/>
      <c r="QBC21" s="368"/>
      <c r="QBH21" s="368"/>
      <c r="QBI21" s="368"/>
      <c r="QBJ21" s="368"/>
      <c r="QBK21" s="368"/>
      <c r="QBL21" s="368"/>
      <c r="QBM21" s="368"/>
      <c r="QBO21" s="368"/>
      <c r="QBP21" s="368"/>
      <c r="QBQ21" s="368"/>
      <c r="QBS21" s="368"/>
      <c r="QBT21" s="368"/>
      <c r="QBU21" s="368"/>
      <c r="QBV21" s="368"/>
      <c r="QBW21" s="368"/>
      <c r="QCG21" s="368"/>
      <c r="QCH21" s="368"/>
      <c r="QCI21" s="368"/>
      <c r="QCJ21" s="368"/>
      <c r="QCN21" s="368"/>
      <c r="QCO21" s="368"/>
      <c r="QKY21" s="368"/>
      <c r="QLD21" s="368"/>
      <c r="QLE21" s="368"/>
      <c r="QLF21" s="368"/>
      <c r="QLG21" s="368"/>
      <c r="QLH21" s="368"/>
      <c r="QLI21" s="368"/>
      <c r="QLK21" s="368"/>
      <c r="QLL21" s="368"/>
      <c r="QLM21" s="368"/>
      <c r="QLO21" s="368"/>
      <c r="QLP21" s="368"/>
      <c r="QLQ21" s="368"/>
      <c r="QLR21" s="368"/>
      <c r="QLS21" s="368"/>
      <c r="QMC21" s="368"/>
      <c r="QMD21" s="368"/>
      <c r="QME21" s="368"/>
      <c r="QMF21" s="368"/>
      <c r="QMJ21" s="368"/>
      <c r="QMK21" s="368"/>
      <c r="QUU21" s="368"/>
      <c r="QUZ21" s="368"/>
      <c r="QVA21" s="368"/>
      <c r="QVB21" s="368"/>
      <c r="QVC21" s="368"/>
      <c r="QVD21" s="368"/>
      <c r="QVE21" s="368"/>
      <c r="QVG21" s="368"/>
      <c r="QVH21" s="368"/>
      <c r="QVI21" s="368"/>
      <c r="QVK21" s="368"/>
      <c r="QVL21" s="368"/>
      <c r="QVM21" s="368"/>
      <c r="QVN21" s="368"/>
      <c r="QVO21" s="368"/>
      <c r="QVY21" s="368"/>
      <c r="QVZ21" s="368"/>
      <c r="QWA21" s="368"/>
      <c r="QWB21" s="368"/>
      <c r="QWF21" s="368"/>
      <c r="QWG21" s="368"/>
      <c r="REQ21" s="368"/>
      <c r="REV21" s="368"/>
      <c r="REW21" s="368"/>
      <c r="REX21" s="368"/>
      <c r="REY21" s="368"/>
      <c r="REZ21" s="368"/>
      <c r="RFA21" s="368"/>
      <c r="RFC21" s="368"/>
      <c r="RFD21" s="368"/>
      <c r="RFE21" s="368"/>
      <c r="RFG21" s="368"/>
      <c r="RFH21" s="368"/>
      <c r="RFI21" s="368"/>
      <c r="RFJ21" s="368"/>
      <c r="RFK21" s="368"/>
      <c r="RFU21" s="368"/>
      <c r="RFV21" s="368"/>
      <c r="RFW21" s="368"/>
      <c r="RFX21" s="368"/>
      <c r="RGB21" s="368"/>
      <c r="RGC21" s="368"/>
      <c r="ROM21" s="368"/>
      <c r="ROR21" s="368"/>
      <c r="ROS21" s="368"/>
      <c r="ROT21" s="368"/>
      <c r="ROU21" s="368"/>
      <c r="ROV21" s="368"/>
      <c r="ROW21" s="368"/>
      <c r="ROY21" s="368"/>
      <c r="ROZ21" s="368"/>
      <c r="RPA21" s="368"/>
      <c r="RPC21" s="368"/>
      <c r="RPD21" s="368"/>
      <c r="RPE21" s="368"/>
      <c r="RPF21" s="368"/>
      <c r="RPG21" s="368"/>
      <c r="RPQ21" s="368"/>
      <c r="RPR21" s="368"/>
      <c r="RPS21" s="368"/>
      <c r="RPT21" s="368"/>
      <c r="RPX21" s="368"/>
      <c r="RPY21" s="368"/>
      <c r="RYI21" s="368"/>
      <c r="RYN21" s="368"/>
      <c r="RYO21" s="368"/>
      <c r="RYP21" s="368"/>
      <c r="RYQ21" s="368"/>
      <c r="RYR21" s="368"/>
      <c r="RYS21" s="368"/>
      <c r="RYU21" s="368"/>
      <c r="RYV21" s="368"/>
      <c r="RYW21" s="368"/>
      <c r="RYY21" s="368"/>
      <c r="RYZ21" s="368"/>
      <c r="RZA21" s="368"/>
      <c r="RZB21" s="368"/>
      <c r="RZC21" s="368"/>
      <c r="RZM21" s="368"/>
      <c r="RZN21" s="368"/>
      <c r="RZO21" s="368"/>
      <c r="RZP21" s="368"/>
      <c r="RZT21" s="368"/>
      <c r="RZU21" s="368"/>
      <c r="SIE21" s="368"/>
      <c r="SIJ21" s="368"/>
      <c r="SIK21" s="368"/>
      <c r="SIL21" s="368"/>
      <c r="SIM21" s="368"/>
      <c r="SIN21" s="368"/>
      <c r="SIO21" s="368"/>
      <c r="SIQ21" s="368"/>
      <c r="SIR21" s="368"/>
      <c r="SIS21" s="368"/>
      <c r="SIU21" s="368"/>
      <c r="SIV21" s="368"/>
      <c r="SIW21" s="368"/>
      <c r="SIX21" s="368"/>
      <c r="SIY21" s="368"/>
      <c r="SJI21" s="368"/>
      <c r="SJJ21" s="368"/>
      <c r="SJK21" s="368"/>
      <c r="SJL21" s="368"/>
      <c r="SJP21" s="368"/>
      <c r="SJQ21" s="368"/>
      <c r="SSA21" s="368"/>
      <c r="SSF21" s="368"/>
      <c r="SSG21" s="368"/>
      <c r="SSH21" s="368"/>
      <c r="SSI21" s="368"/>
      <c r="SSJ21" s="368"/>
      <c r="SSK21" s="368"/>
      <c r="SSM21" s="368"/>
      <c r="SSN21" s="368"/>
      <c r="SSO21" s="368"/>
      <c r="SSQ21" s="368"/>
      <c r="SSR21" s="368"/>
      <c r="SSS21" s="368"/>
      <c r="SST21" s="368"/>
      <c r="SSU21" s="368"/>
      <c r="STE21" s="368"/>
      <c r="STF21" s="368"/>
      <c r="STG21" s="368"/>
      <c r="STH21" s="368"/>
      <c r="STL21" s="368"/>
      <c r="STM21" s="368"/>
      <c r="TBW21" s="368"/>
      <c r="TCB21" s="368"/>
      <c r="TCC21" s="368"/>
      <c r="TCD21" s="368"/>
      <c r="TCE21" s="368"/>
      <c r="TCF21" s="368"/>
      <c r="TCG21" s="368"/>
      <c r="TCI21" s="368"/>
      <c r="TCJ21" s="368"/>
      <c r="TCK21" s="368"/>
      <c r="TCM21" s="368"/>
      <c r="TCN21" s="368"/>
      <c r="TCO21" s="368"/>
      <c r="TCP21" s="368"/>
      <c r="TCQ21" s="368"/>
      <c r="TDA21" s="368"/>
      <c r="TDB21" s="368"/>
      <c r="TDC21" s="368"/>
      <c r="TDD21" s="368"/>
      <c r="TDH21" s="368"/>
      <c r="TDI21" s="368"/>
      <c r="TLS21" s="368"/>
      <c r="TLX21" s="368"/>
      <c r="TLY21" s="368"/>
      <c r="TLZ21" s="368"/>
      <c r="TMA21" s="368"/>
      <c r="TMB21" s="368"/>
      <c r="TMC21" s="368"/>
      <c r="TME21" s="368"/>
      <c r="TMF21" s="368"/>
      <c r="TMG21" s="368"/>
      <c r="TMI21" s="368"/>
      <c r="TMJ21" s="368"/>
      <c r="TMK21" s="368"/>
      <c r="TML21" s="368"/>
      <c r="TMM21" s="368"/>
      <c r="TMW21" s="368"/>
      <c r="TMX21" s="368"/>
      <c r="TMY21" s="368"/>
      <c r="TMZ21" s="368"/>
      <c r="TND21" s="368"/>
      <c r="TNE21" s="368"/>
      <c r="TVO21" s="368"/>
      <c r="TVT21" s="368"/>
      <c r="TVU21" s="368"/>
      <c r="TVV21" s="368"/>
      <c r="TVW21" s="368"/>
      <c r="TVX21" s="368"/>
      <c r="TVY21" s="368"/>
      <c r="TWA21" s="368"/>
      <c r="TWB21" s="368"/>
      <c r="TWC21" s="368"/>
      <c r="TWE21" s="368"/>
      <c r="TWF21" s="368"/>
      <c r="TWG21" s="368"/>
      <c r="TWH21" s="368"/>
      <c r="TWI21" s="368"/>
      <c r="TWS21" s="368"/>
      <c r="TWT21" s="368"/>
      <c r="TWU21" s="368"/>
      <c r="TWV21" s="368"/>
      <c r="TWZ21" s="368"/>
      <c r="TXA21" s="368"/>
      <c r="UFK21" s="368"/>
      <c r="UFP21" s="368"/>
      <c r="UFQ21" s="368"/>
      <c r="UFR21" s="368"/>
      <c r="UFS21" s="368"/>
      <c r="UFT21" s="368"/>
      <c r="UFU21" s="368"/>
      <c r="UFW21" s="368"/>
      <c r="UFX21" s="368"/>
      <c r="UFY21" s="368"/>
      <c r="UGA21" s="368"/>
      <c r="UGB21" s="368"/>
      <c r="UGC21" s="368"/>
      <c r="UGD21" s="368"/>
      <c r="UGE21" s="368"/>
      <c r="UGO21" s="368"/>
      <c r="UGP21" s="368"/>
      <c r="UGQ21" s="368"/>
      <c r="UGR21" s="368"/>
      <c r="UGV21" s="368"/>
      <c r="UGW21" s="368"/>
      <c r="UPG21" s="368"/>
      <c r="UPL21" s="368"/>
      <c r="UPM21" s="368"/>
      <c r="UPN21" s="368"/>
      <c r="UPO21" s="368"/>
      <c r="UPP21" s="368"/>
      <c r="UPQ21" s="368"/>
      <c r="UPS21" s="368"/>
      <c r="UPT21" s="368"/>
      <c r="UPU21" s="368"/>
      <c r="UPW21" s="368"/>
      <c r="UPX21" s="368"/>
      <c r="UPY21" s="368"/>
      <c r="UPZ21" s="368"/>
      <c r="UQA21" s="368"/>
      <c r="UQK21" s="368"/>
      <c r="UQL21" s="368"/>
      <c r="UQM21" s="368"/>
      <c r="UQN21" s="368"/>
      <c r="UQR21" s="368"/>
      <c r="UQS21" s="368"/>
      <c r="UZC21" s="368"/>
      <c r="UZH21" s="368"/>
      <c r="UZI21" s="368"/>
      <c r="UZJ21" s="368"/>
      <c r="UZK21" s="368"/>
      <c r="UZL21" s="368"/>
      <c r="UZM21" s="368"/>
      <c r="UZO21" s="368"/>
      <c r="UZP21" s="368"/>
      <c r="UZQ21" s="368"/>
      <c r="UZS21" s="368"/>
      <c r="UZT21" s="368"/>
      <c r="UZU21" s="368"/>
      <c r="UZV21" s="368"/>
      <c r="UZW21" s="368"/>
      <c r="VAG21" s="368"/>
      <c r="VAH21" s="368"/>
      <c r="VAI21" s="368"/>
      <c r="VAJ21" s="368"/>
      <c r="VAN21" s="368"/>
      <c r="VAO21" s="368"/>
      <c r="VIY21" s="368"/>
      <c r="VJD21" s="368"/>
      <c r="VJE21" s="368"/>
      <c r="VJF21" s="368"/>
      <c r="VJG21" s="368"/>
      <c r="VJH21" s="368"/>
      <c r="VJI21" s="368"/>
      <c r="VJK21" s="368"/>
      <c r="VJL21" s="368"/>
      <c r="VJM21" s="368"/>
      <c r="VJO21" s="368"/>
      <c r="VJP21" s="368"/>
      <c r="VJQ21" s="368"/>
      <c r="VJR21" s="368"/>
      <c r="VJS21" s="368"/>
      <c r="VKC21" s="368"/>
      <c r="VKD21" s="368"/>
      <c r="VKE21" s="368"/>
      <c r="VKF21" s="368"/>
      <c r="VKJ21" s="368"/>
      <c r="VKK21" s="368"/>
      <c r="VSU21" s="368"/>
      <c r="VSZ21" s="368"/>
      <c r="VTA21" s="368"/>
      <c r="VTB21" s="368"/>
      <c r="VTC21" s="368"/>
      <c r="VTD21" s="368"/>
      <c r="VTE21" s="368"/>
      <c r="VTG21" s="368"/>
      <c r="VTH21" s="368"/>
      <c r="VTI21" s="368"/>
      <c r="VTK21" s="368"/>
      <c r="VTL21" s="368"/>
      <c r="VTM21" s="368"/>
      <c r="VTN21" s="368"/>
      <c r="VTO21" s="368"/>
      <c r="VTY21" s="368"/>
      <c r="VTZ21" s="368"/>
      <c r="VUA21" s="368"/>
      <c r="VUB21" s="368"/>
      <c r="VUF21" s="368"/>
      <c r="VUG21" s="368"/>
      <c r="WCQ21" s="368"/>
      <c r="WCV21" s="368"/>
      <c r="WCW21" s="368"/>
      <c r="WCX21" s="368"/>
      <c r="WCY21" s="368"/>
      <c r="WCZ21" s="368"/>
      <c r="WDA21" s="368"/>
      <c r="WDC21" s="368"/>
      <c r="WDD21" s="368"/>
      <c r="WDE21" s="368"/>
      <c r="WDG21" s="368"/>
      <c r="WDH21" s="368"/>
      <c r="WDI21" s="368"/>
      <c r="WDJ21" s="368"/>
      <c r="WDK21" s="368"/>
      <c r="WDU21" s="368"/>
      <c r="WDV21" s="368"/>
      <c r="WDW21" s="368"/>
      <c r="WDX21" s="368"/>
      <c r="WEB21" s="368"/>
      <c r="WEC21" s="368"/>
      <c r="WMM21" s="368"/>
      <c r="WMR21" s="368"/>
      <c r="WMS21" s="368"/>
      <c r="WMT21" s="368"/>
      <c r="WMU21" s="368"/>
      <c r="WMV21" s="368"/>
      <c r="WMW21" s="368"/>
      <c r="WMY21" s="368"/>
      <c r="WMZ21" s="368"/>
      <c r="WNA21" s="368"/>
      <c r="WNC21" s="368"/>
      <c r="WND21" s="368"/>
      <c r="WNE21" s="368"/>
      <c r="WNF21" s="368"/>
      <c r="WNG21" s="368"/>
      <c r="WNQ21" s="368"/>
      <c r="WNR21" s="368"/>
      <c r="WNS21" s="368"/>
      <c r="WNT21" s="368"/>
      <c r="WNX21" s="368"/>
      <c r="WNY21" s="368"/>
      <c r="WWI21" s="368"/>
      <c r="WWN21" s="368"/>
      <c r="WWO21" s="368"/>
      <c r="WWP21" s="368"/>
      <c r="WWQ21" s="368"/>
      <c r="WWR21" s="368"/>
      <c r="WWS21" s="368"/>
      <c r="WWU21" s="368"/>
      <c r="WWV21" s="368"/>
      <c r="WWW21" s="368"/>
      <c r="WWY21" s="368"/>
      <c r="WWZ21" s="368"/>
      <c r="WXA21" s="368"/>
      <c r="WXB21" s="368"/>
      <c r="WXC21" s="368"/>
      <c r="WXM21" s="368"/>
      <c r="WXN21" s="368"/>
      <c r="WXO21" s="368"/>
      <c r="WXP21" s="368"/>
      <c r="WXT21" s="368"/>
      <c r="WXU21" s="368"/>
    </row>
    <row r="22" spans="1:833 1051:1857 2075:2881 3099:3905 4123:4929 5147:5953 6171:6977 7195:8001 8219:9025 9243:10049 10267:11073 11291:12097 12315:13121 13339:14145 14363:15169 15387:16193" s="210" customFormat="1" ht="39.950000000000003" customHeight="1">
      <c r="A22" s="438" t="s">
        <v>222</v>
      </c>
      <c r="B22" s="439"/>
      <c r="C22" s="440"/>
      <c r="D22" s="209">
        <f t="shared" ref="D22:AI22" si="170">SUM(D9:D21)</f>
        <v>2704</v>
      </c>
      <c r="E22" s="209">
        <f t="shared" si="170"/>
        <v>2048</v>
      </c>
      <c r="F22" s="209">
        <f t="shared" si="170"/>
        <v>0</v>
      </c>
      <c r="G22" s="209">
        <f t="shared" si="170"/>
        <v>0</v>
      </c>
      <c r="H22" s="217">
        <f t="shared" si="170"/>
        <v>13.5</v>
      </c>
      <c r="I22" s="209">
        <f t="shared" si="170"/>
        <v>0</v>
      </c>
      <c r="J22" s="217">
        <f t="shared" si="170"/>
        <v>1.5</v>
      </c>
      <c r="K22" s="209">
        <f t="shared" si="170"/>
        <v>0</v>
      </c>
      <c r="L22" s="209">
        <f t="shared" si="170"/>
        <v>0</v>
      </c>
      <c r="M22" s="209">
        <f t="shared" si="170"/>
        <v>0</v>
      </c>
      <c r="N22" s="209">
        <f t="shared" si="170"/>
        <v>0</v>
      </c>
      <c r="O22" s="209">
        <f t="shared" si="170"/>
        <v>0</v>
      </c>
      <c r="P22" s="209">
        <f t="shared" si="170"/>
        <v>0</v>
      </c>
      <c r="Q22" s="209">
        <f t="shared" si="170"/>
        <v>63153000</v>
      </c>
      <c r="R22" s="209">
        <f t="shared" si="170"/>
        <v>6294000</v>
      </c>
      <c r="S22" s="209">
        <f t="shared" si="170"/>
        <v>0</v>
      </c>
      <c r="T22" s="209">
        <f t="shared" si="170"/>
        <v>6300000</v>
      </c>
      <c r="U22" s="209">
        <f t="shared" si="170"/>
        <v>7100000</v>
      </c>
      <c r="V22" s="209">
        <f t="shared" si="170"/>
        <v>6400000</v>
      </c>
      <c r="W22" s="209">
        <f t="shared" si="170"/>
        <v>9900000</v>
      </c>
      <c r="X22" s="209">
        <f t="shared" si="170"/>
        <v>8700000</v>
      </c>
      <c r="Y22" s="209">
        <f t="shared" si="170"/>
        <v>8700000</v>
      </c>
      <c r="Z22" s="209">
        <f t="shared" si="170"/>
        <v>8700000</v>
      </c>
      <c r="AA22" s="209">
        <f t="shared" si="170"/>
        <v>0</v>
      </c>
      <c r="AB22" s="209">
        <f t="shared" si="170"/>
        <v>120000</v>
      </c>
      <c r="AC22" s="209">
        <f t="shared" si="170"/>
        <v>5500000</v>
      </c>
      <c r="AD22" s="209">
        <f t="shared" si="170"/>
        <v>0</v>
      </c>
      <c r="AE22" s="209">
        <f t="shared" si="170"/>
        <v>100000</v>
      </c>
      <c r="AF22" s="209">
        <f t="shared" si="170"/>
        <v>0</v>
      </c>
      <c r="AG22" s="209">
        <f t="shared" si="170"/>
        <v>0</v>
      </c>
      <c r="AH22" s="209">
        <f t="shared" si="170"/>
        <v>29520000</v>
      </c>
      <c r="AI22" s="209">
        <f t="shared" si="170"/>
        <v>75747000</v>
      </c>
      <c r="AJ22" s="209">
        <f t="shared" ref="AJ22:BN22" si="171">SUM(AJ9:AJ21)</f>
        <v>364168.26923076925</v>
      </c>
      <c r="AK22" s="209">
        <f t="shared" si="171"/>
        <v>57892846.15384616</v>
      </c>
      <c r="AL22" s="209">
        <f t="shared" si="171"/>
        <v>612176.68269230775</v>
      </c>
      <c r="AM22" s="209">
        <f t="shared" si="171"/>
        <v>0</v>
      </c>
      <c r="AN22" s="209">
        <f t="shared" si="171"/>
        <v>84807.692307692312</v>
      </c>
      <c r="AO22" s="209">
        <f t="shared" si="171"/>
        <v>0</v>
      </c>
      <c r="AP22" s="209">
        <f t="shared" si="171"/>
        <v>0</v>
      </c>
      <c r="AQ22" s="209">
        <f t="shared" si="171"/>
        <v>0</v>
      </c>
      <c r="AR22" s="209">
        <f t="shared" si="171"/>
        <v>0</v>
      </c>
      <c r="AS22" s="209">
        <f t="shared" si="171"/>
        <v>0</v>
      </c>
      <c r="AT22" s="209">
        <f t="shared" si="171"/>
        <v>0</v>
      </c>
      <c r="AU22" s="209">
        <f t="shared" si="171"/>
        <v>696984.375</v>
      </c>
      <c r="AV22" s="209">
        <f>SUM(AV9:AV21)</f>
        <v>88109830.52884616</v>
      </c>
      <c r="AW22" s="209">
        <f t="shared" si="171"/>
        <v>64743000</v>
      </c>
      <c r="AX22" s="209">
        <f t="shared" si="171"/>
        <v>11330025</v>
      </c>
      <c r="AY22" s="209">
        <f t="shared" si="171"/>
        <v>1942290</v>
      </c>
      <c r="AZ22" s="209">
        <f t="shared" si="171"/>
        <v>647430</v>
      </c>
      <c r="BA22" s="209">
        <f t="shared" si="171"/>
        <v>1294860</v>
      </c>
      <c r="BB22" s="209">
        <f t="shared" si="171"/>
        <v>15214605</v>
      </c>
      <c r="BC22" s="209">
        <f t="shared" si="171"/>
        <v>5179440</v>
      </c>
      <c r="BD22" s="209">
        <f t="shared" si="171"/>
        <v>971145</v>
      </c>
      <c r="BE22" s="209">
        <f t="shared" si="171"/>
        <v>647430</v>
      </c>
      <c r="BF22" s="209">
        <f t="shared" si="171"/>
        <v>6798015</v>
      </c>
      <c r="BG22" s="209">
        <f t="shared" si="171"/>
        <v>143000001</v>
      </c>
      <c r="BH22" s="209">
        <f t="shared" si="171"/>
        <v>2</v>
      </c>
      <c r="BI22" s="209">
        <f t="shared" si="171"/>
        <v>8800000</v>
      </c>
      <c r="BJ22" s="209">
        <f t="shared" si="171"/>
        <v>6400000</v>
      </c>
      <c r="BK22" s="209">
        <f t="shared" si="171"/>
        <v>81463367.788461521</v>
      </c>
      <c r="BL22" s="209">
        <f t="shared" si="171"/>
        <v>0</v>
      </c>
      <c r="BM22" s="209">
        <f t="shared" si="171"/>
        <v>0</v>
      </c>
      <c r="BN22" s="209">
        <f t="shared" si="171"/>
        <v>385000</v>
      </c>
      <c r="BO22" s="209">
        <f>SUM(BO9:BO21)</f>
        <v>80926815.528846145</v>
      </c>
      <c r="BP22" s="185"/>
      <c r="BQ22" s="185">
        <f>SUM(BO15:BO21)</f>
        <v>52001169.903846152</v>
      </c>
    </row>
    <row r="23" spans="1:833 1051:1857 2075:2881 3099:3905 4123:4929 5147:5953 6171:6977 7195:8001 8219:9025 9243:10049 10267:11073 11291:12097 12315:13121 13339:14145 14363:15169 15387:16193">
      <c r="AV23" s="138"/>
      <c r="BO23" s="31"/>
    </row>
    <row r="24" spans="1:833 1051:1857 2075:2881 3099:3905 4123:4929 5147:5953 6171:6977 7195:8001 8219:9025 9243:10049 10267:11073 11291:12097 12315:13121 13339:14145 14363:15169 15387:16193" s="103" customFormat="1" ht="26.25">
      <c r="B24" s="441" t="s">
        <v>50</v>
      </c>
      <c r="C24" s="441"/>
      <c r="D24" s="130"/>
      <c r="E24" s="130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5"/>
      <c r="T24" s="111"/>
      <c r="U24" s="111"/>
      <c r="AA24" s="111"/>
      <c r="AC24" s="111"/>
      <c r="AD24" s="107"/>
      <c r="AF24" s="111" t="s">
        <v>51</v>
      </c>
      <c r="AG24" s="111"/>
      <c r="AI24" s="107"/>
      <c r="AJ24" s="107"/>
      <c r="AK24" s="108"/>
      <c r="AL24" s="107"/>
      <c r="AM24" s="106"/>
      <c r="AN24" s="108"/>
      <c r="AO24" s="108"/>
      <c r="AP24" s="108"/>
      <c r="AQ24" s="108"/>
      <c r="AR24" s="108"/>
      <c r="AS24" s="108"/>
      <c r="AT24" s="108"/>
      <c r="AU24" s="108"/>
      <c r="AV24" s="137"/>
      <c r="AW24" s="111"/>
      <c r="AX24" s="110"/>
      <c r="AZ24" s="110"/>
      <c r="BA24" s="110"/>
      <c r="BB24" s="109"/>
      <c r="BF24" s="442" t="s">
        <v>52</v>
      </c>
      <c r="BG24" s="442"/>
      <c r="BH24" s="442"/>
      <c r="BI24" s="442"/>
      <c r="BJ24" s="442"/>
      <c r="BK24" s="442"/>
      <c r="BL24" s="442"/>
      <c r="BM24" s="442"/>
      <c r="BN24" s="442"/>
      <c r="BO24" s="442"/>
      <c r="BP24" s="442"/>
      <c r="BQ24" s="442"/>
    </row>
    <row r="25" spans="1:833 1051:1857 2075:2881 3099:3905 4123:4929 5147:5953 6171:6977 7195:8001 8219:9025 9243:10049 10267:11073 11291:12097 12315:13121 13339:14145 14363:15169 15387:16193"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3"/>
      <c r="R25" s="9"/>
      <c r="S25" s="9"/>
      <c r="T25" s="81"/>
      <c r="U25" s="81"/>
      <c r="V25" s="9"/>
      <c r="W25" s="9"/>
      <c r="AC25" s="81"/>
      <c r="AU25" s="37"/>
      <c r="AV25" s="46"/>
      <c r="AW25" s="47"/>
      <c r="AX25" s="41"/>
      <c r="AY25" s="41"/>
      <c r="AZ25" s="41"/>
      <c r="BA25" s="41"/>
      <c r="BB25" s="47"/>
      <c r="BC25" s="41"/>
      <c r="BD25" s="41"/>
      <c r="BE25" s="46"/>
      <c r="BF25" s="39"/>
      <c r="BN25" s="37"/>
      <c r="BO25" s="31"/>
    </row>
    <row r="26" spans="1:833 1051:1857 2075:2881 3099:3905 4123:4929 5147:5953 6171:6977 7195:8001 8219:9025 9243:10049 10267:11073 11291:12097 12315:13121 13339:14145 14363:15169 15387:16193"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3"/>
      <c r="R26" s="9"/>
      <c r="S26" s="9"/>
      <c r="T26" s="82"/>
      <c r="U26" s="82"/>
      <c r="V26" s="9"/>
      <c r="W26" s="9"/>
      <c r="AC26" s="82"/>
      <c r="AK26" s="37"/>
      <c r="AV26" s="46"/>
      <c r="AW26" s="39"/>
      <c r="AX26" s="46"/>
      <c r="AY26" s="41"/>
      <c r="AZ26" s="41"/>
      <c r="BA26" s="41"/>
      <c r="BB26" s="47"/>
      <c r="BC26" s="41"/>
      <c r="BD26" s="41"/>
      <c r="BE26" s="41"/>
      <c r="BF26" s="39"/>
      <c r="BO26" s="31"/>
    </row>
    <row r="27" spans="1:833 1051:1857 2075:2881 3099:3905 4123:4929 5147:5953 6171:6977 7195:8001 8219:9025 9243:10049 10267:11073 11291:12097 12315:13121 13339:14145 14363:15169 15387:16193">
      <c r="B27" s="386"/>
      <c r="C27" s="386"/>
      <c r="D27" s="131"/>
      <c r="E27" s="131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R27" s="31"/>
      <c r="S27" s="31"/>
      <c r="T27" s="83"/>
      <c r="U27" s="83"/>
      <c r="AC27" s="83"/>
      <c r="AV27" s="31"/>
      <c r="AY27" s="31"/>
      <c r="BO27" s="31"/>
    </row>
    <row r="28" spans="1:833 1051:1857 2075:2881 3099:3905 4123:4929 5147:5953 6171:6977 7195:8001 8219:9025 9243:10049 10267:11073 11291:12097 12315:13121 13339:14145 14363:15169 15387:16193">
      <c r="T28" s="83"/>
      <c r="U28" s="83"/>
      <c r="AC28" s="83"/>
      <c r="AV28" s="31"/>
      <c r="AY28" s="31"/>
      <c r="BB28" s="37"/>
    </row>
    <row r="29" spans="1:833 1051:1857 2075:2881 3099:3905 4123:4929 5147:5953 6171:6977 7195:8001 8219:9025 9243:10049 10267:11073 11291:12097 12315:13121 13339:14145 14363:15169 15387:16193">
      <c r="T29" s="83"/>
      <c r="U29" s="83"/>
      <c r="AC29" s="83"/>
      <c r="AV29" s="31"/>
    </row>
    <row r="30" spans="1:833 1051:1857 2075:2881 3099:3905 4123:4929 5147:5953 6171:6977 7195:8001 8219:9025 9243:10049 10267:11073 11291:12097 12315:13121 13339:14145 14363:15169 15387:16193">
      <c r="T30" s="83"/>
      <c r="U30" s="83"/>
      <c r="AC30" s="83"/>
    </row>
    <row r="31" spans="1:833 1051:1857 2075:2881 3099:3905 4123:4929 5147:5953 6171:6977 7195:8001 8219:9025 9243:10049 10267:11073 11291:12097 12315:13121 13339:14145 14363:15169 15387:16193">
      <c r="T31" s="83"/>
      <c r="U31" s="83"/>
      <c r="AC31" s="83"/>
      <c r="BB31" s="37"/>
    </row>
    <row r="32" spans="1:833 1051:1857 2075:2881 3099:3905 4123:4929 5147:5953 6171:6977 7195:8001 8219:9025 9243:10049 10267:11073 11291:12097 12315:13121 13339:14145 14363:15169 15387:16193">
      <c r="T32" s="83"/>
      <c r="U32" s="83"/>
      <c r="AC32" s="83"/>
      <c r="BD32" s="31"/>
    </row>
    <row r="33" spans="20:29">
      <c r="T33" s="83"/>
      <c r="U33" s="83"/>
      <c r="AC33" s="83"/>
    </row>
  </sheetData>
  <autoFilter ref="A7:BR25" xr:uid="{00000000-0009-0000-0000-000007000000}"/>
  <mergeCells count="30">
    <mergeCell ref="B27:C27"/>
    <mergeCell ref="BO6:BO7"/>
    <mergeCell ref="A22:C22"/>
    <mergeCell ref="B24:C24"/>
    <mergeCell ref="AL6:AU6"/>
    <mergeCell ref="AV6:AV7"/>
    <mergeCell ref="AW6:BB6"/>
    <mergeCell ref="BC6:BF6"/>
    <mergeCell ref="BG6:BM6"/>
    <mergeCell ref="AH6:AH7"/>
    <mergeCell ref="AI6:AI7"/>
    <mergeCell ref="Q6:T6"/>
    <mergeCell ref="U6:AE6"/>
    <mergeCell ref="D6:D7"/>
    <mergeCell ref="E6:F6"/>
    <mergeCell ref="BF24:BQ24"/>
    <mergeCell ref="A3:BQ3"/>
    <mergeCell ref="A4:BQ4"/>
    <mergeCell ref="BN6:BN7"/>
    <mergeCell ref="BP6:BP7"/>
    <mergeCell ref="H6:P6"/>
    <mergeCell ref="AG6:AG7"/>
    <mergeCell ref="AJ6:AJ7"/>
    <mergeCell ref="AK6:AK7"/>
    <mergeCell ref="AF6:AF7"/>
    <mergeCell ref="A6:A7"/>
    <mergeCell ref="B6:B7"/>
    <mergeCell ref="C6:C7"/>
    <mergeCell ref="BQ6:BQ7"/>
    <mergeCell ref="G6:G7"/>
  </mergeCells>
  <pageMargins left="0.6" right="0.45" top="0.75" bottom="0.75" header="0.3" footer="0.3"/>
  <pageSetup paperSize="8" scale="49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EC37"/>
  <sheetViews>
    <sheetView view="pageBreakPreview" zoomScale="89" zoomScaleNormal="100" zoomScaleSheetLayoutView="89" workbookViewId="0">
      <pane xSplit="31" ySplit="8" topLeftCell="AX28" activePane="bottomRight" state="frozen"/>
      <selection pane="topRight" activeCell="AF1" sqref="AF1"/>
      <selection pane="bottomLeft" activeCell="A9" sqref="A9"/>
      <selection pane="bottomRight" activeCell="AX32" sqref="AX32:BG36"/>
    </sheetView>
  </sheetViews>
  <sheetFormatPr defaultRowHeight="14.25"/>
  <cols>
    <col min="1" max="1" width="6.42578125" style="45" customWidth="1"/>
    <col min="2" max="2" width="23.42578125" style="188" customWidth="1"/>
    <col min="3" max="3" width="11" style="45" customWidth="1"/>
    <col min="4" max="4" width="9.7109375" style="189" hidden="1" customWidth="1"/>
    <col min="5" max="5" width="9.140625" style="189" customWidth="1"/>
    <col min="6" max="6" width="8.140625" style="189" customWidth="1"/>
    <col min="7" max="7" width="6.7109375" style="190" customWidth="1"/>
    <col min="8" max="8" width="8.28515625" style="191" customWidth="1"/>
    <col min="9" max="9" width="6.7109375" style="189" customWidth="1"/>
    <col min="10" max="12" width="6.7109375" style="189" hidden="1" customWidth="1"/>
    <col min="13" max="13" width="6.5703125" style="189" hidden="1" customWidth="1"/>
    <col min="14" max="16" width="6.7109375" style="189" hidden="1" customWidth="1"/>
    <col min="17" max="17" width="14.7109375" style="43" customWidth="1"/>
    <col min="18" max="18" width="12" style="45" customWidth="1"/>
    <col min="19" max="19" width="12" style="45" hidden="1" customWidth="1"/>
    <col min="20" max="20" width="13.7109375" style="45" customWidth="1"/>
    <col min="21" max="22" width="11.5703125" style="45" customWidth="1"/>
    <col min="23" max="23" width="12" style="45" hidden="1" customWidth="1"/>
    <col min="24" max="24" width="12" style="45" customWidth="1"/>
    <col min="25" max="25" width="12" style="45" hidden="1" customWidth="1"/>
    <col min="26" max="26" width="12.42578125" style="45" customWidth="1"/>
    <col min="27" max="27" width="10.7109375" style="45" hidden="1" customWidth="1"/>
    <col min="28" max="28" width="10.140625" style="45" customWidth="1"/>
    <col min="29" max="29" width="13.85546875" style="44" customWidth="1"/>
    <col min="30" max="30" width="12.42578125" style="45" customWidth="1"/>
    <col min="31" max="31" width="10.42578125" style="45" hidden="1" customWidth="1"/>
    <col min="32" max="33" width="13.140625" style="45" hidden="1" customWidth="1"/>
    <col min="34" max="34" width="14.85546875" style="45" customWidth="1"/>
    <col min="35" max="35" width="13.140625" style="45" customWidth="1"/>
    <col min="36" max="36" width="11" style="45" customWidth="1"/>
    <col min="37" max="37" width="13.140625" style="44" customWidth="1"/>
    <col min="38" max="38" width="18.42578125" style="44" customWidth="1"/>
    <col min="39" max="39" width="13.140625" style="44" customWidth="1"/>
    <col min="40" max="40" width="12.85546875" style="44" hidden="1" customWidth="1"/>
    <col min="41" max="41" width="8.7109375" style="44" hidden="1" customWidth="1"/>
    <col min="42" max="42" width="10.140625" style="44" hidden="1" customWidth="1"/>
    <col min="43" max="44" width="8.5703125" style="44" hidden="1" customWidth="1"/>
    <col min="45" max="45" width="8.85546875" style="44" hidden="1" customWidth="1"/>
    <col min="46" max="46" width="9.28515625" style="44" hidden="1" customWidth="1"/>
    <col min="47" max="47" width="14" style="44" customWidth="1"/>
    <col min="48" max="48" width="10" style="44" hidden="1" customWidth="1"/>
    <col min="49" max="49" width="15" style="44" customWidth="1"/>
    <col min="50" max="50" width="17.7109375" style="44" customWidth="1"/>
    <col min="51" max="51" width="14.28515625" style="45" hidden="1" customWidth="1"/>
    <col min="52" max="52" width="12.28515625" style="45" hidden="1" customWidth="1"/>
    <col min="53" max="54" width="10.7109375" style="45" hidden="1" customWidth="1"/>
    <col min="55" max="55" width="13.140625" style="44" customWidth="1"/>
    <col min="56" max="56" width="12" style="44" hidden="1" customWidth="1"/>
    <col min="57" max="57" width="13.28515625" style="44" hidden="1" customWidth="1"/>
    <col min="58" max="58" width="10.85546875" style="44" hidden="1" customWidth="1"/>
    <col min="59" max="59" width="14.5703125" style="44" customWidth="1"/>
    <col min="60" max="60" width="14.85546875" style="45" hidden="1" customWidth="1"/>
    <col min="61" max="61" width="9.5703125" style="45" hidden="1" customWidth="1"/>
    <col min="62" max="62" width="12.28515625" style="45" hidden="1" customWidth="1"/>
    <col min="63" max="63" width="13" style="45" hidden="1" customWidth="1"/>
    <col min="64" max="64" width="15.42578125" style="192" hidden="1" customWidth="1"/>
    <col min="65" max="65" width="11.5703125" style="45" hidden="1" customWidth="1"/>
    <col min="66" max="67" width="10.7109375" style="45" customWidth="1"/>
    <col min="68" max="68" width="10.7109375" style="45" hidden="1" customWidth="1"/>
    <col min="69" max="69" width="14.42578125" style="44" customWidth="1"/>
    <col min="70" max="70" width="15.5703125" style="44" hidden="1" customWidth="1"/>
    <col min="71" max="71" width="12.85546875" style="45" customWidth="1"/>
    <col min="72" max="72" width="19.28515625" style="44" customWidth="1"/>
    <col min="73" max="133" width="9.140625" style="44"/>
    <col min="134" max="286" width="9.140625" style="45"/>
    <col min="287" max="287" width="9.140625" style="45" customWidth="1"/>
    <col min="288" max="288" width="11.42578125" style="45" customWidth="1"/>
    <col min="289" max="289" width="7.5703125" style="45" customWidth="1"/>
    <col min="290" max="290" width="17.85546875" style="45" customWidth="1"/>
    <col min="291" max="291" width="3.5703125" style="45" customWidth="1"/>
    <col min="292" max="297" width="9.140625" style="45" customWidth="1"/>
    <col min="298" max="298" width="11" style="45" customWidth="1"/>
    <col min="299" max="301" width="9.140625" style="45" customWidth="1"/>
    <col min="302" max="302" width="10.7109375" style="45" customWidth="1"/>
    <col min="303" max="307" width="9.140625" style="45" customWidth="1"/>
    <col min="308" max="308" width="13.140625" style="45" customWidth="1"/>
    <col min="309" max="309" width="10.42578125" style="45" customWidth="1"/>
    <col min="310" max="310" width="10.28515625" style="45" customWidth="1"/>
    <col min="311" max="311" width="9.85546875" style="45" customWidth="1"/>
    <col min="312" max="312" width="10.7109375" style="45" customWidth="1"/>
    <col min="313" max="313" width="10" style="45" customWidth="1"/>
    <col min="314" max="314" width="9.5703125" style="45" customWidth="1"/>
    <col min="315" max="315" width="10.7109375" style="45" customWidth="1"/>
    <col min="316" max="316" width="9.85546875" style="45" customWidth="1"/>
    <col min="317" max="320" width="9.140625" style="45" customWidth="1"/>
    <col min="321" max="321" width="9.85546875" style="45" customWidth="1"/>
    <col min="322" max="322" width="10.85546875" style="45" customWidth="1"/>
    <col min="323" max="323" width="11.5703125" style="45" customWidth="1"/>
    <col min="324" max="325" width="9.140625" style="45" customWidth="1"/>
    <col min="326" max="542" width="9.140625" style="45"/>
    <col min="543" max="543" width="9.140625" style="45" customWidth="1"/>
    <col min="544" max="544" width="11.42578125" style="45" customWidth="1"/>
    <col min="545" max="545" width="7.5703125" style="45" customWidth="1"/>
    <col min="546" max="546" width="17.85546875" style="45" customWidth="1"/>
    <col min="547" max="547" width="3.5703125" style="45" customWidth="1"/>
    <col min="548" max="553" width="9.140625" style="45" customWidth="1"/>
    <col min="554" max="554" width="11" style="45" customWidth="1"/>
    <col min="555" max="557" width="9.140625" style="45" customWidth="1"/>
    <col min="558" max="558" width="10.7109375" style="45" customWidth="1"/>
    <col min="559" max="563" width="9.140625" style="45" customWidth="1"/>
    <col min="564" max="564" width="13.140625" style="45" customWidth="1"/>
    <col min="565" max="565" width="10.42578125" style="45" customWidth="1"/>
    <col min="566" max="566" width="10.28515625" style="45" customWidth="1"/>
    <col min="567" max="567" width="9.85546875" style="45" customWidth="1"/>
    <col min="568" max="568" width="10.7109375" style="45" customWidth="1"/>
    <col min="569" max="569" width="10" style="45" customWidth="1"/>
    <col min="570" max="570" width="9.5703125" style="45" customWidth="1"/>
    <col min="571" max="571" width="10.7109375" style="45" customWidth="1"/>
    <col min="572" max="572" width="9.85546875" style="45" customWidth="1"/>
    <col min="573" max="576" width="9.140625" style="45" customWidth="1"/>
    <col min="577" max="577" width="9.85546875" style="45" customWidth="1"/>
    <col min="578" max="578" width="10.85546875" style="45" customWidth="1"/>
    <col min="579" max="579" width="11.5703125" style="45" customWidth="1"/>
    <col min="580" max="581" width="9.140625" style="45" customWidth="1"/>
    <col min="582" max="798" width="9.140625" style="45"/>
    <col min="799" max="799" width="9.140625" style="45" customWidth="1"/>
    <col min="800" max="800" width="11.42578125" style="45" customWidth="1"/>
    <col min="801" max="801" width="7.5703125" style="45" customWidth="1"/>
    <col min="802" max="802" width="17.85546875" style="45" customWidth="1"/>
    <col min="803" max="803" width="3.5703125" style="45" customWidth="1"/>
    <col min="804" max="809" width="9.140625" style="45" customWidth="1"/>
    <col min="810" max="810" width="11" style="45" customWidth="1"/>
    <col min="811" max="813" width="9.140625" style="45" customWidth="1"/>
    <col min="814" max="814" width="10.7109375" style="45" customWidth="1"/>
    <col min="815" max="819" width="9.140625" style="45" customWidth="1"/>
    <col min="820" max="820" width="13.140625" style="45" customWidth="1"/>
    <col min="821" max="821" width="10.42578125" style="45" customWidth="1"/>
    <col min="822" max="822" width="10.28515625" style="45" customWidth="1"/>
    <col min="823" max="823" width="9.85546875" style="45" customWidth="1"/>
    <col min="824" max="824" width="10.7109375" style="45" customWidth="1"/>
    <col min="825" max="825" width="10" style="45" customWidth="1"/>
    <col min="826" max="826" width="9.5703125" style="45" customWidth="1"/>
    <col min="827" max="827" width="10.7109375" style="45" customWidth="1"/>
    <col min="828" max="828" width="9.85546875" style="45" customWidth="1"/>
    <col min="829" max="832" width="9.140625" style="45" customWidth="1"/>
    <col min="833" max="833" width="9.85546875" style="45" customWidth="1"/>
    <col min="834" max="834" width="10.85546875" style="45" customWidth="1"/>
    <col min="835" max="835" width="11.5703125" style="45" customWidth="1"/>
    <col min="836" max="837" width="9.140625" style="45" customWidth="1"/>
    <col min="838" max="1054" width="9.140625" style="45"/>
    <col min="1055" max="1055" width="9.140625" style="45" customWidth="1"/>
    <col min="1056" max="1056" width="11.42578125" style="45" customWidth="1"/>
    <col min="1057" max="1057" width="7.5703125" style="45" customWidth="1"/>
    <col min="1058" max="1058" width="17.85546875" style="45" customWidth="1"/>
    <col min="1059" max="1059" width="3.5703125" style="45" customWidth="1"/>
    <col min="1060" max="1065" width="9.140625" style="45" customWidth="1"/>
    <col min="1066" max="1066" width="11" style="45" customWidth="1"/>
    <col min="1067" max="1069" width="9.140625" style="45" customWidth="1"/>
    <col min="1070" max="1070" width="10.7109375" style="45" customWidth="1"/>
    <col min="1071" max="1075" width="9.140625" style="45" customWidth="1"/>
    <col min="1076" max="1076" width="13.140625" style="45" customWidth="1"/>
    <col min="1077" max="1077" width="10.42578125" style="45" customWidth="1"/>
    <col min="1078" max="1078" width="10.28515625" style="45" customWidth="1"/>
    <col min="1079" max="1079" width="9.85546875" style="45" customWidth="1"/>
    <col min="1080" max="1080" width="10.7109375" style="45" customWidth="1"/>
    <col min="1081" max="1081" width="10" style="45" customWidth="1"/>
    <col min="1082" max="1082" width="9.5703125" style="45" customWidth="1"/>
    <col min="1083" max="1083" width="10.7109375" style="45" customWidth="1"/>
    <col min="1084" max="1084" width="9.85546875" style="45" customWidth="1"/>
    <col min="1085" max="1088" width="9.140625" style="45" customWidth="1"/>
    <col min="1089" max="1089" width="9.85546875" style="45" customWidth="1"/>
    <col min="1090" max="1090" width="10.85546875" style="45" customWidth="1"/>
    <col min="1091" max="1091" width="11.5703125" style="45" customWidth="1"/>
    <col min="1092" max="1093" width="9.140625" style="45" customWidth="1"/>
    <col min="1094" max="1310" width="9.140625" style="45"/>
    <col min="1311" max="1311" width="9.140625" style="45" customWidth="1"/>
    <col min="1312" max="1312" width="11.42578125" style="45" customWidth="1"/>
    <col min="1313" max="1313" width="7.5703125" style="45" customWidth="1"/>
    <col min="1314" max="1314" width="17.85546875" style="45" customWidth="1"/>
    <col min="1315" max="1315" width="3.5703125" style="45" customWidth="1"/>
    <col min="1316" max="1321" width="9.140625" style="45" customWidth="1"/>
    <col min="1322" max="1322" width="11" style="45" customWidth="1"/>
    <col min="1323" max="1325" width="9.140625" style="45" customWidth="1"/>
    <col min="1326" max="1326" width="10.7109375" style="45" customWidth="1"/>
    <col min="1327" max="1331" width="9.140625" style="45" customWidth="1"/>
    <col min="1332" max="1332" width="13.140625" style="45" customWidth="1"/>
    <col min="1333" max="1333" width="10.42578125" style="45" customWidth="1"/>
    <col min="1334" max="1334" width="10.28515625" style="45" customWidth="1"/>
    <col min="1335" max="1335" width="9.85546875" style="45" customWidth="1"/>
    <col min="1336" max="1336" width="10.7109375" style="45" customWidth="1"/>
    <col min="1337" max="1337" width="10" style="45" customWidth="1"/>
    <col min="1338" max="1338" width="9.5703125" style="45" customWidth="1"/>
    <col min="1339" max="1339" width="10.7109375" style="45" customWidth="1"/>
    <col min="1340" max="1340" width="9.85546875" style="45" customWidth="1"/>
    <col min="1341" max="1344" width="9.140625" style="45" customWidth="1"/>
    <col min="1345" max="1345" width="9.85546875" style="45" customWidth="1"/>
    <col min="1346" max="1346" width="10.85546875" style="45" customWidth="1"/>
    <col min="1347" max="1347" width="11.5703125" style="45" customWidth="1"/>
    <col min="1348" max="1349" width="9.140625" style="45" customWidth="1"/>
    <col min="1350" max="1566" width="9.140625" style="45"/>
    <col min="1567" max="1567" width="9.140625" style="45" customWidth="1"/>
    <col min="1568" max="1568" width="11.42578125" style="45" customWidth="1"/>
    <col min="1569" max="1569" width="7.5703125" style="45" customWidth="1"/>
    <col min="1570" max="1570" width="17.85546875" style="45" customWidth="1"/>
    <col min="1571" max="1571" width="3.5703125" style="45" customWidth="1"/>
    <col min="1572" max="1577" width="9.140625" style="45" customWidth="1"/>
    <col min="1578" max="1578" width="11" style="45" customWidth="1"/>
    <col min="1579" max="1581" width="9.140625" style="45" customWidth="1"/>
    <col min="1582" max="1582" width="10.7109375" style="45" customWidth="1"/>
    <col min="1583" max="1587" width="9.140625" style="45" customWidth="1"/>
    <col min="1588" max="1588" width="13.140625" style="45" customWidth="1"/>
    <col min="1589" max="1589" width="10.42578125" style="45" customWidth="1"/>
    <col min="1590" max="1590" width="10.28515625" style="45" customWidth="1"/>
    <col min="1591" max="1591" width="9.85546875" style="45" customWidth="1"/>
    <col min="1592" max="1592" width="10.7109375" style="45" customWidth="1"/>
    <col min="1593" max="1593" width="10" style="45" customWidth="1"/>
    <col min="1594" max="1594" width="9.5703125" style="45" customWidth="1"/>
    <col min="1595" max="1595" width="10.7109375" style="45" customWidth="1"/>
    <col min="1596" max="1596" width="9.85546875" style="45" customWidth="1"/>
    <col min="1597" max="1600" width="9.140625" style="45" customWidth="1"/>
    <col min="1601" max="1601" width="9.85546875" style="45" customWidth="1"/>
    <col min="1602" max="1602" width="10.85546875" style="45" customWidth="1"/>
    <col min="1603" max="1603" width="11.5703125" style="45" customWidth="1"/>
    <col min="1604" max="1605" width="9.140625" style="45" customWidth="1"/>
    <col min="1606" max="1822" width="9.140625" style="45"/>
    <col min="1823" max="1823" width="9.140625" style="45" customWidth="1"/>
    <col min="1824" max="1824" width="11.42578125" style="45" customWidth="1"/>
    <col min="1825" max="1825" width="7.5703125" style="45" customWidth="1"/>
    <col min="1826" max="1826" width="17.85546875" style="45" customWidth="1"/>
    <col min="1827" max="1827" width="3.5703125" style="45" customWidth="1"/>
    <col min="1828" max="1833" width="9.140625" style="45" customWidth="1"/>
    <col min="1834" max="1834" width="11" style="45" customWidth="1"/>
    <col min="1835" max="1837" width="9.140625" style="45" customWidth="1"/>
    <col min="1838" max="1838" width="10.7109375" style="45" customWidth="1"/>
    <col min="1839" max="1843" width="9.140625" style="45" customWidth="1"/>
    <col min="1844" max="1844" width="13.140625" style="45" customWidth="1"/>
    <col min="1845" max="1845" width="10.42578125" style="45" customWidth="1"/>
    <col min="1846" max="1846" width="10.28515625" style="45" customWidth="1"/>
    <col min="1847" max="1847" width="9.85546875" style="45" customWidth="1"/>
    <col min="1848" max="1848" width="10.7109375" style="45" customWidth="1"/>
    <col min="1849" max="1849" width="10" style="45" customWidth="1"/>
    <col min="1850" max="1850" width="9.5703125" style="45" customWidth="1"/>
    <col min="1851" max="1851" width="10.7109375" style="45" customWidth="1"/>
    <col min="1852" max="1852" width="9.85546875" style="45" customWidth="1"/>
    <col min="1853" max="1856" width="9.140625" style="45" customWidth="1"/>
    <col min="1857" max="1857" width="9.85546875" style="45" customWidth="1"/>
    <col min="1858" max="1858" width="10.85546875" style="45" customWidth="1"/>
    <col min="1859" max="1859" width="11.5703125" style="45" customWidth="1"/>
    <col min="1860" max="1861" width="9.140625" style="45" customWidth="1"/>
    <col min="1862" max="2078" width="9.140625" style="45"/>
    <col min="2079" max="2079" width="9.140625" style="45" customWidth="1"/>
    <col min="2080" max="2080" width="11.42578125" style="45" customWidth="1"/>
    <col min="2081" max="2081" width="7.5703125" style="45" customWidth="1"/>
    <col min="2082" max="2082" width="17.85546875" style="45" customWidth="1"/>
    <col min="2083" max="2083" width="3.5703125" style="45" customWidth="1"/>
    <col min="2084" max="2089" width="9.140625" style="45" customWidth="1"/>
    <col min="2090" max="2090" width="11" style="45" customWidth="1"/>
    <col min="2091" max="2093" width="9.140625" style="45" customWidth="1"/>
    <col min="2094" max="2094" width="10.7109375" style="45" customWidth="1"/>
    <col min="2095" max="2099" width="9.140625" style="45" customWidth="1"/>
    <col min="2100" max="2100" width="13.140625" style="45" customWidth="1"/>
    <col min="2101" max="2101" width="10.42578125" style="45" customWidth="1"/>
    <col min="2102" max="2102" width="10.28515625" style="45" customWidth="1"/>
    <col min="2103" max="2103" width="9.85546875" style="45" customWidth="1"/>
    <col min="2104" max="2104" width="10.7109375" style="45" customWidth="1"/>
    <col min="2105" max="2105" width="10" style="45" customWidth="1"/>
    <col min="2106" max="2106" width="9.5703125" style="45" customWidth="1"/>
    <col min="2107" max="2107" width="10.7109375" style="45" customWidth="1"/>
    <col min="2108" max="2108" width="9.85546875" style="45" customWidth="1"/>
    <col min="2109" max="2112" width="9.140625" style="45" customWidth="1"/>
    <col min="2113" max="2113" width="9.85546875" style="45" customWidth="1"/>
    <col min="2114" max="2114" width="10.85546875" style="45" customWidth="1"/>
    <col min="2115" max="2115" width="11.5703125" style="45" customWidth="1"/>
    <col min="2116" max="2117" width="9.140625" style="45" customWidth="1"/>
    <col min="2118" max="2334" width="9.140625" style="45"/>
    <col min="2335" max="2335" width="9.140625" style="45" customWidth="1"/>
    <col min="2336" max="2336" width="11.42578125" style="45" customWidth="1"/>
    <col min="2337" max="2337" width="7.5703125" style="45" customWidth="1"/>
    <col min="2338" max="2338" width="17.85546875" style="45" customWidth="1"/>
    <col min="2339" max="2339" width="3.5703125" style="45" customWidth="1"/>
    <col min="2340" max="2345" width="9.140625" style="45" customWidth="1"/>
    <col min="2346" max="2346" width="11" style="45" customWidth="1"/>
    <col min="2347" max="2349" width="9.140625" style="45" customWidth="1"/>
    <col min="2350" max="2350" width="10.7109375" style="45" customWidth="1"/>
    <col min="2351" max="2355" width="9.140625" style="45" customWidth="1"/>
    <col min="2356" max="2356" width="13.140625" style="45" customWidth="1"/>
    <col min="2357" max="2357" width="10.42578125" style="45" customWidth="1"/>
    <col min="2358" max="2358" width="10.28515625" style="45" customWidth="1"/>
    <col min="2359" max="2359" width="9.85546875" style="45" customWidth="1"/>
    <col min="2360" max="2360" width="10.7109375" style="45" customWidth="1"/>
    <col min="2361" max="2361" width="10" style="45" customWidth="1"/>
    <col min="2362" max="2362" width="9.5703125" style="45" customWidth="1"/>
    <col min="2363" max="2363" width="10.7109375" style="45" customWidth="1"/>
    <col min="2364" max="2364" width="9.85546875" style="45" customWidth="1"/>
    <col min="2365" max="2368" width="9.140625" style="45" customWidth="1"/>
    <col min="2369" max="2369" width="9.85546875" style="45" customWidth="1"/>
    <col min="2370" max="2370" width="10.85546875" style="45" customWidth="1"/>
    <col min="2371" max="2371" width="11.5703125" style="45" customWidth="1"/>
    <col min="2372" max="2373" width="9.140625" style="45" customWidth="1"/>
    <col min="2374" max="2590" width="9.140625" style="45"/>
    <col min="2591" max="2591" width="9.140625" style="45" customWidth="1"/>
    <col min="2592" max="2592" width="11.42578125" style="45" customWidth="1"/>
    <col min="2593" max="2593" width="7.5703125" style="45" customWidth="1"/>
    <col min="2594" max="2594" width="17.85546875" style="45" customWidth="1"/>
    <col min="2595" max="2595" width="3.5703125" style="45" customWidth="1"/>
    <col min="2596" max="2601" width="9.140625" style="45" customWidth="1"/>
    <col min="2602" max="2602" width="11" style="45" customWidth="1"/>
    <col min="2603" max="2605" width="9.140625" style="45" customWidth="1"/>
    <col min="2606" max="2606" width="10.7109375" style="45" customWidth="1"/>
    <col min="2607" max="2611" width="9.140625" style="45" customWidth="1"/>
    <col min="2612" max="2612" width="13.140625" style="45" customWidth="1"/>
    <col min="2613" max="2613" width="10.42578125" style="45" customWidth="1"/>
    <col min="2614" max="2614" width="10.28515625" style="45" customWidth="1"/>
    <col min="2615" max="2615" width="9.85546875" style="45" customWidth="1"/>
    <col min="2616" max="2616" width="10.7109375" style="45" customWidth="1"/>
    <col min="2617" max="2617" width="10" style="45" customWidth="1"/>
    <col min="2618" max="2618" width="9.5703125" style="45" customWidth="1"/>
    <col min="2619" max="2619" width="10.7109375" style="45" customWidth="1"/>
    <col min="2620" max="2620" width="9.85546875" style="45" customWidth="1"/>
    <col min="2621" max="2624" width="9.140625" style="45" customWidth="1"/>
    <col min="2625" max="2625" width="9.85546875" style="45" customWidth="1"/>
    <col min="2626" max="2626" width="10.85546875" style="45" customWidth="1"/>
    <col min="2627" max="2627" width="11.5703125" style="45" customWidth="1"/>
    <col min="2628" max="2629" width="9.140625" style="45" customWidth="1"/>
    <col min="2630" max="2846" width="9.140625" style="45"/>
    <col min="2847" max="2847" width="9.140625" style="45" customWidth="1"/>
    <col min="2848" max="2848" width="11.42578125" style="45" customWidth="1"/>
    <col min="2849" max="2849" width="7.5703125" style="45" customWidth="1"/>
    <col min="2850" max="2850" width="17.85546875" style="45" customWidth="1"/>
    <col min="2851" max="2851" width="3.5703125" style="45" customWidth="1"/>
    <col min="2852" max="2857" width="9.140625" style="45" customWidth="1"/>
    <col min="2858" max="2858" width="11" style="45" customWidth="1"/>
    <col min="2859" max="2861" width="9.140625" style="45" customWidth="1"/>
    <col min="2862" max="2862" width="10.7109375" style="45" customWidth="1"/>
    <col min="2863" max="2867" width="9.140625" style="45" customWidth="1"/>
    <col min="2868" max="2868" width="13.140625" style="45" customWidth="1"/>
    <col min="2869" max="2869" width="10.42578125" style="45" customWidth="1"/>
    <col min="2870" max="2870" width="10.28515625" style="45" customWidth="1"/>
    <col min="2871" max="2871" width="9.85546875" style="45" customWidth="1"/>
    <col min="2872" max="2872" width="10.7109375" style="45" customWidth="1"/>
    <col min="2873" max="2873" width="10" style="45" customWidth="1"/>
    <col min="2874" max="2874" width="9.5703125" style="45" customWidth="1"/>
    <col min="2875" max="2875" width="10.7109375" style="45" customWidth="1"/>
    <col min="2876" max="2876" width="9.85546875" style="45" customWidth="1"/>
    <col min="2877" max="2880" width="9.140625" style="45" customWidth="1"/>
    <col min="2881" max="2881" width="9.85546875" style="45" customWidth="1"/>
    <col min="2882" max="2882" width="10.85546875" style="45" customWidth="1"/>
    <col min="2883" max="2883" width="11.5703125" style="45" customWidth="1"/>
    <col min="2884" max="2885" width="9.140625" style="45" customWidth="1"/>
    <col min="2886" max="3102" width="9.140625" style="45"/>
    <col min="3103" max="3103" width="9.140625" style="45" customWidth="1"/>
    <col min="3104" max="3104" width="11.42578125" style="45" customWidth="1"/>
    <col min="3105" max="3105" width="7.5703125" style="45" customWidth="1"/>
    <col min="3106" max="3106" width="17.85546875" style="45" customWidth="1"/>
    <col min="3107" max="3107" width="3.5703125" style="45" customWidth="1"/>
    <col min="3108" max="3113" width="9.140625" style="45" customWidth="1"/>
    <col min="3114" max="3114" width="11" style="45" customWidth="1"/>
    <col min="3115" max="3117" width="9.140625" style="45" customWidth="1"/>
    <col min="3118" max="3118" width="10.7109375" style="45" customWidth="1"/>
    <col min="3119" max="3123" width="9.140625" style="45" customWidth="1"/>
    <col min="3124" max="3124" width="13.140625" style="45" customWidth="1"/>
    <col min="3125" max="3125" width="10.42578125" style="45" customWidth="1"/>
    <col min="3126" max="3126" width="10.28515625" style="45" customWidth="1"/>
    <col min="3127" max="3127" width="9.85546875" style="45" customWidth="1"/>
    <col min="3128" max="3128" width="10.7109375" style="45" customWidth="1"/>
    <col min="3129" max="3129" width="10" style="45" customWidth="1"/>
    <col min="3130" max="3130" width="9.5703125" style="45" customWidth="1"/>
    <col min="3131" max="3131" width="10.7109375" style="45" customWidth="1"/>
    <col min="3132" max="3132" width="9.85546875" style="45" customWidth="1"/>
    <col min="3133" max="3136" width="9.140625" style="45" customWidth="1"/>
    <col min="3137" max="3137" width="9.85546875" style="45" customWidth="1"/>
    <col min="3138" max="3138" width="10.85546875" style="45" customWidth="1"/>
    <col min="3139" max="3139" width="11.5703125" style="45" customWidth="1"/>
    <col min="3140" max="3141" width="9.140625" style="45" customWidth="1"/>
    <col min="3142" max="3358" width="9.140625" style="45"/>
    <col min="3359" max="3359" width="9.140625" style="45" customWidth="1"/>
    <col min="3360" max="3360" width="11.42578125" style="45" customWidth="1"/>
    <col min="3361" max="3361" width="7.5703125" style="45" customWidth="1"/>
    <col min="3362" max="3362" width="17.85546875" style="45" customWidth="1"/>
    <col min="3363" max="3363" width="3.5703125" style="45" customWidth="1"/>
    <col min="3364" max="3369" width="9.140625" style="45" customWidth="1"/>
    <col min="3370" max="3370" width="11" style="45" customWidth="1"/>
    <col min="3371" max="3373" width="9.140625" style="45" customWidth="1"/>
    <col min="3374" max="3374" width="10.7109375" style="45" customWidth="1"/>
    <col min="3375" max="3379" width="9.140625" style="45" customWidth="1"/>
    <col min="3380" max="3380" width="13.140625" style="45" customWidth="1"/>
    <col min="3381" max="3381" width="10.42578125" style="45" customWidth="1"/>
    <col min="3382" max="3382" width="10.28515625" style="45" customWidth="1"/>
    <col min="3383" max="3383" width="9.85546875" style="45" customWidth="1"/>
    <col min="3384" max="3384" width="10.7109375" style="45" customWidth="1"/>
    <col min="3385" max="3385" width="10" style="45" customWidth="1"/>
    <col min="3386" max="3386" width="9.5703125" style="45" customWidth="1"/>
    <col min="3387" max="3387" width="10.7109375" style="45" customWidth="1"/>
    <col min="3388" max="3388" width="9.85546875" style="45" customWidth="1"/>
    <col min="3389" max="3392" width="9.140625" style="45" customWidth="1"/>
    <col min="3393" max="3393" width="9.85546875" style="45" customWidth="1"/>
    <col min="3394" max="3394" width="10.85546875" style="45" customWidth="1"/>
    <col min="3395" max="3395" width="11.5703125" style="45" customWidth="1"/>
    <col min="3396" max="3397" width="9.140625" style="45" customWidth="1"/>
    <col min="3398" max="3614" width="9.140625" style="45"/>
    <col min="3615" max="3615" width="9.140625" style="45" customWidth="1"/>
    <col min="3616" max="3616" width="11.42578125" style="45" customWidth="1"/>
    <col min="3617" max="3617" width="7.5703125" style="45" customWidth="1"/>
    <col min="3618" max="3618" width="17.85546875" style="45" customWidth="1"/>
    <col min="3619" max="3619" width="3.5703125" style="45" customWidth="1"/>
    <col min="3620" max="3625" width="9.140625" style="45" customWidth="1"/>
    <col min="3626" max="3626" width="11" style="45" customWidth="1"/>
    <col min="3627" max="3629" width="9.140625" style="45" customWidth="1"/>
    <col min="3630" max="3630" width="10.7109375" style="45" customWidth="1"/>
    <col min="3631" max="3635" width="9.140625" style="45" customWidth="1"/>
    <col min="3636" max="3636" width="13.140625" style="45" customWidth="1"/>
    <col min="3637" max="3637" width="10.42578125" style="45" customWidth="1"/>
    <col min="3638" max="3638" width="10.28515625" style="45" customWidth="1"/>
    <col min="3639" max="3639" width="9.85546875" style="45" customWidth="1"/>
    <col min="3640" max="3640" width="10.7109375" style="45" customWidth="1"/>
    <col min="3641" max="3641" width="10" style="45" customWidth="1"/>
    <col min="3642" max="3642" width="9.5703125" style="45" customWidth="1"/>
    <col min="3643" max="3643" width="10.7109375" style="45" customWidth="1"/>
    <col min="3644" max="3644" width="9.85546875" style="45" customWidth="1"/>
    <col min="3645" max="3648" width="9.140625" style="45" customWidth="1"/>
    <col min="3649" max="3649" width="9.85546875" style="45" customWidth="1"/>
    <col min="3650" max="3650" width="10.85546875" style="45" customWidth="1"/>
    <col min="3651" max="3651" width="11.5703125" style="45" customWidth="1"/>
    <col min="3652" max="3653" width="9.140625" style="45" customWidth="1"/>
    <col min="3654" max="3870" width="9.140625" style="45"/>
    <col min="3871" max="3871" width="9.140625" style="45" customWidth="1"/>
    <col min="3872" max="3872" width="11.42578125" style="45" customWidth="1"/>
    <col min="3873" max="3873" width="7.5703125" style="45" customWidth="1"/>
    <col min="3874" max="3874" width="17.85546875" style="45" customWidth="1"/>
    <col min="3875" max="3875" width="3.5703125" style="45" customWidth="1"/>
    <col min="3876" max="3881" width="9.140625" style="45" customWidth="1"/>
    <col min="3882" max="3882" width="11" style="45" customWidth="1"/>
    <col min="3883" max="3885" width="9.140625" style="45" customWidth="1"/>
    <col min="3886" max="3886" width="10.7109375" style="45" customWidth="1"/>
    <col min="3887" max="3891" width="9.140625" style="45" customWidth="1"/>
    <col min="3892" max="3892" width="13.140625" style="45" customWidth="1"/>
    <col min="3893" max="3893" width="10.42578125" style="45" customWidth="1"/>
    <col min="3894" max="3894" width="10.28515625" style="45" customWidth="1"/>
    <col min="3895" max="3895" width="9.85546875" style="45" customWidth="1"/>
    <col min="3896" max="3896" width="10.7109375" style="45" customWidth="1"/>
    <col min="3897" max="3897" width="10" style="45" customWidth="1"/>
    <col min="3898" max="3898" width="9.5703125" style="45" customWidth="1"/>
    <col min="3899" max="3899" width="10.7109375" style="45" customWidth="1"/>
    <col min="3900" max="3900" width="9.85546875" style="45" customWidth="1"/>
    <col min="3901" max="3904" width="9.140625" style="45" customWidth="1"/>
    <col min="3905" max="3905" width="9.85546875" style="45" customWidth="1"/>
    <col min="3906" max="3906" width="10.85546875" style="45" customWidth="1"/>
    <col min="3907" max="3907" width="11.5703125" style="45" customWidth="1"/>
    <col min="3908" max="3909" width="9.140625" style="45" customWidth="1"/>
    <col min="3910" max="4126" width="9.140625" style="45"/>
    <col min="4127" max="4127" width="9.140625" style="45" customWidth="1"/>
    <col min="4128" max="4128" width="11.42578125" style="45" customWidth="1"/>
    <col min="4129" max="4129" width="7.5703125" style="45" customWidth="1"/>
    <col min="4130" max="4130" width="17.85546875" style="45" customWidth="1"/>
    <col min="4131" max="4131" width="3.5703125" style="45" customWidth="1"/>
    <col min="4132" max="4137" width="9.140625" style="45" customWidth="1"/>
    <col min="4138" max="4138" width="11" style="45" customWidth="1"/>
    <col min="4139" max="4141" width="9.140625" style="45" customWidth="1"/>
    <col min="4142" max="4142" width="10.7109375" style="45" customWidth="1"/>
    <col min="4143" max="4147" width="9.140625" style="45" customWidth="1"/>
    <col min="4148" max="4148" width="13.140625" style="45" customWidth="1"/>
    <col min="4149" max="4149" width="10.42578125" style="45" customWidth="1"/>
    <col min="4150" max="4150" width="10.28515625" style="45" customWidth="1"/>
    <col min="4151" max="4151" width="9.85546875" style="45" customWidth="1"/>
    <col min="4152" max="4152" width="10.7109375" style="45" customWidth="1"/>
    <col min="4153" max="4153" width="10" style="45" customWidth="1"/>
    <col min="4154" max="4154" width="9.5703125" style="45" customWidth="1"/>
    <col min="4155" max="4155" width="10.7109375" style="45" customWidth="1"/>
    <col min="4156" max="4156" width="9.85546875" style="45" customWidth="1"/>
    <col min="4157" max="4160" width="9.140625" style="45" customWidth="1"/>
    <col min="4161" max="4161" width="9.85546875" style="45" customWidth="1"/>
    <col min="4162" max="4162" width="10.85546875" style="45" customWidth="1"/>
    <col min="4163" max="4163" width="11.5703125" style="45" customWidth="1"/>
    <col min="4164" max="4165" width="9.140625" style="45" customWidth="1"/>
    <col min="4166" max="4382" width="9.140625" style="45"/>
    <col min="4383" max="4383" width="9.140625" style="45" customWidth="1"/>
    <col min="4384" max="4384" width="11.42578125" style="45" customWidth="1"/>
    <col min="4385" max="4385" width="7.5703125" style="45" customWidth="1"/>
    <col min="4386" max="4386" width="17.85546875" style="45" customWidth="1"/>
    <col min="4387" max="4387" width="3.5703125" style="45" customWidth="1"/>
    <col min="4388" max="4393" width="9.140625" style="45" customWidth="1"/>
    <col min="4394" max="4394" width="11" style="45" customWidth="1"/>
    <col min="4395" max="4397" width="9.140625" style="45" customWidth="1"/>
    <col min="4398" max="4398" width="10.7109375" style="45" customWidth="1"/>
    <col min="4399" max="4403" width="9.140625" style="45" customWidth="1"/>
    <col min="4404" max="4404" width="13.140625" style="45" customWidth="1"/>
    <col min="4405" max="4405" width="10.42578125" style="45" customWidth="1"/>
    <col min="4406" max="4406" width="10.28515625" style="45" customWidth="1"/>
    <col min="4407" max="4407" width="9.85546875" style="45" customWidth="1"/>
    <col min="4408" max="4408" width="10.7109375" style="45" customWidth="1"/>
    <col min="4409" max="4409" width="10" style="45" customWidth="1"/>
    <col min="4410" max="4410" width="9.5703125" style="45" customWidth="1"/>
    <col min="4411" max="4411" width="10.7109375" style="45" customWidth="1"/>
    <col min="4412" max="4412" width="9.85546875" style="45" customWidth="1"/>
    <col min="4413" max="4416" width="9.140625" style="45" customWidth="1"/>
    <col min="4417" max="4417" width="9.85546875" style="45" customWidth="1"/>
    <col min="4418" max="4418" width="10.85546875" style="45" customWidth="1"/>
    <col min="4419" max="4419" width="11.5703125" style="45" customWidth="1"/>
    <col min="4420" max="4421" width="9.140625" style="45" customWidth="1"/>
    <col min="4422" max="4638" width="9.140625" style="45"/>
    <col min="4639" max="4639" width="9.140625" style="45" customWidth="1"/>
    <col min="4640" max="4640" width="11.42578125" style="45" customWidth="1"/>
    <col min="4641" max="4641" width="7.5703125" style="45" customWidth="1"/>
    <col min="4642" max="4642" width="17.85546875" style="45" customWidth="1"/>
    <col min="4643" max="4643" width="3.5703125" style="45" customWidth="1"/>
    <col min="4644" max="4649" width="9.140625" style="45" customWidth="1"/>
    <col min="4650" max="4650" width="11" style="45" customWidth="1"/>
    <col min="4651" max="4653" width="9.140625" style="45" customWidth="1"/>
    <col min="4654" max="4654" width="10.7109375" style="45" customWidth="1"/>
    <col min="4655" max="4659" width="9.140625" style="45" customWidth="1"/>
    <col min="4660" max="4660" width="13.140625" style="45" customWidth="1"/>
    <col min="4661" max="4661" width="10.42578125" style="45" customWidth="1"/>
    <col min="4662" max="4662" width="10.28515625" style="45" customWidth="1"/>
    <col min="4663" max="4663" width="9.85546875" style="45" customWidth="1"/>
    <col min="4664" max="4664" width="10.7109375" style="45" customWidth="1"/>
    <col min="4665" max="4665" width="10" style="45" customWidth="1"/>
    <col min="4666" max="4666" width="9.5703125" style="45" customWidth="1"/>
    <col min="4667" max="4667" width="10.7109375" style="45" customWidth="1"/>
    <col min="4668" max="4668" width="9.85546875" style="45" customWidth="1"/>
    <col min="4669" max="4672" width="9.140625" style="45" customWidth="1"/>
    <col min="4673" max="4673" width="9.85546875" style="45" customWidth="1"/>
    <col min="4674" max="4674" width="10.85546875" style="45" customWidth="1"/>
    <col min="4675" max="4675" width="11.5703125" style="45" customWidth="1"/>
    <col min="4676" max="4677" width="9.140625" style="45" customWidth="1"/>
    <col min="4678" max="4894" width="9.140625" style="45"/>
    <col min="4895" max="4895" width="9.140625" style="45" customWidth="1"/>
    <col min="4896" max="4896" width="11.42578125" style="45" customWidth="1"/>
    <col min="4897" max="4897" width="7.5703125" style="45" customWidth="1"/>
    <col min="4898" max="4898" width="17.85546875" style="45" customWidth="1"/>
    <col min="4899" max="4899" width="3.5703125" style="45" customWidth="1"/>
    <col min="4900" max="4905" width="9.140625" style="45" customWidth="1"/>
    <col min="4906" max="4906" width="11" style="45" customWidth="1"/>
    <col min="4907" max="4909" width="9.140625" style="45" customWidth="1"/>
    <col min="4910" max="4910" width="10.7109375" style="45" customWidth="1"/>
    <col min="4911" max="4915" width="9.140625" style="45" customWidth="1"/>
    <col min="4916" max="4916" width="13.140625" style="45" customWidth="1"/>
    <col min="4917" max="4917" width="10.42578125" style="45" customWidth="1"/>
    <col min="4918" max="4918" width="10.28515625" style="45" customWidth="1"/>
    <col min="4919" max="4919" width="9.85546875" style="45" customWidth="1"/>
    <col min="4920" max="4920" width="10.7109375" style="45" customWidth="1"/>
    <col min="4921" max="4921" width="10" style="45" customWidth="1"/>
    <col min="4922" max="4922" width="9.5703125" style="45" customWidth="1"/>
    <col min="4923" max="4923" width="10.7109375" style="45" customWidth="1"/>
    <col min="4924" max="4924" width="9.85546875" style="45" customWidth="1"/>
    <col min="4925" max="4928" width="9.140625" style="45" customWidth="1"/>
    <col min="4929" max="4929" width="9.85546875" style="45" customWidth="1"/>
    <col min="4930" max="4930" width="10.85546875" style="45" customWidth="1"/>
    <col min="4931" max="4931" width="11.5703125" style="45" customWidth="1"/>
    <col min="4932" max="4933" width="9.140625" style="45" customWidth="1"/>
    <col min="4934" max="5150" width="9.140625" style="45"/>
    <col min="5151" max="5151" width="9.140625" style="45" customWidth="1"/>
    <col min="5152" max="5152" width="11.42578125" style="45" customWidth="1"/>
    <col min="5153" max="5153" width="7.5703125" style="45" customWidth="1"/>
    <col min="5154" max="5154" width="17.85546875" style="45" customWidth="1"/>
    <col min="5155" max="5155" width="3.5703125" style="45" customWidth="1"/>
    <col min="5156" max="5161" width="9.140625" style="45" customWidth="1"/>
    <col min="5162" max="5162" width="11" style="45" customWidth="1"/>
    <col min="5163" max="5165" width="9.140625" style="45" customWidth="1"/>
    <col min="5166" max="5166" width="10.7109375" style="45" customWidth="1"/>
    <col min="5167" max="5171" width="9.140625" style="45" customWidth="1"/>
    <col min="5172" max="5172" width="13.140625" style="45" customWidth="1"/>
    <col min="5173" max="5173" width="10.42578125" style="45" customWidth="1"/>
    <col min="5174" max="5174" width="10.28515625" style="45" customWidth="1"/>
    <col min="5175" max="5175" width="9.85546875" style="45" customWidth="1"/>
    <col min="5176" max="5176" width="10.7109375" style="45" customWidth="1"/>
    <col min="5177" max="5177" width="10" style="45" customWidth="1"/>
    <col min="5178" max="5178" width="9.5703125" style="45" customWidth="1"/>
    <col min="5179" max="5179" width="10.7109375" style="45" customWidth="1"/>
    <col min="5180" max="5180" width="9.85546875" style="45" customWidth="1"/>
    <col min="5181" max="5184" width="9.140625" style="45" customWidth="1"/>
    <col min="5185" max="5185" width="9.85546875" style="45" customWidth="1"/>
    <col min="5186" max="5186" width="10.85546875" style="45" customWidth="1"/>
    <col min="5187" max="5187" width="11.5703125" style="45" customWidth="1"/>
    <col min="5188" max="5189" width="9.140625" style="45" customWidth="1"/>
    <col min="5190" max="5406" width="9.140625" style="45"/>
    <col min="5407" max="5407" width="9.140625" style="45" customWidth="1"/>
    <col min="5408" max="5408" width="11.42578125" style="45" customWidth="1"/>
    <col min="5409" max="5409" width="7.5703125" style="45" customWidth="1"/>
    <col min="5410" max="5410" width="17.85546875" style="45" customWidth="1"/>
    <col min="5411" max="5411" width="3.5703125" style="45" customWidth="1"/>
    <col min="5412" max="5417" width="9.140625" style="45" customWidth="1"/>
    <col min="5418" max="5418" width="11" style="45" customWidth="1"/>
    <col min="5419" max="5421" width="9.140625" style="45" customWidth="1"/>
    <col min="5422" max="5422" width="10.7109375" style="45" customWidth="1"/>
    <col min="5423" max="5427" width="9.140625" style="45" customWidth="1"/>
    <col min="5428" max="5428" width="13.140625" style="45" customWidth="1"/>
    <col min="5429" max="5429" width="10.42578125" style="45" customWidth="1"/>
    <col min="5430" max="5430" width="10.28515625" style="45" customWidth="1"/>
    <col min="5431" max="5431" width="9.85546875" style="45" customWidth="1"/>
    <col min="5432" max="5432" width="10.7109375" style="45" customWidth="1"/>
    <col min="5433" max="5433" width="10" style="45" customWidth="1"/>
    <col min="5434" max="5434" width="9.5703125" style="45" customWidth="1"/>
    <col min="5435" max="5435" width="10.7109375" style="45" customWidth="1"/>
    <col min="5436" max="5436" width="9.85546875" style="45" customWidth="1"/>
    <col min="5437" max="5440" width="9.140625" style="45" customWidth="1"/>
    <col min="5441" max="5441" width="9.85546875" style="45" customWidth="1"/>
    <col min="5442" max="5442" width="10.85546875" style="45" customWidth="1"/>
    <col min="5443" max="5443" width="11.5703125" style="45" customWidth="1"/>
    <col min="5444" max="5445" width="9.140625" style="45" customWidth="1"/>
    <col min="5446" max="5662" width="9.140625" style="45"/>
    <col min="5663" max="5663" width="9.140625" style="45" customWidth="1"/>
    <col min="5664" max="5664" width="11.42578125" style="45" customWidth="1"/>
    <col min="5665" max="5665" width="7.5703125" style="45" customWidth="1"/>
    <col min="5666" max="5666" width="17.85546875" style="45" customWidth="1"/>
    <col min="5667" max="5667" width="3.5703125" style="45" customWidth="1"/>
    <col min="5668" max="5673" width="9.140625" style="45" customWidth="1"/>
    <col min="5674" max="5674" width="11" style="45" customWidth="1"/>
    <col min="5675" max="5677" width="9.140625" style="45" customWidth="1"/>
    <col min="5678" max="5678" width="10.7109375" style="45" customWidth="1"/>
    <col min="5679" max="5683" width="9.140625" style="45" customWidth="1"/>
    <col min="5684" max="5684" width="13.140625" style="45" customWidth="1"/>
    <col min="5685" max="5685" width="10.42578125" style="45" customWidth="1"/>
    <col min="5686" max="5686" width="10.28515625" style="45" customWidth="1"/>
    <col min="5687" max="5687" width="9.85546875" style="45" customWidth="1"/>
    <col min="5688" max="5688" width="10.7109375" style="45" customWidth="1"/>
    <col min="5689" max="5689" width="10" style="45" customWidth="1"/>
    <col min="5690" max="5690" width="9.5703125" style="45" customWidth="1"/>
    <col min="5691" max="5691" width="10.7109375" style="45" customWidth="1"/>
    <col min="5692" max="5692" width="9.85546875" style="45" customWidth="1"/>
    <col min="5693" max="5696" width="9.140625" style="45" customWidth="1"/>
    <col min="5697" max="5697" width="9.85546875" style="45" customWidth="1"/>
    <col min="5698" max="5698" width="10.85546875" style="45" customWidth="1"/>
    <col min="5699" max="5699" width="11.5703125" style="45" customWidth="1"/>
    <col min="5700" max="5701" width="9.140625" style="45" customWidth="1"/>
    <col min="5702" max="5918" width="9.140625" style="45"/>
    <col min="5919" max="5919" width="9.140625" style="45" customWidth="1"/>
    <col min="5920" max="5920" width="11.42578125" style="45" customWidth="1"/>
    <col min="5921" max="5921" width="7.5703125" style="45" customWidth="1"/>
    <col min="5922" max="5922" width="17.85546875" style="45" customWidth="1"/>
    <col min="5923" max="5923" width="3.5703125" style="45" customWidth="1"/>
    <col min="5924" max="5929" width="9.140625" style="45" customWidth="1"/>
    <col min="5930" max="5930" width="11" style="45" customWidth="1"/>
    <col min="5931" max="5933" width="9.140625" style="45" customWidth="1"/>
    <col min="5934" max="5934" width="10.7109375" style="45" customWidth="1"/>
    <col min="5935" max="5939" width="9.140625" style="45" customWidth="1"/>
    <col min="5940" max="5940" width="13.140625" style="45" customWidth="1"/>
    <col min="5941" max="5941" width="10.42578125" style="45" customWidth="1"/>
    <col min="5942" max="5942" width="10.28515625" style="45" customWidth="1"/>
    <col min="5943" max="5943" width="9.85546875" style="45" customWidth="1"/>
    <col min="5944" max="5944" width="10.7109375" style="45" customWidth="1"/>
    <col min="5945" max="5945" width="10" style="45" customWidth="1"/>
    <col min="5946" max="5946" width="9.5703125" style="45" customWidth="1"/>
    <col min="5947" max="5947" width="10.7109375" style="45" customWidth="1"/>
    <col min="5948" max="5948" width="9.85546875" style="45" customWidth="1"/>
    <col min="5949" max="5952" width="9.140625" style="45" customWidth="1"/>
    <col min="5953" max="5953" width="9.85546875" style="45" customWidth="1"/>
    <col min="5954" max="5954" width="10.85546875" style="45" customWidth="1"/>
    <col min="5955" max="5955" width="11.5703125" style="45" customWidth="1"/>
    <col min="5956" max="5957" width="9.140625" style="45" customWidth="1"/>
    <col min="5958" max="6174" width="9.140625" style="45"/>
    <col min="6175" max="6175" width="9.140625" style="45" customWidth="1"/>
    <col min="6176" max="6176" width="11.42578125" style="45" customWidth="1"/>
    <col min="6177" max="6177" width="7.5703125" style="45" customWidth="1"/>
    <col min="6178" max="6178" width="17.85546875" style="45" customWidth="1"/>
    <col min="6179" max="6179" width="3.5703125" style="45" customWidth="1"/>
    <col min="6180" max="6185" width="9.140625" style="45" customWidth="1"/>
    <col min="6186" max="6186" width="11" style="45" customWidth="1"/>
    <col min="6187" max="6189" width="9.140625" style="45" customWidth="1"/>
    <col min="6190" max="6190" width="10.7109375" style="45" customWidth="1"/>
    <col min="6191" max="6195" width="9.140625" style="45" customWidth="1"/>
    <col min="6196" max="6196" width="13.140625" style="45" customWidth="1"/>
    <col min="6197" max="6197" width="10.42578125" style="45" customWidth="1"/>
    <col min="6198" max="6198" width="10.28515625" style="45" customWidth="1"/>
    <col min="6199" max="6199" width="9.85546875" style="45" customWidth="1"/>
    <col min="6200" max="6200" width="10.7109375" style="45" customWidth="1"/>
    <col min="6201" max="6201" width="10" style="45" customWidth="1"/>
    <col min="6202" max="6202" width="9.5703125" style="45" customWidth="1"/>
    <col min="6203" max="6203" width="10.7109375" style="45" customWidth="1"/>
    <col min="6204" max="6204" width="9.85546875" style="45" customWidth="1"/>
    <col min="6205" max="6208" width="9.140625" style="45" customWidth="1"/>
    <col min="6209" max="6209" width="9.85546875" style="45" customWidth="1"/>
    <col min="6210" max="6210" width="10.85546875" style="45" customWidth="1"/>
    <col min="6211" max="6211" width="11.5703125" style="45" customWidth="1"/>
    <col min="6212" max="6213" width="9.140625" style="45" customWidth="1"/>
    <col min="6214" max="6430" width="9.140625" style="45"/>
    <col min="6431" max="6431" width="9.140625" style="45" customWidth="1"/>
    <col min="6432" max="6432" width="11.42578125" style="45" customWidth="1"/>
    <col min="6433" max="6433" width="7.5703125" style="45" customWidth="1"/>
    <col min="6434" max="6434" width="17.85546875" style="45" customWidth="1"/>
    <col min="6435" max="6435" width="3.5703125" style="45" customWidth="1"/>
    <col min="6436" max="6441" width="9.140625" style="45" customWidth="1"/>
    <col min="6442" max="6442" width="11" style="45" customWidth="1"/>
    <col min="6443" max="6445" width="9.140625" style="45" customWidth="1"/>
    <col min="6446" max="6446" width="10.7109375" style="45" customWidth="1"/>
    <col min="6447" max="6451" width="9.140625" style="45" customWidth="1"/>
    <col min="6452" max="6452" width="13.140625" style="45" customWidth="1"/>
    <col min="6453" max="6453" width="10.42578125" style="45" customWidth="1"/>
    <col min="6454" max="6454" width="10.28515625" style="45" customWidth="1"/>
    <col min="6455" max="6455" width="9.85546875" style="45" customWidth="1"/>
    <col min="6456" max="6456" width="10.7109375" style="45" customWidth="1"/>
    <col min="6457" max="6457" width="10" style="45" customWidth="1"/>
    <col min="6458" max="6458" width="9.5703125" style="45" customWidth="1"/>
    <col min="6459" max="6459" width="10.7109375" style="45" customWidth="1"/>
    <col min="6460" max="6460" width="9.85546875" style="45" customWidth="1"/>
    <col min="6461" max="6464" width="9.140625" style="45" customWidth="1"/>
    <col min="6465" max="6465" width="9.85546875" style="45" customWidth="1"/>
    <col min="6466" max="6466" width="10.85546875" style="45" customWidth="1"/>
    <col min="6467" max="6467" width="11.5703125" style="45" customWidth="1"/>
    <col min="6468" max="6469" width="9.140625" style="45" customWidth="1"/>
    <col min="6470" max="6686" width="9.140625" style="45"/>
    <col min="6687" max="6687" width="9.140625" style="45" customWidth="1"/>
    <col min="6688" max="6688" width="11.42578125" style="45" customWidth="1"/>
    <col min="6689" max="6689" width="7.5703125" style="45" customWidth="1"/>
    <col min="6690" max="6690" width="17.85546875" style="45" customWidth="1"/>
    <col min="6691" max="6691" width="3.5703125" style="45" customWidth="1"/>
    <col min="6692" max="6697" width="9.140625" style="45" customWidth="1"/>
    <col min="6698" max="6698" width="11" style="45" customWidth="1"/>
    <col min="6699" max="6701" width="9.140625" style="45" customWidth="1"/>
    <col min="6702" max="6702" width="10.7109375" style="45" customWidth="1"/>
    <col min="6703" max="6707" width="9.140625" style="45" customWidth="1"/>
    <col min="6708" max="6708" width="13.140625" style="45" customWidth="1"/>
    <col min="6709" max="6709" width="10.42578125" style="45" customWidth="1"/>
    <col min="6710" max="6710" width="10.28515625" style="45" customWidth="1"/>
    <col min="6711" max="6711" width="9.85546875" style="45" customWidth="1"/>
    <col min="6712" max="6712" width="10.7109375" style="45" customWidth="1"/>
    <col min="6713" max="6713" width="10" style="45" customWidth="1"/>
    <col min="6714" max="6714" width="9.5703125" style="45" customWidth="1"/>
    <col min="6715" max="6715" width="10.7109375" style="45" customWidth="1"/>
    <col min="6716" max="6716" width="9.85546875" style="45" customWidth="1"/>
    <col min="6717" max="6720" width="9.140625" style="45" customWidth="1"/>
    <col min="6721" max="6721" width="9.85546875" style="45" customWidth="1"/>
    <col min="6722" max="6722" width="10.85546875" style="45" customWidth="1"/>
    <col min="6723" max="6723" width="11.5703125" style="45" customWidth="1"/>
    <col min="6724" max="6725" width="9.140625" style="45" customWidth="1"/>
    <col min="6726" max="6942" width="9.140625" style="45"/>
    <col min="6943" max="6943" width="9.140625" style="45" customWidth="1"/>
    <col min="6944" max="6944" width="11.42578125" style="45" customWidth="1"/>
    <col min="6945" max="6945" width="7.5703125" style="45" customWidth="1"/>
    <col min="6946" max="6946" width="17.85546875" style="45" customWidth="1"/>
    <col min="6947" max="6947" width="3.5703125" style="45" customWidth="1"/>
    <col min="6948" max="6953" width="9.140625" style="45" customWidth="1"/>
    <col min="6954" max="6954" width="11" style="45" customWidth="1"/>
    <col min="6955" max="6957" width="9.140625" style="45" customWidth="1"/>
    <col min="6958" max="6958" width="10.7109375" style="45" customWidth="1"/>
    <col min="6959" max="6963" width="9.140625" style="45" customWidth="1"/>
    <col min="6964" max="6964" width="13.140625" style="45" customWidth="1"/>
    <col min="6965" max="6965" width="10.42578125" style="45" customWidth="1"/>
    <col min="6966" max="6966" width="10.28515625" style="45" customWidth="1"/>
    <col min="6967" max="6967" width="9.85546875" style="45" customWidth="1"/>
    <col min="6968" max="6968" width="10.7109375" style="45" customWidth="1"/>
    <col min="6969" max="6969" width="10" style="45" customWidth="1"/>
    <col min="6970" max="6970" width="9.5703125" style="45" customWidth="1"/>
    <col min="6971" max="6971" width="10.7109375" style="45" customWidth="1"/>
    <col min="6972" max="6972" width="9.85546875" style="45" customWidth="1"/>
    <col min="6973" max="6976" width="9.140625" style="45" customWidth="1"/>
    <col min="6977" max="6977" width="9.85546875" style="45" customWidth="1"/>
    <col min="6978" max="6978" width="10.85546875" style="45" customWidth="1"/>
    <col min="6979" max="6979" width="11.5703125" style="45" customWidth="1"/>
    <col min="6980" max="6981" width="9.140625" style="45" customWidth="1"/>
    <col min="6982" max="7198" width="9.140625" style="45"/>
    <col min="7199" max="7199" width="9.140625" style="45" customWidth="1"/>
    <col min="7200" max="7200" width="11.42578125" style="45" customWidth="1"/>
    <col min="7201" max="7201" width="7.5703125" style="45" customWidth="1"/>
    <col min="7202" max="7202" width="17.85546875" style="45" customWidth="1"/>
    <col min="7203" max="7203" width="3.5703125" style="45" customWidth="1"/>
    <col min="7204" max="7209" width="9.140625" style="45" customWidth="1"/>
    <col min="7210" max="7210" width="11" style="45" customWidth="1"/>
    <col min="7211" max="7213" width="9.140625" style="45" customWidth="1"/>
    <col min="7214" max="7214" width="10.7109375" style="45" customWidth="1"/>
    <col min="7215" max="7219" width="9.140625" style="45" customWidth="1"/>
    <col min="7220" max="7220" width="13.140625" style="45" customWidth="1"/>
    <col min="7221" max="7221" width="10.42578125" style="45" customWidth="1"/>
    <col min="7222" max="7222" width="10.28515625" style="45" customWidth="1"/>
    <col min="7223" max="7223" width="9.85546875" style="45" customWidth="1"/>
    <col min="7224" max="7224" width="10.7109375" style="45" customWidth="1"/>
    <col min="7225" max="7225" width="10" style="45" customWidth="1"/>
    <col min="7226" max="7226" width="9.5703125" style="45" customWidth="1"/>
    <col min="7227" max="7227" width="10.7109375" style="45" customWidth="1"/>
    <col min="7228" max="7228" width="9.85546875" style="45" customWidth="1"/>
    <col min="7229" max="7232" width="9.140625" style="45" customWidth="1"/>
    <col min="7233" max="7233" width="9.85546875" style="45" customWidth="1"/>
    <col min="7234" max="7234" width="10.85546875" style="45" customWidth="1"/>
    <col min="7235" max="7235" width="11.5703125" style="45" customWidth="1"/>
    <col min="7236" max="7237" width="9.140625" style="45" customWidth="1"/>
    <col min="7238" max="7454" width="9.140625" style="45"/>
    <col min="7455" max="7455" width="9.140625" style="45" customWidth="1"/>
    <col min="7456" max="7456" width="11.42578125" style="45" customWidth="1"/>
    <col min="7457" max="7457" width="7.5703125" style="45" customWidth="1"/>
    <col min="7458" max="7458" width="17.85546875" style="45" customWidth="1"/>
    <col min="7459" max="7459" width="3.5703125" style="45" customWidth="1"/>
    <col min="7460" max="7465" width="9.140625" style="45" customWidth="1"/>
    <col min="7466" max="7466" width="11" style="45" customWidth="1"/>
    <col min="7467" max="7469" width="9.140625" style="45" customWidth="1"/>
    <col min="7470" max="7470" width="10.7109375" style="45" customWidth="1"/>
    <col min="7471" max="7475" width="9.140625" style="45" customWidth="1"/>
    <col min="7476" max="7476" width="13.140625" style="45" customWidth="1"/>
    <col min="7477" max="7477" width="10.42578125" style="45" customWidth="1"/>
    <col min="7478" max="7478" width="10.28515625" style="45" customWidth="1"/>
    <col min="7479" max="7479" width="9.85546875" style="45" customWidth="1"/>
    <col min="7480" max="7480" width="10.7109375" style="45" customWidth="1"/>
    <col min="7481" max="7481" width="10" style="45" customWidth="1"/>
    <col min="7482" max="7482" width="9.5703125" style="45" customWidth="1"/>
    <col min="7483" max="7483" width="10.7109375" style="45" customWidth="1"/>
    <col min="7484" max="7484" width="9.85546875" style="45" customWidth="1"/>
    <col min="7485" max="7488" width="9.140625" style="45" customWidth="1"/>
    <col min="7489" max="7489" width="9.85546875" style="45" customWidth="1"/>
    <col min="7490" max="7490" width="10.85546875" style="45" customWidth="1"/>
    <col min="7491" max="7491" width="11.5703125" style="45" customWidth="1"/>
    <col min="7492" max="7493" width="9.140625" style="45" customWidth="1"/>
    <col min="7494" max="7710" width="9.140625" style="45"/>
    <col min="7711" max="7711" width="9.140625" style="45" customWidth="1"/>
    <col min="7712" max="7712" width="11.42578125" style="45" customWidth="1"/>
    <col min="7713" max="7713" width="7.5703125" style="45" customWidth="1"/>
    <col min="7714" max="7714" width="17.85546875" style="45" customWidth="1"/>
    <col min="7715" max="7715" width="3.5703125" style="45" customWidth="1"/>
    <col min="7716" max="7721" width="9.140625" style="45" customWidth="1"/>
    <col min="7722" max="7722" width="11" style="45" customWidth="1"/>
    <col min="7723" max="7725" width="9.140625" style="45" customWidth="1"/>
    <col min="7726" max="7726" width="10.7109375" style="45" customWidth="1"/>
    <col min="7727" max="7731" width="9.140625" style="45" customWidth="1"/>
    <col min="7732" max="7732" width="13.140625" style="45" customWidth="1"/>
    <col min="7733" max="7733" width="10.42578125" style="45" customWidth="1"/>
    <col min="7734" max="7734" width="10.28515625" style="45" customWidth="1"/>
    <col min="7735" max="7735" width="9.85546875" style="45" customWidth="1"/>
    <col min="7736" max="7736" width="10.7109375" style="45" customWidth="1"/>
    <col min="7737" max="7737" width="10" style="45" customWidth="1"/>
    <col min="7738" max="7738" width="9.5703125" style="45" customWidth="1"/>
    <col min="7739" max="7739" width="10.7109375" style="45" customWidth="1"/>
    <col min="7740" max="7740" width="9.85546875" style="45" customWidth="1"/>
    <col min="7741" max="7744" width="9.140625" style="45" customWidth="1"/>
    <col min="7745" max="7745" width="9.85546875" style="45" customWidth="1"/>
    <col min="7746" max="7746" width="10.85546875" style="45" customWidth="1"/>
    <col min="7747" max="7747" width="11.5703125" style="45" customWidth="1"/>
    <col min="7748" max="7749" width="9.140625" style="45" customWidth="1"/>
    <col min="7750" max="7966" width="9.140625" style="45"/>
    <col min="7967" max="7967" width="9.140625" style="45" customWidth="1"/>
    <col min="7968" max="7968" width="11.42578125" style="45" customWidth="1"/>
    <col min="7969" max="7969" width="7.5703125" style="45" customWidth="1"/>
    <col min="7970" max="7970" width="17.85546875" style="45" customWidth="1"/>
    <col min="7971" max="7971" width="3.5703125" style="45" customWidth="1"/>
    <col min="7972" max="7977" width="9.140625" style="45" customWidth="1"/>
    <col min="7978" max="7978" width="11" style="45" customWidth="1"/>
    <col min="7979" max="7981" width="9.140625" style="45" customWidth="1"/>
    <col min="7982" max="7982" width="10.7109375" style="45" customWidth="1"/>
    <col min="7983" max="7987" width="9.140625" style="45" customWidth="1"/>
    <col min="7988" max="7988" width="13.140625" style="45" customWidth="1"/>
    <col min="7989" max="7989" width="10.42578125" style="45" customWidth="1"/>
    <col min="7990" max="7990" width="10.28515625" style="45" customWidth="1"/>
    <col min="7991" max="7991" width="9.85546875" style="45" customWidth="1"/>
    <col min="7992" max="7992" width="10.7109375" style="45" customWidth="1"/>
    <col min="7993" max="7993" width="10" style="45" customWidth="1"/>
    <col min="7994" max="7994" width="9.5703125" style="45" customWidth="1"/>
    <col min="7995" max="7995" width="10.7109375" style="45" customWidth="1"/>
    <col min="7996" max="7996" width="9.85546875" style="45" customWidth="1"/>
    <col min="7997" max="8000" width="9.140625" style="45" customWidth="1"/>
    <col min="8001" max="8001" width="9.85546875" style="45" customWidth="1"/>
    <col min="8002" max="8002" width="10.85546875" style="45" customWidth="1"/>
    <col min="8003" max="8003" width="11.5703125" style="45" customWidth="1"/>
    <col min="8004" max="8005" width="9.140625" style="45" customWidth="1"/>
    <col min="8006" max="8222" width="9.140625" style="45"/>
    <col min="8223" max="8223" width="9.140625" style="45" customWidth="1"/>
    <col min="8224" max="8224" width="11.42578125" style="45" customWidth="1"/>
    <col min="8225" max="8225" width="7.5703125" style="45" customWidth="1"/>
    <col min="8226" max="8226" width="17.85546875" style="45" customWidth="1"/>
    <col min="8227" max="8227" width="3.5703125" style="45" customWidth="1"/>
    <col min="8228" max="8233" width="9.140625" style="45" customWidth="1"/>
    <col min="8234" max="8234" width="11" style="45" customWidth="1"/>
    <col min="8235" max="8237" width="9.140625" style="45" customWidth="1"/>
    <col min="8238" max="8238" width="10.7109375" style="45" customWidth="1"/>
    <col min="8239" max="8243" width="9.140625" style="45" customWidth="1"/>
    <col min="8244" max="8244" width="13.140625" style="45" customWidth="1"/>
    <col min="8245" max="8245" width="10.42578125" style="45" customWidth="1"/>
    <col min="8246" max="8246" width="10.28515625" style="45" customWidth="1"/>
    <col min="8247" max="8247" width="9.85546875" style="45" customWidth="1"/>
    <col min="8248" max="8248" width="10.7109375" style="45" customWidth="1"/>
    <col min="8249" max="8249" width="10" style="45" customWidth="1"/>
    <col min="8250" max="8250" width="9.5703125" style="45" customWidth="1"/>
    <col min="8251" max="8251" width="10.7109375" style="45" customWidth="1"/>
    <col min="8252" max="8252" width="9.85546875" style="45" customWidth="1"/>
    <col min="8253" max="8256" width="9.140625" style="45" customWidth="1"/>
    <col min="8257" max="8257" width="9.85546875" style="45" customWidth="1"/>
    <col min="8258" max="8258" width="10.85546875" style="45" customWidth="1"/>
    <col min="8259" max="8259" width="11.5703125" style="45" customWidth="1"/>
    <col min="8260" max="8261" width="9.140625" style="45" customWidth="1"/>
    <col min="8262" max="8478" width="9.140625" style="45"/>
    <col min="8479" max="8479" width="9.140625" style="45" customWidth="1"/>
    <col min="8480" max="8480" width="11.42578125" style="45" customWidth="1"/>
    <col min="8481" max="8481" width="7.5703125" style="45" customWidth="1"/>
    <col min="8482" max="8482" width="17.85546875" style="45" customWidth="1"/>
    <col min="8483" max="8483" width="3.5703125" style="45" customWidth="1"/>
    <col min="8484" max="8489" width="9.140625" style="45" customWidth="1"/>
    <col min="8490" max="8490" width="11" style="45" customWidth="1"/>
    <col min="8491" max="8493" width="9.140625" style="45" customWidth="1"/>
    <col min="8494" max="8494" width="10.7109375" style="45" customWidth="1"/>
    <col min="8495" max="8499" width="9.140625" style="45" customWidth="1"/>
    <col min="8500" max="8500" width="13.140625" style="45" customWidth="1"/>
    <col min="8501" max="8501" width="10.42578125" style="45" customWidth="1"/>
    <col min="8502" max="8502" width="10.28515625" style="45" customWidth="1"/>
    <col min="8503" max="8503" width="9.85546875" style="45" customWidth="1"/>
    <col min="8504" max="8504" width="10.7109375" style="45" customWidth="1"/>
    <col min="8505" max="8505" width="10" style="45" customWidth="1"/>
    <col min="8506" max="8506" width="9.5703125" style="45" customWidth="1"/>
    <col min="8507" max="8507" width="10.7109375" style="45" customWidth="1"/>
    <col min="8508" max="8508" width="9.85546875" style="45" customWidth="1"/>
    <col min="8509" max="8512" width="9.140625" style="45" customWidth="1"/>
    <col min="8513" max="8513" width="9.85546875" style="45" customWidth="1"/>
    <col min="8514" max="8514" width="10.85546875" style="45" customWidth="1"/>
    <col min="8515" max="8515" width="11.5703125" style="45" customWidth="1"/>
    <col min="8516" max="8517" width="9.140625" style="45" customWidth="1"/>
    <col min="8518" max="8734" width="9.140625" style="45"/>
    <col min="8735" max="8735" width="9.140625" style="45" customWidth="1"/>
    <col min="8736" max="8736" width="11.42578125" style="45" customWidth="1"/>
    <col min="8737" max="8737" width="7.5703125" style="45" customWidth="1"/>
    <col min="8738" max="8738" width="17.85546875" style="45" customWidth="1"/>
    <col min="8739" max="8739" width="3.5703125" style="45" customWidth="1"/>
    <col min="8740" max="8745" width="9.140625" style="45" customWidth="1"/>
    <col min="8746" max="8746" width="11" style="45" customWidth="1"/>
    <col min="8747" max="8749" width="9.140625" style="45" customWidth="1"/>
    <col min="8750" max="8750" width="10.7109375" style="45" customWidth="1"/>
    <col min="8751" max="8755" width="9.140625" style="45" customWidth="1"/>
    <col min="8756" max="8756" width="13.140625" style="45" customWidth="1"/>
    <col min="8757" max="8757" width="10.42578125" style="45" customWidth="1"/>
    <col min="8758" max="8758" width="10.28515625" style="45" customWidth="1"/>
    <col min="8759" max="8759" width="9.85546875" style="45" customWidth="1"/>
    <col min="8760" max="8760" width="10.7109375" style="45" customWidth="1"/>
    <col min="8761" max="8761" width="10" style="45" customWidth="1"/>
    <col min="8762" max="8762" width="9.5703125" style="45" customWidth="1"/>
    <col min="8763" max="8763" width="10.7109375" style="45" customWidth="1"/>
    <col min="8764" max="8764" width="9.85546875" style="45" customWidth="1"/>
    <col min="8765" max="8768" width="9.140625" style="45" customWidth="1"/>
    <col min="8769" max="8769" width="9.85546875" style="45" customWidth="1"/>
    <col min="8770" max="8770" width="10.85546875" style="45" customWidth="1"/>
    <col min="8771" max="8771" width="11.5703125" style="45" customWidth="1"/>
    <col min="8772" max="8773" width="9.140625" style="45" customWidth="1"/>
    <col min="8774" max="8990" width="9.140625" style="45"/>
    <col min="8991" max="8991" width="9.140625" style="45" customWidth="1"/>
    <col min="8992" max="8992" width="11.42578125" style="45" customWidth="1"/>
    <col min="8993" max="8993" width="7.5703125" style="45" customWidth="1"/>
    <col min="8994" max="8994" width="17.85546875" style="45" customWidth="1"/>
    <col min="8995" max="8995" width="3.5703125" style="45" customWidth="1"/>
    <col min="8996" max="9001" width="9.140625" style="45" customWidth="1"/>
    <col min="9002" max="9002" width="11" style="45" customWidth="1"/>
    <col min="9003" max="9005" width="9.140625" style="45" customWidth="1"/>
    <col min="9006" max="9006" width="10.7109375" style="45" customWidth="1"/>
    <col min="9007" max="9011" width="9.140625" style="45" customWidth="1"/>
    <col min="9012" max="9012" width="13.140625" style="45" customWidth="1"/>
    <col min="9013" max="9013" width="10.42578125" style="45" customWidth="1"/>
    <col min="9014" max="9014" width="10.28515625" style="45" customWidth="1"/>
    <col min="9015" max="9015" width="9.85546875" style="45" customWidth="1"/>
    <col min="9016" max="9016" width="10.7109375" style="45" customWidth="1"/>
    <col min="9017" max="9017" width="10" style="45" customWidth="1"/>
    <col min="9018" max="9018" width="9.5703125" style="45" customWidth="1"/>
    <col min="9019" max="9019" width="10.7109375" style="45" customWidth="1"/>
    <col min="9020" max="9020" width="9.85546875" style="45" customWidth="1"/>
    <col min="9021" max="9024" width="9.140625" style="45" customWidth="1"/>
    <col min="9025" max="9025" width="9.85546875" style="45" customWidth="1"/>
    <col min="9026" max="9026" width="10.85546875" style="45" customWidth="1"/>
    <col min="9027" max="9027" width="11.5703125" style="45" customWidth="1"/>
    <col min="9028" max="9029" width="9.140625" style="45" customWidth="1"/>
    <col min="9030" max="9246" width="9.140625" style="45"/>
    <col min="9247" max="9247" width="9.140625" style="45" customWidth="1"/>
    <col min="9248" max="9248" width="11.42578125" style="45" customWidth="1"/>
    <col min="9249" max="9249" width="7.5703125" style="45" customWidth="1"/>
    <col min="9250" max="9250" width="17.85546875" style="45" customWidth="1"/>
    <col min="9251" max="9251" width="3.5703125" style="45" customWidth="1"/>
    <col min="9252" max="9257" width="9.140625" style="45" customWidth="1"/>
    <col min="9258" max="9258" width="11" style="45" customWidth="1"/>
    <col min="9259" max="9261" width="9.140625" style="45" customWidth="1"/>
    <col min="9262" max="9262" width="10.7109375" style="45" customWidth="1"/>
    <col min="9263" max="9267" width="9.140625" style="45" customWidth="1"/>
    <col min="9268" max="9268" width="13.140625" style="45" customWidth="1"/>
    <col min="9269" max="9269" width="10.42578125" style="45" customWidth="1"/>
    <col min="9270" max="9270" width="10.28515625" style="45" customWidth="1"/>
    <col min="9271" max="9271" width="9.85546875" style="45" customWidth="1"/>
    <col min="9272" max="9272" width="10.7109375" style="45" customWidth="1"/>
    <col min="9273" max="9273" width="10" style="45" customWidth="1"/>
    <col min="9274" max="9274" width="9.5703125" style="45" customWidth="1"/>
    <col min="9275" max="9275" width="10.7109375" style="45" customWidth="1"/>
    <col min="9276" max="9276" width="9.85546875" style="45" customWidth="1"/>
    <col min="9277" max="9280" width="9.140625" style="45" customWidth="1"/>
    <col min="9281" max="9281" width="9.85546875" style="45" customWidth="1"/>
    <col min="9282" max="9282" width="10.85546875" style="45" customWidth="1"/>
    <col min="9283" max="9283" width="11.5703125" style="45" customWidth="1"/>
    <col min="9284" max="9285" width="9.140625" style="45" customWidth="1"/>
    <col min="9286" max="9502" width="9.140625" style="45"/>
    <col min="9503" max="9503" width="9.140625" style="45" customWidth="1"/>
    <col min="9504" max="9504" width="11.42578125" style="45" customWidth="1"/>
    <col min="9505" max="9505" width="7.5703125" style="45" customWidth="1"/>
    <col min="9506" max="9506" width="17.85546875" style="45" customWidth="1"/>
    <col min="9507" max="9507" width="3.5703125" style="45" customWidth="1"/>
    <col min="9508" max="9513" width="9.140625" style="45" customWidth="1"/>
    <col min="9514" max="9514" width="11" style="45" customWidth="1"/>
    <col min="9515" max="9517" width="9.140625" style="45" customWidth="1"/>
    <col min="9518" max="9518" width="10.7109375" style="45" customWidth="1"/>
    <col min="9519" max="9523" width="9.140625" style="45" customWidth="1"/>
    <col min="9524" max="9524" width="13.140625" style="45" customWidth="1"/>
    <col min="9525" max="9525" width="10.42578125" style="45" customWidth="1"/>
    <col min="9526" max="9526" width="10.28515625" style="45" customWidth="1"/>
    <col min="9527" max="9527" width="9.85546875" style="45" customWidth="1"/>
    <col min="9528" max="9528" width="10.7109375" style="45" customWidth="1"/>
    <col min="9529" max="9529" width="10" style="45" customWidth="1"/>
    <col min="9530" max="9530" width="9.5703125" style="45" customWidth="1"/>
    <col min="9531" max="9531" width="10.7109375" style="45" customWidth="1"/>
    <col min="9532" max="9532" width="9.85546875" style="45" customWidth="1"/>
    <col min="9533" max="9536" width="9.140625" style="45" customWidth="1"/>
    <col min="9537" max="9537" width="9.85546875" style="45" customWidth="1"/>
    <col min="9538" max="9538" width="10.85546875" style="45" customWidth="1"/>
    <col min="9539" max="9539" width="11.5703125" style="45" customWidth="1"/>
    <col min="9540" max="9541" width="9.140625" style="45" customWidth="1"/>
    <col min="9542" max="9758" width="9.140625" style="45"/>
    <col min="9759" max="9759" width="9.140625" style="45" customWidth="1"/>
    <col min="9760" max="9760" width="11.42578125" style="45" customWidth="1"/>
    <col min="9761" max="9761" width="7.5703125" style="45" customWidth="1"/>
    <col min="9762" max="9762" width="17.85546875" style="45" customWidth="1"/>
    <col min="9763" max="9763" width="3.5703125" style="45" customWidth="1"/>
    <col min="9764" max="9769" width="9.140625" style="45" customWidth="1"/>
    <col min="9770" max="9770" width="11" style="45" customWidth="1"/>
    <col min="9771" max="9773" width="9.140625" style="45" customWidth="1"/>
    <col min="9774" max="9774" width="10.7109375" style="45" customWidth="1"/>
    <col min="9775" max="9779" width="9.140625" style="45" customWidth="1"/>
    <col min="9780" max="9780" width="13.140625" style="45" customWidth="1"/>
    <col min="9781" max="9781" width="10.42578125" style="45" customWidth="1"/>
    <col min="9782" max="9782" width="10.28515625" style="45" customWidth="1"/>
    <col min="9783" max="9783" width="9.85546875" style="45" customWidth="1"/>
    <col min="9784" max="9784" width="10.7109375" style="45" customWidth="1"/>
    <col min="9785" max="9785" width="10" style="45" customWidth="1"/>
    <col min="9786" max="9786" width="9.5703125" style="45" customWidth="1"/>
    <col min="9787" max="9787" width="10.7109375" style="45" customWidth="1"/>
    <col min="9788" max="9788" width="9.85546875" style="45" customWidth="1"/>
    <col min="9789" max="9792" width="9.140625" style="45" customWidth="1"/>
    <col min="9793" max="9793" width="9.85546875" style="45" customWidth="1"/>
    <col min="9794" max="9794" width="10.85546875" style="45" customWidth="1"/>
    <col min="9795" max="9795" width="11.5703125" style="45" customWidth="1"/>
    <col min="9796" max="9797" width="9.140625" style="45" customWidth="1"/>
    <col min="9798" max="10014" width="9.140625" style="45"/>
    <col min="10015" max="10015" width="9.140625" style="45" customWidth="1"/>
    <col min="10016" max="10016" width="11.42578125" style="45" customWidth="1"/>
    <col min="10017" max="10017" width="7.5703125" style="45" customWidth="1"/>
    <col min="10018" max="10018" width="17.85546875" style="45" customWidth="1"/>
    <col min="10019" max="10019" width="3.5703125" style="45" customWidth="1"/>
    <col min="10020" max="10025" width="9.140625" style="45" customWidth="1"/>
    <col min="10026" max="10026" width="11" style="45" customWidth="1"/>
    <col min="10027" max="10029" width="9.140625" style="45" customWidth="1"/>
    <col min="10030" max="10030" width="10.7109375" style="45" customWidth="1"/>
    <col min="10031" max="10035" width="9.140625" style="45" customWidth="1"/>
    <col min="10036" max="10036" width="13.140625" style="45" customWidth="1"/>
    <col min="10037" max="10037" width="10.42578125" style="45" customWidth="1"/>
    <col min="10038" max="10038" width="10.28515625" style="45" customWidth="1"/>
    <col min="10039" max="10039" width="9.85546875" style="45" customWidth="1"/>
    <col min="10040" max="10040" width="10.7109375" style="45" customWidth="1"/>
    <col min="10041" max="10041" width="10" style="45" customWidth="1"/>
    <col min="10042" max="10042" width="9.5703125" style="45" customWidth="1"/>
    <col min="10043" max="10043" width="10.7109375" style="45" customWidth="1"/>
    <col min="10044" max="10044" width="9.85546875" style="45" customWidth="1"/>
    <col min="10045" max="10048" width="9.140625" style="45" customWidth="1"/>
    <col min="10049" max="10049" width="9.85546875" style="45" customWidth="1"/>
    <col min="10050" max="10050" width="10.85546875" style="45" customWidth="1"/>
    <col min="10051" max="10051" width="11.5703125" style="45" customWidth="1"/>
    <col min="10052" max="10053" width="9.140625" style="45" customWidth="1"/>
    <col min="10054" max="10270" width="9.140625" style="45"/>
    <col min="10271" max="10271" width="9.140625" style="45" customWidth="1"/>
    <col min="10272" max="10272" width="11.42578125" style="45" customWidth="1"/>
    <col min="10273" max="10273" width="7.5703125" style="45" customWidth="1"/>
    <col min="10274" max="10274" width="17.85546875" style="45" customWidth="1"/>
    <col min="10275" max="10275" width="3.5703125" style="45" customWidth="1"/>
    <col min="10276" max="10281" width="9.140625" style="45" customWidth="1"/>
    <col min="10282" max="10282" width="11" style="45" customWidth="1"/>
    <col min="10283" max="10285" width="9.140625" style="45" customWidth="1"/>
    <col min="10286" max="10286" width="10.7109375" style="45" customWidth="1"/>
    <col min="10287" max="10291" width="9.140625" style="45" customWidth="1"/>
    <col min="10292" max="10292" width="13.140625" style="45" customWidth="1"/>
    <col min="10293" max="10293" width="10.42578125" style="45" customWidth="1"/>
    <col min="10294" max="10294" width="10.28515625" style="45" customWidth="1"/>
    <col min="10295" max="10295" width="9.85546875" style="45" customWidth="1"/>
    <col min="10296" max="10296" width="10.7109375" style="45" customWidth="1"/>
    <col min="10297" max="10297" width="10" style="45" customWidth="1"/>
    <col min="10298" max="10298" width="9.5703125" style="45" customWidth="1"/>
    <col min="10299" max="10299" width="10.7109375" style="45" customWidth="1"/>
    <col min="10300" max="10300" width="9.85546875" style="45" customWidth="1"/>
    <col min="10301" max="10304" width="9.140625" style="45" customWidth="1"/>
    <col min="10305" max="10305" width="9.85546875" style="45" customWidth="1"/>
    <col min="10306" max="10306" width="10.85546875" style="45" customWidth="1"/>
    <col min="10307" max="10307" width="11.5703125" style="45" customWidth="1"/>
    <col min="10308" max="10309" width="9.140625" style="45" customWidth="1"/>
    <col min="10310" max="10526" width="9.140625" style="45"/>
    <col min="10527" max="10527" width="9.140625" style="45" customWidth="1"/>
    <col min="10528" max="10528" width="11.42578125" style="45" customWidth="1"/>
    <col min="10529" max="10529" width="7.5703125" style="45" customWidth="1"/>
    <col min="10530" max="10530" width="17.85546875" style="45" customWidth="1"/>
    <col min="10531" max="10531" width="3.5703125" style="45" customWidth="1"/>
    <col min="10532" max="10537" width="9.140625" style="45" customWidth="1"/>
    <col min="10538" max="10538" width="11" style="45" customWidth="1"/>
    <col min="10539" max="10541" width="9.140625" style="45" customWidth="1"/>
    <col min="10542" max="10542" width="10.7109375" style="45" customWidth="1"/>
    <col min="10543" max="10547" width="9.140625" style="45" customWidth="1"/>
    <col min="10548" max="10548" width="13.140625" style="45" customWidth="1"/>
    <col min="10549" max="10549" width="10.42578125" style="45" customWidth="1"/>
    <col min="10550" max="10550" width="10.28515625" style="45" customWidth="1"/>
    <col min="10551" max="10551" width="9.85546875" style="45" customWidth="1"/>
    <col min="10552" max="10552" width="10.7109375" style="45" customWidth="1"/>
    <col min="10553" max="10553" width="10" style="45" customWidth="1"/>
    <col min="10554" max="10554" width="9.5703125" style="45" customWidth="1"/>
    <col min="10555" max="10555" width="10.7109375" style="45" customWidth="1"/>
    <col min="10556" max="10556" width="9.85546875" style="45" customWidth="1"/>
    <col min="10557" max="10560" width="9.140625" style="45" customWidth="1"/>
    <col min="10561" max="10561" width="9.85546875" style="45" customWidth="1"/>
    <col min="10562" max="10562" width="10.85546875" style="45" customWidth="1"/>
    <col min="10563" max="10563" width="11.5703125" style="45" customWidth="1"/>
    <col min="10564" max="10565" width="9.140625" style="45" customWidth="1"/>
    <col min="10566" max="10782" width="9.140625" style="45"/>
    <col min="10783" max="10783" width="9.140625" style="45" customWidth="1"/>
    <col min="10784" max="10784" width="11.42578125" style="45" customWidth="1"/>
    <col min="10785" max="10785" width="7.5703125" style="45" customWidth="1"/>
    <col min="10786" max="10786" width="17.85546875" style="45" customWidth="1"/>
    <col min="10787" max="10787" width="3.5703125" style="45" customWidth="1"/>
    <col min="10788" max="10793" width="9.140625" style="45" customWidth="1"/>
    <col min="10794" max="10794" width="11" style="45" customWidth="1"/>
    <col min="10795" max="10797" width="9.140625" style="45" customWidth="1"/>
    <col min="10798" max="10798" width="10.7109375" style="45" customWidth="1"/>
    <col min="10799" max="10803" width="9.140625" style="45" customWidth="1"/>
    <col min="10804" max="10804" width="13.140625" style="45" customWidth="1"/>
    <col min="10805" max="10805" width="10.42578125" style="45" customWidth="1"/>
    <col min="10806" max="10806" width="10.28515625" style="45" customWidth="1"/>
    <col min="10807" max="10807" width="9.85546875" style="45" customWidth="1"/>
    <col min="10808" max="10808" width="10.7109375" style="45" customWidth="1"/>
    <col min="10809" max="10809" width="10" style="45" customWidth="1"/>
    <col min="10810" max="10810" width="9.5703125" style="45" customWidth="1"/>
    <col min="10811" max="10811" width="10.7109375" style="45" customWidth="1"/>
    <col min="10812" max="10812" width="9.85546875" style="45" customWidth="1"/>
    <col min="10813" max="10816" width="9.140625" style="45" customWidth="1"/>
    <col min="10817" max="10817" width="9.85546875" style="45" customWidth="1"/>
    <col min="10818" max="10818" width="10.85546875" style="45" customWidth="1"/>
    <col min="10819" max="10819" width="11.5703125" style="45" customWidth="1"/>
    <col min="10820" max="10821" width="9.140625" style="45" customWidth="1"/>
    <col min="10822" max="11038" width="9.140625" style="45"/>
    <col min="11039" max="11039" width="9.140625" style="45" customWidth="1"/>
    <col min="11040" max="11040" width="11.42578125" style="45" customWidth="1"/>
    <col min="11041" max="11041" width="7.5703125" style="45" customWidth="1"/>
    <col min="11042" max="11042" width="17.85546875" style="45" customWidth="1"/>
    <col min="11043" max="11043" width="3.5703125" style="45" customWidth="1"/>
    <col min="11044" max="11049" width="9.140625" style="45" customWidth="1"/>
    <col min="11050" max="11050" width="11" style="45" customWidth="1"/>
    <col min="11051" max="11053" width="9.140625" style="45" customWidth="1"/>
    <col min="11054" max="11054" width="10.7109375" style="45" customWidth="1"/>
    <col min="11055" max="11059" width="9.140625" style="45" customWidth="1"/>
    <col min="11060" max="11060" width="13.140625" style="45" customWidth="1"/>
    <col min="11061" max="11061" width="10.42578125" style="45" customWidth="1"/>
    <col min="11062" max="11062" width="10.28515625" style="45" customWidth="1"/>
    <col min="11063" max="11063" width="9.85546875" style="45" customWidth="1"/>
    <col min="11064" max="11064" width="10.7109375" style="45" customWidth="1"/>
    <col min="11065" max="11065" width="10" style="45" customWidth="1"/>
    <col min="11066" max="11066" width="9.5703125" style="45" customWidth="1"/>
    <col min="11067" max="11067" width="10.7109375" style="45" customWidth="1"/>
    <col min="11068" max="11068" width="9.85546875" style="45" customWidth="1"/>
    <col min="11069" max="11072" width="9.140625" style="45" customWidth="1"/>
    <col min="11073" max="11073" width="9.85546875" style="45" customWidth="1"/>
    <col min="11074" max="11074" width="10.85546875" style="45" customWidth="1"/>
    <col min="11075" max="11075" width="11.5703125" style="45" customWidth="1"/>
    <col min="11076" max="11077" width="9.140625" style="45" customWidth="1"/>
    <col min="11078" max="11294" width="9.140625" style="45"/>
    <col min="11295" max="11295" width="9.140625" style="45" customWidth="1"/>
    <col min="11296" max="11296" width="11.42578125" style="45" customWidth="1"/>
    <col min="11297" max="11297" width="7.5703125" style="45" customWidth="1"/>
    <col min="11298" max="11298" width="17.85546875" style="45" customWidth="1"/>
    <col min="11299" max="11299" width="3.5703125" style="45" customWidth="1"/>
    <col min="11300" max="11305" width="9.140625" style="45" customWidth="1"/>
    <col min="11306" max="11306" width="11" style="45" customWidth="1"/>
    <col min="11307" max="11309" width="9.140625" style="45" customWidth="1"/>
    <col min="11310" max="11310" width="10.7109375" style="45" customWidth="1"/>
    <col min="11311" max="11315" width="9.140625" style="45" customWidth="1"/>
    <col min="11316" max="11316" width="13.140625" style="45" customWidth="1"/>
    <col min="11317" max="11317" width="10.42578125" style="45" customWidth="1"/>
    <col min="11318" max="11318" width="10.28515625" style="45" customWidth="1"/>
    <col min="11319" max="11319" width="9.85546875" style="45" customWidth="1"/>
    <col min="11320" max="11320" width="10.7109375" style="45" customWidth="1"/>
    <col min="11321" max="11321" width="10" style="45" customWidth="1"/>
    <col min="11322" max="11322" width="9.5703125" style="45" customWidth="1"/>
    <col min="11323" max="11323" width="10.7109375" style="45" customWidth="1"/>
    <col min="11324" max="11324" width="9.85546875" style="45" customWidth="1"/>
    <col min="11325" max="11328" width="9.140625" style="45" customWidth="1"/>
    <col min="11329" max="11329" width="9.85546875" style="45" customWidth="1"/>
    <col min="11330" max="11330" width="10.85546875" style="45" customWidth="1"/>
    <col min="11331" max="11331" width="11.5703125" style="45" customWidth="1"/>
    <col min="11332" max="11333" width="9.140625" style="45" customWidth="1"/>
    <col min="11334" max="11550" width="9.140625" style="45"/>
    <col min="11551" max="11551" width="9.140625" style="45" customWidth="1"/>
    <col min="11552" max="11552" width="11.42578125" style="45" customWidth="1"/>
    <col min="11553" max="11553" width="7.5703125" style="45" customWidth="1"/>
    <col min="11554" max="11554" width="17.85546875" style="45" customWidth="1"/>
    <col min="11555" max="11555" width="3.5703125" style="45" customWidth="1"/>
    <col min="11556" max="11561" width="9.140625" style="45" customWidth="1"/>
    <col min="11562" max="11562" width="11" style="45" customWidth="1"/>
    <col min="11563" max="11565" width="9.140625" style="45" customWidth="1"/>
    <col min="11566" max="11566" width="10.7109375" style="45" customWidth="1"/>
    <col min="11567" max="11571" width="9.140625" style="45" customWidth="1"/>
    <col min="11572" max="11572" width="13.140625" style="45" customWidth="1"/>
    <col min="11573" max="11573" width="10.42578125" style="45" customWidth="1"/>
    <col min="11574" max="11574" width="10.28515625" style="45" customWidth="1"/>
    <col min="11575" max="11575" width="9.85546875" style="45" customWidth="1"/>
    <col min="11576" max="11576" width="10.7109375" style="45" customWidth="1"/>
    <col min="11577" max="11577" width="10" style="45" customWidth="1"/>
    <col min="11578" max="11578" width="9.5703125" style="45" customWidth="1"/>
    <col min="11579" max="11579" width="10.7109375" style="45" customWidth="1"/>
    <col min="11580" max="11580" width="9.85546875" style="45" customWidth="1"/>
    <col min="11581" max="11584" width="9.140625" style="45" customWidth="1"/>
    <col min="11585" max="11585" width="9.85546875" style="45" customWidth="1"/>
    <col min="11586" max="11586" width="10.85546875" style="45" customWidth="1"/>
    <col min="11587" max="11587" width="11.5703125" style="45" customWidth="1"/>
    <col min="11588" max="11589" width="9.140625" style="45" customWidth="1"/>
    <col min="11590" max="11806" width="9.140625" style="45"/>
    <col min="11807" max="11807" width="9.140625" style="45" customWidth="1"/>
    <col min="11808" max="11808" width="11.42578125" style="45" customWidth="1"/>
    <col min="11809" max="11809" width="7.5703125" style="45" customWidth="1"/>
    <col min="11810" max="11810" width="17.85546875" style="45" customWidth="1"/>
    <col min="11811" max="11811" width="3.5703125" style="45" customWidth="1"/>
    <col min="11812" max="11817" width="9.140625" style="45" customWidth="1"/>
    <col min="11818" max="11818" width="11" style="45" customWidth="1"/>
    <col min="11819" max="11821" width="9.140625" style="45" customWidth="1"/>
    <col min="11822" max="11822" width="10.7109375" style="45" customWidth="1"/>
    <col min="11823" max="11827" width="9.140625" style="45" customWidth="1"/>
    <col min="11828" max="11828" width="13.140625" style="45" customWidth="1"/>
    <col min="11829" max="11829" width="10.42578125" style="45" customWidth="1"/>
    <col min="11830" max="11830" width="10.28515625" style="45" customWidth="1"/>
    <col min="11831" max="11831" width="9.85546875" style="45" customWidth="1"/>
    <col min="11832" max="11832" width="10.7109375" style="45" customWidth="1"/>
    <col min="11833" max="11833" width="10" style="45" customWidth="1"/>
    <col min="11834" max="11834" width="9.5703125" style="45" customWidth="1"/>
    <col min="11835" max="11835" width="10.7109375" style="45" customWidth="1"/>
    <col min="11836" max="11836" width="9.85546875" style="45" customWidth="1"/>
    <col min="11837" max="11840" width="9.140625" style="45" customWidth="1"/>
    <col min="11841" max="11841" width="9.85546875" style="45" customWidth="1"/>
    <col min="11842" max="11842" width="10.85546875" style="45" customWidth="1"/>
    <col min="11843" max="11843" width="11.5703125" style="45" customWidth="1"/>
    <col min="11844" max="11845" width="9.140625" style="45" customWidth="1"/>
    <col min="11846" max="12062" width="9.140625" style="45"/>
    <col min="12063" max="12063" width="9.140625" style="45" customWidth="1"/>
    <col min="12064" max="12064" width="11.42578125" style="45" customWidth="1"/>
    <col min="12065" max="12065" width="7.5703125" style="45" customWidth="1"/>
    <col min="12066" max="12066" width="17.85546875" style="45" customWidth="1"/>
    <col min="12067" max="12067" width="3.5703125" style="45" customWidth="1"/>
    <col min="12068" max="12073" width="9.140625" style="45" customWidth="1"/>
    <col min="12074" max="12074" width="11" style="45" customWidth="1"/>
    <col min="12075" max="12077" width="9.140625" style="45" customWidth="1"/>
    <col min="12078" max="12078" width="10.7109375" style="45" customWidth="1"/>
    <col min="12079" max="12083" width="9.140625" style="45" customWidth="1"/>
    <col min="12084" max="12084" width="13.140625" style="45" customWidth="1"/>
    <col min="12085" max="12085" width="10.42578125" style="45" customWidth="1"/>
    <col min="12086" max="12086" width="10.28515625" style="45" customWidth="1"/>
    <col min="12087" max="12087" width="9.85546875" style="45" customWidth="1"/>
    <col min="12088" max="12088" width="10.7109375" style="45" customWidth="1"/>
    <col min="12089" max="12089" width="10" style="45" customWidth="1"/>
    <col min="12090" max="12090" width="9.5703125" style="45" customWidth="1"/>
    <col min="12091" max="12091" width="10.7109375" style="45" customWidth="1"/>
    <col min="12092" max="12092" width="9.85546875" style="45" customWidth="1"/>
    <col min="12093" max="12096" width="9.140625" style="45" customWidth="1"/>
    <col min="12097" max="12097" width="9.85546875" style="45" customWidth="1"/>
    <col min="12098" max="12098" width="10.85546875" style="45" customWidth="1"/>
    <col min="12099" max="12099" width="11.5703125" style="45" customWidth="1"/>
    <col min="12100" max="12101" width="9.140625" style="45" customWidth="1"/>
    <col min="12102" max="12318" width="9.140625" style="45"/>
    <col min="12319" max="12319" width="9.140625" style="45" customWidth="1"/>
    <col min="12320" max="12320" width="11.42578125" style="45" customWidth="1"/>
    <col min="12321" max="12321" width="7.5703125" style="45" customWidth="1"/>
    <col min="12322" max="12322" width="17.85546875" style="45" customWidth="1"/>
    <col min="12323" max="12323" width="3.5703125" style="45" customWidth="1"/>
    <col min="12324" max="12329" width="9.140625" style="45" customWidth="1"/>
    <col min="12330" max="12330" width="11" style="45" customWidth="1"/>
    <col min="12331" max="12333" width="9.140625" style="45" customWidth="1"/>
    <col min="12334" max="12334" width="10.7109375" style="45" customWidth="1"/>
    <col min="12335" max="12339" width="9.140625" style="45" customWidth="1"/>
    <col min="12340" max="12340" width="13.140625" style="45" customWidth="1"/>
    <col min="12341" max="12341" width="10.42578125" style="45" customWidth="1"/>
    <col min="12342" max="12342" width="10.28515625" style="45" customWidth="1"/>
    <col min="12343" max="12343" width="9.85546875" style="45" customWidth="1"/>
    <col min="12344" max="12344" width="10.7109375" style="45" customWidth="1"/>
    <col min="12345" max="12345" width="10" style="45" customWidth="1"/>
    <col min="12346" max="12346" width="9.5703125" style="45" customWidth="1"/>
    <col min="12347" max="12347" width="10.7109375" style="45" customWidth="1"/>
    <col min="12348" max="12348" width="9.85546875" style="45" customWidth="1"/>
    <col min="12349" max="12352" width="9.140625" style="45" customWidth="1"/>
    <col min="12353" max="12353" width="9.85546875" style="45" customWidth="1"/>
    <col min="12354" max="12354" width="10.85546875" style="45" customWidth="1"/>
    <col min="12355" max="12355" width="11.5703125" style="45" customWidth="1"/>
    <col min="12356" max="12357" width="9.140625" style="45" customWidth="1"/>
    <col min="12358" max="12574" width="9.140625" style="45"/>
    <col min="12575" max="12575" width="9.140625" style="45" customWidth="1"/>
    <col min="12576" max="12576" width="11.42578125" style="45" customWidth="1"/>
    <col min="12577" max="12577" width="7.5703125" style="45" customWidth="1"/>
    <col min="12578" max="12578" width="17.85546875" style="45" customWidth="1"/>
    <col min="12579" max="12579" width="3.5703125" style="45" customWidth="1"/>
    <col min="12580" max="12585" width="9.140625" style="45" customWidth="1"/>
    <col min="12586" max="12586" width="11" style="45" customWidth="1"/>
    <col min="12587" max="12589" width="9.140625" style="45" customWidth="1"/>
    <col min="12590" max="12590" width="10.7109375" style="45" customWidth="1"/>
    <col min="12591" max="12595" width="9.140625" style="45" customWidth="1"/>
    <col min="12596" max="12596" width="13.140625" style="45" customWidth="1"/>
    <col min="12597" max="12597" width="10.42578125" style="45" customWidth="1"/>
    <col min="12598" max="12598" width="10.28515625" style="45" customWidth="1"/>
    <col min="12599" max="12599" width="9.85546875" style="45" customWidth="1"/>
    <col min="12600" max="12600" width="10.7109375" style="45" customWidth="1"/>
    <col min="12601" max="12601" width="10" style="45" customWidth="1"/>
    <col min="12602" max="12602" width="9.5703125" style="45" customWidth="1"/>
    <col min="12603" max="12603" width="10.7109375" style="45" customWidth="1"/>
    <col min="12604" max="12604" width="9.85546875" style="45" customWidth="1"/>
    <col min="12605" max="12608" width="9.140625" style="45" customWidth="1"/>
    <col min="12609" max="12609" width="9.85546875" style="45" customWidth="1"/>
    <col min="12610" max="12610" width="10.85546875" style="45" customWidth="1"/>
    <col min="12611" max="12611" width="11.5703125" style="45" customWidth="1"/>
    <col min="12612" max="12613" width="9.140625" style="45" customWidth="1"/>
    <col min="12614" max="12830" width="9.140625" style="45"/>
    <col min="12831" max="12831" width="9.140625" style="45" customWidth="1"/>
    <col min="12832" max="12832" width="11.42578125" style="45" customWidth="1"/>
    <col min="12833" max="12833" width="7.5703125" style="45" customWidth="1"/>
    <col min="12834" max="12834" width="17.85546875" style="45" customWidth="1"/>
    <col min="12835" max="12835" width="3.5703125" style="45" customWidth="1"/>
    <col min="12836" max="12841" width="9.140625" style="45" customWidth="1"/>
    <col min="12842" max="12842" width="11" style="45" customWidth="1"/>
    <col min="12843" max="12845" width="9.140625" style="45" customWidth="1"/>
    <col min="12846" max="12846" width="10.7109375" style="45" customWidth="1"/>
    <col min="12847" max="12851" width="9.140625" style="45" customWidth="1"/>
    <col min="12852" max="12852" width="13.140625" style="45" customWidth="1"/>
    <col min="12853" max="12853" width="10.42578125" style="45" customWidth="1"/>
    <col min="12854" max="12854" width="10.28515625" style="45" customWidth="1"/>
    <col min="12855" max="12855" width="9.85546875" style="45" customWidth="1"/>
    <col min="12856" max="12856" width="10.7109375" style="45" customWidth="1"/>
    <col min="12857" max="12857" width="10" style="45" customWidth="1"/>
    <col min="12858" max="12858" width="9.5703125" style="45" customWidth="1"/>
    <col min="12859" max="12859" width="10.7109375" style="45" customWidth="1"/>
    <col min="12860" max="12860" width="9.85546875" style="45" customWidth="1"/>
    <col min="12861" max="12864" width="9.140625" style="45" customWidth="1"/>
    <col min="12865" max="12865" width="9.85546875" style="45" customWidth="1"/>
    <col min="12866" max="12866" width="10.85546875" style="45" customWidth="1"/>
    <col min="12867" max="12867" width="11.5703125" style="45" customWidth="1"/>
    <col min="12868" max="12869" width="9.140625" style="45" customWidth="1"/>
    <col min="12870" max="13086" width="9.140625" style="45"/>
    <col min="13087" max="13087" width="9.140625" style="45" customWidth="1"/>
    <col min="13088" max="13088" width="11.42578125" style="45" customWidth="1"/>
    <col min="13089" max="13089" width="7.5703125" style="45" customWidth="1"/>
    <col min="13090" max="13090" width="17.85546875" style="45" customWidth="1"/>
    <col min="13091" max="13091" width="3.5703125" style="45" customWidth="1"/>
    <col min="13092" max="13097" width="9.140625" style="45" customWidth="1"/>
    <col min="13098" max="13098" width="11" style="45" customWidth="1"/>
    <col min="13099" max="13101" width="9.140625" style="45" customWidth="1"/>
    <col min="13102" max="13102" width="10.7109375" style="45" customWidth="1"/>
    <col min="13103" max="13107" width="9.140625" style="45" customWidth="1"/>
    <col min="13108" max="13108" width="13.140625" style="45" customWidth="1"/>
    <col min="13109" max="13109" width="10.42578125" style="45" customWidth="1"/>
    <col min="13110" max="13110" width="10.28515625" style="45" customWidth="1"/>
    <col min="13111" max="13111" width="9.85546875" style="45" customWidth="1"/>
    <col min="13112" max="13112" width="10.7109375" style="45" customWidth="1"/>
    <col min="13113" max="13113" width="10" style="45" customWidth="1"/>
    <col min="13114" max="13114" width="9.5703125" style="45" customWidth="1"/>
    <col min="13115" max="13115" width="10.7109375" style="45" customWidth="1"/>
    <col min="13116" max="13116" width="9.85546875" style="45" customWidth="1"/>
    <col min="13117" max="13120" width="9.140625" style="45" customWidth="1"/>
    <col min="13121" max="13121" width="9.85546875" style="45" customWidth="1"/>
    <col min="13122" max="13122" width="10.85546875" style="45" customWidth="1"/>
    <col min="13123" max="13123" width="11.5703125" style="45" customWidth="1"/>
    <col min="13124" max="13125" width="9.140625" style="45" customWidth="1"/>
    <col min="13126" max="13342" width="9.140625" style="45"/>
    <col min="13343" max="13343" width="9.140625" style="45" customWidth="1"/>
    <col min="13344" max="13344" width="11.42578125" style="45" customWidth="1"/>
    <col min="13345" max="13345" width="7.5703125" style="45" customWidth="1"/>
    <col min="13346" max="13346" width="17.85546875" style="45" customWidth="1"/>
    <col min="13347" max="13347" width="3.5703125" style="45" customWidth="1"/>
    <col min="13348" max="13353" width="9.140625" style="45" customWidth="1"/>
    <col min="13354" max="13354" width="11" style="45" customWidth="1"/>
    <col min="13355" max="13357" width="9.140625" style="45" customWidth="1"/>
    <col min="13358" max="13358" width="10.7109375" style="45" customWidth="1"/>
    <col min="13359" max="13363" width="9.140625" style="45" customWidth="1"/>
    <col min="13364" max="13364" width="13.140625" style="45" customWidth="1"/>
    <col min="13365" max="13365" width="10.42578125" style="45" customWidth="1"/>
    <col min="13366" max="13366" width="10.28515625" style="45" customWidth="1"/>
    <col min="13367" max="13367" width="9.85546875" style="45" customWidth="1"/>
    <col min="13368" max="13368" width="10.7109375" style="45" customWidth="1"/>
    <col min="13369" max="13369" width="10" style="45" customWidth="1"/>
    <col min="13370" max="13370" width="9.5703125" style="45" customWidth="1"/>
    <col min="13371" max="13371" width="10.7109375" style="45" customWidth="1"/>
    <col min="13372" max="13372" width="9.85546875" style="45" customWidth="1"/>
    <col min="13373" max="13376" width="9.140625" style="45" customWidth="1"/>
    <col min="13377" max="13377" width="9.85546875" style="45" customWidth="1"/>
    <col min="13378" max="13378" width="10.85546875" style="45" customWidth="1"/>
    <col min="13379" max="13379" width="11.5703125" style="45" customWidth="1"/>
    <col min="13380" max="13381" width="9.140625" style="45" customWidth="1"/>
    <col min="13382" max="13598" width="9.140625" style="45"/>
    <col min="13599" max="13599" width="9.140625" style="45" customWidth="1"/>
    <col min="13600" max="13600" width="11.42578125" style="45" customWidth="1"/>
    <col min="13601" max="13601" width="7.5703125" style="45" customWidth="1"/>
    <col min="13602" max="13602" width="17.85546875" style="45" customWidth="1"/>
    <col min="13603" max="13603" width="3.5703125" style="45" customWidth="1"/>
    <col min="13604" max="13609" width="9.140625" style="45" customWidth="1"/>
    <col min="13610" max="13610" width="11" style="45" customWidth="1"/>
    <col min="13611" max="13613" width="9.140625" style="45" customWidth="1"/>
    <col min="13614" max="13614" width="10.7109375" style="45" customWidth="1"/>
    <col min="13615" max="13619" width="9.140625" style="45" customWidth="1"/>
    <col min="13620" max="13620" width="13.140625" style="45" customWidth="1"/>
    <col min="13621" max="13621" width="10.42578125" style="45" customWidth="1"/>
    <col min="13622" max="13622" width="10.28515625" style="45" customWidth="1"/>
    <col min="13623" max="13623" width="9.85546875" style="45" customWidth="1"/>
    <col min="13624" max="13624" width="10.7109375" style="45" customWidth="1"/>
    <col min="13625" max="13625" width="10" style="45" customWidth="1"/>
    <col min="13626" max="13626" width="9.5703125" style="45" customWidth="1"/>
    <col min="13627" max="13627" width="10.7109375" style="45" customWidth="1"/>
    <col min="13628" max="13628" width="9.85546875" style="45" customWidth="1"/>
    <col min="13629" max="13632" width="9.140625" style="45" customWidth="1"/>
    <col min="13633" max="13633" width="9.85546875" style="45" customWidth="1"/>
    <col min="13634" max="13634" width="10.85546875" style="45" customWidth="1"/>
    <col min="13635" max="13635" width="11.5703125" style="45" customWidth="1"/>
    <col min="13636" max="13637" width="9.140625" style="45" customWidth="1"/>
    <col min="13638" max="13854" width="9.140625" style="45"/>
    <col min="13855" max="13855" width="9.140625" style="45" customWidth="1"/>
    <col min="13856" max="13856" width="11.42578125" style="45" customWidth="1"/>
    <col min="13857" max="13857" width="7.5703125" style="45" customWidth="1"/>
    <col min="13858" max="13858" width="17.85546875" style="45" customWidth="1"/>
    <col min="13859" max="13859" width="3.5703125" style="45" customWidth="1"/>
    <col min="13860" max="13865" width="9.140625" style="45" customWidth="1"/>
    <col min="13866" max="13866" width="11" style="45" customWidth="1"/>
    <col min="13867" max="13869" width="9.140625" style="45" customWidth="1"/>
    <col min="13870" max="13870" width="10.7109375" style="45" customWidth="1"/>
    <col min="13871" max="13875" width="9.140625" style="45" customWidth="1"/>
    <col min="13876" max="13876" width="13.140625" style="45" customWidth="1"/>
    <col min="13877" max="13877" width="10.42578125" style="45" customWidth="1"/>
    <col min="13878" max="13878" width="10.28515625" style="45" customWidth="1"/>
    <col min="13879" max="13879" width="9.85546875" style="45" customWidth="1"/>
    <col min="13880" max="13880" width="10.7109375" style="45" customWidth="1"/>
    <col min="13881" max="13881" width="10" style="45" customWidth="1"/>
    <col min="13882" max="13882" width="9.5703125" style="45" customWidth="1"/>
    <col min="13883" max="13883" width="10.7109375" style="45" customWidth="1"/>
    <col min="13884" max="13884" width="9.85546875" style="45" customWidth="1"/>
    <col min="13885" max="13888" width="9.140625" style="45" customWidth="1"/>
    <col min="13889" max="13889" width="9.85546875" style="45" customWidth="1"/>
    <col min="13890" max="13890" width="10.85546875" style="45" customWidth="1"/>
    <col min="13891" max="13891" width="11.5703125" style="45" customWidth="1"/>
    <col min="13892" max="13893" width="9.140625" style="45" customWidth="1"/>
    <col min="13894" max="14110" width="9.140625" style="45"/>
    <col min="14111" max="14111" width="9.140625" style="45" customWidth="1"/>
    <col min="14112" max="14112" width="11.42578125" style="45" customWidth="1"/>
    <col min="14113" max="14113" width="7.5703125" style="45" customWidth="1"/>
    <col min="14114" max="14114" width="17.85546875" style="45" customWidth="1"/>
    <col min="14115" max="14115" width="3.5703125" style="45" customWidth="1"/>
    <col min="14116" max="14121" width="9.140625" style="45" customWidth="1"/>
    <col min="14122" max="14122" width="11" style="45" customWidth="1"/>
    <col min="14123" max="14125" width="9.140625" style="45" customWidth="1"/>
    <col min="14126" max="14126" width="10.7109375" style="45" customWidth="1"/>
    <col min="14127" max="14131" width="9.140625" style="45" customWidth="1"/>
    <col min="14132" max="14132" width="13.140625" style="45" customWidth="1"/>
    <col min="14133" max="14133" width="10.42578125" style="45" customWidth="1"/>
    <col min="14134" max="14134" width="10.28515625" style="45" customWidth="1"/>
    <col min="14135" max="14135" width="9.85546875" style="45" customWidth="1"/>
    <col min="14136" max="14136" width="10.7109375" style="45" customWidth="1"/>
    <col min="14137" max="14137" width="10" style="45" customWidth="1"/>
    <col min="14138" max="14138" width="9.5703125" style="45" customWidth="1"/>
    <col min="14139" max="14139" width="10.7109375" style="45" customWidth="1"/>
    <col min="14140" max="14140" width="9.85546875" style="45" customWidth="1"/>
    <col min="14141" max="14144" width="9.140625" style="45" customWidth="1"/>
    <col min="14145" max="14145" width="9.85546875" style="45" customWidth="1"/>
    <col min="14146" max="14146" width="10.85546875" style="45" customWidth="1"/>
    <col min="14147" max="14147" width="11.5703125" style="45" customWidth="1"/>
    <col min="14148" max="14149" width="9.140625" style="45" customWidth="1"/>
    <col min="14150" max="14366" width="9.140625" style="45"/>
    <col min="14367" max="14367" width="9.140625" style="45" customWidth="1"/>
    <col min="14368" max="14368" width="11.42578125" style="45" customWidth="1"/>
    <col min="14369" max="14369" width="7.5703125" style="45" customWidth="1"/>
    <col min="14370" max="14370" width="17.85546875" style="45" customWidth="1"/>
    <col min="14371" max="14371" width="3.5703125" style="45" customWidth="1"/>
    <col min="14372" max="14377" width="9.140625" style="45" customWidth="1"/>
    <col min="14378" max="14378" width="11" style="45" customWidth="1"/>
    <col min="14379" max="14381" width="9.140625" style="45" customWidth="1"/>
    <col min="14382" max="14382" width="10.7109375" style="45" customWidth="1"/>
    <col min="14383" max="14387" width="9.140625" style="45" customWidth="1"/>
    <col min="14388" max="14388" width="13.140625" style="45" customWidth="1"/>
    <col min="14389" max="14389" width="10.42578125" style="45" customWidth="1"/>
    <col min="14390" max="14390" width="10.28515625" style="45" customWidth="1"/>
    <col min="14391" max="14391" width="9.85546875" style="45" customWidth="1"/>
    <col min="14392" max="14392" width="10.7109375" style="45" customWidth="1"/>
    <col min="14393" max="14393" width="10" style="45" customWidth="1"/>
    <col min="14394" max="14394" width="9.5703125" style="45" customWidth="1"/>
    <col min="14395" max="14395" width="10.7109375" style="45" customWidth="1"/>
    <col min="14396" max="14396" width="9.85546875" style="45" customWidth="1"/>
    <col min="14397" max="14400" width="9.140625" style="45" customWidth="1"/>
    <col min="14401" max="14401" width="9.85546875" style="45" customWidth="1"/>
    <col min="14402" max="14402" width="10.85546875" style="45" customWidth="1"/>
    <col min="14403" max="14403" width="11.5703125" style="45" customWidth="1"/>
    <col min="14404" max="14405" width="9.140625" style="45" customWidth="1"/>
    <col min="14406" max="14622" width="9.140625" style="45"/>
    <col min="14623" max="14623" width="9.140625" style="45" customWidth="1"/>
    <col min="14624" max="14624" width="11.42578125" style="45" customWidth="1"/>
    <col min="14625" max="14625" width="7.5703125" style="45" customWidth="1"/>
    <col min="14626" max="14626" width="17.85546875" style="45" customWidth="1"/>
    <col min="14627" max="14627" width="3.5703125" style="45" customWidth="1"/>
    <col min="14628" max="14633" width="9.140625" style="45" customWidth="1"/>
    <col min="14634" max="14634" width="11" style="45" customWidth="1"/>
    <col min="14635" max="14637" width="9.140625" style="45" customWidth="1"/>
    <col min="14638" max="14638" width="10.7109375" style="45" customWidth="1"/>
    <col min="14639" max="14643" width="9.140625" style="45" customWidth="1"/>
    <col min="14644" max="14644" width="13.140625" style="45" customWidth="1"/>
    <col min="14645" max="14645" width="10.42578125" style="45" customWidth="1"/>
    <col min="14646" max="14646" width="10.28515625" style="45" customWidth="1"/>
    <col min="14647" max="14647" width="9.85546875" style="45" customWidth="1"/>
    <col min="14648" max="14648" width="10.7109375" style="45" customWidth="1"/>
    <col min="14649" max="14649" width="10" style="45" customWidth="1"/>
    <col min="14650" max="14650" width="9.5703125" style="45" customWidth="1"/>
    <col min="14651" max="14651" width="10.7109375" style="45" customWidth="1"/>
    <col min="14652" max="14652" width="9.85546875" style="45" customWidth="1"/>
    <col min="14653" max="14656" width="9.140625" style="45" customWidth="1"/>
    <col min="14657" max="14657" width="9.85546875" style="45" customWidth="1"/>
    <col min="14658" max="14658" width="10.85546875" style="45" customWidth="1"/>
    <col min="14659" max="14659" width="11.5703125" style="45" customWidth="1"/>
    <col min="14660" max="14661" width="9.140625" style="45" customWidth="1"/>
    <col min="14662" max="14878" width="9.140625" style="45"/>
    <col min="14879" max="14879" width="9.140625" style="45" customWidth="1"/>
    <col min="14880" max="14880" width="11.42578125" style="45" customWidth="1"/>
    <col min="14881" max="14881" width="7.5703125" style="45" customWidth="1"/>
    <col min="14882" max="14882" width="17.85546875" style="45" customWidth="1"/>
    <col min="14883" max="14883" width="3.5703125" style="45" customWidth="1"/>
    <col min="14884" max="14889" width="9.140625" style="45" customWidth="1"/>
    <col min="14890" max="14890" width="11" style="45" customWidth="1"/>
    <col min="14891" max="14893" width="9.140625" style="45" customWidth="1"/>
    <col min="14894" max="14894" width="10.7109375" style="45" customWidth="1"/>
    <col min="14895" max="14899" width="9.140625" style="45" customWidth="1"/>
    <col min="14900" max="14900" width="13.140625" style="45" customWidth="1"/>
    <col min="14901" max="14901" width="10.42578125" style="45" customWidth="1"/>
    <col min="14902" max="14902" width="10.28515625" style="45" customWidth="1"/>
    <col min="14903" max="14903" width="9.85546875" style="45" customWidth="1"/>
    <col min="14904" max="14904" width="10.7109375" style="45" customWidth="1"/>
    <col min="14905" max="14905" width="10" style="45" customWidth="1"/>
    <col min="14906" max="14906" width="9.5703125" style="45" customWidth="1"/>
    <col min="14907" max="14907" width="10.7109375" style="45" customWidth="1"/>
    <col min="14908" max="14908" width="9.85546875" style="45" customWidth="1"/>
    <col min="14909" max="14912" width="9.140625" style="45" customWidth="1"/>
    <col min="14913" max="14913" width="9.85546875" style="45" customWidth="1"/>
    <col min="14914" max="14914" width="10.85546875" style="45" customWidth="1"/>
    <col min="14915" max="14915" width="11.5703125" style="45" customWidth="1"/>
    <col min="14916" max="14917" width="9.140625" style="45" customWidth="1"/>
    <col min="14918" max="15134" width="9.140625" style="45"/>
    <col min="15135" max="15135" width="9.140625" style="45" customWidth="1"/>
    <col min="15136" max="15136" width="11.42578125" style="45" customWidth="1"/>
    <col min="15137" max="15137" width="7.5703125" style="45" customWidth="1"/>
    <col min="15138" max="15138" width="17.85546875" style="45" customWidth="1"/>
    <col min="15139" max="15139" width="3.5703125" style="45" customWidth="1"/>
    <col min="15140" max="15145" width="9.140625" style="45" customWidth="1"/>
    <col min="15146" max="15146" width="11" style="45" customWidth="1"/>
    <col min="15147" max="15149" width="9.140625" style="45" customWidth="1"/>
    <col min="15150" max="15150" width="10.7109375" style="45" customWidth="1"/>
    <col min="15151" max="15155" width="9.140625" style="45" customWidth="1"/>
    <col min="15156" max="15156" width="13.140625" style="45" customWidth="1"/>
    <col min="15157" max="15157" width="10.42578125" style="45" customWidth="1"/>
    <col min="15158" max="15158" width="10.28515625" style="45" customWidth="1"/>
    <col min="15159" max="15159" width="9.85546875" style="45" customWidth="1"/>
    <col min="15160" max="15160" width="10.7109375" style="45" customWidth="1"/>
    <col min="15161" max="15161" width="10" style="45" customWidth="1"/>
    <col min="15162" max="15162" width="9.5703125" style="45" customWidth="1"/>
    <col min="15163" max="15163" width="10.7109375" style="45" customWidth="1"/>
    <col min="15164" max="15164" width="9.85546875" style="45" customWidth="1"/>
    <col min="15165" max="15168" width="9.140625" style="45" customWidth="1"/>
    <col min="15169" max="15169" width="9.85546875" style="45" customWidth="1"/>
    <col min="15170" max="15170" width="10.85546875" style="45" customWidth="1"/>
    <col min="15171" max="15171" width="11.5703125" style="45" customWidth="1"/>
    <col min="15172" max="15173" width="9.140625" style="45" customWidth="1"/>
    <col min="15174" max="15390" width="9.140625" style="45"/>
    <col min="15391" max="15391" width="9.140625" style="45" customWidth="1"/>
    <col min="15392" max="15392" width="11.42578125" style="45" customWidth="1"/>
    <col min="15393" max="15393" width="7.5703125" style="45" customWidth="1"/>
    <col min="15394" max="15394" width="17.85546875" style="45" customWidth="1"/>
    <col min="15395" max="15395" width="3.5703125" style="45" customWidth="1"/>
    <col min="15396" max="15401" width="9.140625" style="45" customWidth="1"/>
    <col min="15402" max="15402" width="11" style="45" customWidth="1"/>
    <col min="15403" max="15405" width="9.140625" style="45" customWidth="1"/>
    <col min="15406" max="15406" width="10.7109375" style="45" customWidth="1"/>
    <col min="15407" max="15411" width="9.140625" style="45" customWidth="1"/>
    <col min="15412" max="15412" width="13.140625" style="45" customWidth="1"/>
    <col min="15413" max="15413" width="10.42578125" style="45" customWidth="1"/>
    <col min="15414" max="15414" width="10.28515625" style="45" customWidth="1"/>
    <col min="15415" max="15415" width="9.85546875" style="45" customWidth="1"/>
    <col min="15416" max="15416" width="10.7109375" style="45" customWidth="1"/>
    <col min="15417" max="15417" width="10" style="45" customWidth="1"/>
    <col min="15418" max="15418" width="9.5703125" style="45" customWidth="1"/>
    <col min="15419" max="15419" width="10.7109375" style="45" customWidth="1"/>
    <col min="15420" max="15420" width="9.85546875" style="45" customWidth="1"/>
    <col min="15421" max="15424" width="9.140625" style="45" customWidth="1"/>
    <col min="15425" max="15425" width="9.85546875" style="45" customWidth="1"/>
    <col min="15426" max="15426" width="10.85546875" style="45" customWidth="1"/>
    <col min="15427" max="15427" width="11.5703125" style="45" customWidth="1"/>
    <col min="15428" max="15429" width="9.140625" style="45" customWidth="1"/>
    <col min="15430" max="15646" width="9.140625" style="45"/>
    <col min="15647" max="15647" width="9.140625" style="45" customWidth="1"/>
    <col min="15648" max="15648" width="11.42578125" style="45" customWidth="1"/>
    <col min="15649" max="15649" width="7.5703125" style="45" customWidth="1"/>
    <col min="15650" max="15650" width="17.85546875" style="45" customWidth="1"/>
    <col min="15651" max="15651" width="3.5703125" style="45" customWidth="1"/>
    <col min="15652" max="15657" width="9.140625" style="45" customWidth="1"/>
    <col min="15658" max="15658" width="11" style="45" customWidth="1"/>
    <col min="15659" max="15661" width="9.140625" style="45" customWidth="1"/>
    <col min="15662" max="15662" width="10.7109375" style="45" customWidth="1"/>
    <col min="15663" max="15667" width="9.140625" style="45" customWidth="1"/>
    <col min="15668" max="15668" width="13.140625" style="45" customWidth="1"/>
    <col min="15669" max="15669" width="10.42578125" style="45" customWidth="1"/>
    <col min="15670" max="15670" width="10.28515625" style="45" customWidth="1"/>
    <col min="15671" max="15671" width="9.85546875" style="45" customWidth="1"/>
    <col min="15672" max="15672" width="10.7109375" style="45" customWidth="1"/>
    <col min="15673" max="15673" width="10" style="45" customWidth="1"/>
    <col min="15674" max="15674" width="9.5703125" style="45" customWidth="1"/>
    <col min="15675" max="15675" width="10.7109375" style="45" customWidth="1"/>
    <col min="15676" max="15676" width="9.85546875" style="45" customWidth="1"/>
    <col min="15677" max="15680" width="9.140625" style="45" customWidth="1"/>
    <col min="15681" max="15681" width="9.85546875" style="45" customWidth="1"/>
    <col min="15682" max="15682" width="10.85546875" style="45" customWidth="1"/>
    <col min="15683" max="15683" width="11.5703125" style="45" customWidth="1"/>
    <col min="15684" max="15685" width="9.140625" style="45" customWidth="1"/>
    <col min="15686" max="15902" width="9.140625" style="45"/>
    <col min="15903" max="15903" width="9.140625" style="45" customWidth="1"/>
    <col min="15904" max="15904" width="11.42578125" style="45" customWidth="1"/>
    <col min="15905" max="15905" width="7.5703125" style="45" customWidth="1"/>
    <col min="15906" max="15906" width="17.85546875" style="45" customWidth="1"/>
    <col min="15907" max="15907" width="3.5703125" style="45" customWidth="1"/>
    <col min="15908" max="15913" width="9.140625" style="45" customWidth="1"/>
    <col min="15914" max="15914" width="11" style="45" customWidth="1"/>
    <col min="15915" max="15917" width="9.140625" style="45" customWidth="1"/>
    <col min="15918" max="15918" width="10.7109375" style="45" customWidth="1"/>
    <col min="15919" max="15923" width="9.140625" style="45" customWidth="1"/>
    <col min="15924" max="15924" width="13.140625" style="45" customWidth="1"/>
    <col min="15925" max="15925" width="10.42578125" style="45" customWidth="1"/>
    <col min="15926" max="15926" width="10.28515625" style="45" customWidth="1"/>
    <col min="15927" max="15927" width="9.85546875" style="45" customWidth="1"/>
    <col min="15928" max="15928" width="10.7109375" style="45" customWidth="1"/>
    <col min="15929" max="15929" width="10" style="45" customWidth="1"/>
    <col min="15930" max="15930" width="9.5703125" style="45" customWidth="1"/>
    <col min="15931" max="15931" width="10.7109375" style="45" customWidth="1"/>
    <col min="15932" max="15932" width="9.85546875" style="45" customWidth="1"/>
    <col min="15933" max="15936" width="9.140625" style="45" customWidth="1"/>
    <col min="15937" max="15937" width="9.85546875" style="45" customWidth="1"/>
    <col min="15938" max="15938" width="10.85546875" style="45" customWidth="1"/>
    <col min="15939" max="15939" width="11.5703125" style="45" customWidth="1"/>
    <col min="15940" max="15941" width="9.140625" style="45" customWidth="1"/>
    <col min="15942" max="16158" width="9.140625" style="45"/>
    <col min="16159" max="16159" width="9.140625" style="45" customWidth="1"/>
    <col min="16160" max="16160" width="11.42578125" style="45" customWidth="1"/>
    <col min="16161" max="16161" width="7.5703125" style="45" customWidth="1"/>
    <col min="16162" max="16162" width="17.85546875" style="45" customWidth="1"/>
    <col min="16163" max="16163" width="3.5703125" style="45" customWidth="1"/>
    <col min="16164" max="16169" width="9.140625" style="45" customWidth="1"/>
    <col min="16170" max="16170" width="11" style="45" customWidth="1"/>
    <col min="16171" max="16173" width="9.140625" style="45" customWidth="1"/>
    <col min="16174" max="16174" width="10.7109375" style="45" customWidth="1"/>
    <col min="16175" max="16179" width="9.140625" style="45" customWidth="1"/>
    <col min="16180" max="16180" width="13.140625" style="45" customWidth="1"/>
    <col min="16181" max="16181" width="10.42578125" style="45" customWidth="1"/>
    <col min="16182" max="16182" width="10.28515625" style="45" customWidth="1"/>
    <col min="16183" max="16183" width="9.85546875" style="45" customWidth="1"/>
    <col min="16184" max="16184" width="10.7109375" style="45" customWidth="1"/>
    <col min="16185" max="16185" width="10" style="45" customWidth="1"/>
    <col min="16186" max="16186" width="9.5703125" style="45" customWidth="1"/>
    <col min="16187" max="16187" width="10.7109375" style="45" customWidth="1"/>
    <col min="16188" max="16188" width="9.85546875" style="45" customWidth="1"/>
    <col min="16189" max="16192" width="9.140625" style="45" customWidth="1"/>
    <col min="16193" max="16193" width="9.85546875" style="45" customWidth="1"/>
    <col min="16194" max="16194" width="10.85546875" style="45" customWidth="1"/>
    <col min="16195" max="16195" width="11.5703125" style="45" customWidth="1"/>
    <col min="16196" max="16197" width="9.140625" style="45" customWidth="1"/>
    <col min="16198" max="16384" width="9.140625" style="45"/>
  </cols>
  <sheetData>
    <row r="1" spans="1:72" ht="15.75" customHeight="1">
      <c r="A1" s="40" t="s">
        <v>0</v>
      </c>
    </row>
    <row r="2" spans="1:72" ht="15.75">
      <c r="A2" s="40" t="s">
        <v>1</v>
      </c>
    </row>
    <row r="3" spans="1:72" ht="29.25" customHeight="1">
      <c r="A3" s="434" t="str">
        <f>'Payroll Office'!A3:BO3</f>
        <v>PAYROLL AUGUST 2024</v>
      </c>
      <c r="B3" s="434"/>
      <c r="C3" s="434"/>
      <c r="D3" s="434"/>
      <c r="E3" s="434"/>
      <c r="F3" s="434"/>
      <c r="G3" s="434"/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434"/>
      <c r="AY3" s="434"/>
      <c r="AZ3" s="434"/>
      <c r="BA3" s="434"/>
      <c r="BB3" s="434"/>
      <c r="BC3" s="434"/>
      <c r="BD3" s="434"/>
      <c r="BE3" s="434"/>
      <c r="BF3" s="434"/>
      <c r="BG3" s="434"/>
      <c r="BH3" s="434"/>
      <c r="BI3" s="434"/>
      <c r="BJ3" s="434"/>
      <c r="BK3" s="434"/>
      <c r="BL3" s="434"/>
      <c r="BM3" s="434"/>
      <c r="BN3" s="434"/>
      <c r="BO3" s="434"/>
      <c r="BP3" s="434"/>
      <c r="BQ3" s="434"/>
      <c r="BR3" s="434"/>
      <c r="BS3" s="434"/>
    </row>
    <row r="4" spans="1:72" ht="15.75">
      <c r="A4" s="435" t="str">
        <f>'Payroll Office'!A4:BO4</f>
        <v>From 1st -31th August 2024</v>
      </c>
      <c r="B4" s="435"/>
      <c r="C4" s="435"/>
      <c r="D4" s="435"/>
      <c r="E4" s="435"/>
      <c r="F4" s="435"/>
      <c r="G4" s="435"/>
      <c r="H4" s="435"/>
      <c r="I4" s="435"/>
      <c r="J4" s="435"/>
      <c r="K4" s="435"/>
      <c r="L4" s="435"/>
      <c r="M4" s="435"/>
      <c r="N4" s="435"/>
      <c r="O4" s="435"/>
      <c r="P4" s="435"/>
      <c r="Q4" s="435"/>
      <c r="R4" s="435"/>
      <c r="S4" s="435"/>
      <c r="T4" s="435"/>
      <c r="U4" s="435"/>
      <c r="V4" s="435"/>
      <c r="W4" s="435"/>
      <c r="X4" s="435"/>
      <c r="Y4" s="435"/>
      <c r="Z4" s="435"/>
      <c r="AA4" s="435"/>
      <c r="AB4" s="435"/>
      <c r="AC4" s="435"/>
      <c r="AD4" s="435"/>
      <c r="AE4" s="435"/>
      <c r="AF4" s="435"/>
      <c r="AG4" s="435"/>
      <c r="AH4" s="435"/>
      <c r="AI4" s="435"/>
      <c r="AJ4" s="435"/>
      <c r="AK4" s="435"/>
      <c r="AL4" s="435"/>
      <c r="AM4" s="435"/>
      <c r="AN4" s="435"/>
      <c r="AO4" s="435"/>
      <c r="AP4" s="435"/>
      <c r="AQ4" s="435"/>
      <c r="AR4" s="435"/>
      <c r="AS4" s="435"/>
      <c r="AT4" s="435"/>
      <c r="AU4" s="435"/>
      <c r="AV4" s="435"/>
      <c r="AW4" s="435"/>
      <c r="AX4" s="435"/>
      <c r="AY4" s="435"/>
      <c r="AZ4" s="435"/>
      <c r="BA4" s="435"/>
      <c r="BB4" s="435"/>
      <c r="BC4" s="435"/>
      <c r="BD4" s="435"/>
      <c r="BE4" s="435"/>
      <c r="BF4" s="435"/>
      <c r="BG4" s="435"/>
      <c r="BH4" s="435"/>
      <c r="BI4" s="435"/>
      <c r="BJ4" s="435"/>
      <c r="BK4" s="435"/>
      <c r="BL4" s="435"/>
      <c r="BM4" s="435"/>
      <c r="BN4" s="435"/>
      <c r="BO4" s="435"/>
      <c r="BP4" s="435"/>
      <c r="BQ4" s="435"/>
      <c r="BR4" s="435"/>
      <c r="BS4" s="435"/>
    </row>
    <row r="6" spans="1:72">
      <c r="BQ6" s="164" t="s">
        <v>54</v>
      </c>
      <c r="BR6" s="164"/>
      <c r="BS6" s="177"/>
    </row>
    <row r="7" spans="1:72" s="135" customFormat="1" ht="63.75" customHeight="1">
      <c r="A7" s="413" t="s">
        <v>2</v>
      </c>
      <c r="B7" s="413" t="s">
        <v>3</v>
      </c>
      <c r="C7" s="413" t="s">
        <v>4</v>
      </c>
      <c r="D7" s="430" t="s">
        <v>213</v>
      </c>
      <c r="E7" s="427" t="s">
        <v>5</v>
      </c>
      <c r="F7" s="427"/>
      <c r="G7" s="428" t="s">
        <v>92</v>
      </c>
      <c r="H7" s="419" t="s">
        <v>6</v>
      </c>
      <c r="I7" s="420"/>
      <c r="J7" s="420"/>
      <c r="K7" s="420"/>
      <c r="L7" s="420"/>
      <c r="M7" s="420"/>
      <c r="N7" s="420"/>
      <c r="O7" s="420"/>
      <c r="P7" s="421"/>
      <c r="Q7" s="419" t="s">
        <v>7</v>
      </c>
      <c r="R7" s="420"/>
      <c r="S7" s="420"/>
      <c r="T7" s="420"/>
      <c r="U7" s="414" t="s">
        <v>8</v>
      </c>
      <c r="V7" s="415"/>
      <c r="W7" s="415"/>
      <c r="X7" s="415"/>
      <c r="Y7" s="415"/>
      <c r="Z7" s="415"/>
      <c r="AA7" s="415"/>
      <c r="AB7" s="415"/>
      <c r="AC7" s="415"/>
      <c r="AD7" s="415"/>
      <c r="AE7" s="416"/>
      <c r="AF7" s="432" t="s">
        <v>316</v>
      </c>
      <c r="AG7" s="432" t="s">
        <v>280</v>
      </c>
      <c r="AH7" s="417" t="s">
        <v>55</v>
      </c>
      <c r="AI7" s="413" t="s">
        <v>93</v>
      </c>
      <c r="AJ7" s="417" t="s">
        <v>94</v>
      </c>
      <c r="AK7" s="413" t="s">
        <v>95</v>
      </c>
      <c r="AL7" s="414" t="s">
        <v>12</v>
      </c>
      <c r="AM7" s="415"/>
      <c r="AN7" s="415"/>
      <c r="AO7" s="415"/>
      <c r="AP7" s="415"/>
      <c r="AQ7" s="415"/>
      <c r="AR7" s="415"/>
      <c r="AS7" s="415"/>
      <c r="AT7" s="415"/>
      <c r="AU7" s="416"/>
      <c r="AV7" s="417" t="s">
        <v>96</v>
      </c>
      <c r="AW7" s="413" t="s">
        <v>13</v>
      </c>
      <c r="AX7" s="426" t="s">
        <v>14</v>
      </c>
      <c r="AY7" s="426"/>
      <c r="AZ7" s="426"/>
      <c r="BA7" s="426"/>
      <c r="BB7" s="426"/>
      <c r="BC7" s="426"/>
      <c r="BD7" s="426" t="s">
        <v>15</v>
      </c>
      <c r="BE7" s="426"/>
      <c r="BF7" s="426"/>
      <c r="BG7" s="426"/>
      <c r="BH7" s="414" t="s">
        <v>56</v>
      </c>
      <c r="BI7" s="415"/>
      <c r="BJ7" s="415"/>
      <c r="BK7" s="415"/>
      <c r="BL7" s="415"/>
      <c r="BM7" s="415"/>
      <c r="BN7" s="416"/>
      <c r="BO7" s="417" t="s">
        <v>305</v>
      </c>
      <c r="BP7" s="167"/>
      <c r="BQ7" s="413" t="s">
        <v>57</v>
      </c>
      <c r="BR7" s="413" t="s">
        <v>173</v>
      </c>
      <c r="BS7" s="413" t="s">
        <v>16</v>
      </c>
    </row>
    <row r="8" spans="1:72" s="135" customFormat="1" ht="95.25" customHeight="1">
      <c r="A8" s="413"/>
      <c r="B8" s="413"/>
      <c r="C8" s="413"/>
      <c r="D8" s="431"/>
      <c r="E8" s="168" t="s">
        <v>228</v>
      </c>
      <c r="F8" s="168" t="s">
        <v>229</v>
      </c>
      <c r="G8" s="429"/>
      <c r="H8" s="168" t="s">
        <v>230</v>
      </c>
      <c r="I8" s="168" t="s">
        <v>97</v>
      </c>
      <c r="J8" s="168" t="s">
        <v>271</v>
      </c>
      <c r="K8" s="168" t="s">
        <v>272</v>
      </c>
      <c r="L8" s="168" t="s">
        <v>273</v>
      </c>
      <c r="M8" s="168" t="s">
        <v>274</v>
      </c>
      <c r="N8" s="168" t="s">
        <v>275</v>
      </c>
      <c r="O8" s="168" t="s">
        <v>276</v>
      </c>
      <c r="P8" s="168" t="s">
        <v>277</v>
      </c>
      <c r="Q8" s="169" t="s">
        <v>7</v>
      </c>
      <c r="R8" s="169" t="s">
        <v>142</v>
      </c>
      <c r="S8" s="169" t="s">
        <v>143</v>
      </c>
      <c r="T8" s="169" t="s">
        <v>147</v>
      </c>
      <c r="U8" s="170" t="s">
        <v>214</v>
      </c>
      <c r="V8" s="170" t="s">
        <v>98</v>
      </c>
      <c r="W8" s="170" t="s">
        <v>215</v>
      </c>
      <c r="X8" s="170" t="s">
        <v>99</v>
      </c>
      <c r="Y8" s="170" t="s">
        <v>216</v>
      </c>
      <c r="Z8" s="170" t="s">
        <v>100</v>
      </c>
      <c r="AA8" s="165" t="s">
        <v>127</v>
      </c>
      <c r="AB8" s="170" t="s">
        <v>101</v>
      </c>
      <c r="AC8" s="170" t="s">
        <v>102</v>
      </c>
      <c r="AD8" s="170" t="s">
        <v>103</v>
      </c>
      <c r="AE8" s="171" t="str">
        <f>'Payroll Office'!AE8</f>
        <v>Thưởng sinh nhật tháng 08 /Birthday in August</v>
      </c>
      <c r="AF8" s="433"/>
      <c r="AG8" s="433"/>
      <c r="AH8" s="418"/>
      <c r="AI8" s="413"/>
      <c r="AJ8" s="418"/>
      <c r="AK8" s="413"/>
      <c r="AL8" s="172" t="s">
        <v>60</v>
      </c>
      <c r="AM8" s="172" t="s">
        <v>17</v>
      </c>
      <c r="AN8" s="172" t="s">
        <v>66</v>
      </c>
      <c r="AO8" s="172" t="s">
        <v>67</v>
      </c>
      <c r="AP8" s="172" t="s">
        <v>71</v>
      </c>
      <c r="AQ8" s="172" t="s">
        <v>68</v>
      </c>
      <c r="AR8" s="172" t="s">
        <v>59</v>
      </c>
      <c r="AS8" s="172" t="s">
        <v>69</v>
      </c>
      <c r="AT8" s="172" t="s">
        <v>70</v>
      </c>
      <c r="AU8" s="165" t="s">
        <v>19</v>
      </c>
      <c r="AV8" s="418"/>
      <c r="AW8" s="413"/>
      <c r="AX8" s="165" t="s">
        <v>20</v>
      </c>
      <c r="AY8" s="165" t="s">
        <v>170</v>
      </c>
      <c r="AZ8" s="165" t="s">
        <v>22</v>
      </c>
      <c r="BA8" s="165" t="s">
        <v>23</v>
      </c>
      <c r="BB8" s="165" t="s">
        <v>302</v>
      </c>
      <c r="BC8" s="173" t="s">
        <v>24</v>
      </c>
      <c r="BD8" s="173" t="s">
        <v>25</v>
      </c>
      <c r="BE8" s="173" t="s">
        <v>26</v>
      </c>
      <c r="BF8" s="173" t="s">
        <v>23</v>
      </c>
      <c r="BG8" s="173" t="s">
        <v>27</v>
      </c>
      <c r="BH8" s="173" t="s">
        <v>238</v>
      </c>
      <c r="BI8" s="165" t="s">
        <v>28</v>
      </c>
      <c r="BJ8" s="165" t="s">
        <v>29</v>
      </c>
      <c r="BK8" s="165" t="s">
        <v>104</v>
      </c>
      <c r="BL8" s="167" t="s">
        <v>31</v>
      </c>
      <c r="BM8" s="174" t="s">
        <v>239</v>
      </c>
      <c r="BN8" s="165" t="s">
        <v>240</v>
      </c>
      <c r="BO8" s="418"/>
      <c r="BP8" s="170"/>
      <c r="BQ8" s="413"/>
      <c r="BR8" s="413"/>
      <c r="BS8" s="413"/>
    </row>
    <row r="9" spans="1:72" ht="42" customHeight="1">
      <c r="A9" s="178">
        <v>-1</v>
      </c>
      <c r="B9" s="178">
        <v>-2</v>
      </c>
      <c r="C9" s="178">
        <v>-3</v>
      </c>
      <c r="D9" s="176"/>
      <c r="E9" s="176" t="s">
        <v>72</v>
      </c>
      <c r="F9" s="176" t="s">
        <v>73</v>
      </c>
      <c r="G9" s="179"/>
      <c r="H9" s="176" t="s">
        <v>33</v>
      </c>
      <c r="I9" s="176" t="s">
        <v>74</v>
      </c>
      <c r="J9" s="176" t="s">
        <v>75</v>
      </c>
      <c r="K9" s="176" t="s">
        <v>76</v>
      </c>
      <c r="L9" s="176" t="s">
        <v>77</v>
      </c>
      <c r="M9" s="176" t="s">
        <v>78</v>
      </c>
      <c r="N9" s="176" t="s">
        <v>79</v>
      </c>
      <c r="O9" s="176">
        <v>-7</v>
      </c>
      <c r="P9" s="176" t="s">
        <v>80</v>
      </c>
      <c r="Q9" s="178">
        <v>-8</v>
      </c>
      <c r="R9" s="178">
        <v>-9</v>
      </c>
      <c r="S9" s="178"/>
      <c r="T9" s="178"/>
      <c r="U9" s="178"/>
      <c r="V9" s="178"/>
      <c r="W9" s="178"/>
      <c r="X9" s="178">
        <v>-11</v>
      </c>
      <c r="Y9" s="178"/>
      <c r="Z9" s="178" t="s">
        <v>34</v>
      </c>
      <c r="AA9" s="178"/>
      <c r="AB9" s="178" t="s">
        <v>35</v>
      </c>
      <c r="AC9" s="178">
        <v>-12</v>
      </c>
      <c r="AD9" s="178">
        <v>-13</v>
      </c>
      <c r="AE9" s="178">
        <v>-14</v>
      </c>
      <c r="AF9" s="178">
        <v>-15</v>
      </c>
      <c r="AG9" s="178"/>
      <c r="AH9" s="178" t="s">
        <v>190</v>
      </c>
      <c r="AI9" s="178" t="s">
        <v>37</v>
      </c>
      <c r="AJ9" s="178" t="s">
        <v>38</v>
      </c>
      <c r="AK9" s="180" t="s">
        <v>105</v>
      </c>
      <c r="AL9" s="180" t="s">
        <v>106</v>
      </c>
      <c r="AM9" s="180" t="s">
        <v>107</v>
      </c>
      <c r="AN9" s="180" t="s">
        <v>108</v>
      </c>
      <c r="AO9" s="180" t="s">
        <v>81</v>
      </c>
      <c r="AP9" s="180" t="s">
        <v>82</v>
      </c>
      <c r="AQ9" s="180" t="s">
        <v>83</v>
      </c>
      <c r="AR9" s="180" t="s">
        <v>84</v>
      </c>
      <c r="AS9" s="180" t="s">
        <v>85</v>
      </c>
      <c r="AT9" s="180" t="s">
        <v>86</v>
      </c>
      <c r="AU9" s="180" t="s">
        <v>39</v>
      </c>
      <c r="AV9" s="180"/>
      <c r="AW9" s="180" t="s">
        <v>40</v>
      </c>
      <c r="AX9" s="180" t="s">
        <v>41</v>
      </c>
      <c r="AY9" s="178" t="s">
        <v>42</v>
      </c>
      <c r="AZ9" s="178" t="s">
        <v>43</v>
      </c>
      <c r="BA9" s="178" t="s">
        <v>62</v>
      </c>
      <c r="BB9" s="178"/>
      <c r="BC9" s="181" t="s">
        <v>63</v>
      </c>
      <c r="BD9" s="181" t="s">
        <v>53</v>
      </c>
      <c r="BE9" s="181" t="s">
        <v>44</v>
      </c>
      <c r="BF9" s="181" t="s">
        <v>64</v>
      </c>
      <c r="BG9" s="181" t="s">
        <v>45</v>
      </c>
      <c r="BH9" s="180">
        <v>-31</v>
      </c>
      <c r="BI9" s="180" t="s">
        <v>46</v>
      </c>
      <c r="BJ9" s="180" t="s">
        <v>47</v>
      </c>
      <c r="BK9" s="182" t="s">
        <v>109</v>
      </c>
      <c r="BL9" s="180" t="s">
        <v>48</v>
      </c>
      <c r="BM9" s="183" t="s">
        <v>49</v>
      </c>
      <c r="BN9" s="180">
        <v>-36</v>
      </c>
      <c r="BO9" s="180"/>
      <c r="BP9" s="180"/>
      <c r="BQ9" s="180"/>
      <c r="BR9" s="180"/>
      <c r="BS9" s="178"/>
    </row>
    <row r="10" spans="1:72" s="45" customFormat="1" ht="31.5" customHeight="1">
      <c r="A10" s="304">
        <v>1</v>
      </c>
      <c r="B10" s="378" t="s">
        <v>110</v>
      </c>
      <c r="C10" s="247" t="s">
        <v>264</v>
      </c>
      <c r="D10" s="336">
        <v>208</v>
      </c>
      <c r="E10" s="176">
        <v>130.5</v>
      </c>
      <c r="F10" s="235">
        <v>58.5</v>
      </c>
      <c r="G10" s="235">
        <v>19</v>
      </c>
      <c r="H10" s="235">
        <v>45</v>
      </c>
      <c r="I10" s="235">
        <v>13.5</v>
      </c>
      <c r="J10" s="235"/>
      <c r="K10" s="235"/>
      <c r="L10" s="235"/>
      <c r="M10" s="235"/>
      <c r="N10" s="337"/>
      <c r="O10" s="337"/>
      <c r="P10" s="337"/>
      <c r="Q10" s="236">
        <v>4267000</v>
      </c>
      <c r="R10" s="236">
        <v>1500000</v>
      </c>
      <c r="S10" s="338"/>
      <c r="T10" s="236">
        <v>900000</v>
      </c>
      <c r="U10" s="236">
        <v>0</v>
      </c>
      <c r="V10" s="236">
        <f>IF((E10+F10)&gt;=180, U10, U10/D10*(E10+F10))</f>
        <v>0</v>
      </c>
      <c r="W10" s="338">
        <v>700000</v>
      </c>
      <c r="X10" s="236">
        <f>IF((E10+F10)&gt;=180, W10, W10/D10*(E10+F10))</f>
        <v>700000</v>
      </c>
      <c r="Y10" s="338">
        <v>700000</v>
      </c>
      <c r="Z10" s="236">
        <f>IF((E10+F10)&gt;=180, Y10, Y10/D10*(E10+F10))</f>
        <v>700000</v>
      </c>
      <c r="AA10" s="338">
        <v>0</v>
      </c>
      <c r="AB10" s="236">
        <v>20000</v>
      </c>
      <c r="AC10" s="236">
        <v>500000</v>
      </c>
      <c r="AD10" s="236">
        <f t="shared" ref="AD10" si="0">G10*13000</f>
        <v>247000</v>
      </c>
      <c r="AE10" s="236"/>
      <c r="AF10" s="236"/>
      <c r="AG10" s="338"/>
      <c r="AH10" s="236">
        <f>V10+X10+Z10+AB10+AC10+AD10+AE10</f>
        <v>2167000</v>
      </c>
      <c r="AI10" s="236">
        <f t="shared" ref="AI10" si="1">Q10+R10+T10</f>
        <v>6667000</v>
      </c>
      <c r="AJ10" s="236">
        <f>AI10/D10</f>
        <v>32052.884615384617</v>
      </c>
      <c r="AK10" s="236">
        <f t="shared" ref="AK10" si="2">AJ10*(E10+F10*130%)</f>
        <v>6620523.317307693</v>
      </c>
      <c r="AL10" s="236">
        <f t="shared" ref="AL10" si="3">AJ10*H10*150%</f>
        <v>2163569.7115384615</v>
      </c>
      <c r="AM10" s="236">
        <f t="shared" ref="AM10" si="4">AJ10*I10*150%*130%</f>
        <v>843792.18750000012</v>
      </c>
      <c r="AN10" s="338">
        <f t="shared" ref="AN10" si="5">+AJ10*J10*200%</f>
        <v>0</v>
      </c>
      <c r="AO10" s="338">
        <f t="shared" ref="AO10" si="6">AJ10*K10*200%*130%</f>
        <v>0</v>
      </c>
      <c r="AP10" s="338">
        <f t="shared" ref="AP10" si="7">AJ10*L10*200%*150%</f>
        <v>0</v>
      </c>
      <c r="AQ10" s="338">
        <f t="shared" ref="AQ10" si="8">AJ10*M10*200%*150%*130%</f>
        <v>0</v>
      </c>
      <c r="AR10" s="338">
        <f t="shared" ref="AR10" si="9">N10*AJ10*300%</f>
        <v>0</v>
      </c>
      <c r="AS10" s="338">
        <f t="shared" ref="AS10" si="10">AJ10*O10*130%*300%</f>
        <v>0</v>
      </c>
      <c r="AT10" s="338">
        <f t="shared" ref="AT10" si="11">P10*AJ10*150%*300%</f>
        <v>0</v>
      </c>
      <c r="AU10" s="236">
        <f t="shared" ref="AU10" si="12">SUM(AL10:AT10)</f>
        <v>3007361.8990384615</v>
      </c>
      <c r="AV10" s="338"/>
      <c r="AW10" s="236">
        <f>AH10+AK10+AU10+AF10-AG10</f>
        <v>11794885.216346154</v>
      </c>
      <c r="AX10" s="236">
        <f t="shared" ref="AX10:AX21" si="13">Q10+R10+T10</f>
        <v>6667000</v>
      </c>
      <c r="AY10" s="338">
        <f t="shared" ref="AY10" si="14">AX10*17.5%</f>
        <v>1166725</v>
      </c>
      <c r="AZ10" s="338">
        <f>AX10*3%</f>
        <v>200010</v>
      </c>
      <c r="BA10" s="338">
        <f t="shared" ref="BA10" si="15">AX10*1%</f>
        <v>66670</v>
      </c>
      <c r="BB10" s="338">
        <f>AX10*2%</f>
        <v>133340</v>
      </c>
      <c r="BC10" s="236">
        <f>AY10+AZ10+BA10+BB10</f>
        <v>1566745</v>
      </c>
      <c r="BD10" s="338">
        <f>AX10*8%</f>
        <v>533360</v>
      </c>
      <c r="BE10" s="338">
        <f>AX10*1.5%</f>
        <v>100005</v>
      </c>
      <c r="BF10" s="338">
        <f>AX10*1%</f>
        <v>66670</v>
      </c>
      <c r="BG10" s="236">
        <f>BD10+BE10+BF10</f>
        <v>700035</v>
      </c>
      <c r="BH10" s="236">
        <v>11000000</v>
      </c>
      <c r="BI10" s="236">
        <v>1</v>
      </c>
      <c r="BJ10" s="236">
        <f>BI10*4400000</f>
        <v>4400000</v>
      </c>
      <c r="BK10" s="236">
        <f t="shared" ref="BK10:BK26" si="16">V10+AA10+AD10</f>
        <v>247000</v>
      </c>
      <c r="BL10" s="236">
        <f t="shared" ref="BL10" si="17">AW10-BK10-F10*0.3*AJ10</f>
        <v>10985357.091346154</v>
      </c>
      <c r="BM10" s="236">
        <f t="shared" ref="BM10" si="18">IF(BL10-BH10-BJ10-BG10&lt;0,0,BL10-BH10-BJ10-BG10)</f>
        <v>0</v>
      </c>
      <c r="BN10" s="236">
        <f>ROUND(IF(BM10&lt;=5000000,BM10*5%,IF(AND(BM10&gt;5000000,BM10&lt;=10000000),BM10*10%-250000,IF(AND(BM10&gt;10000000,BM10&lt;=18000000),BM10*15%-750000,IF(AND(BM10&gt;18000000,BM10&lt;=32000000),BM10*20%-1650000,IF(AND(BM10&gt;32000000,BM10&lt;=52000000),BM10*25%-3250000,IF(AND(BM10&gt;52000000,BM10&lt;80000000),BM10*30%-585000,IF(BM10&gt;80000000,BM10*35%-9850000))))))),0)</f>
        <v>0</v>
      </c>
      <c r="BO10" s="232">
        <v>35000</v>
      </c>
      <c r="BP10" s="232"/>
      <c r="BQ10" s="236">
        <f t="shared" ref="BQ10:BQ26" si="19">AW10-BG10-BN10-BO10</f>
        <v>11059850.216346154</v>
      </c>
      <c r="BR10" s="339" t="s">
        <v>191</v>
      </c>
      <c r="BS10" s="236"/>
      <c r="BT10" s="184"/>
    </row>
    <row r="11" spans="1:72" s="45" customFormat="1" ht="39" customHeight="1">
      <c r="A11" s="304">
        <f>A10+1</f>
        <v>2</v>
      </c>
      <c r="B11" s="378" t="s">
        <v>312</v>
      </c>
      <c r="C11" s="247" t="s">
        <v>111</v>
      </c>
      <c r="D11" s="336">
        <v>208</v>
      </c>
      <c r="E11" s="176">
        <v>111</v>
      </c>
      <c r="F11" s="235">
        <v>78</v>
      </c>
      <c r="G11" s="235">
        <v>20</v>
      </c>
      <c r="H11" s="235">
        <v>43</v>
      </c>
      <c r="I11" s="235">
        <v>18</v>
      </c>
      <c r="J11" s="235"/>
      <c r="K11" s="235"/>
      <c r="L11" s="235"/>
      <c r="M11" s="235"/>
      <c r="N11" s="337"/>
      <c r="O11" s="337"/>
      <c r="P11" s="337"/>
      <c r="Q11" s="236">
        <v>4267000</v>
      </c>
      <c r="R11" s="236">
        <v>1300000</v>
      </c>
      <c r="S11" s="338"/>
      <c r="T11" s="236">
        <v>900000</v>
      </c>
      <c r="U11" s="236">
        <v>0</v>
      </c>
      <c r="V11" s="236">
        <f t="shared" ref="V11" si="20">IF((E11+F11)&gt;=180, U11, U11/D11*(E11+F11))</f>
        <v>0</v>
      </c>
      <c r="W11" s="338">
        <v>300000</v>
      </c>
      <c r="X11" s="236">
        <f t="shared" ref="X11:X26" si="21">IF((E11+F11)&gt;=180, W11, W11/D11*(E11+F11))</f>
        <v>300000</v>
      </c>
      <c r="Y11" s="338">
        <v>300000</v>
      </c>
      <c r="Z11" s="236">
        <f t="shared" ref="Z11:Z26" si="22">IF((E11+F11)&gt;=180, Y11, Y11/D11*(E11+F11))</f>
        <v>300000</v>
      </c>
      <c r="AA11" s="338">
        <v>0</v>
      </c>
      <c r="AB11" s="236">
        <v>40000</v>
      </c>
      <c r="AC11" s="236">
        <v>500000</v>
      </c>
      <c r="AD11" s="236">
        <f t="shared" ref="AD11" si="23">G11*13000</f>
        <v>260000</v>
      </c>
      <c r="AE11" s="236"/>
      <c r="AF11" s="236"/>
      <c r="AG11" s="338"/>
      <c r="AH11" s="236">
        <f t="shared" ref="AH11:AH21" si="24">V11+X11+Z11+AB11+AC11+AD11+AE11</f>
        <v>1400000</v>
      </c>
      <c r="AI11" s="236">
        <f t="shared" ref="AI11" si="25">Q11+R11+T11</f>
        <v>6467000</v>
      </c>
      <c r="AJ11" s="236">
        <f t="shared" ref="AJ11" si="26">AI11/D11</f>
        <v>31091.346153846152</v>
      </c>
      <c r="AK11" s="236">
        <f t="shared" ref="AK11" si="27">AJ11*(E11+F11*130%)</f>
        <v>6603801.923076923</v>
      </c>
      <c r="AL11" s="236">
        <f t="shared" ref="AL11" si="28">AJ11*H11*150%</f>
        <v>2005391.8269230768</v>
      </c>
      <c r="AM11" s="236">
        <f t="shared" ref="AM11" si="29">AJ11*I11*150%*130%</f>
        <v>1091306.25</v>
      </c>
      <c r="AN11" s="338">
        <f t="shared" ref="AN11" si="30">+AJ11*J11*200%</f>
        <v>0</v>
      </c>
      <c r="AO11" s="338">
        <f t="shared" ref="AO11" si="31">AJ11*K11*200%*130%</f>
        <v>0</v>
      </c>
      <c r="AP11" s="338">
        <f t="shared" ref="AP11" si="32">AJ11*L11*200%*150%</f>
        <v>0</v>
      </c>
      <c r="AQ11" s="338">
        <f t="shared" ref="AQ11" si="33">AJ11*M11*200%*150%*130%</f>
        <v>0</v>
      </c>
      <c r="AR11" s="338">
        <f t="shared" ref="AR11" si="34">N11*AJ11*300%</f>
        <v>0</v>
      </c>
      <c r="AS11" s="338">
        <f t="shared" ref="AS11" si="35">AJ11*O11*130%*300%</f>
        <v>0</v>
      </c>
      <c r="AT11" s="338">
        <f t="shared" ref="AT11" si="36">P11*AJ11*150%*300%</f>
        <v>0</v>
      </c>
      <c r="AU11" s="236">
        <f t="shared" ref="AU11" si="37">SUM(AL11:AT11)</f>
        <v>3096698.076923077</v>
      </c>
      <c r="AV11" s="338"/>
      <c r="AW11" s="236">
        <f>AH11+AK11+AU11+AF11-AG11</f>
        <v>11100500</v>
      </c>
      <c r="AX11" s="236">
        <f t="shared" si="13"/>
        <v>6467000</v>
      </c>
      <c r="AY11" s="338">
        <f t="shared" ref="AY11" si="38">AX11*17.5%</f>
        <v>1131725</v>
      </c>
      <c r="AZ11" s="338">
        <f t="shared" ref="AZ11" si="39">AX11*3%</f>
        <v>194010</v>
      </c>
      <c r="BA11" s="338">
        <f t="shared" ref="BA11" si="40">AX11*1%</f>
        <v>64670</v>
      </c>
      <c r="BB11" s="338">
        <f t="shared" ref="BB11:BB26" si="41">AX11*2%</f>
        <v>129340</v>
      </c>
      <c r="BC11" s="236">
        <f t="shared" ref="BC11:BC26" si="42">AY11+AZ11+BA11+BB11</f>
        <v>1519745</v>
      </c>
      <c r="BD11" s="338">
        <f t="shared" ref="BD11" si="43">AX11*8%</f>
        <v>517360</v>
      </c>
      <c r="BE11" s="338">
        <f t="shared" ref="BE11" si="44">AX11*1.5%</f>
        <v>97005</v>
      </c>
      <c r="BF11" s="338">
        <f t="shared" ref="BF11" si="45">AX11*1%</f>
        <v>64670</v>
      </c>
      <c r="BG11" s="236">
        <f t="shared" ref="BG11:BG26" si="46">BD11+BE11+BF11</f>
        <v>679035</v>
      </c>
      <c r="BH11" s="236">
        <v>11000000</v>
      </c>
      <c r="BI11" s="236">
        <v>1</v>
      </c>
      <c r="BJ11" s="236">
        <f t="shared" ref="BJ11:BJ21" si="47">BI11*4400000</f>
        <v>4400000</v>
      </c>
      <c r="BK11" s="236">
        <f t="shared" si="16"/>
        <v>260000</v>
      </c>
      <c r="BL11" s="236">
        <v>11559432.331730768</v>
      </c>
      <c r="BM11" s="236">
        <f t="shared" ref="BM11" si="48">IF(BL11-BH11-BJ11-BG11&lt;0,0,BL11-BH11-BJ11-BG11)</f>
        <v>0</v>
      </c>
      <c r="BN11" s="236">
        <f t="shared" ref="BN11" si="49">ROUND(IF(BM11&lt;=5000000,BM11*5%,IF(AND(BM11&gt;5000000,BM11&lt;=10000000),BM11*10%-250000,IF(AND(BM11&gt;10000000,BM11&lt;=18000000),BM11*15%-750000,IF(AND(BM11&gt;18000000,BM11&lt;=32000000),BM11*20%-1650000,IF(AND(BM11&gt;32000000,BM11&lt;=52000000),BM11*25%-3250000,IF(AND(BM11&gt;52000000,BM11&lt;80000000),BM11*30%-585000,IF(BM11&gt;80000000,BM11*35%-9850000))))))),0)</f>
        <v>0</v>
      </c>
      <c r="BO11" s="232">
        <v>35000</v>
      </c>
      <c r="BP11" s="232"/>
      <c r="BQ11" s="236">
        <f t="shared" si="19"/>
        <v>10386465</v>
      </c>
      <c r="BR11" s="338" t="s">
        <v>192</v>
      </c>
      <c r="BS11" s="236"/>
      <c r="BT11" s="184"/>
    </row>
    <row r="12" spans="1:72" s="45" customFormat="1" ht="31.5" customHeight="1">
      <c r="A12" s="304">
        <f t="shared" ref="A12:A26" si="50">A11+1</f>
        <v>3</v>
      </c>
      <c r="B12" s="378" t="s">
        <v>269</v>
      </c>
      <c r="C12" s="247" t="s">
        <v>111</v>
      </c>
      <c r="D12" s="336">
        <v>208</v>
      </c>
      <c r="E12" s="176">
        <v>110.5</v>
      </c>
      <c r="F12" s="235">
        <v>78</v>
      </c>
      <c r="G12" s="235">
        <v>20</v>
      </c>
      <c r="H12" s="235">
        <v>43</v>
      </c>
      <c r="I12" s="235">
        <v>18</v>
      </c>
      <c r="J12" s="235"/>
      <c r="K12" s="235"/>
      <c r="L12" s="235"/>
      <c r="M12" s="235"/>
      <c r="N12" s="337"/>
      <c r="O12" s="337"/>
      <c r="P12" s="337"/>
      <c r="Q12" s="236">
        <v>4267000</v>
      </c>
      <c r="R12" s="236">
        <v>1300000</v>
      </c>
      <c r="S12" s="338"/>
      <c r="T12" s="236">
        <v>900000</v>
      </c>
      <c r="U12" s="236">
        <v>0</v>
      </c>
      <c r="V12" s="236">
        <f t="shared" ref="V12" si="51">IF((E12+F12)&gt;=180, U12, U12/D12*(E12+F12))</f>
        <v>0</v>
      </c>
      <c r="W12" s="338">
        <v>300000</v>
      </c>
      <c r="X12" s="236">
        <f t="shared" si="21"/>
        <v>300000</v>
      </c>
      <c r="Y12" s="338">
        <v>300000</v>
      </c>
      <c r="Z12" s="236">
        <f t="shared" si="22"/>
        <v>300000</v>
      </c>
      <c r="AA12" s="338">
        <v>0</v>
      </c>
      <c r="AB12" s="236"/>
      <c r="AC12" s="236">
        <v>500000</v>
      </c>
      <c r="AD12" s="236">
        <f t="shared" ref="AD12" si="52">G12*13000</f>
        <v>260000</v>
      </c>
      <c r="AE12" s="236"/>
      <c r="AF12" s="236"/>
      <c r="AG12" s="338"/>
      <c r="AH12" s="236">
        <f t="shared" ref="AH12" si="53">V12+X12+Z12+AB12+AC12+AD12+AE12</f>
        <v>1360000</v>
      </c>
      <c r="AI12" s="236">
        <f t="shared" ref="AI12" si="54">Q12+R12+T12</f>
        <v>6467000</v>
      </c>
      <c r="AJ12" s="236">
        <f t="shared" ref="AJ12" si="55">AI12/D12</f>
        <v>31091.346153846152</v>
      </c>
      <c r="AK12" s="236">
        <f t="shared" ref="AK12" si="56">AJ12*(E12+F12*130%)</f>
        <v>6588256.25</v>
      </c>
      <c r="AL12" s="236">
        <f t="shared" ref="AL12" si="57">AJ12*H12*150%</f>
        <v>2005391.8269230768</v>
      </c>
      <c r="AM12" s="236">
        <f t="shared" ref="AM12" si="58">AJ12*I12*150%*130%</f>
        <v>1091306.25</v>
      </c>
      <c r="AN12" s="338">
        <f t="shared" ref="AN12" si="59">+AJ12*J12*200%</f>
        <v>0</v>
      </c>
      <c r="AO12" s="338">
        <f t="shared" ref="AO12" si="60">AJ12*K12*200%*130%</f>
        <v>0</v>
      </c>
      <c r="AP12" s="338">
        <f t="shared" ref="AP12" si="61">AJ12*L12*200%*150%</f>
        <v>0</v>
      </c>
      <c r="AQ12" s="338">
        <f t="shared" ref="AQ12" si="62">AJ12*M12*200%*150%*130%</f>
        <v>0</v>
      </c>
      <c r="AR12" s="338">
        <f t="shared" ref="AR12" si="63">N12*AJ12*300%</f>
        <v>0</v>
      </c>
      <c r="AS12" s="338">
        <f t="shared" ref="AS12" si="64">AJ12*O12*130%*300%</f>
        <v>0</v>
      </c>
      <c r="AT12" s="338">
        <f t="shared" ref="AT12" si="65">P12*AJ12*150%*300%</f>
        <v>0</v>
      </c>
      <c r="AU12" s="236">
        <f t="shared" ref="AU12" si="66">SUM(AL12:AT12)</f>
        <v>3096698.076923077</v>
      </c>
      <c r="AV12" s="338"/>
      <c r="AW12" s="236">
        <f t="shared" ref="AW12:AW24" si="67">AH12+AK12+AU12+AF12-AG12</f>
        <v>11044954.326923076</v>
      </c>
      <c r="AX12" s="236">
        <f t="shared" si="13"/>
        <v>6467000</v>
      </c>
      <c r="AY12" s="338">
        <f t="shared" ref="AY12" si="68">AX12*17.5%</f>
        <v>1131725</v>
      </c>
      <c r="AZ12" s="338">
        <f t="shared" ref="AZ12" si="69">AX12*3%</f>
        <v>194010</v>
      </c>
      <c r="BA12" s="338">
        <f t="shared" ref="BA12" si="70">AX12*1%</f>
        <v>64670</v>
      </c>
      <c r="BB12" s="338">
        <f t="shared" si="41"/>
        <v>129340</v>
      </c>
      <c r="BC12" s="236">
        <f t="shared" si="42"/>
        <v>1519745</v>
      </c>
      <c r="BD12" s="338">
        <f t="shared" ref="BD12" si="71">AX12*8%</f>
        <v>517360</v>
      </c>
      <c r="BE12" s="338">
        <f t="shared" ref="BE12" si="72">AX12*1.5%</f>
        <v>97005</v>
      </c>
      <c r="BF12" s="338">
        <f t="shared" ref="BF12" si="73">AX12*1%</f>
        <v>64670</v>
      </c>
      <c r="BG12" s="236">
        <f t="shared" si="46"/>
        <v>679035</v>
      </c>
      <c r="BH12" s="236">
        <v>11000000</v>
      </c>
      <c r="BI12" s="236"/>
      <c r="BJ12" s="236">
        <f t="shared" si="47"/>
        <v>0</v>
      </c>
      <c r="BK12" s="236">
        <f t="shared" si="16"/>
        <v>260000</v>
      </c>
      <c r="BL12" s="236">
        <f>AW12-BK12-F12*0.3*AJ12</f>
        <v>10057416.826923076</v>
      </c>
      <c r="BM12" s="236">
        <f t="shared" ref="BM12:BM13" si="74">IF(BL12-BH12-BJ12-BG12&lt;0,0,BL12-BH12-BJ12-BG12)</f>
        <v>0</v>
      </c>
      <c r="BN12" s="236">
        <f t="shared" ref="BN12" si="75">ROUND(IF(BM12&lt;=5000000,BM12*5%,IF(AND(BM12&gt;5000000,BM12&lt;=10000000),BM12*10%-250000,IF(AND(BM12&gt;10000000,BM12&lt;=18000000),BM12*15%-750000,IF(AND(BM12&gt;18000000,BM12&lt;=32000000),BM12*20%-1650000,IF(AND(BM12&gt;32000000,BM12&lt;=52000000),BM12*25%-3250000,IF(AND(BM12&gt;52000000,BM12&lt;80000000),BM12*30%-585000,IF(BM12&gt;80000000,BM12*35%-9850000))))))),0)</f>
        <v>0</v>
      </c>
      <c r="BO12" s="232">
        <v>35000</v>
      </c>
      <c r="BP12" s="232"/>
      <c r="BQ12" s="236">
        <f>AW12-BG12-BN12-BO12</f>
        <v>10330919.326923076</v>
      </c>
      <c r="BR12" s="338" t="s">
        <v>193</v>
      </c>
      <c r="BS12" s="236"/>
      <c r="BT12" s="184"/>
    </row>
    <row r="13" spans="1:72" s="45" customFormat="1" ht="31.5" customHeight="1">
      <c r="A13" s="304">
        <f t="shared" si="50"/>
        <v>4</v>
      </c>
      <c r="B13" s="305" t="s">
        <v>270</v>
      </c>
      <c r="C13" s="247" t="s">
        <v>111</v>
      </c>
      <c r="D13" s="336">
        <v>208</v>
      </c>
      <c r="E13" s="176">
        <v>137</v>
      </c>
      <c r="F13" s="235">
        <v>52</v>
      </c>
      <c r="G13" s="235">
        <v>19</v>
      </c>
      <c r="H13" s="235">
        <v>48.5</v>
      </c>
      <c r="I13" s="235">
        <v>10.5</v>
      </c>
      <c r="J13" s="235"/>
      <c r="K13" s="235"/>
      <c r="L13" s="235"/>
      <c r="M13" s="235"/>
      <c r="N13" s="337"/>
      <c r="O13" s="337"/>
      <c r="P13" s="337"/>
      <c r="Q13" s="236">
        <v>4267000</v>
      </c>
      <c r="R13" s="236">
        <v>1300000</v>
      </c>
      <c r="S13" s="338"/>
      <c r="T13" s="236">
        <v>900000</v>
      </c>
      <c r="U13" s="236">
        <v>0</v>
      </c>
      <c r="V13" s="236">
        <f t="shared" ref="V13" si="76">IF((E13+F13)&gt;=180, U13, U13/D13*(E13+F13))</f>
        <v>0</v>
      </c>
      <c r="W13" s="338">
        <v>300000</v>
      </c>
      <c r="X13" s="236">
        <f t="shared" si="21"/>
        <v>300000</v>
      </c>
      <c r="Y13" s="338">
        <v>300000</v>
      </c>
      <c r="Z13" s="236">
        <f t="shared" si="22"/>
        <v>300000</v>
      </c>
      <c r="AA13" s="338">
        <v>0</v>
      </c>
      <c r="AB13" s="236"/>
      <c r="AC13" s="236">
        <v>500000</v>
      </c>
      <c r="AD13" s="236">
        <f t="shared" ref="AD13" si="77">G13*13000</f>
        <v>247000</v>
      </c>
      <c r="AE13" s="236"/>
      <c r="AF13" s="236"/>
      <c r="AG13" s="338"/>
      <c r="AH13" s="236">
        <f t="shared" ref="AH13" si="78">V13+X13+Z13+AB13+AC13+AD13+AE13</f>
        <v>1347000</v>
      </c>
      <c r="AI13" s="236">
        <f t="shared" ref="AI13" si="79">Q13+R13+T13</f>
        <v>6467000</v>
      </c>
      <c r="AJ13" s="236">
        <f t="shared" ref="AJ13" si="80">AI13/D13</f>
        <v>31091.346153846152</v>
      </c>
      <c r="AK13" s="236">
        <f t="shared" ref="AK13" si="81">AJ13*(E13+F13*130%)</f>
        <v>6361289.4230769239</v>
      </c>
      <c r="AL13" s="236">
        <f t="shared" ref="AL13" si="82">AJ13*H13*150%</f>
        <v>2261895.432692308</v>
      </c>
      <c r="AM13" s="236">
        <f t="shared" ref="AM13" si="83">AJ13*I13*150%*130%</f>
        <v>636595.3125</v>
      </c>
      <c r="AN13" s="338">
        <f t="shared" ref="AN13" si="84">+AJ13*J13*200%</f>
        <v>0</v>
      </c>
      <c r="AO13" s="338">
        <f t="shared" ref="AO13" si="85">AJ13*K13*200%*130%</f>
        <v>0</v>
      </c>
      <c r="AP13" s="338">
        <f t="shared" ref="AP13" si="86">AJ13*L13*200%*150%</f>
        <v>0</v>
      </c>
      <c r="AQ13" s="338">
        <f t="shared" ref="AQ13" si="87">AJ13*M13*200%*150%*130%</f>
        <v>0</v>
      </c>
      <c r="AR13" s="338">
        <f t="shared" ref="AR13" si="88">N13*AJ13*300%</f>
        <v>0</v>
      </c>
      <c r="AS13" s="338">
        <f t="shared" ref="AS13" si="89">AJ13*O13*130%*300%</f>
        <v>0</v>
      </c>
      <c r="AT13" s="338">
        <f t="shared" ref="AT13" si="90">P13*AJ13*150%*300%</f>
        <v>0</v>
      </c>
      <c r="AU13" s="236">
        <f t="shared" ref="AU13" si="91">SUM(AL13:AT13)</f>
        <v>2898490.745192308</v>
      </c>
      <c r="AV13" s="338"/>
      <c r="AW13" s="236">
        <f t="shared" si="67"/>
        <v>10606780.168269232</v>
      </c>
      <c r="AX13" s="236">
        <f t="shared" si="13"/>
        <v>6467000</v>
      </c>
      <c r="AY13" s="338">
        <f t="shared" ref="AY13" si="92">AX13*17.5%</f>
        <v>1131725</v>
      </c>
      <c r="AZ13" s="338">
        <f t="shared" ref="AZ13" si="93">AX13*3%</f>
        <v>194010</v>
      </c>
      <c r="BA13" s="338">
        <f t="shared" ref="BA13" si="94">AX13*1%</f>
        <v>64670</v>
      </c>
      <c r="BB13" s="338">
        <f t="shared" si="41"/>
        <v>129340</v>
      </c>
      <c r="BC13" s="236">
        <f t="shared" si="42"/>
        <v>1519745</v>
      </c>
      <c r="BD13" s="338">
        <f t="shared" ref="BD13" si="95">AX13*8%</f>
        <v>517360</v>
      </c>
      <c r="BE13" s="338">
        <f t="shared" ref="BE13" si="96">AX13*1.5%</f>
        <v>97005</v>
      </c>
      <c r="BF13" s="338">
        <f t="shared" ref="BF13" si="97">AX13*1%</f>
        <v>64670</v>
      </c>
      <c r="BG13" s="236">
        <f t="shared" si="46"/>
        <v>679035</v>
      </c>
      <c r="BH13" s="236">
        <v>11000000</v>
      </c>
      <c r="BI13" s="236"/>
      <c r="BJ13" s="236">
        <f t="shared" si="47"/>
        <v>0</v>
      </c>
      <c r="BK13" s="236">
        <f t="shared" si="16"/>
        <v>247000</v>
      </c>
      <c r="BL13" s="236">
        <f t="shared" ref="BL13:BL26" si="98">AW13-BK13-F13*0.3*AJ13</f>
        <v>9874755.1682692319</v>
      </c>
      <c r="BM13" s="236">
        <f t="shared" si="74"/>
        <v>0</v>
      </c>
      <c r="BN13" s="236">
        <f t="shared" ref="BN13" si="99">ROUND(IF(BM13&lt;=5000000,BM13*5%,IF(AND(BM13&gt;5000000,BM13&lt;=10000000),BM13*10%-250000,IF(AND(BM13&gt;10000000,BM13&lt;=18000000),BM13*15%-750000,IF(AND(BM13&gt;18000000,BM13&lt;=32000000),BM13*20%-1650000,IF(AND(BM13&gt;32000000,BM13&lt;=52000000),BM13*25%-3250000,IF(AND(BM13&gt;52000000,BM13&lt;80000000),BM13*30%-585000,IF(BM13&gt;80000000,BM13*35%-9850000))))))),0)</f>
        <v>0</v>
      </c>
      <c r="BO13" s="232">
        <v>35000</v>
      </c>
      <c r="BP13" s="232"/>
      <c r="BQ13" s="236">
        <f>AW13-BG13-BN13-BO13-BP13</f>
        <v>9892745.1682692319</v>
      </c>
      <c r="BR13" s="338" t="s">
        <v>194</v>
      </c>
      <c r="BS13" s="236"/>
      <c r="BT13" s="184"/>
    </row>
    <row r="14" spans="1:72" s="45" customFormat="1" ht="31.5" customHeight="1">
      <c r="A14" s="304">
        <f t="shared" si="50"/>
        <v>5</v>
      </c>
      <c r="B14" s="378" t="s">
        <v>296</v>
      </c>
      <c r="C14" s="247" t="s">
        <v>112</v>
      </c>
      <c r="D14" s="336">
        <v>208</v>
      </c>
      <c r="E14" s="176">
        <v>130.5</v>
      </c>
      <c r="F14" s="235">
        <v>58.5</v>
      </c>
      <c r="G14" s="235">
        <v>19</v>
      </c>
      <c r="H14" s="235">
        <v>44</v>
      </c>
      <c r="I14" s="235">
        <v>13.5</v>
      </c>
      <c r="J14" s="235"/>
      <c r="K14" s="235"/>
      <c r="L14" s="235"/>
      <c r="M14" s="235"/>
      <c r="N14" s="337"/>
      <c r="O14" s="337"/>
      <c r="P14" s="337"/>
      <c r="Q14" s="236">
        <v>4267000</v>
      </c>
      <c r="R14" s="236">
        <v>800000</v>
      </c>
      <c r="S14" s="338"/>
      <c r="T14" s="236">
        <v>900000</v>
      </c>
      <c r="U14" s="236">
        <v>0</v>
      </c>
      <c r="V14" s="236">
        <f t="shared" ref="V14:V19" si="100">IF((E14+F14)&gt;=180, U14, U14/D14*(E14+F14))</f>
        <v>0</v>
      </c>
      <c r="W14" s="338">
        <v>300000</v>
      </c>
      <c r="X14" s="236">
        <f t="shared" si="21"/>
        <v>300000</v>
      </c>
      <c r="Y14" s="338">
        <v>300000</v>
      </c>
      <c r="Z14" s="236">
        <f t="shared" si="22"/>
        <v>300000</v>
      </c>
      <c r="AA14" s="338">
        <v>0</v>
      </c>
      <c r="AB14" s="236">
        <v>60000</v>
      </c>
      <c r="AC14" s="236">
        <v>500000</v>
      </c>
      <c r="AD14" s="236">
        <f t="shared" ref="AD14:AD19" si="101">G14*13000</f>
        <v>247000</v>
      </c>
      <c r="AE14" s="236"/>
      <c r="AF14" s="236"/>
      <c r="AG14" s="338"/>
      <c r="AH14" s="236">
        <f t="shared" si="24"/>
        <v>1407000</v>
      </c>
      <c r="AI14" s="236">
        <f t="shared" ref="AI14:AI19" si="102">Q14+R14+T14</f>
        <v>5967000</v>
      </c>
      <c r="AJ14" s="236">
        <f t="shared" ref="AJ14:AJ19" si="103">AI14/D14</f>
        <v>28687.5</v>
      </c>
      <c r="AK14" s="236">
        <f t="shared" ref="AK14:AK19" si="104">AJ14*(E14+F14*130%)</f>
        <v>5925403.125</v>
      </c>
      <c r="AL14" s="236">
        <f t="shared" ref="AL14:AL19" si="105">AJ14*H14*150%</f>
        <v>1893375</v>
      </c>
      <c r="AM14" s="236">
        <f t="shared" ref="AM14:AM19" si="106">AJ14*I14*150%*130%</f>
        <v>755198.4375</v>
      </c>
      <c r="AN14" s="338">
        <f t="shared" ref="AN14:AN19" si="107">+AJ14*J14*200%</f>
        <v>0</v>
      </c>
      <c r="AO14" s="338">
        <f t="shared" ref="AO14:AO19" si="108">AJ14*K14*200%*130%</f>
        <v>0</v>
      </c>
      <c r="AP14" s="338">
        <f t="shared" ref="AP14:AP19" si="109">AJ14*L14*200%*150%</f>
        <v>0</v>
      </c>
      <c r="AQ14" s="338">
        <f t="shared" ref="AQ14:AQ19" si="110">AJ14*M14*200%*150%*130%</f>
        <v>0</v>
      </c>
      <c r="AR14" s="338">
        <f t="shared" ref="AR14:AR19" si="111">N14*AJ14*300%</f>
        <v>0</v>
      </c>
      <c r="AS14" s="338">
        <f t="shared" ref="AS14:AS19" si="112">AJ14*O14*130%*300%</f>
        <v>0</v>
      </c>
      <c r="AT14" s="338">
        <f t="shared" ref="AT14:AT19" si="113">P14*AJ14*150%*300%</f>
        <v>0</v>
      </c>
      <c r="AU14" s="236">
        <f t="shared" ref="AU14:AU19" si="114">SUM(AL14:AT14)</f>
        <v>2648573.4375</v>
      </c>
      <c r="AV14" s="338"/>
      <c r="AW14" s="236">
        <f t="shared" si="67"/>
        <v>9980976.5625</v>
      </c>
      <c r="AX14" s="236">
        <f t="shared" si="13"/>
        <v>5967000</v>
      </c>
      <c r="AY14" s="338">
        <f t="shared" ref="AY14:AY19" si="115">AX14*17.5%</f>
        <v>1044224.9999999999</v>
      </c>
      <c r="AZ14" s="338">
        <f t="shared" ref="AZ14:AZ19" si="116">AX14*3%</f>
        <v>179010</v>
      </c>
      <c r="BA14" s="338">
        <f t="shared" ref="BA14:BA19" si="117">AX14*1%</f>
        <v>59670</v>
      </c>
      <c r="BB14" s="338">
        <f t="shared" si="41"/>
        <v>119340</v>
      </c>
      <c r="BC14" s="236">
        <f t="shared" si="42"/>
        <v>1402245</v>
      </c>
      <c r="BD14" s="338">
        <f t="shared" ref="BD14:BD19" si="118">AX14*8%</f>
        <v>477360</v>
      </c>
      <c r="BE14" s="338">
        <f t="shared" ref="BE14:BE19" si="119">AX14*1.5%</f>
        <v>89505</v>
      </c>
      <c r="BF14" s="338">
        <f t="shared" ref="BF14:BF19" si="120">AX14*1%</f>
        <v>59670</v>
      </c>
      <c r="BG14" s="236">
        <f t="shared" si="46"/>
        <v>626535</v>
      </c>
      <c r="BH14" s="236">
        <v>11000000</v>
      </c>
      <c r="BI14" s="236">
        <v>1</v>
      </c>
      <c r="BJ14" s="236">
        <f t="shared" si="47"/>
        <v>4400000</v>
      </c>
      <c r="BK14" s="236">
        <f t="shared" si="16"/>
        <v>247000</v>
      </c>
      <c r="BL14" s="236">
        <f t="shared" si="98"/>
        <v>9230510.9375</v>
      </c>
      <c r="BM14" s="236">
        <f t="shared" ref="BM14:BM19" si="121">IF(BL14-BH14-BJ14-BG14&lt;0,0,BL14-BH14-BJ14-BG14)</f>
        <v>0</v>
      </c>
      <c r="BN14" s="236">
        <f t="shared" ref="BN14:BN19" si="122">ROUND(IF(BM14&lt;=5000000,BM14*5%,IF(AND(BM14&gt;5000000,BM14&lt;=10000000),BM14*10%-250000,IF(AND(BM14&gt;10000000,BM14&lt;=18000000),BM14*15%-750000,IF(AND(BM14&gt;18000000,BM14&lt;=32000000),BM14*20%-1650000,IF(AND(BM14&gt;32000000,BM14&lt;=52000000),BM14*25%-3250000,IF(AND(BM14&gt;52000000,BM14&lt;80000000),BM14*30%-585000,IF(BM14&gt;80000000,BM14*35%-9850000))))))),0)</f>
        <v>0</v>
      </c>
      <c r="BO14" s="232">
        <v>35000</v>
      </c>
      <c r="BP14" s="232"/>
      <c r="BQ14" s="236">
        <f t="shared" si="19"/>
        <v>9319441.5625</v>
      </c>
      <c r="BR14" s="338" t="s">
        <v>195</v>
      </c>
      <c r="BS14" s="236"/>
      <c r="BT14" s="184"/>
    </row>
    <row r="15" spans="1:72" s="45" customFormat="1" ht="36.75" customHeight="1">
      <c r="A15" s="304">
        <f t="shared" si="50"/>
        <v>6</v>
      </c>
      <c r="B15" s="378" t="s">
        <v>307</v>
      </c>
      <c r="C15" s="247" t="s">
        <v>113</v>
      </c>
      <c r="D15" s="336">
        <v>208</v>
      </c>
      <c r="E15" s="176">
        <v>128</v>
      </c>
      <c r="F15" s="235">
        <v>52</v>
      </c>
      <c r="G15" s="235">
        <v>19</v>
      </c>
      <c r="H15" s="235">
        <v>48</v>
      </c>
      <c r="I15" s="235">
        <v>10.5</v>
      </c>
      <c r="J15" s="235"/>
      <c r="K15" s="235"/>
      <c r="L15" s="235"/>
      <c r="M15" s="235"/>
      <c r="N15" s="337"/>
      <c r="O15" s="337"/>
      <c r="P15" s="337"/>
      <c r="Q15" s="236">
        <v>4267000</v>
      </c>
      <c r="R15" s="236">
        <v>300000</v>
      </c>
      <c r="S15" s="338"/>
      <c r="T15" s="236">
        <v>900000</v>
      </c>
      <c r="U15" s="236">
        <v>0</v>
      </c>
      <c r="V15" s="236">
        <f t="shared" si="100"/>
        <v>0</v>
      </c>
      <c r="W15" s="338">
        <v>300000</v>
      </c>
      <c r="X15" s="236">
        <f t="shared" si="21"/>
        <v>300000</v>
      </c>
      <c r="Y15" s="338">
        <v>300000</v>
      </c>
      <c r="Z15" s="236">
        <f t="shared" si="22"/>
        <v>300000</v>
      </c>
      <c r="AA15" s="338">
        <v>0</v>
      </c>
      <c r="AB15" s="236"/>
      <c r="AC15" s="236">
        <v>500000</v>
      </c>
      <c r="AD15" s="236">
        <f t="shared" si="101"/>
        <v>247000</v>
      </c>
      <c r="AE15" s="236"/>
      <c r="AF15" s="236"/>
      <c r="AG15" s="338"/>
      <c r="AH15" s="236">
        <f t="shared" si="24"/>
        <v>1347000</v>
      </c>
      <c r="AI15" s="236">
        <f t="shared" si="102"/>
        <v>5467000</v>
      </c>
      <c r="AJ15" s="236">
        <f t="shared" si="103"/>
        <v>26283.653846153848</v>
      </c>
      <c r="AK15" s="236">
        <f t="shared" si="104"/>
        <v>5141082.692307693</v>
      </c>
      <c r="AL15" s="236">
        <f t="shared" si="105"/>
        <v>1892423.076923077</v>
      </c>
      <c r="AM15" s="236">
        <f t="shared" si="106"/>
        <v>538157.8125</v>
      </c>
      <c r="AN15" s="338">
        <f t="shared" si="107"/>
        <v>0</v>
      </c>
      <c r="AO15" s="338">
        <f t="shared" si="108"/>
        <v>0</v>
      </c>
      <c r="AP15" s="338">
        <f t="shared" si="109"/>
        <v>0</v>
      </c>
      <c r="AQ15" s="338">
        <f t="shared" si="110"/>
        <v>0</v>
      </c>
      <c r="AR15" s="338">
        <f t="shared" si="111"/>
        <v>0</v>
      </c>
      <c r="AS15" s="338">
        <f t="shared" si="112"/>
        <v>0</v>
      </c>
      <c r="AT15" s="338">
        <f t="shared" si="113"/>
        <v>0</v>
      </c>
      <c r="AU15" s="236">
        <f t="shared" si="114"/>
        <v>2430580.889423077</v>
      </c>
      <c r="AV15" s="338"/>
      <c r="AW15" s="236">
        <f t="shared" si="67"/>
        <v>8918663.5817307699</v>
      </c>
      <c r="AX15" s="236">
        <f t="shared" si="13"/>
        <v>5467000</v>
      </c>
      <c r="AY15" s="338">
        <f t="shared" si="115"/>
        <v>956724.99999999988</v>
      </c>
      <c r="AZ15" s="338">
        <f t="shared" si="116"/>
        <v>164010</v>
      </c>
      <c r="BA15" s="338">
        <f t="shared" si="117"/>
        <v>54670</v>
      </c>
      <c r="BB15" s="338">
        <f t="shared" si="41"/>
        <v>109340</v>
      </c>
      <c r="BC15" s="236">
        <f t="shared" si="42"/>
        <v>1284745</v>
      </c>
      <c r="BD15" s="338">
        <f t="shared" si="118"/>
        <v>437360</v>
      </c>
      <c r="BE15" s="338">
        <f t="shared" si="119"/>
        <v>82005</v>
      </c>
      <c r="BF15" s="338">
        <f t="shared" si="120"/>
        <v>54670</v>
      </c>
      <c r="BG15" s="236">
        <f t="shared" si="46"/>
        <v>574035</v>
      </c>
      <c r="BH15" s="236">
        <v>11000000</v>
      </c>
      <c r="BI15" s="236"/>
      <c r="BJ15" s="236">
        <f t="shared" si="47"/>
        <v>0</v>
      </c>
      <c r="BK15" s="236">
        <f t="shared" si="16"/>
        <v>247000</v>
      </c>
      <c r="BL15" s="236">
        <f t="shared" si="98"/>
        <v>8261638.5817307699</v>
      </c>
      <c r="BM15" s="236">
        <f t="shared" si="121"/>
        <v>0</v>
      </c>
      <c r="BN15" s="236">
        <f t="shared" si="122"/>
        <v>0</v>
      </c>
      <c r="BO15" s="232">
        <v>35000</v>
      </c>
      <c r="BP15" s="232"/>
      <c r="BQ15" s="236">
        <f t="shared" si="19"/>
        <v>8309628.5817307699</v>
      </c>
      <c r="BR15" s="338" t="s">
        <v>196</v>
      </c>
      <c r="BS15" s="236"/>
      <c r="BT15" s="184"/>
    </row>
    <row r="16" spans="1:72" s="45" customFormat="1" ht="39.950000000000003" customHeight="1">
      <c r="A16" s="304">
        <f t="shared" si="50"/>
        <v>7</v>
      </c>
      <c r="B16" s="305" t="s">
        <v>297</v>
      </c>
      <c r="C16" s="247" t="s">
        <v>113</v>
      </c>
      <c r="D16" s="336">
        <v>208</v>
      </c>
      <c r="E16" s="176">
        <v>111</v>
      </c>
      <c r="F16" s="235">
        <v>78</v>
      </c>
      <c r="G16" s="235">
        <v>20</v>
      </c>
      <c r="H16" s="235">
        <v>42</v>
      </c>
      <c r="I16" s="235">
        <v>18</v>
      </c>
      <c r="J16" s="235"/>
      <c r="K16" s="235"/>
      <c r="L16" s="235"/>
      <c r="M16" s="235"/>
      <c r="N16" s="337"/>
      <c r="O16" s="337"/>
      <c r="P16" s="337"/>
      <c r="Q16" s="236">
        <v>4267000</v>
      </c>
      <c r="R16" s="236">
        <v>300000</v>
      </c>
      <c r="S16" s="338"/>
      <c r="T16" s="236">
        <v>600000</v>
      </c>
      <c r="U16" s="236">
        <v>0</v>
      </c>
      <c r="V16" s="236">
        <f t="shared" si="100"/>
        <v>0</v>
      </c>
      <c r="W16" s="338">
        <v>300000</v>
      </c>
      <c r="X16" s="236">
        <f t="shared" si="21"/>
        <v>300000</v>
      </c>
      <c r="Y16" s="338">
        <v>300000</v>
      </c>
      <c r="Z16" s="236">
        <f t="shared" si="22"/>
        <v>300000</v>
      </c>
      <c r="AA16" s="338">
        <v>0</v>
      </c>
      <c r="AB16" s="236"/>
      <c r="AC16" s="236">
        <v>500000</v>
      </c>
      <c r="AD16" s="236">
        <f t="shared" si="101"/>
        <v>260000</v>
      </c>
      <c r="AE16" s="236"/>
      <c r="AF16" s="236"/>
      <c r="AG16" s="338"/>
      <c r="AH16" s="236">
        <f t="shared" si="24"/>
        <v>1360000</v>
      </c>
      <c r="AI16" s="236">
        <f t="shared" si="102"/>
        <v>5167000</v>
      </c>
      <c r="AJ16" s="236">
        <f t="shared" si="103"/>
        <v>24841.346153846152</v>
      </c>
      <c r="AK16" s="236">
        <f t="shared" si="104"/>
        <v>5276301.923076923</v>
      </c>
      <c r="AL16" s="236">
        <f t="shared" si="105"/>
        <v>1565004.8076923075</v>
      </c>
      <c r="AM16" s="236">
        <f t="shared" si="106"/>
        <v>871931.25</v>
      </c>
      <c r="AN16" s="338">
        <f t="shared" si="107"/>
        <v>0</v>
      </c>
      <c r="AO16" s="338">
        <f t="shared" si="108"/>
        <v>0</v>
      </c>
      <c r="AP16" s="338">
        <f t="shared" si="109"/>
        <v>0</v>
      </c>
      <c r="AQ16" s="338">
        <f t="shared" si="110"/>
        <v>0</v>
      </c>
      <c r="AR16" s="338">
        <f t="shared" si="111"/>
        <v>0</v>
      </c>
      <c r="AS16" s="338">
        <f t="shared" si="112"/>
        <v>0</v>
      </c>
      <c r="AT16" s="338">
        <f t="shared" si="113"/>
        <v>0</v>
      </c>
      <c r="AU16" s="236">
        <f t="shared" si="114"/>
        <v>2436936.0576923075</v>
      </c>
      <c r="AV16" s="338"/>
      <c r="AW16" s="236">
        <f t="shared" si="67"/>
        <v>9073237.9807692301</v>
      </c>
      <c r="AX16" s="236">
        <f t="shared" si="13"/>
        <v>5167000</v>
      </c>
      <c r="AY16" s="338">
        <f t="shared" si="115"/>
        <v>904225</v>
      </c>
      <c r="AZ16" s="338">
        <f t="shared" si="116"/>
        <v>155010</v>
      </c>
      <c r="BA16" s="338">
        <f t="shared" si="117"/>
        <v>51670</v>
      </c>
      <c r="BB16" s="338">
        <f t="shared" si="41"/>
        <v>103340</v>
      </c>
      <c r="BC16" s="236">
        <f t="shared" si="42"/>
        <v>1214245</v>
      </c>
      <c r="BD16" s="338">
        <f t="shared" si="118"/>
        <v>413360</v>
      </c>
      <c r="BE16" s="338">
        <f t="shared" si="119"/>
        <v>77505</v>
      </c>
      <c r="BF16" s="338">
        <f t="shared" si="120"/>
        <v>51670</v>
      </c>
      <c r="BG16" s="236">
        <f t="shared" si="46"/>
        <v>542535</v>
      </c>
      <c r="BH16" s="236">
        <v>11000000</v>
      </c>
      <c r="BI16" s="236"/>
      <c r="BJ16" s="236">
        <f t="shared" si="47"/>
        <v>0</v>
      </c>
      <c r="BK16" s="236">
        <f t="shared" si="16"/>
        <v>260000</v>
      </c>
      <c r="BL16" s="236">
        <f t="shared" si="98"/>
        <v>8231950.4807692301</v>
      </c>
      <c r="BM16" s="236">
        <f t="shared" si="121"/>
        <v>0</v>
      </c>
      <c r="BN16" s="236">
        <f t="shared" si="122"/>
        <v>0</v>
      </c>
      <c r="BO16" s="232">
        <v>35000</v>
      </c>
      <c r="BP16" s="232"/>
      <c r="BQ16" s="236">
        <f t="shared" si="19"/>
        <v>8495702.9807692301</v>
      </c>
      <c r="BR16" s="338" t="s">
        <v>197</v>
      </c>
      <c r="BS16" s="236"/>
      <c r="BT16" s="184"/>
    </row>
    <row r="17" spans="1:133" ht="33.75" customHeight="1">
      <c r="A17" s="304">
        <f t="shared" si="50"/>
        <v>8</v>
      </c>
      <c r="B17" s="305" t="s">
        <v>308</v>
      </c>
      <c r="C17" s="247" t="s">
        <v>113</v>
      </c>
      <c r="D17" s="336">
        <v>208</v>
      </c>
      <c r="E17" s="176">
        <v>137</v>
      </c>
      <c r="F17" s="235">
        <v>52</v>
      </c>
      <c r="G17" s="235">
        <v>19</v>
      </c>
      <c r="H17" s="235">
        <v>48</v>
      </c>
      <c r="I17" s="235">
        <v>10.5</v>
      </c>
      <c r="J17" s="235"/>
      <c r="K17" s="235"/>
      <c r="L17" s="235"/>
      <c r="M17" s="235"/>
      <c r="N17" s="337"/>
      <c r="O17" s="337"/>
      <c r="P17" s="337"/>
      <c r="Q17" s="236">
        <v>4267000</v>
      </c>
      <c r="R17" s="236"/>
      <c r="S17" s="338"/>
      <c r="T17" s="236">
        <v>900000</v>
      </c>
      <c r="U17" s="236">
        <v>0</v>
      </c>
      <c r="V17" s="236">
        <f t="shared" si="100"/>
        <v>0</v>
      </c>
      <c r="W17" s="338">
        <v>300000</v>
      </c>
      <c r="X17" s="236">
        <f t="shared" si="21"/>
        <v>300000</v>
      </c>
      <c r="Y17" s="338">
        <v>300000</v>
      </c>
      <c r="Z17" s="236">
        <f t="shared" si="22"/>
        <v>300000</v>
      </c>
      <c r="AA17" s="338">
        <v>0</v>
      </c>
      <c r="AB17" s="236"/>
      <c r="AC17" s="236">
        <v>500000</v>
      </c>
      <c r="AD17" s="236">
        <f t="shared" si="101"/>
        <v>247000</v>
      </c>
      <c r="AE17" s="236"/>
      <c r="AF17" s="236"/>
      <c r="AG17" s="338"/>
      <c r="AH17" s="236">
        <f t="shared" si="24"/>
        <v>1347000</v>
      </c>
      <c r="AI17" s="236">
        <f t="shared" si="102"/>
        <v>5167000</v>
      </c>
      <c r="AJ17" s="236">
        <f t="shared" si="103"/>
        <v>24841.346153846152</v>
      </c>
      <c r="AK17" s="236">
        <f t="shared" si="104"/>
        <v>5082539.423076923</v>
      </c>
      <c r="AL17" s="236">
        <f t="shared" si="105"/>
        <v>1788576.923076923</v>
      </c>
      <c r="AM17" s="236">
        <f t="shared" si="106"/>
        <v>508626.56249999994</v>
      </c>
      <c r="AN17" s="338">
        <f t="shared" si="107"/>
        <v>0</v>
      </c>
      <c r="AO17" s="338">
        <f t="shared" si="108"/>
        <v>0</v>
      </c>
      <c r="AP17" s="338">
        <f t="shared" si="109"/>
        <v>0</v>
      </c>
      <c r="AQ17" s="338">
        <f t="shared" si="110"/>
        <v>0</v>
      </c>
      <c r="AR17" s="338">
        <f t="shared" si="111"/>
        <v>0</v>
      </c>
      <c r="AS17" s="338">
        <f t="shared" si="112"/>
        <v>0</v>
      </c>
      <c r="AT17" s="338">
        <f t="shared" si="113"/>
        <v>0</v>
      </c>
      <c r="AU17" s="236">
        <f t="shared" si="114"/>
        <v>2297203.485576923</v>
      </c>
      <c r="AV17" s="338"/>
      <c r="AW17" s="236">
        <f t="shared" si="67"/>
        <v>8726742.908653846</v>
      </c>
      <c r="AX17" s="236">
        <f t="shared" si="13"/>
        <v>5167000</v>
      </c>
      <c r="AY17" s="338">
        <f t="shared" si="115"/>
        <v>904225</v>
      </c>
      <c r="AZ17" s="338">
        <f t="shared" si="116"/>
        <v>155010</v>
      </c>
      <c r="BA17" s="338">
        <f t="shared" si="117"/>
        <v>51670</v>
      </c>
      <c r="BB17" s="338">
        <f t="shared" si="41"/>
        <v>103340</v>
      </c>
      <c r="BC17" s="236">
        <f t="shared" si="42"/>
        <v>1214245</v>
      </c>
      <c r="BD17" s="338">
        <f t="shared" si="118"/>
        <v>413360</v>
      </c>
      <c r="BE17" s="338">
        <f t="shared" si="119"/>
        <v>77505</v>
      </c>
      <c r="BF17" s="338">
        <f t="shared" si="120"/>
        <v>51670</v>
      </c>
      <c r="BG17" s="236">
        <f t="shared" si="46"/>
        <v>542535</v>
      </c>
      <c r="BH17" s="236">
        <v>11000000</v>
      </c>
      <c r="BI17" s="236"/>
      <c r="BJ17" s="236">
        <f t="shared" si="47"/>
        <v>0</v>
      </c>
      <c r="BK17" s="236">
        <f t="shared" si="16"/>
        <v>247000</v>
      </c>
      <c r="BL17" s="236">
        <f t="shared" si="98"/>
        <v>8092217.908653846</v>
      </c>
      <c r="BM17" s="236">
        <f t="shared" si="121"/>
        <v>0</v>
      </c>
      <c r="BN17" s="236">
        <f t="shared" si="122"/>
        <v>0</v>
      </c>
      <c r="BO17" s="232">
        <v>35000</v>
      </c>
      <c r="BP17" s="232"/>
      <c r="BQ17" s="236">
        <f t="shared" si="19"/>
        <v>8149207.908653846</v>
      </c>
      <c r="BR17" s="338" t="s">
        <v>198</v>
      </c>
      <c r="BS17" s="236"/>
      <c r="BT17" s="184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</row>
    <row r="18" spans="1:133" ht="31.5" customHeight="1">
      <c r="A18" s="304">
        <f t="shared" si="50"/>
        <v>9</v>
      </c>
      <c r="B18" s="378" t="s">
        <v>286</v>
      </c>
      <c r="C18" s="247" t="s">
        <v>113</v>
      </c>
      <c r="D18" s="336">
        <v>208</v>
      </c>
      <c r="E18" s="176">
        <v>123</v>
      </c>
      <c r="F18" s="235">
        <v>32.5</v>
      </c>
      <c r="G18" s="235">
        <v>14</v>
      </c>
      <c r="H18" s="235">
        <v>35</v>
      </c>
      <c r="I18" s="235">
        <v>7.5</v>
      </c>
      <c r="J18" s="235"/>
      <c r="K18" s="235"/>
      <c r="L18" s="235"/>
      <c r="M18" s="235"/>
      <c r="N18" s="337"/>
      <c r="O18" s="337"/>
      <c r="P18" s="337"/>
      <c r="Q18" s="236">
        <v>4267000</v>
      </c>
      <c r="R18" s="236">
        <v>300000</v>
      </c>
      <c r="S18" s="340"/>
      <c r="T18" s="240">
        <v>600000</v>
      </c>
      <c r="U18" s="236">
        <v>0</v>
      </c>
      <c r="V18" s="236">
        <f t="shared" si="100"/>
        <v>0</v>
      </c>
      <c r="W18" s="338">
        <v>300000</v>
      </c>
      <c r="X18" s="236">
        <f t="shared" si="21"/>
        <v>224278.84615384616</v>
      </c>
      <c r="Y18" s="338">
        <v>300000</v>
      </c>
      <c r="Z18" s="236">
        <f t="shared" si="22"/>
        <v>224278.84615384616</v>
      </c>
      <c r="AA18" s="338">
        <v>0</v>
      </c>
      <c r="AB18" s="236"/>
      <c r="AC18" s="236">
        <v>0</v>
      </c>
      <c r="AD18" s="236">
        <f t="shared" si="101"/>
        <v>182000</v>
      </c>
      <c r="AE18" s="236"/>
      <c r="AF18" s="236"/>
      <c r="AG18" s="338"/>
      <c r="AH18" s="236">
        <f t="shared" si="24"/>
        <v>630557.69230769225</v>
      </c>
      <c r="AI18" s="236">
        <f t="shared" si="102"/>
        <v>5167000</v>
      </c>
      <c r="AJ18" s="236">
        <f t="shared" si="103"/>
        <v>24841.346153846152</v>
      </c>
      <c r="AK18" s="236">
        <f t="shared" si="104"/>
        <v>4105032.4519230765</v>
      </c>
      <c r="AL18" s="236">
        <f t="shared" si="105"/>
        <v>1304170.673076923</v>
      </c>
      <c r="AM18" s="236">
        <f t="shared" si="106"/>
        <v>363304.68750000006</v>
      </c>
      <c r="AN18" s="338">
        <f t="shared" si="107"/>
        <v>0</v>
      </c>
      <c r="AO18" s="338">
        <f t="shared" si="108"/>
        <v>0</v>
      </c>
      <c r="AP18" s="338">
        <f t="shared" si="109"/>
        <v>0</v>
      </c>
      <c r="AQ18" s="338">
        <f t="shared" si="110"/>
        <v>0</v>
      </c>
      <c r="AR18" s="338">
        <f t="shared" si="111"/>
        <v>0</v>
      </c>
      <c r="AS18" s="338">
        <f t="shared" si="112"/>
        <v>0</v>
      </c>
      <c r="AT18" s="338">
        <f t="shared" si="113"/>
        <v>0</v>
      </c>
      <c r="AU18" s="236">
        <f t="shared" si="114"/>
        <v>1667475.360576923</v>
      </c>
      <c r="AV18" s="338"/>
      <c r="AW18" s="236">
        <f t="shared" si="67"/>
        <v>6403065.504807692</v>
      </c>
      <c r="AX18" s="236">
        <f t="shared" si="13"/>
        <v>5167000</v>
      </c>
      <c r="AY18" s="338">
        <f t="shared" si="115"/>
        <v>904225</v>
      </c>
      <c r="AZ18" s="338">
        <f t="shared" si="116"/>
        <v>155010</v>
      </c>
      <c r="BA18" s="338">
        <f t="shared" si="117"/>
        <v>51670</v>
      </c>
      <c r="BB18" s="338">
        <f t="shared" si="41"/>
        <v>103340</v>
      </c>
      <c r="BC18" s="236">
        <f t="shared" si="42"/>
        <v>1214245</v>
      </c>
      <c r="BD18" s="338">
        <f t="shared" si="118"/>
        <v>413360</v>
      </c>
      <c r="BE18" s="338">
        <f t="shared" si="119"/>
        <v>77505</v>
      </c>
      <c r="BF18" s="338">
        <f t="shared" si="120"/>
        <v>51670</v>
      </c>
      <c r="BG18" s="236">
        <f t="shared" si="46"/>
        <v>542535</v>
      </c>
      <c r="BH18" s="236">
        <v>11000000</v>
      </c>
      <c r="BI18" s="236"/>
      <c r="BJ18" s="236">
        <f t="shared" si="47"/>
        <v>0</v>
      </c>
      <c r="BK18" s="236">
        <f t="shared" si="16"/>
        <v>182000</v>
      </c>
      <c r="BL18" s="236">
        <f t="shared" si="98"/>
        <v>5978862.379807692</v>
      </c>
      <c r="BM18" s="236">
        <f t="shared" si="121"/>
        <v>0</v>
      </c>
      <c r="BN18" s="236">
        <f t="shared" si="122"/>
        <v>0</v>
      </c>
      <c r="BO18" s="232">
        <v>35000</v>
      </c>
      <c r="BP18" s="232"/>
      <c r="BQ18" s="236">
        <f t="shared" si="19"/>
        <v>5825530.504807692</v>
      </c>
      <c r="BR18" s="341" t="s">
        <v>223</v>
      </c>
      <c r="BS18" s="268"/>
      <c r="BT18" s="184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</row>
    <row r="19" spans="1:133" ht="31.5" customHeight="1">
      <c r="A19" s="304">
        <f t="shared" si="50"/>
        <v>10</v>
      </c>
      <c r="B19" s="325" t="s">
        <v>283</v>
      </c>
      <c r="C19" s="385" t="s">
        <v>113</v>
      </c>
      <c r="D19" s="336">
        <v>208</v>
      </c>
      <c r="E19" s="176">
        <v>111</v>
      </c>
      <c r="F19" s="235">
        <v>78</v>
      </c>
      <c r="G19" s="235">
        <v>20</v>
      </c>
      <c r="H19" s="235">
        <v>42</v>
      </c>
      <c r="I19" s="235">
        <v>18</v>
      </c>
      <c r="J19" s="342"/>
      <c r="K19" s="342"/>
      <c r="L19" s="342"/>
      <c r="M19" s="342"/>
      <c r="N19" s="342"/>
      <c r="O19" s="342"/>
      <c r="P19" s="342"/>
      <c r="Q19" s="236">
        <v>4267000</v>
      </c>
      <c r="R19" s="240"/>
      <c r="S19" s="340"/>
      <c r="T19" s="240">
        <v>600000</v>
      </c>
      <c r="U19" s="236">
        <v>0</v>
      </c>
      <c r="V19" s="236">
        <f t="shared" si="100"/>
        <v>0</v>
      </c>
      <c r="W19" s="338">
        <v>300000</v>
      </c>
      <c r="X19" s="236">
        <f t="shared" si="21"/>
        <v>300000</v>
      </c>
      <c r="Y19" s="338">
        <v>300000</v>
      </c>
      <c r="Z19" s="236">
        <f t="shared" si="22"/>
        <v>300000</v>
      </c>
      <c r="AA19" s="338">
        <v>0</v>
      </c>
      <c r="AB19" s="236"/>
      <c r="AC19" s="236">
        <v>500000</v>
      </c>
      <c r="AD19" s="236">
        <f t="shared" si="101"/>
        <v>260000</v>
      </c>
      <c r="AE19" s="236"/>
      <c r="AF19" s="338"/>
      <c r="AG19" s="338"/>
      <c r="AH19" s="236">
        <f t="shared" si="24"/>
        <v>1360000</v>
      </c>
      <c r="AI19" s="236">
        <f t="shared" si="102"/>
        <v>4867000</v>
      </c>
      <c r="AJ19" s="236">
        <f t="shared" si="103"/>
        <v>23399.038461538461</v>
      </c>
      <c r="AK19" s="236">
        <f t="shared" si="104"/>
        <v>4969955.769230769</v>
      </c>
      <c r="AL19" s="236">
        <f t="shared" si="105"/>
        <v>1474139.423076923</v>
      </c>
      <c r="AM19" s="236">
        <f t="shared" si="106"/>
        <v>821306.25000000012</v>
      </c>
      <c r="AN19" s="338">
        <f t="shared" si="107"/>
        <v>0</v>
      </c>
      <c r="AO19" s="338">
        <f t="shared" si="108"/>
        <v>0</v>
      </c>
      <c r="AP19" s="338">
        <f t="shared" si="109"/>
        <v>0</v>
      </c>
      <c r="AQ19" s="338">
        <f t="shared" si="110"/>
        <v>0</v>
      </c>
      <c r="AR19" s="338">
        <f t="shared" si="111"/>
        <v>0</v>
      </c>
      <c r="AS19" s="338">
        <f t="shared" si="112"/>
        <v>0</v>
      </c>
      <c r="AT19" s="338">
        <f t="shared" si="113"/>
        <v>0</v>
      </c>
      <c r="AU19" s="236">
        <f t="shared" si="114"/>
        <v>2295445.673076923</v>
      </c>
      <c r="AV19" s="340"/>
      <c r="AW19" s="236">
        <f t="shared" si="67"/>
        <v>8625401.442307692</v>
      </c>
      <c r="AX19" s="236">
        <f t="shared" si="13"/>
        <v>4867000</v>
      </c>
      <c r="AY19" s="338">
        <f t="shared" si="115"/>
        <v>851725</v>
      </c>
      <c r="AZ19" s="338">
        <f t="shared" si="116"/>
        <v>146010</v>
      </c>
      <c r="BA19" s="338">
        <f t="shared" si="117"/>
        <v>48670</v>
      </c>
      <c r="BB19" s="338">
        <f t="shared" si="41"/>
        <v>97340</v>
      </c>
      <c r="BC19" s="236">
        <f t="shared" si="42"/>
        <v>1143745</v>
      </c>
      <c r="BD19" s="338">
        <f t="shared" si="118"/>
        <v>389360</v>
      </c>
      <c r="BE19" s="338">
        <f t="shared" si="119"/>
        <v>73005</v>
      </c>
      <c r="BF19" s="338">
        <f t="shared" si="120"/>
        <v>48670</v>
      </c>
      <c r="BG19" s="236">
        <f t="shared" si="46"/>
        <v>511035</v>
      </c>
      <c r="BH19" s="338">
        <v>11000000</v>
      </c>
      <c r="BI19" s="340"/>
      <c r="BJ19" s="338">
        <f t="shared" si="47"/>
        <v>0</v>
      </c>
      <c r="BK19" s="338">
        <f t="shared" si="16"/>
        <v>260000</v>
      </c>
      <c r="BL19" s="338">
        <f t="shared" si="98"/>
        <v>7817863.942307692</v>
      </c>
      <c r="BM19" s="338">
        <f t="shared" si="121"/>
        <v>0</v>
      </c>
      <c r="BN19" s="236">
        <f t="shared" si="122"/>
        <v>0</v>
      </c>
      <c r="BO19" s="232">
        <v>35000</v>
      </c>
      <c r="BP19" s="362"/>
      <c r="BQ19" s="236">
        <f t="shared" si="19"/>
        <v>8079366.442307692</v>
      </c>
      <c r="BR19" s="341" t="s">
        <v>224</v>
      </c>
      <c r="BS19" s="240"/>
      <c r="BT19" s="184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</row>
    <row r="20" spans="1:133" ht="41.25" customHeight="1">
      <c r="A20" s="304">
        <f t="shared" si="50"/>
        <v>11</v>
      </c>
      <c r="B20" s="233" t="s">
        <v>313</v>
      </c>
      <c r="C20" s="247" t="s">
        <v>113</v>
      </c>
      <c r="D20" s="336">
        <v>208</v>
      </c>
      <c r="E20" s="176">
        <v>130.5</v>
      </c>
      <c r="F20" s="235">
        <v>58.5</v>
      </c>
      <c r="G20" s="235">
        <v>19</v>
      </c>
      <c r="H20" s="235">
        <v>43.5</v>
      </c>
      <c r="I20" s="235">
        <v>13.5</v>
      </c>
      <c r="J20" s="235"/>
      <c r="K20" s="235"/>
      <c r="L20" s="235"/>
      <c r="M20" s="235"/>
      <c r="N20" s="337"/>
      <c r="O20" s="337"/>
      <c r="P20" s="337"/>
      <c r="Q20" s="236">
        <v>4267000</v>
      </c>
      <c r="R20" s="236">
        <v>300000</v>
      </c>
      <c r="S20" s="338"/>
      <c r="T20" s="236">
        <v>600000</v>
      </c>
      <c r="U20" s="236">
        <v>0</v>
      </c>
      <c r="V20" s="236">
        <f t="shared" ref="V20" si="123">IF((E20+F20)&gt;=180, U20, U20/D20*(E20+F20))</f>
        <v>0</v>
      </c>
      <c r="W20" s="338">
        <v>300000</v>
      </c>
      <c r="X20" s="236">
        <f t="shared" si="21"/>
        <v>300000</v>
      </c>
      <c r="Y20" s="338">
        <v>300000</v>
      </c>
      <c r="Z20" s="236">
        <f t="shared" si="22"/>
        <v>300000</v>
      </c>
      <c r="AA20" s="338">
        <v>0</v>
      </c>
      <c r="AB20" s="236">
        <v>40000</v>
      </c>
      <c r="AC20" s="236">
        <v>500000</v>
      </c>
      <c r="AD20" s="236">
        <f t="shared" ref="AD20" si="124">G20*13000</f>
        <v>247000</v>
      </c>
      <c r="AE20" s="236"/>
      <c r="AF20" s="236"/>
      <c r="AG20" s="338"/>
      <c r="AH20" s="236">
        <f>V20+X20+Z20+AB20+AC20+AD20+AE20</f>
        <v>1387000</v>
      </c>
      <c r="AI20" s="236">
        <f t="shared" ref="AI20" si="125">Q20+R20+T20</f>
        <v>5167000</v>
      </c>
      <c r="AJ20" s="236">
        <f t="shared" ref="AJ20" si="126">AI20/D20</f>
        <v>24841.346153846152</v>
      </c>
      <c r="AK20" s="236">
        <f t="shared" ref="AK20" si="127">AJ20*(E20+F20*130%)</f>
        <v>5130980.048076923</v>
      </c>
      <c r="AL20" s="236">
        <f t="shared" ref="AL20" si="128">AJ20*H20*150%</f>
        <v>1620897.8365384615</v>
      </c>
      <c r="AM20" s="236">
        <f t="shared" ref="AM20" si="129">AJ20*I20*150%*130%</f>
        <v>653948.4375</v>
      </c>
      <c r="AN20" s="338">
        <f t="shared" ref="AN20" si="130">+AJ20*J20*200%</f>
        <v>0</v>
      </c>
      <c r="AO20" s="338">
        <f t="shared" ref="AO20" si="131">AJ20*K20*200%*130%</f>
        <v>0</v>
      </c>
      <c r="AP20" s="338">
        <f t="shared" ref="AP20" si="132">AJ20*L20*200%*150%</f>
        <v>0</v>
      </c>
      <c r="AQ20" s="338">
        <f t="shared" ref="AQ20" si="133">AJ20*M20*200%*150%*130%</f>
        <v>0</v>
      </c>
      <c r="AR20" s="338">
        <f t="shared" ref="AR20" si="134">N20*AJ20*300%</f>
        <v>0</v>
      </c>
      <c r="AS20" s="338">
        <f t="shared" ref="AS20" si="135">AJ20*O20*130%*300%</f>
        <v>0</v>
      </c>
      <c r="AT20" s="338">
        <f t="shared" ref="AT20" si="136">P20*AJ20*150%*300%</f>
        <v>0</v>
      </c>
      <c r="AU20" s="236">
        <f t="shared" ref="AU20" si="137">SUM(AL20:AT20)</f>
        <v>2274846.2740384615</v>
      </c>
      <c r="AV20" s="338"/>
      <c r="AW20" s="236">
        <f t="shared" ref="AW20" si="138">AH20+AK20+AU20+AF20-AG20</f>
        <v>8792826.322115384</v>
      </c>
      <c r="AX20" s="236">
        <f t="shared" ref="AX20" si="139">Q20+R20+T20</f>
        <v>5167000</v>
      </c>
      <c r="AY20" s="338">
        <f t="shared" ref="AY20" si="140">AX20*17.5%</f>
        <v>904225</v>
      </c>
      <c r="AZ20" s="338">
        <f t="shared" ref="AZ20" si="141">AX20*3%</f>
        <v>155010</v>
      </c>
      <c r="BA20" s="338">
        <f t="shared" ref="BA20" si="142">AX20*1%</f>
        <v>51670</v>
      </c>
      <c r="BB20" s="338">
        <f t="shared" ref="BB20" si="143">AX20*2%</f>
        <v>103340</v>
      </c>
      <c r="BC20" s="236">
        <f t="shared" ref="BC20" si="144">AY20+AZ20+BA20+BB20</f>
        <v>1214245</v>
      </c>
      <c r="BD20" s="338">
        <f t="shared" ref="BD20" si="145">AX20*8%</f>
        <v>413360</v>
      </c>
      <c r="BE20" s="338">
        <f t="shared" ref="BE20" si="146">AX20*1.5%</f>
        <v>77505</v>
      </c>
      <c r="BF20" s="338">
        <f t="shared" ref="BF20" si="147">AX20*1%</f>
        <v>51670</v>
      </c>
      <c r="BG20" s="236">
        <f t="shared" ref="BG20" si="148">BD20+BE20+BF20</f>
        <v>542535</v>
      </c>
      <c r="BH20" s="236">
        <v>11000000</v>
      </c>
      <c r="BI20" s="236"/>
      <c r="BJ20" s="236">
        <f t="shared" ref="BJ20" si="149">BI20*4400000</f>
        <v>0</v>
      </c>
      <c r="BK20" s="236">
        <f t="shared" ref="BK20" si="150">V20+AA20+AD20</f>
        <v>247000</v>
      </c>
      <c r="BL20" s="236">
        <f t="shared" ref="BL20" si="151">AW20-BK20-F20*0.3*AJ20</f>
        <v>8109860.697115384</v>
      </c>
      <c r="BM20" s="236">
        <f t="shared" ref="BM20" si="152">IF(BL20-BH20-BJ20-BG20&lt;0,0,BL20-BH20-BJ20-BG20)</f>
        <v>0</v>
      </c>
      <c r="BN20" s="236">
        <f t="shared" ref="BN20" si="153">ROUND(IF(BM20&lt;=5000000,BM20*5%,IF(AND(BM20&gt;5000000,BM20&lt;=10000000),BM20*10%-250000,IF(AND(BM20&gt;10000000,BM20&lt;=18000000),BM20*15%-750000,IF(AND(BM20&gt;18000000,BM20&lt;=32000000),BM20*20%-1650000,IF(AND(BM20&gt;32000000,BM20&lt;=52000000),BM20*25%-3250000,IF(AND(BM20&gt;52000000,BM20&lt;80000000),BM20*30%-585000,IF(BM20&gt;80000000,BM20*35%-9850000))))))),0)</f>
        <v>0</v>
      </c>
      <c r="BO20" s="232">
        <v>35000</v>
      </c>
      <c r="BP20" s="232"/>
      <c r="BQ20" s="236">
        <f t="shared" ref="BQ20" si="154">AW20-BG20-BN20-BO20</f>
        <v>8215291.322115384</v>
      </c>
      <c r="BR20" s="338" t="s">
        <v>199</v>
      </c>
      <c r="BS20" s="237"/>
      <c r="BT20" s="184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</row>
    <row r="21" spans="1:133" ht="38.25" customHeight="1">
      <c r="A21" s="304">
        <f t="shared" si="50"/>
        <v>12</v>
      </c>
      <c r="B21" s="383" t="s">
        <v>314</v>
      </c>
      <c r="C21" s="384" t="s">
        <v>113</v>
      </c>
      <c r="D21" s="176">
        <v>208</v>
      </c>
      <c r="E21" s="176">
        <v>126.5</v>
      </c>
      <c r="F21" s="235">
        <v>71.5</v>
      </c>
      <c r="G21" s="235">
        <v>21</v>
      </c>
      <c r="H21" s="235">
        <v>46.5</v>
      </c>
      <c r="I21" s="235">
        <v>16.5</v>
      </c>
      <c r="J21" s="345"/>
      <c r="K21" s="345"/>
      <c r="L21" s="345"/>
      <c r="M21" s="345"/>
      <c r="N21" s="345"/>
      <c r="O21" s="345"/>
      <c r="P21" s="345"/>
      <c r="Q21" s="236">
        <v>4267000</v>
      </c>
      <c r="R21" s="237"/>
      <c r="S21" s="237"/>
      <c r="T21" s="236">
        <v>600000</v>
      </c>
      <c r="U21" s="236">
        <v>0</v>
      </c>
      <c r="V21" s="236">
        <f t="shared" ref="V21:V22" si="155">IF((E21+F21)&gt;=180, U21, U21/D21*(E21+F21))</f>
        <v>0</v>
      </c>
      <c r="W21" s="236">
        <v>300000</v>
      </c>
      <c r="X21" s="236">
        <f t="shared" si="21"/>
        <v>300000</v>
      </c>
      <c r="Y21" s="236">
        <v>300000</v>
      </c>
      <c r="Z21" s="236">
        <f t="shared" si="22"/>
        <v>300000</v>
      </c>
      <c r="AA21" s="236">
        <v>0</v>
      </c>
      <c r="AB21" s="236">
        <v>20000</v>
      </c>
      <c r="AC21" s="236">
        <v>500000</v>
      </c>
      <c r="AD21" s="236">
        <f t="shared" ref="AD21:AD22" si="156">G21*13000</f>
        <v>273000</v>
      </c>
      <c r="AE21" s="236"/>
      <c r="AF21" s="236"/>
      <c r="AG21" s="236"/>
      <c r="AH21" s="236">
        <f t="shared" si="24"/>
        <v>1393000</v>
      </c>
      <c r="AI21" s="236">
        <f t="shared" ref="AI21:AI22" si="157">Q21+R21+T21</f>
        <v>4867000</v>
      </c>
      <c r="AJ21" s="236">
        <f t="shared" ref="AJ21:AJ22" si="158">AI21/D21</f>
        <v>23399.038461538461</v>
      </c>
      <c r="AK21" s="236">
        <f t="shared" ref="AK21:AK22" si="159">AJ21*(E21+F21*130%)</f>
        <v>5134918.990384615</v>
      </c>
      <c r="AL21" s="236">
        <f t="shared" ref="AL21:AL22" si="160">AJ21*H21*150%</f>
        <v>1632082.9326923077</v>
      </c>
      <c r="AM21" s="236">
        <f t="shared" ref="AM21:AM22" si="161">AJ21*I21*150%*130%</f>
        <v>752864.06250000012</v>
      </c>
      <c r="AN21" s="236">
        <f t="shared" ref="AN21:AN22" si="162">+AJ21*J21*200%</f>
        <v>0</v>
      </c>
      <c r="AO21" s="236">
        <f t="shared" ref="AO21:AO22" si="163">AJ21*K21*200%*130%</f>
        <v>0</v>
      </c>
      <c r="AP21" s="236">
        <f t="shared" ref="AP21:AP22" si="164">AJ21*L21*200%*150%</f>
        <v>0</v>
      </c>
      <c r="AQ21" s="236">
        <f t="shared" ref="AQ21:AQ22" si="165">AJ21*M21*200%*150%*130%</f>
        <v>0</v>
      </c>
      <c r="AR21" s="236">
        <f t="shared" ref="AR21:AR22" si="166">N21*AJ21*300%</f>
        <v>0</v>
      </c>
      <c r="AS21" s="236">
        <f t="shared" ref="AS21:AS22" si="167">AJ21*O21*130%*300%</f>
        <v>0</v>
      </c>
      <c r="AT21" s="236">
        <f t="shared" ref="AT21:AT22" si="168">P21*AJ21*150%*300%</f>
        <v>0</v>
      </c>
      <c r="AU21" s="236">
        <f t="shared" ref="AU21" si="169">SUM(AL21:AT21)</f>
        <v>2384946.995192308</v>
      </c>
      <c r="AV21" s="237"/>
      <c r="AW21" s="236">
        <f t="shared" si="67"/>
        <v>8912865.9855769239</v>
      </c>
      <c r="AX21" s="236">
        <f t="shared" si="13"/>
        <v>4867000</v>
      </c>
      <c r="AY21" s="236">
        <f t="shared" ref="AY21:AY22" si="170">AX21*17.5%</f>
        <v>851725</v>
      </c>
      <c r="AZ21" s="236">
        <f t="shared" ref="AZ21:AZ22" si="171">AX21*3%</f>
        <v>146010</v>
      </c>
      <c r="BA21" s="236">
        <f t="shared" ref="BA21:BA22" si="172">AX21*1%</f>
        <v>48670</v>
      </c>
      <c r="BB21" s="236">
        <f t="shared" si="41"/>
        <v>97340</v>
      </c>
      <c r="BC21" s="236">
        <f t="shared" si="42"/>
        <v>1143745</v>
      </c>
      <c r="BD21" s="236">
        <f t="shared" ref="BD21:BD22" si="173">AX21*8%</f>
        <v>389360</v>
      </c>
      <c r="BE21" s="236">
        <f t="shared" ref="BE21:BE22" si="174">AX21*1.5%</f>
        <v>73005</v>
      </c>
      <c r="BF21" s="236">
        <f t="shared" ref="BF21:BF22" si="175">AX21*1%</f>
        <v>48670</v>
      </c>
      <c r="BG21" s="236">
        <f t="shared" si="46"/>
        <v>511035</v>
      </c>
      <c r="BH21" s="236">
        <v>11000000</v>
      </c>
      <c r="BI21" s="237"/>
      <c r="BJ21" s="236">
        <f t="shared" si="47"/>
        <v>0</v>
      </c>
      <c r="BK21" s="236">
        <f t="shared" si="16"/>
        <v>273000</v>
      </c>
      <c r="BL21" s="236">
        <f t="shared" si="98"/>
        <v>8137956.6105769239</v>
      </c>
      <c r="BM21" s="236">
        <f t="shared" ref="BM21:BM22" si="176">IF(BL21-BH21-BJ21-BG21&lt;0,0,BL21-BH21-BJ21-BG21)</f>
        <v>0</v>
      </c>
      <c r="BN21" s="236">
        <f t="shared" ref="BN21:BN22" si="177">ROUND(IF(BM21&lt;=5000000,BM21*5%,IF(AND(BM21&gt;5000000,BM21&lt;=10000000),BM21*10%-250000,IF(AND(BM21&gt;10000000,BM21&lt;=18000000),BM21*15%-750000,IF(AND(BM21&gt;18000000,BM21&lt;=32000000),BM21*20%-1650000,IF(AND(BM21&gt;32000000,BM21&lt;=52000000),BM21*25%-3250000,IF(AND(BM21&gt;52000000,BM21&lt;80000000),BM21*30%-585000,IF(BM21&gt;80000000,BM21*35%-9850000))))))),0)</f>
        <v>0</v>
      </c>
      <c r="BO21" s="232">
        <v>35000</v>
      </c>
      <c r="BP21" s="232"/>
      <c r="BQ21" s="236">
        <f t="shared" si="19"/>
        <v>8366830.9855769239</v>
      </c>
      <c r="BR21" s="237" t="s">
        <v>200</v>
      </c>
      <c r="BS21" s="237"/>
      <c r="BT21" s="184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</row>
    <row r="22" spans="1:133" ht="39.950000000000003" customHeight="1">
      <c r="A22" s="304">
        <f t="shared" si="50"/>
        <v>13</v>
      </c>
      <c r="B22" s="383" t="s">
        <v>300</v>
      </c>
      <c r="C22" s="384" t="s">
        <v>113</v>
      </c>
      <c r="D22" s="336">
        <v>208</v>
      </c>
      <c r="E22" s="176">
        <v>137</v>
      </c>
      <c r="F22" s="235">
        <v>52</v>
      </c>
      <c r="G22" s="235">
        <v>18</v>
      </c>
      <c r="H22" s="235">
        <v>45</v>
      </c>
      <c r="I22" s="235">
        <v>10.5</v>
      </c>
      <c r="J22" s="345"/>
      <c r="K22" s="345"/>
      <c r="L22" s="345"/>
      <c r="M22" s="345"/>
      <c r="N22" s="344"/>
      <c r="O22" s="344"/>
      <c r="P22" s="344"/>
      <c r="Q22" s="236">
        <v>4267000</v>
      </c>
      <c r="R22" s="237"/>
      <c r="S22" s="343"/>
      <c r="T22" s="236">
        <v>300000</v>
      </c>
      <c r="U22" s="236">
        <v>0</v>
      </c>
      <c r="V22" s="236">
        <f t="shared" si="155"/>
        <v>0</v>
      </c>
      <c r="W22" s="338">
        <v>300000</v>
      </c>
      <c r="X22" s="236">
        <f t="shared" si="21"/>
        <v>300000</v>
      </c>
      <c r="Y22" s="338">
        <v>300000</v>
      </c>
      <c r="Z22" s="236">
        <f t="shared" si="22"/>
        <v>300000</v>
      </c>
      <c r="AA22" s="338">
        <v>0</v>
      </c>
      <c r="AB22" s="236"/>
      <c r="AC22" s="236">
        <v>500000</v>
      </c>
      <c r="AD22" s="236">
        <f t="shared" si="156"/>
        <v>234000</v>
      </c>
      <c r="AE22" s="236"/>
      <c r="AF22" s="236"/>
      <c r="AG22" s="338"/>
      <c r="AH22" s="236">
        <f t="shared" ref="AH22" si="178">V22+X22+Z22+AB22+AC22+AD22+AE22</f>
        <v>1334000</v>
      </c>
      <c r="AI22" s="236">
        <f t="shared" si="157"/>
        <v>4567000</v>
      </c>
      <c r="AJ22" s="236">
        <f t="shared" si="158"/>
        <v>21956.73076923077</v>
      </c>
      <c r="AK22" s="236">
        <f t="shared" si="159"/>
        <v>4492347.115384616</v>
      </c>
      <c r="AL22" s="236">
        <f t="shared" si="160"/>
        <v>1482079.326923077</v>
      </c>
      <c r="AM22" s="236">
        <f t="shared" si="161"/>
        <v>449564.0625</v>
      </c>
      <c r="AN22" s="338">
        <f t="shared" si="162"/>
        <v>0</v>
      </c>
      <c r="AO22" s="338">
        <f t="shared" si="163"/>
        <v>0</v>
      </c>
      <c r="AP22" s="338">
        <f t="shared" si="164"/>
        <v>0</v>
      </c>
      <c r="AQ22" s="338">
        <f t="shared" si="165"/>
        <v>0</v>
      </c>
      <c r="AR22" s="338">
        <f t="shared" si="166"/>
        <v>0</v>
      </c>
      <c r="AS22" s="338">
        <f t="shared" si="167"/>
        <v>0</v>
      </c>
      <c r="AT22" s="338">
        <f t="shared" si="168"/>
        <v>0</v>
      </c>
      <c r="AU22" s="236">
        <f t="shared" ref="AU22" si="179">SUM(AL22:AT22)</f>
        <v>1931643.389423077</v>
      </c>
      <c r="AV22" s="343"/>
      <c r="AW22" s="236">
        <f t="shared" ref="AW22" si="180">AH22+AK22+AU22+AF22-AG22</f>
        <v>7757990.504807693</v>
      </c>
      <c r="AX22" s="236">
        <f t="shared" ref="AX22:AX26" si="181">Q22+R22+T22</f>
        <v>4567000</v>
      </c>
      <c r="AY22" s="338">
        <f t="shared" si="170"/>
        <v>799225</v>
      </c>
      <c r="AZ22" s="338">
        <f t="shared" si="171"/>
        <v>137010</v>
      </c>
      <c r="BA22" s="338">
        <f t="shared" si="172"/>
        <v>45670</v>
      </c>
      <c r="BB22" s="338">
        <f t="shared" si="41"/>
        <v>91340</v>
      </c>
      <c r="BC22" s="236">
        <f t="shared" si="42"/>
        <v>1073245</v>
      </c>
      <c r="BD22" s="338">
        <f t="shared" si="173"/>
        <v>365360</v>
      </c>
      <c r="BE22" s="338">
        <f t="shared" si="174"/>
        <v>68505</v>
      </c>
      <c r="BF22" s="338">
        <f t="shared" si="175"/>
        <v>45670</v>
      </c>
      <c r="BG22" s="236">
        <f t="shared" si="46"/>
        <v>479535</v>
      </c>
      <c r="BH22" s="236">
        <v>11000000</v>
      </c>
      <c r="BI22" s="237"/>
      <c r="BJ22" s="236">
        <f t="shared" ref="BJ22" si="182">BI22*4400000</f>
        <v>0</v>
      </c>
      <c r="BK22" s="236">
        <f t="shared" si="16"/>
        <v>234000</v>
      </c>
      <c r="BL22" s="236">
        <f t="shared" si="98"/>
        <v>7181465.504807693</v>
      </c>
      <c r="BM22" s="236">
        <f t="shared" si="176"/>
        <v>0</v>
      </c>
      <c r="BN22" s="236">
        <f t="shared" si="177"/>
        <v>0</v>
      </c>
      <c r="BO22" s="232">
        <v>35000</v>
      </c>
      <c r="BP22" s="232"/>
      <c r="BQ22" s="236">
        <f t="shared" si="19"/>
        <v>7243455.504807693</v>
      </c>
      <c r="BR22" s="341" t="s">
        <v>225</v>
      </c>
      <c r="BS22" s="237"/>
      <c r="BT22" s="184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</row>
    <row r="23" spans="1:133" ht="29.25" customHeight="1">
      <c r="A23" s="304">
        <f t="shared" si="50"/>
        <v>14</v>
      </c>
      <c r="B23" s="383" t="s">
        <v>284</v>
      </c>
      <c r="C23" s="384" t="s">
        <v>113</v>
      </c>
      <c r="D23" s="336">
        <v>208</v>
      </c>
      <c r="E23" s="176">
        <v>123.5</v>
      </c>
      <c r="F23" s="235">
        <v>52</v>
      </c>
      <c r="G23" s="235">
        <v>14</v>
      </c>
      <c r="H23" s="235">
        <v>33</v>
      </c>
      <c r="I23" s="235">
        <v>10.5</v>
      </c>
      <c r="J23" s="345"/>
      <c r="K23" s="345"/>
      <c r="L23" s="345"/>
      <c r="M23" s="345"/>
      <c r="N23" s="344"/>
      <c r="O23" s="344"/>
      <c r="P23" s="344"/>
      <c r="Q23" s="236">
        <v>4064000</v>
      </c>
      <c r="R23" s="237"/>
      <c r="S23" s="343"/>
      <c r="T23" s="236"/>
      <c r="U23" s="236">
        <v>0</v>
      </c>
      <c r="V23" s="236">
        <f t="shared" ref="V23" si="183">IF((E23+F23)&gt;=180, U23, U23/D23*(E23+F23))</f>
        <v>0</v>
      </c>
      <c r="W23" s="338">
        <v>300000</v>
      </c>
      <c r="X23" s="236">
        <f t="shared" si="21"/>
        <v>253125</v>
      </c>
      <c r="Y23" s="338">
        <v>300000</v>
      </c>
      <c r="Z23" s="236">
        <f t="shared" si="22"/>
        <v>253125</v>
      </c>
      <c r="AA23" s="338">
        <v>0</v>
      </c>
      <c r="AB23" s="236"/>
      <c r="AC23" s="236"/>
      <c r="AD23" s="236">
        <f t="shared" ref="AD23" si="184">G23*13000</f>
        <v>182000</v>
      </c>
      <c r="AE23" s="236"/>
      <c r="AF23" s="236"/>
      <c r="AG23" s="338"/>
      <c r="AH23" s="236">
        <f t="shared" ref="AH23" si="185">V23+X23+Z23+AB23+AC23+AD23+AE23</f>
        <v>688250</v>
      </c>
      <c r="AI23" s="236">
        <f t="shared" ref="AI23" si="186">Q23+R23+T23</f>
        <v>4064000</v>
      </c>
      <c r="AJ23" s="236">
        <f t="shared" ref="AJ23" si="187">AI23/D23</f>
        <v>19538.461538461539</v>
      </c>
      <c r="AK23" s="236">
        <f t="shared" ref="AK23" si="188">AJ23*(E23+F23*130%)</f>
        <v>3733800.0000000005</v>
      </c>
      <c r="AL23" s="236">
        <f t="shared" ref="AL23" si="189">AJ23*H23*150%</f>
        <v>967153.84615384613</v>
      </c>
      <c r="AM23" s="236">
        <f t="shared" ref="AM23" si="190">AJ23*I23*150%*130%</f>
        <v>400050.00000000006</v>
      </c>
      <c r="AN23" s="338">
        <f t="shared" ref="AN23" si="191">+AJ23*J23*200%</f>
        <v>0</v>
      </c>
      <c r="AO23" s="338">
        <f t="shared" ref="AO23" si="192">AJ23*K23*200%*130%</f>
        <v>0</v>
      </c>
      <c r="AP23" s="338">
        <f t="shared" ref="AP23" si="193">AJ23*L23*200%*150%</f>
        <v>0</v>
      </c>
      <c r="AQ23" s="338">
        <f t="shared" ref="AQ23" si="194">AJ23*M23*200%*150%*130%</f>
        <v>0</v>
      </c>
      <c r="AR23" s="338">
        <f t="shared" ref="AR23" si="195">N23*AJ23*300%</f>
        <v>0</v>
      </c>
      <c r="AS23" s="338">
        <f t="shared" ref="AS23" si="196">AJ23*O23*130%*300%</f>
        <v>0</v>
      </c>
      <c r="AT23" s="338">
        <f t="shared" ref="AT23" si="197">P23*AJ23*150%*300%</f>
        <v>0</v>
      </c>
      <c r="AU23" s="236">
        <f t="shared" ref="AU23:AU24" si="198">SUM(AL23:AT23)</f>
        <v>1367203.8461538462</v>
      </c>
      <c r="AV23" s="343"/>
      <c r="AW23" s="236">
        <f t="shared" si="67"/>
        <v>5789253.846153846</v>
      </c>
      <c r="AX23" s="236">
        <f t="shared" si="181"/>
        <v>4064000</v>
      </c>
      <c r="AY23" s="338">
        <f t="shared" ref="AY23" si="199">AX23*17.5%</f>
        <v>711200</v>
      </c>
      <c r="AZ23" s="338">
        <f t="shared" ref="AZ23" si="200">AX23*3%</f>
        <v>121920</v>
      </c>
      <c r="BA23" s="338">
        <f t="shared" ref="BA23" si="201">AX23*1%</f>
        <v>40640</v>
      </c>
      <c r="BB23" s="338">
        <f t="shared" si="41"/>
        <v>81280</v>
      </c>
      <c r="BC23" s="236">
        <f t="shared" si="42"/>
        <v>955040</v>
      </c>
      <c r="BD23" s="338">
        <f t="shared" ref="BD23" si="202">AX23*8%</f>
        <v>325120</v>
      </c>
      <c r="BE23" s="338">
        <f t="shared" ref="BE23" si="203">AX23*1.5%</f>
        <v>60960</v>
      </c>
      <c r="BF23" s="338">
        <f t="shared" ref="BF23" si="204">AX23*1%</f>
        <v>40640</v>
      </c>
      <c r="BG23" s="236">
        <f t="shared" si="46"/>
        <v>426720</v>
      </c>
      <c r="BH23" s="236">
        <v>11000000</v>
      </c>
      <c r="BI23" s="237"/>
      <c r="BJ23" s="236">
        <f t="shared" ref="BJ23" si="205">BI23*4400000</f>
        <v>0</v>
      </c>
      <c r="BK23" s="236">
        <f t="shared" si="16"/>
        <v>182000</v>
      </c>
      <c r="BL23" s="236">
        <f t="shared" si="98"/>
        <v>5302453.846153846</v>
      </c>
      <c r="BM23" s="236">
        <f t="shared" ref="BM23" si="206">IF(BL23-BH23-BJ23-BG23&lt;0,0,BL23-BH23-BJ23-BG23)</f>
        <v>0</v>
      </c>
      <c r="BN23" s="236">
        <f t="shared" ref="BN23" si="207">ROUND(IF(BM23&lt;=5000000,BM23*5%,IF(AND(BM23&gt;5000000,BM23&lt;=10000000),BM23*10%-250000,IF(AND(BM23&gt;10000000,BM23&lt;=18000000),BM23*15%-750000,IF(AND(BM23&gt;18000000,BM23&lt;=32000000),BM23*20%-1650000,IF(AND(BM23&gt;32000000,BM23&lt;=52000000),BM23*25%-3250000,IF(AND(BM23&gt;52000000,BM23&lt;80000000),BM23*30%-585000,IF(BM23&gt;80000000,BM23*35%-9850000))))))),0)</f>
        <v>0</v>
      </c>
      <c r="BO23" s="232">
        <v>35000</v>
      </c>
      <c r="BP23" s="232"/>
      <c r="BQ23" s="236">
        <f t="shared" si="19"/>
        <v>5327533.846153846</v>
      </c>
      <c r="BR23" s="341" t="s">
        <v>225</v>
      </c>
      <c r="BS23" s="237"/>
      <c r="BT23" s="184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</row>
    <row r="24" spans="1:133" ht="31.5" customHeight="1">
      <c r="A24" s="304">
        <f t="shared" si="50"/>
        <v>15</v>
      </c>
      <c r="B24" s="383" t="s">
        <v>285</v>
      </c>
      <c r="C24" s="384" t="s">
        <v>113</v>
      </c>
      <c r="D24" s="336">
        <v>208</v>
      </c>
      <c r="E24" s="176">
        <v>124</v>
      </c>
      <c r="F24" s="235">
        <v>65</v>
      </c>
      <c r="G24" s="235">
        <v>17</v>
      </c>
      <c r="H24" s="235">
        <v>36</v>
      </c>
      <c r="I24" s="235">
        <v>15</v>
      </c>
      <c r="J24" s="345"/>
      <c r="K24" s="345"/>
      <c r="L24" s="345"/>
      <c r="M24" s="345"/>
      <c r="N24" s="344"/>
      <c r="O24" s="344"/>
      <c r="P24" s="344"/>
      <c r="Q24" s="236">
        <v>4064000</v>
      </c>
      <c r="R24" s="237"/>
      <c r="S24" s="343"/>
      <c r="T24" s="236"/>
      <c r="U24" s="236">
        <v>0</v>
      </c>
      <c r="V24" s="236">
        <f>IF((E24+F24)&gt;=180, U24, U24/D24*(E24+F24))</f>
        <v>0</v>
      </c>
      <c r="W24" s="338">
        <v>300000</v>
      </c>
      <c r="X24" s="236">
        <f t="shared" si="21"/>
        <v>300000</v>
      </c>
      <c r="Y24" s="338">
        <v>300000</v>
      </c>
      <c r="Z24" s="236">
        <f t="shared" si="22"/>
        <v>300000</v>
      </c>
      <c r="AA24" s="338">
        <v>0</v>
      </c>
      <c r="AB24" s="236"/>
      <c r="AC24" s="236">
        <v>500000</v>
      </c>
      <c r="AD24" s="236">
        <f t="shared" ref="AD24" si="208">G24*13000</f>
        <v>221000</v>
      </c>
      <c r="AE24" s="236"/>
      <c r="AF24" s="236"/>
      <c r="AG24" s="338"/>
      <c r="AH24" s="236">
        <f t="shared" ref="AH24" si="209">V24+X24+Z24+AB24+AC24+AD24+AE24</f>
        <v>1321000</v>
      </c>
      <c r="AI24" s="236">
        <f t="shared" ref="AI24" si="210">Q24+R24+T24</f>
        <v>4064000</v>
      </c>
      <c r="AJ24" s="236">
        <f t="shared" ref="AJ24" si="211">AI24/D24</f>
        <v>19538.461538461539</v>
      </c>
      <c r="AK24" s="236">
        <f t="shared" ref="AK24" si="212">AJ24*(E24+F24*130%)</f>
        <v>4073769.230769231</v>
      </c>
      <c r="AL24" s="236">
        <f t="shared" ref="AL24" si="213">AJ24*H24*150%</f>
        <v>1055076.923076923</v>
      </c>
      <c r="AM24" s="236">
        <f t="shared" ref="AM24" si="214">AJ24*I24*150%*130%</f>
        <v>571500</v>
      </c>
      <c r="AN24" s="338">
        <f t="shared" ref="AN24" si="215">+AJ24*J24*200%</f>
        <v>0</v>
      </c>
      <c r="AO24" s="338">
        <f t="shared" ref="AO24" si="216">AJ24*K24*200%*130%</f>
        <v>0</v>
      </c>
      <c r="AP24" s="338">
        <f t="shared" ref="AP24" si="217">AJ24*L24*200%*150%</f>
        <v>0</v>
      </c>
      <c r="AQ24" s="338">
        <f t="shared" ref="AQ24" si="218">AJ24*M24*200%*150%*130%</f>
        <v>0</v>
      </c>
      <c r="AR24" s="338">
        <f t="shared" ref="AR24" si="219">N24*AJ24*300%</f>
        <v>0</v>
      </c>
      <c r="AS24" s="338">
        <f t="shared" ref="AS24" si="220">AJ24*O24*130%*300%</f>
        <v>0</v>
      </c>
      <c r="AT24" s="338">
        <f t="shared" ref="AT24" si="221">P24*AJ24*150%*300%</f>
        <v>0</v>
      </c>
      <c r="AU24" s="236">
        <f t="shared" si="198"/>
        <v>1626576.923076923</v>
      </c>
      <c r="AV24" s="343"/>
      <c r="AW24" s="236">
        <f t="shared" si="67"/>
        <v>7021346.153846154</v>
      </c>
      <c r="AX24" s="236">
        <f t="shared" si="181"/>
        <v>4064000</v>
      </c>
      <c r="AY24" s="338">
        <f t="shared" ref="AY24" si="222">AX24*17.5%</f>
        <v>711200</v>
      </c>
      <c r="AZ24" s="338">
        <f t="shared" ref="AZ24" si="223">AX24*3%</f>
        <v>121920</v>
      </c>
      <c r="BA24" s="338">
        <f t="shared" ref="BA24" si="224">AX24*1%</f>
        <v>40640</v>
      </c>
      <c r="BB24" s="338">
        <f t="shared" si="41"/>
        <v>81280</v>
      </c>
      <c r="BC24" s="236">
        <f t="shared" si="42"/>
        <v>955040</v>
      </c>
      <c r="BD24" s="338">
        <f t="shared" ref="BD24" si="225">AX24*8%</f>
        <v>325120</v>
      </c>
      <c r="BE24" s="338">
        <f t="shared" ref="BE24" si="226">AX24*1.5%</f>
        <v>60960</v>
      </c>
      <c r="BF24" s="338">
        <f t="shared" ref="BF24" si="227">AX24*1%</f>
        <v>40640</v>
      </c>
      <c r="BG24" s="236">
        <f t="shared" si="46"/>
        <v>426720</v>
      </c>
      <c r="BH24" s="236">
        <v>11000000</v>
      </c>
      <c r="BI24" s="237"/>
      <c r="BJ24" s="236">
        <f t="shared" ref="BJ24" si="228">BI24*4400000</f>
        <v>0</v>
      </c>
      <c r="BK24" s="236">
        <f t="shared" si="16"/>
        <v>221000</v>
      </c>
      <c r="BL24" s="236">
        <f t="shared" si="98"/>
        <v>6419346.153846154</v>
      </c>
      <c r="BM24" s="236">
        <f t="shared" ref="BM24" si="229">IF(BL24-BH24-BJ24-BG24&lt;0,0,BL24-BH24-BJ24-BG24)</f>
        <v>0</v>
      </c>
      <c r="BN24" s="236">
        <f t="shared" ref="BN24" si="230">ROUND(IF(BM24&lt;=5000000,BM24*5%,IF(AND(BM24&gt;5000000,BM24&lt;=10000000),BM24*10%-250000,IF(AND(BM24&gt;10000000,BM24&lt;=18000000),BM24*15%-750000,IF(AND(BM24&gt;18000000,BM24&lt;=32000000),BM24*20%-1650000,IF(AND(BM24&gt;32000000,BM24&lt;=52000000),BM24*25%-3250000,IF(AND(BM24&gt;52000000,BM24&lt;80000000),BM24*30%-585000,IF(BM24&gt;80000000,BM24*35%-9850000))))))),0)</f>
        <v>0</v>
      </c>
      <c r="BO24" s="232">
        <v>35000</v>
      </c>
      <c r="BP24" s="232"/>
      <c r="BQ24" s="236">
        <f t="shared" si="19"/>
        <v>6559626.153846154</v>
      </c>
      <c r="BR24" s="341" t="s">
        <v>225</v>
      </c>
      <c r="BS24" s="237"/>
      <c r="BT24" s="184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</row>
    <row r="25" spans="1:133" ht="39.950000000000003" customHeight="1">
      <c r="A25" s="304">
        <f t="shared" si="50"/>
        <v>16</v>
      </c>
      <c r="B25" s="383" t="s">
        <v>298</v>
      </c>
      <c r="C25" s="384" t="s">
        <v>113</v>
      </c>
      <c r="D25" s="336">
        <v>208</v>
      </c>
      <c r="E25" s="176">
        <v>86.5</v>
      </c>
      <c r="F25" s="235">
        <v>26</v>
      </c>
      <c r="G25" s="235">
        <v>10</v>
      </c>
      <c r="H25" s="235">
        <v>25.5</v>
      </c>
      <c r="I25" s="235">
        <v>4.5</v>
      </c>
      <c r="J25" s="345"/>
      <c r="K25" s="345"/>
      <c r="L25" s="345"/>
      <c r="M25" s="345"/>
      <c r="N25" s="344"/>
      <c r="O25" s="344"/>
      <c r="P25" s="344"/>
      <c r="Q25" s="236">
        <v>4064000</v>
      </c>
      <c r="R25" s="237"/>
      <c r="S25" s="343"/>
      <c r="T25" s="236"/>
      <c r="U25" s="236">
        <v>0</v>
      </c>
      <c r="V25" s="236">
        <f t="shared" ref="V25" si="231">IF((E25+F25)&gt;=180, U25, U25/D25*(E25+F25))</f>
        <v>0</v>
      </c>
      <c r="W25" s="338">
        <v>300000</v>
      </c>
      <c r="X25" s="236">
        <f t="shared" si="21"/>
        <v>162259.6153846154</v>
      </c>
      <c r="Y25" s="338">
        <v>300000</v>
      </c>
      <c r="Z25" s="236">
        <f t="shared" si="22"/>
        <v>162259.6153846154</v>
      </c>
      <c r="AA25" s="338">
        <v>0</v>
      </c>
      <c r="AB25" s="236"/>
      <c r="AC25" s="236">
        <v>0</v>
      </c>
      <c r="AD25" s="236">
        <f t="shared" ref="AD25" si="232">G25*13000</f>
        <v>130000</v>
      </c>
      <c r="AE25" s="236"/>
      <c r="AF25" s="236"/>
      <c r="AG25" s="338"/>
      <c r="AH25" s="236">
        <f t="shared" ref="AH25" si="233">V25+X25+Z25+AB25+AC25+AD25+AE25</f>
        <v>454519.23076923081</v>
      </c>
      <c r="AI25" s="236">
        <f t="shared" ref="AI25" si="234">Q25+R25+T25</f>
        <v>4064000</v>
      </c>
      <c r="AJ25" s="236">
        <f t="shared" ref="AJ25" si="235">AI25/D25</f>
        <v>19538.461538461539</v>
      </c>
      <c r="AK25" s="236">
        <f t="shared" ref="AK25" si="236">AJ25*(E25+F25*130%)</f>
        <v>2350476.9230769235</v>
      </c>
      <c r="AL25" s="236">
        <f t="shared" ref="AL25" si="237">AJ25*H25*150%</f>
        <v>747346.15384615387</v>
      </c>
      <c r="AM25" s="236">
        <f t="shared" ref="AM25" si="238">AJ25*I25*150%*130%</f>
        <v>171450</v>
      </c>
      <c r="AN25" s="338">
        <f t="shared" ref="AN25" si="239">+AJ25*J25*200%</f>
        <v>0</v>
      </c>
      <c r="AO25" s="338">
        <f t="shared" ref="AO25" si="240">AJ25*K25*200%*130%</f>
        <v>0</v>
      </c>
      <c r="AP25" s="338">
        <f t="shared" ref="AP25" si="241">AJ25*L25*200%*150%</f>
        <v>0</v>
      </c>
      <c r="AQ25" s="338">
        <f t="shared" ref="AQ25" si="242">AJ25*M25*200%*150%*130%</f>
        <v>0</v>
      </c>
      <c r="AR25" s="338">
        <f t="shared" ref="AR25" si="243">N25*AJ25*300%</f>
        <v>0</v>
      </c>
      <c r="AS25" s="338">
        <f t="shared" ref="AS25" si="244">AJ25*O25*130%*300%</f>
        <v>0</v>
      </c>
      <c r="AT25" s="338">
        <f t="shared" ref="AT25" si="245">P25*AJ25*150%*300%</f>
        <v>0</v>
      </c>
      <c r="AU25" s="236">
        <f t="shared" ref="AU25" si="246">SUM(AL25:AT25)</f>
        <v>918796.15384615387</v>
      </c>
      <c r="AV25" s="343"/>
      <c r="AW25" s="236">
        <f t="shared" ref="AW25" si="247">AH25+AK25+AU25+AF25-AG25</f>
        <v>3723792.3076923084</v>
      </c>
      <c r="AX25" s="236">
        <f t="shared" si="181"/>
        <v>4064000</v>
      </c>
      <c r="AY25" s="338">
        <f t="shared" ref="AY25" si="248">AX25*17.5%</f>
        <v>711200</v>
      </c>
      <c r="AZ25" s="338">
        <f t="shared" ref="AZ25" si="249">AX25*3%</f>
        <v>121920</v>
      </c>
      <c r="BA25" s="338">
        <f t="shared" ref="BA25" si="250">AX25*1%</f>
        <v>40640</v>
      </c>
      <c r="BB25" s="338">
        <f t="shared" si="41"/>
        <v>81280</v>
      </c>
      <c r="BC25" s="236">
        <f t="shared" si="42"/>
        <v>955040</v>
      </c>
      <c r="BD25" s="338">
        <f t="shared" ref="BD25" si="251">AX25*8%</f>
        <v>325120</v>
      </c>
      <c r="BE25" s="338">
        <f t="shared" ref="BE25" si="252">AX25*1.5%</f>
        <v>60960</v>
      </c>
      <c r="BF25" s="338">
        <f t="shared" ref="BF25" si="253">AX25*1%</f>
        <v>40640</v>
      </c>
      <c r="BG25" s="236">
        <f t="shared" si="46"/>
        <v>426720</v>
      </c>
      <c r="BH25" s="236">
        <v>11000000</v>
      </c>
      <c r="BI25" s="237"/>
      <c r="BJ25" s="236">
        <f t="shared" ref="BJ25" si="254">BI25*4400000</f>
        <v>0</v>
      </c>
      <c r="BK25" s="236">
        <f t="shared" si="16"/>
        <v>130000</v>
      </c>
      <c r="BL25" s="236">
        <f t="shared" si="98"/>
        <v>3441392.3076923084</v>
      </c>
      <c r="BM25" s="236">
        <f t="shared" ref="BM25" si="255">IF(BL25-BH25-BJ25-BG25&lt;0,0,BL25-BH25-BJ25-BG25)</f>
        <v>0</v>
      </c>
      <c r="BN25" s="236">
        <f t="shared" ref="BN25" si="256">ROUND(IF(BM25&lt;=5000000,BM25*5%,IF(AND(BM25&gt;5000000,BM25&lt;=10000000),BM25*10%-250000,IF(AND(BM25&gt;10000000,BM25&lt;=18000000),BM25*15%-750000,IF(AND(BM25&gt;18000000,BM25&lt;=32000000),BM25*20%-1650000,IF(AND(BM25&gt;32000000,BM25&lt;=52000000),BM25*25%-3250000,IF(AND(BM25&gt;52000000,BM25&lt;80000000),BM25*30%-585000,IF(BM25&gt;80000000,BM25*35%-9850000))))))),0)</f>
        <v>0</v>
      </c>
      <c r="BO25" s="232">
        <v>35000</v>
      </c>
      <c r="BP25" s="232"/>
      <c r="BQ25" s="236">
        <f t="shared" si="19"/>
        <v>3262072.3076923084</v>
      </c>
      <c r="BR25" s="341" t="s">
        <v>225</v>
      </c>
      <c r="BS25" s="237"/>
      <c r="BT25" s="184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</row>
    <row r="26" spans="1:133" ht="39.950000000000003" customHeight="1">
      <c r="A26" s="304">
        <f t="shared" si="50"/>
        <v>17</v>
      </c>
      <c r="B26" s="383" t="s">
        <v>299</v>
      </c>
      <c r="C26" s="384" t="s">
        <v>113</v>
      </c>
      <c r="D26" s="336">
        <v>208</v>
      </c>
      <c r="E26" s="176">
        <v>130.5</v>
      </c>
      <c r="F26" s="235">
        <v>58.5</v>
      </c>
      <c r="G26" s="235">
        <v>19</v>
      </c>
      <c r="H26" s="235">
        <v>44.5</v>
      </c>
      <c r="I26" s="235">
        <v>13.5</v>
      </c>
      <c r="J26" s="345"/>
      <c r="K26" s="345"/>
      <c r="L26" s="345"/>
      <c r="M26" s="345"/>
      <c r="N26" s="344"/>
      <c r="O26" s="344"/>
      <c r="P26" s="344"/>
      <c r="Q26" s="236">
        <v>4064000</v>
      </c>
      <c r="R26" s="237"/>
      <c r="S26" s="343"/>
      <c r="T26" s="236"/>
      <c r="U26" s="236">
        <v>0</v>
      </c>
      <c r="V26" s="236">
        <f>IF((E26+F26)&gt;=180, U26, U26/D26*(E26+F26))</f>
        <v>0</v>
      </c>
      <c r="W26" s="338">
        <v>300000</v>
      </c>
      <c r="X26" s="236">
        <f t="shared" si="21"/>
        <v>300000</v>
      </c>
      <c r="Y26" s="338">
        <v>300000</v>
      </c>
      <c r="Z26" s="236">
        <f t="shared" si="22"/>
        <v>300000</v>
      </c>
      <c r="AA26" s="338">
        <v>0</v>
      </c>
      <c r="AB26" s="236"/>
      <c r="AC26" s="236">
        <v>500000</v>
      </c>
      <c r="AD26" s="236">
        <f>G26*13000</f>
        <v>247000</v>
      </c>
      <c r="AE26" s="236"/>
      <c r="AF26" s="236"/>
      <c r="AG26" s="338"/>
      <c r="AH26" s="236">
        <f>V26+X26+Z26+AB26+AC26+AD26+AE26</f>
        <v>1347000</v>
      </c>
      <c r="AI26" s="236">
        <f>Q26+R26+T26</f>
        <v>4064000</v>
      </c>
      <c r="AJ26" s="236">
        <f>AI26/D26</f>
        <v>19538.461538461539</v>
      </c>
      <c r="AK26" s="236">
        <f>AJ26*(E26+F26*130%)</f>
        <v>4035669.230769231</v>
      </c>
      <c r="AL26" s="236">
        <f>AJ26*H26*150%</f>
        <v>1304192.3076923077</v>
      </c>
      <c r="AM26" s="236">
        <f>AJ26*I26*150%*130%</f>
        <v>514350</v>
      </c>
      <c r="AN26" s="338">
        <f>+AJ26*J26*200%</f>
        <v>0</v>
      </c>
      <c r="AO26" s="338">
        <f>AJ26*K26*200%*130%</f>
        <v>0</v>
      </c>
      <c r="AP26" s="338">
        <f>AJ26*L26*200%*150%</f>
        <v>0</v>
      </c>
      <c r="AQ26" s="338">
        <f>AJ26*M26*200%*150%*130%</f>
        <v>0</v>
      </c>
      <c r="AR26" s="338">
        <f>N26*AJ26*300%</f>
        <v>0</v>
      </c>
      <c r="AS26" s="338">
        <f>AJ26*O26*130%*300%</f>
        <v>0</v>
      </c>
      <c r="AT26" s="338">
        <f>P26*AJ26*150%*300%</f>
        <v>0</v>
      </c>
      <c r="AU26" s="236">
        <f>SUM(AL26:AT26)</f>
        <v>1818542.3076923077</v>
      </c>
      <c r="AV26" s="343"/>
      <c r="AW26" s="236">
        <f>AH26+AK26+AU26+AF26-AG26</f>
        <v>7201211.538461539</v>
      </c>
      <c r="AX26" s="236">
        <f t="shared" si="181"/>
        <v>4064000</v>
      </c>
      <c r="AY26" s="338">
        <f>AX26*17.5%</f>
        <v>711200</v>
      </c>
      <c r="AZ26" s="338">
        <f>AX26*3%</f>
        <v>121920</v>
      </c>
      <c r="BA26" s="338">
        <f>AX26*1%</f>
        <v>40640</v>
      </c>
      <c r="BB26" s="338">
        <f t="shared" si="41"/>
        <v>81280</v>
      </c>
      <c r="BC26" s="236">
        <f t="shared" si="42"/>
        <v>955040</v>
      </c>
      <c r="BD26" s="338">
        <f>AX26*8%</f>
        <v>325120</v>
      </c>
      <c r="BE26" s="338">
        <f>AX26*1.5%</f>
        <v>60960</v>
      </c>
      <c r="BF26" s="338">
        <f>AX26*1%</f>
        <v>40640</v>
      </c>
      <c r="BG26" s="236">
        <f t="shared" si="46"/>
        <v>426720</v>
      </c>
      <c r="BH26" s="236">
        <v>11000000</v>
      </c>
      <c r="BI26" s="237"/>
      <c r="BJ26" s="236">
        <f>BI26*4400000</f>
        <v>0</v>
      </c>
      <c r="BK26" s="236">
        <f t="shared" si="16"/>
        <v>247000</v>
      </c>
      <c r="BL26" s="236">
        <f t="shared" si="98"/>
        <v>6611311.538461539</v>
      </c>
      <c r="BM26" s="236">
        <f>IF(BL26-BH26-BJ26-BG26&lt;0,0,BL26-BH26-BJ26-BG26)</f>
        <v>0</v>
      </c>
      <c r="BN26" s="236">
        <f>ROUND(IF(BM26&lt;=5000000,BM26*5%,IF(AND(BM26&gt;5000000,BM26&lt;=10000000),BM26*10%-250000,IF(AND(BM26&gt;10000000,BM26&lt;=18000000),BM26*15%-750000,IF(AND(BM26&gt;18000000,BM26&lt;=32000000),BM26*20%-1650000,IF(AND(BM26&gt;32000000,BM26&lt;=52000000),BM26*25%-3250000,IF(AND(BM26&gt;52000000,BM26&lt;80000000),BM26*30%-585000,IF(BM26&gt;80000000,BM26*35%-9850000))))))),0)</f>
        <v>0</v>
      </c>
      <c r="BO26" s="232"/>
      <c r="BP26" s="232"/>
      <c r="BQ26" s="236">
        <f t="shared" si="19"/>
        <v>6774491.538461539</v>
      </c>
      <c r="BR26" s="341" t="s">
        <v>225</v>
      </c>
      <c r="BS26" s="237"/>
      <c r="BT26" s="184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</row>
    <row r="27" spans="1:133" s="194" customFormat="1" ht="39.950000000000003" customHeight="1">
      <c r="A27" s="444" t="s">
        <v>222</v>
      </c>
      <c r="B27" s="444"/>
      <c r="C27" s="444"/>
      <c r="D27" s="186">
        <f>SUM(D10:D22)</f>
        <v>2704</v>
      </c>
      <c r="E27" s="186">
        <f>SUM(E10:E26)</f>
        <v>2088</v>
      </c>
      <c r="F27" s="186">
        <f>SUM(F10:F26)</f>
        <v>1001</v>
      </c>
      <c r="G27" s="186">
        <f>SUM(G10:G26)</f>
        <v>307</v>
      </c>
      <c r="H27" s="186">
        <f>SUM(H10:H26)</f>
        <v>712.5</v>
      </c>
      <c r="I27" s="186">
        <f>SUM(I10:I26)</f>
        <v>222</v>
      </c>
      <c r="J27" s="186">
        <f t="shared" ref="J27:P27" si="257">SUM(J10:J25)</f>
        <v>0</v>
      </c>
      <c r="K27" s="186">
        <f t="shared" si="257"/>
        <v>0</v>
      </c>
      <c r="L27" s="186">
        <f t="shared" si="257"/>
        <v>0</v>
      </c>
      <c r="M27" s="186">
        <f t="shared" si="257"/>
        <v>0</v>
      </c>
      <c r="N27" s="186">
        <f t="shared" si="257"/>
        <v>0</v>
      </c>
      <c r="O27" s="186">
        <f t="shared" si="257"/>
        <v>0</v>
      </c>
      <c r="P27" s="186">
        <f t="shared" si="257"/>
        <v>0</v>
      </c>
      <c r="Q27" s="187">
        <f t="shared" ref="Q27:AV27" si="258">SUM(Q10:Q26)</f>
        <v>71727000</v>
      </c>
      <c r="R27" s="187">
        <f t="shared" si="258"/>
        <v>7400000</v>
      </c>
      <c r="S27" s="187">
        <f t="shared" si="258"/>
        <v>0</v>
      </c>
      <c r="T27" s="187">
        <f t="shared" si="258"/>
        <v>9600000</v>
      </c>
      <c r="U27" s="187">
        <f t="shared" si="258"/>
        <v>0</v>
      </c>
      <c r="V27" s="187">
        <f t="shared" si="258"/>
        <v>0</v>
      </c>
      <c r="W27" s="187">
        <f t="shared" si="258"/>
        <v>5500000</v>
      </c>
      <c r="X27" s="187">
        <f t="shared" si="258"/>
        <v>5239663.461538461</v>
      </c>
      <c r="Y27" s="187">
        <f t="shared" si="258"/>
        <v>5500000</v>
      </c>
      <c r="Z27" s="187">
        <f t="shared" si="258"/>
        <v>5239663.461538461</v>
      </c>
      <c r="AA27" s="187">
        <f t="shared" si="258"/>
        <v>0</v>
      </c>
      <c r="AB27" s="187">
        <f t="shared" si="258"/>
        <v>180000</v>
      </c>
      <c r="AC27" s="187">
        <f t="shared" si="258"/>
        <v>7000000</v>
      </c>
      <c r="AD27" s="187">
        <f t="shared" si="258"/>
        <v>3991000</v>
      </c>
      <c r="AE27" s="187">
        <f t="shared" si="258"/>
        <v>0</v>
      </c>
      <c r="AF27" s="187">
        <f t="shared" si="258"/>
        <v>0</v>
      </c>
      <c r="AG27" s="187">
        <f t="shared" si="258"/>
        <v>0</v>
      </c>
      <c r="AH27" s="187">
        <f t="shared" si="258"/>
        <v>21650326.923076924</v>
      </c>
      <c r="AI27" s="187">
        <f t="shared" si="258"/>
        <v>88727000</v>
      </c>
      <c r="AJ27" s="187">
        <f t="shared" si="258"/>
        <v>426572.11538461538</v>
      </c>
      <c r="AK27" s="187">
        <f t="shared" si="258"/>
        <v>85626147.836538464</v>
      </c>
      <c r="AL27" s="187">
        <f t="shared" si="258"/>
        <v>27162768.028846156</v>
      </c>
      <c r="AM27" s="187">
        <f t="shared" si="258"/>
        <v>11035251.5625</v>
      </c>
      <c r="AN27" s="187">
        <f t="shared" si="258"/>
        <v>0</v>
      </c>
      <c r="AO27" s="187">
        <f t="shared" si="258"/>
        <v>0</v>
      </c>
      <c r="AP27" s="187">
        <f t="shared" si="258"/>
        <v>0</v>
      </c>
      <c r="AQ27" s="187">
        <f t="shared" si="258"/>
        <v>0</v>
      </c>
      <c r="AR27" s="187">
        <f t="shared" si="258"/>
        <v>0</v>
      </c>
      <c r="AS27" s="187">
        <f t="shared" si="258"/>
        <v>0</v>
      </c>
      <c r="AT27" s="187">
        <f t="shared" si="258"/>
        <v>0</v>
      </c>
      <c r="AU27" s="187">
        <f t="shared" si="258"/>
        <v>38198019.591346145</v>
      </c>
      <c r="AV27" s="187">
        <f t="shared" si="258"/>
        <v>0</v>
      </c>
      <c r="AW27" s="187">
        <f t="shared" ref="AW27:BO27" si="259">SUM(AW10:AW26)</f>
        <v>145474494.35096154</v>
      </c>
      <c r="AX27" s="187">
        <f t="shared" si="259"/>
        <v>88727000</v>
      </c>
      <c r="AY27" s="187">
        <f t="shared" si="259"/>
        <v>15527225</v>
      </c>
      <c r="AZ27" s="187">
        <f t="shared" si="259"/>
        <v>2661810</v>
      </c>
      <c r="BA27" s="187">
        <f t="shared" si="259"/>
        <v>887270</v>
      </c>
      <c r="BB27" s="187">
        <f t="shared" si="259"/>
        <v>1774540</v>
      </c>
      <c r="BC27" s="187">
        <f t="shared" si="259"/>
        <v>20850845</v>
      </c>
      <c r="BD27" s="187">
        <f t="shared" si="259"/>
        <v>7098160</v>
      </c>
      <c r="BE27" s="187">
        <f t="shared" si="259"/>
        <v>1330905</v>
      </c>
      <c r="BF27" s="187">
        <f t="shared" si="259"/>
        <v>887270</v>
      </c>
      <c r="BG27" s="187">
        <f t="shared" si="259"/>
        <v>9316335</v>
      </c>
      <c r="BH27" s="187">
        <f t="shared" si="259"/>
        <v>187000000</v>
      </c>
      <c r="BI27" s="187">
        <f t="shared" si="259"/>
        <v>3</v>
      </c>
      <c r="BJ27" s="187">
        <f t="shared" si="259"/>
        <v>13200000</v>
      </c>
      <c r="BK27" s="187">
        <f t="shared" si="259"/>
        <v>3991000</v>
      </c>
      <c r="BL27" s="187">
        <f t="shared" si="259"/>
        <v>135293792.30769232</v>
      </c>
      <c r="BM27" s="187">
        <f t="shared" si="259"/>
        <v>0</v>
      </c>
      <c r="BN27" s="187">
        <f t="shared" si="259"/>
        <v>0</v>
      </c>
      <c r="BO27" s="187">
        <f t="shared" si="259"/>
        <v>560000</v>
      </c>
      <c r="BP27" s="187"/>
      <c r="BQ27" s="187">
        <f>SUM(BQ10:BQ26)</f>
        <v>135598159.35096154</v>
      </c>
      <c r="BR27" s="187">
        <f>SUM(BR10:BR26)</f>
        <v>0</v>
      </c>
      <c r="BS27" s="187"/>
      <c r="BT27" s="193"/>
    </row>
    <row r="28" spans="1:133">
      <c r="AX28" s="195"/>
      <c r="BT28" s="175"/>
    </row>
    <row r="29" spans="1:133" s="196" customFormat="1" ht="26.25">
      <c r="B29" s="107" t="s">
        <v>50</v>
      </c>
      <c r="C29" s="107"/>
      <c r="D29" s="107"/>
      <c r="E29" s="107"/>
      <c r="F29" s="197"/>
      <c r="G29" s="198"/>
      <c r="H29" s="199"/>
      <c r="I29" s="197"/>
      <c r="J29" s="197"/>
      <c r="K29" s="197"/>
      <c r="L29" s="197"/>
      <c r="M29" s="197"/>
      <c r="N29" s="197"/>
      <c r="O29" s="197"/>
      <c r="P29" s="197"/>
      <c r="Q29" s="105"/>
      <c r="AF29" s="107" t="s">
        <v>51</v>
      </c>
      <c r="AG29" s="111"/>
      <c r="AI29" s="107"/>
      <c r="AJ29" s="107"/>
      <c r="AK29" s="107"/>
      <c r="AL29" s="107"/>
      <c r="AM29" s="107"/>
      <c r="AN29" s="201"/>
      <c r="AO29" s="201"/>
      <c r="AP29" s="201"/>
      <c r="AQ29" s="201"/>
      <c r="AR29" s="201"/>
      <c r="AS29" s="201"/>
      <c r="AT29" s="201"/>
      <c r="AU29" s="202"/>
      <c r="AV29" s="201"/>
      <c r="AW29" s="201"/>
      <c r="AX29" s="203"/>
      <c r="AY29" s="204"/>
      <c r="BA29" s="204"/>
      <c r="BB29" s="204"/>
      <c r="BC29" s="203"/>
      <c r="BD29" s="111"/>
      <c r="BE29" s="200"/>
      <c r="BF29" s="200"/>
      <c r="BG29" s="442" t="s">
        <v>52</v>
      </c>
      <c r="BH29" s="442"/>
      <c r="BI29" s="442"/>
      <c r="BJ29" s="442"/>
      <c r="BK29" s="442"/>
      <c r="BL29" s="442"/>
      <c r="BM29" s="442"/>
      <c r="BN29" s="442"/>
      <c r="BO29" s="442"/>
      <c r="BP29" s="442"/>
      <c r="BQ29" s="442"/>
      <c r="BR29" s="442"/>
      <c r="BS29" s="442"/>
      <c r="BT29" s="203"/>
      <c r="BU29" s="200"/>
      <c r="BV29" s="200"/>
      <c r="BW29" s="200"/>
      <c r="BX29" s="200"/>
      <c r="BY29" s="200"/>
      <c r="BZ29" s="200"/>
      <c r="CA29" s="200"/>
      <c r="CB29" s="200"/>
      <c r="CC29" s="200"/>
      <c r="CD29" s="200"/>
      <c r="CE29" s="200"/>
      <c r="CF29" s="200"/>
      <c r="CG29" s="200"/>
      <c r="CH29" s="200"/>
      <c r="CI29" s="200"/>
      <c r="CJ29" s="200"/>
      <c r="CK29" s="200"/>
      <c r="CL29" s="200"/>
      <c r="CM29" s="200"/>
      <c r="CN29" s="200"/>
      <c r="CO29" s="200"/>
      <c r="CP29" s="200"/>
      <c r="CQ29" s="200"/>
      <c r="CR29" s="200"/>
      <c r="CS29" s="200"/>
      <c r="CT29" s="200"/>
      <c r="CU29" s="200"/>
      <c r="CV29" s="200"/>
      <c r="CW29" s="200"/>
      <c r="CX29" s="200"/>
      <c r="CY29" s="200"/>
      <c r="CZ29" s="200"/>
      <c r="DA29" s="200"/>
      <c r="DB29" s="200"/>
      <c r="DC29" s="200"/>
      <c r="DD29" s="200"/>
      <c r="DE29" s="200"/>
      <c r="DF29" s="200"/>
      <c r="DG29" s="200"/>
      <c r="DH29" s="200"/>
      <c r="DI29" s="200"/>
      <c r="DJ29" s="200"/>
      <c r="DK29" s="200"/>
      <c r="DL29" s="200"/>
      <c r="DM29" s="200"/>
      <c r="DN29" s="200"/>
      <c r="DO29" s="200"/>
      <c r="DP29" s="200"/>
      <c r="DQ29" s="200"/>
      <c r="DR29" s="200"/>
      <c r="DS29" s="200"/>
      <c r="DT29" s="200"/>
      <c r="DU29" s="200"/>
      <c r="DV29" s="200"/>
      <c r="DW29" s="200"/>
      <c r="DX29" s="200"/>
      <c r="DY29" s="200"/>
      <c r="DZ29" s="200"/>
      <c r="EA29" s="200"/>
      <c r="EB29" s="200"/>
      <c r="EC29" s="200"/>
    </row>
    <row r="30" spans="1:133">
      <c r="B30" s="443"/>
      <c r="C30" s="443"/>
      <c r="D30" s="191"/>
      <c r="E30" s="191"/>
      <c r="Q30" s="48"/>
      <c r="W30" s="184"/>
      <c r="AZ30" s="184"/>
    </row>
    <row r="31" spans="1:133">
      <c r="AZ31" s="184"/>
      <c r="BC31" s="175"/>
      <c r="BG31" s="175"/>
    </row>
    <row r="32" spans="1:133">
      <c r="AF32" s="184">
        <f>AF27-AF10</f>
        <v>0</v>
      </c>
    </row>
    <row r="33" spans="24:57">
      <c r="BC33" s="175"/>
    </row>
    <row r="35" spans="24:57" ht="4.5" customHeight="1">
      <c r="BC35" s="175"/>
    </row>
    <row r="36" spans="24:57">
      <c r="BE36" s="175"/>
    </row>
    <row r="37" spans="24:57">
      <c r="X37" s="184"/>
      <c r="Y37" s="184"/>
    </row>
  </sheetData>
  <autoFilter ref="A8:WXY27" xr:uid="{00000000-0009-0000-0000-000009000000}"/>
  <mergeCells count="30">
    <mergeCell ref="B30:C30"/>
    <mergeCell ref="A27:C27"/>
    <mergeCell ref="AL7:AU7"/>
    <mergeCell ref="AV7:AV8"/>
    <mergeCell ref="AW7:AW8"/>
    <mergeCell ref="D7:D8"/>
    <mergeCell ref="U7:AE7"/>
    <mergeCell ref="A3:BS3"/>
    <mergeCell ref="A4:BS4"/>
    <mergeCell ref="A7:A8"/>
    <mergeCell ref="B7:B8"/>
    <mergeCell ref="C7:C8"/>
    <mergeCell ref="E7:F7"/>
    <mergeCell ref="G7:G8"/>
    <mergeCell ref="H7:P7"/>
    <mergeCell ref="AH7:AH8"/>
    <mergeCell ref="AI7:AI8"/>
    <mergeCell ref="AJ7:AJ8"/>
    <mergeCell ref="AK7:AK8"/>
    <mergeCell ref="AF7:AF8"/>
    <mergeCell ref="AG7:AG8"/>
    <mergeCell ref="AX7:BC7"/>
    <mergeCell ref="Q7:T7"/>
    <mergeCell ref="BG29:BS29"/>
    <mergeCell ref="BR7:BR8"/>
    <mergeCell ref="BQ7:BQ8"/>
    <mergeCell ref="BS7:BS8"/>
    <mergeCell ref="BH7:BN7"/>
    <mergeCell ref="BD7:BG7"/>
    <mergeCell ref="BO7:BO8"/>
  </mergeCells>
  <pageMargins left="0.7" right="0.45" top="0.75" bottom="0.75" header="0.3" footer="0.3"/>
  <pageSetup paperSize="8" scale="4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BW49"/>
  <sheetViews>
    <sheetView tabSelected="1" view="pageBreakPreview" zoomScaleNormal="100" zoomScaleSheetLayoutView="100" workbookViewId="0">
      <pane xSplit="33" ySplit="9" topLeftCell="CB41" activePane="bottomRight" state="frozen"/>
      <selection pane="topRight" activeCell="AH1" sqref="AH1"/>
      <selection pane="bottomLeft" activeCell="A10" sqref="A10"/>
      <selection pane="bottomRight" activeCell="AE44" sqref="AE44:CF46"/>
    </sheetView>
  </sheetViews>
  <sheetFormatPr defaultRowHeight="15"/>
  <cols>
    <col min="1" max="1" width="6.42578125" style="2" customWidth="1"/>
    <col min="2" max="2" width="32.28515625" style="288" customWidth="1"/>
    <col min="3" max="3" width="8.7109375" style="2" customWidth="1"/>
    <col min="4" max="4" width="10" style="3" hidden="1" customWidth="1"/>
    <col min="5" max="6" width="8.7109375" style="3" customWidth="1"/>
    <col min="7" max="7" width="6.7109375" style="289" customWidth="1"/>
    <col min="8" max="8" width="8.5703125" style="3" customWidth="1"/>
    <col min="9" max="9" width="6.7109375" style="3" customWidth="1"/>
    <col min="10" max="15" width="6.7109375" style="3" hidden="1" customWidth="1"/>
    <col min="16" max="16" width="8.42578125" style="3" hidden="1" customWidth="1"/>
    <col min="17" max="17" width="13.85546875" style="290" customWidth="1"/>
    <col min="18" max="18" width="12.42578125" style="31" customWidth="1"/>
    <col min="19" max="19" width="10.28515625" style="31" hidden="1" customWidth="1"/>
    <col min="20" max="20" width="12.7109375" style="291" customWidth="1"/>
    <col min="21" max="21" width="10" style="2" hidden="1" customWidth="1"/>
    <col min="22" max="22" width="12" style="2" customWidth="1"/>
    <col min="23" max="23" width="12.85546875" style="2" hidden="1" customWidth="1"/>
    <col min="24" max="24" width="11.85546875" style="2" customWidth="1"/>
    <col min="25" max="25" width="12.85546875" style="2" hidden="1" customWidth="1"/>
    <col min="26" max="26" width="12.140625" style="2" customWidth="1"/>
    <col min="27" max="27" width="10" style="2" customWidth="1"/>
    <col min="28" max="28" width="6.5703125" style="2" hidden="1" customWidth="1"/>
    <col min="29" max="29" width="12.7109375" style="2" customWidth="1"/>
    <col min="30" max="30" width="11.140625" style="2" customWidth="1"/>
    <col min="31" max="31" width="11.5703125" style="292" customWidth="1"/>
    <col min="32" max="32" width="11.5703125" style="292" hidden="1" customWidth="1"/>
    <col min="33" max="33" width="12.42578125" style="292" hidden="1" customWidth="1"/>
    <col min="34" max="34" width="14.28515625" style="2" customWidth="1"/>
    <col min="35" max="35" width="16.85546875" style="2" customWidth="1"/>
    <col min="36" max="36" width="10" style="2" customWidth="1"/>
    <col min="37" max="37" width="14.28515625" style="2" customWidth="1"/>
    <col min="38" max="38" width="15.7109375" style="2" hidden="1" customWidth="1"/>
    <col min="39" max="39" width="12.7109375" style="2" customWidth="1"/>
    <col min="40" max="40" width="13" style="2" customWidth="1"/>
    <col min="41" max="41" width="10.28515625" style="2" hidden="1" customWidth="1"/>
    <col min="42" max="42" width="9.140625" style="2" hidden="1" customWidth="1"/>
    <col min="43" max="43" width="9.7109375" style="2" hidden="1" customWidth="1"/>
    <col min="44" max="44" width="9.140625" style="2" hidden="1" customWidth="1"/>
    <col min="45" max="45" width="9.42578125" style="2" hidden="1" customWidth="1"/>
    <col min="46" max="46" width="8.85546875" style="2" hidden="1" customWidth="1"/>
    <col min="47" max="47" width="0.140625" style="2" customWidth="1"/>
    <col min="48" max="48" width="13.28515625" style="2" customWidth="1"/>
    <col min="49" max="49" width="10" style="2" hidden="1" customWidth="1"/>
    <col min="50" max="50" width="16.7109375" style="2" customWidth="1"/>
    <col min="51" max="51" width="14.140625" style="2" customWidth="1"/>
    <col min="52" max="52" width="12.140625" style="2" hidden="1" customWidth="1"/>
    <col min="53" max="53" width="11.140625" style="2" hidden="1" customWidth="1"/>
    <col min="54" max="55" width="11" style="2" hidden="1" customWidth="1"/>
    <col min="56" max="56" width="13.140625" style="2" customWidth="1"/>
    <col min="57" max="57" width="12.42578125" style="2" hidden="1" customWidth="1"/>
    <col min="58" max="58" width="10.7109375" style="2" hidden="1" customWidth="1"/>
    <col min="59" max="59" width="10.42578125" style="2" hidden="1" customWidth="1"/>
    <col min="60" max="60" width="13.140625" style="2" customWidth="1"/>
    <col min="61" max="61" width="16.7109375" style="2" hidden="1" customWidth="1"/>
    <col min="62" max="62" width="12.5703125" style="2" hidden="1" customWidth="1"/>
    <col min="63" max="63" width="12.140625" style="6" hidden="1" customWidth="1"/>
    <col min="64" max="64" width="14.42578125" style="6" hidden="1" customWidth="1"/>
    <col min="65" max="65" width="15.5703125" style="7" hidden="1" customWidth="1"/>
    <col min="66" max="66" width="11.7109375" style="2" hidden="1" customWidth="1"/>
    <col min="67" max="67" width="10" style="2" customWidth="1"/>
    <col min="68" max="68" width="10.5703125" style="2" customWidth="1"/>
    <col min="69" max="69" width="10.5703125" style="2" hidden="1" customWidth="1"/>
    <col min="70" max="70" width="15.140625" style="2" customWidth="1"/>
    <col min="71" max="71" width="16.5703125" style="119" hidden="1" customWidth="1"/>
    <col min="72" max="72" width="18.5703125" style="70" customWidth="1"/>
    <col min="73" max="73" width="14.5703125" style="2" bestFit="1" customWidth="1"/>
    <col min="74" max="74" width="14" style="2" bestFit="1" customWidth="1"/>
    <col min="75" max="75" width="16.5703125" style="2" bestFit="1" customWidth="1"/>
    <col min="76" max="77" width="9.140625" style="2"/>
    <col min="78" max="78" width="15.5703125" style="2" bestFit="1" customWidth="1"/>
    <col min="79" max="79" width="21.7109375" style="2" bestFit="1" customWidth="1"/>
    <col min="80" max="286" width="9.140625" style="2"/>
    <col min="287" max="287" width="0" style="2" hidden="1" customWidth="1"/>
    <col min="288" max="288" width="11.42578125" style="2" customWidth="1"/>
    <col min="289" max="289" width="7.5703125" style="2" customWidth="1"/>
    <col min="290" max="290" width="17.85546875" style="2" customWidth="1"/>
    <col min="291" max="291" width="3.5703125" style="2" customWidth="1"/>
    <col min="292" max="297" width="0" style="2" hidden="1" customWidth="1"/>
    <col min="298" max="298" width="11" style="2" customWidth="1"/>
    <col min="299" max="301" width="0" style="2" hidden="1" customWidth="1"/>
    <col min="302" max="302" width="10.7109375" style="2" customWidth="1"/>
    <col min="303" max="307" width="0" style="2" hidden="1" customWidth="1"/>
    <col min="308" max="308" width="13.140625" style="2" customWidth="1"/>
    <col min="309" max="309" width="10.42578125" style="2" customWidth="1"/>
    <col min="310" max="310" width="10.28515625" style="2" customWidth="1"/>
    <col min="311" max="311" width="9.85546875" style="2" customWidth="1"/>
    <col min="312" max="312" width="10.7109375" style="2" customWidth="1"/>
    <col min="313" max="313" width="10" style="2" customWidth="1"/>
    <col min="314" max="314" width="9.5703125" style="2" customWidth="1"/>
    <col min="315" max="315" width="10.7109375" style="2" customWidth="1"/>
    <col min="316" max="316" width="9.85546875" style="2" customWidth="1"/>
    <col min="317" max="320" width="0" style="2" hidden="1" customWidth="1"/>
    <col min="321" max="321" width="9.85546875" style="2" customWidth="1"/>
    <col min="322" max="322" width="10.85546875" style="2" customWidth="1"/>
    <col min="323" max="323" width="11.5703125" style="2" customWidth="1"/>
    <col min="324" max="325" width="0" style="2" hidden="1" customWidth="1"/>
    <col min="326" max="542" width="9.140625" style="2"/>
    <col min="543" max="543" width="0" style="2" hidden="1" customWidth="1"/>
    <col min="544" max="544" width="11.42578125" style="2" customWidth="1"/>
    <col min="545" max="545" width="7.5703125" style="2" customWidth="1"/>
    <col min="546" max="546" width="17.85546875" style="2" customWidth="1"/>
    <col min="547" max="547" width="3.5703125" style="2" customWidth="1"/>
    <col min="548" max="553" width="0" style="2" hidden="1" customWidth="1"/>
    <col min="554" max="554" width="11" style="2" customWidth="1"/>
    <col min="555" max="557" width="0" style="2" hidden="1" customWidth="1"/>
    <col min="558" max="558" width="10.7109375" style="2" customWidth="1"/>
    <col min="559" max="563" width="0" style="2" hidden="1" customWidth="1"/>
    <col min="564" max="564" width="13.140625" style="2" customWidth="1"/>
    <col min="565" max="565" width="10.42578125" style="2" customWidth="1"/>
    <col min="566" max="566" width="10.28515625" style="2" customWidth="1"/>
    <col min="567" max="567" width="9.85546875" style="2" customWidth="1"/>
    <col min="568" max="568" width="10.7109375" style="2" customWidth="1"/>
    <col min="569" max="569" width="10" style="2" customWidth="1"/>
    <col min="570" max="570" width="9.5703125" style="2" customWidth="1"/>
    <col min="571" max="571" width="10.7109375" style="2" customWidth="1"/>
    <col min="572" max="572" width="9.85546875" style="2" customWidth="1"/>
    <col min="573" max="576" width="0" style="2" hidden="1" customWidth="1"/>
    <col min="577" max="577" width="9.85546875" style="2" customWidth="1"/>
    <col min="578" max="578" width="10.85546875" style="2" customWidth="1"/>
    <col min="579" max="579" width="11.5703125" style="2" customWidth="1"/>
    <col min="580" max="581" width="0" style="2" hidden="1" customWidth="1"/>
    <col min="582" max="798" width="9.140625" style="2"/>
    <col min="799" max="799" width="0" style="2" hidden="1" customWidth="1"/>
    <col min="800" max="800" width="11.42578125" style="2" customWidth="1"/>
    <col min="801" max="801" width="7.5703125" style="2" customWidth="1"/>
    <col min="802" max="802" width="17.85546875" style="2" customWidth="1"/>
    <col min="803" max="803" width="3.5703125" style="2" customWidth="1"/>
    <col min="804" max="809" width="0" style="2" hidden="1" customWidth="1"/>
    <col min="810" max="810" width="11" style="2" customWidth="1"/>
    <col min="811" max="813" width="0" style="2" hidden="1" customWidth="1"/>
    <col min="814" max="814" width="10.7109375" style="2" customWidth="1"/>
    <col min="815" max="819" width="0" style="2" hidden="1" customWidth="1"/>
    <col min="820" max="820" width="13.140625" style="2" customWidth="1"/>
    <col min="821" max="821" width="10.42578125" style="2" customWidth="1"/>
    <col min="822" max="822" width="10.28515625" style="2" customWidth="1"/>
    <col min="823" max="823" width="9.85546875" style="2" customWidth="1"/>
    <col min="824" max="824" width="10.7109375" style="2" customWidth="1"/>
    <col min="825" max="825" width="10" style="2" customWidth="1"/>
    <col min="826" max="826" width="9.5703125" style="2" customWidth="1"/>
    <col min="827" max="827" width="10.7109375" style="2" customWidth="1"/>
    <col min="828" max="828" width="9.85546875" style="2" customWidth="1"/>
    <col min="829" max="832" width="0" style="2" hidden="1" customWidth="1"/>
    <col min="833" max="833" width="9.85546875" style="2" customWidth="1"/>
    <col min="834" max="834" width="10.85546875" style="2" customWidth="1"/>
    <col min="835" max="835" width="11.5703125" style="2" customWidth="1"/>
    <col min="836" max="837" width="0" style="2" hidden="1" customWidth="1"/>
    <col min="838" max="1054" width="9.140625" style="2"/>
    <col min="1055" max="1055" width="0" style="2" hidden="1" customWidth="1"/>
    <col min="1056" max="1056" width="11.42578125" style="2" customWidth="1"/>
    <col min="1057" max="1057" width="7.5703125" style="2" customWidth="1"/>
    <col min="1058" max="1058" width="17.85546875" style="2" customWidth="1"/>
    <col min="1059" max="1059" width="3.5703125" style="2" customWidth="1"/>
    <col min="1060" max="1065" width="0" style="2" hidden="1" customWidth="1"/>
    <col min="1066" max="1066" width="11" style="2" customWidth="1"/>
    <col min="1067" max="1069" width="0" style="2" hidden="1" customWidth="1"/>
    <col min="1070" max="1070" width="10.7109375" style="2" customWidth="1"/>
    <col min="1071" max="1075" width="0" style="2" hidden="1" customWidth="1"/>
    <col min="1076" max="1076" width="13.140625" style="2" customWidth="1"/>
    <col min="1077" max="1077" width="10.42578125" style="2" customWidth="1"/>
    <col min="1078" max="1078" width="10.28515625" style="2" customWidth="1"/>
    <col min="1079" max="1079" width="9.85546875" style="2" customWidth="1"/>
    <col min="1080" max="1080" width="10.7109375" style="2" customWidth="1"/>
    <col min="1081" max="1081" width="10" style="2" customWidth="1"/>
    <col min="1082" max="1082" width="9.5703125" style="2" customWidth="1"/>
    <col min="1083" max="1083" width="10.7109375" style="2" customWidth="1"/>
    <col min="1084" max="1084" width="9.85546875" style="2" customWidth="1"/>
    <col min="1085" max="1088" width="0" style="2" hidden="1" customWidth="1"/>
    <col min="1089" max="1089" width="9.85546875" style="2" customWidth="1"/>
    <col min="1090" max="1090" width="10.85546875" style="2" customWidth="1"/>
    <col min="1091" max="1091" width="11.5703125" style="2" customWidth="1"/>
    <col min="1092" max="1093" width="0" style="2" hidden="1" customWidth="1"/>
    <col min="1094" max="1310" width="9.140625" style="2"/>
    <col min="1311" max="1311" width="0" style="2" hidden="1" customWidth="1"/>
    <col min="1312" max="1312" width="11.42578125" style="2" customWidth="1"/>
    <col min="1313" max="1313" width="7.5703125" style="2" customWidth="1"/>
    <col min="1314" max="1314" width="17.85546875" style="2" customWidth="1"/>
    <col min="1315" max="1315" width="3.5703125" style="2" customWidth="1"/>
    <col min="1316" max="1321" width="0" style="2" hidden="1" customWidth="1"/>
    <col min="1322" max="1322" width="11" style="2" customWidth="1"/>
    <col min="1323" max="1325" width="0" style="2" hidden="1" customWidth="1"/>
    <col min="1326" max="1326" width="10.7109375" style="2" customWidth="1"/>
    <col min="1327" max="1331" width="0" style="2" hidden="1" customWidth="1"/>
    <col min="1332" max="1332" width="13.140625" style="2" customWidth="1"/>
    <col min="1333" max="1333" width="10.42578125" style="2" customWidth="1"/>
    <col min="1334" max="1334" width="10.28515625" style="2" customWidth="1"/>
    <col min="1335" max="1335" width="9.85546875" style="2" customWidth="1"/>
    <col min="1336" max="1336" width="10.7109375" style="2" customWidth="1"/>
    <col min="1337" max="1337" width="10" style="2" customWidth="1"/>
    <col min="1338" max="1338" width="9.5703125" style="2" customWidth="1"/>
    <col min="1339" max="1339" width="10.7109375" style="2" customWidth="1"/>
    <col min="1340" max="1340" width="9.85546875" style="2" customWidth="1"/>
    <col min="1341" max="1344" width="0" style="2" hidden="1" customWidth="1"/>
    <col min="1345" max="1345" width="9.85546875" style="2" customWidth="1"/>
    <col min="1346" max="1346" width="10.85546875" style="2" customWidth="1"/>
    <col min="1347" max="1347" width="11.5703125" style="2" customWidth="1"/>
    <col min="1348" max="1349" width="0" style="2" hidden="1" customWidth="1"/>
    <col min="1350" max="1566" width="9.140625" style="2"/>
    <col min="1567" max="1567" width="0" style="2" hidden="1" customWidth="1"/>
    <col min="1568" max="1568" width="11.42578125" style="2" customWidth="1"/>
    <col min="1569" max="1569" width="7.5703125" style="2" customWidth="1"/>
    <col min="1570" max="1570" width="17.85546875" style="2" customWidth="1"/>
    <col min="1571" max="1571" width="3.5703125" style="2" customWidth="1"/>
    <col min="1572" max="1577" width="0" style="2" hidden="1" customWidth="1"/>
    <col min="1578" max="1578" width="11" style="2" customWidth="1"/>
    <col min="1579" max="1581" width="0" style="2" hidden="1" customWidth="1"/>
    <col min="1582" max="1582" width="10.7109375" style="2" customWidth="1"/>
    <col min="1583" max="1587" width="0" style="2" hidden="1" customWidth="1"/>
    <col min="1588" max="1588" width="13.140625" style="2" customWidth="1"/>
    <col min="1589" max="1589" width="10.42578125" style="2" customWidth="1"/>
    <col min="1590" max="1590" width="10.28515625" style="2" customWidth="1"/>
    <col min="1591" max="1591" width="9.85546875" style="2" customWidth="1"/>
    <col min="1592" max="1592" width="10.7109375" style="2" customWidth="1"/>
    <col min="1593" max="1593" width="10" style="2" customWidth="1"/>
    <col min="1594" max="1594" width="9.5703125" style="2" customWidth="1"/>
    <col min="1595" max="1595" width="10.7109375" style="2" customWidth="1"/>
    <col min="1596" max="1596" width="9.85546875" style="2" customWidth="1"/>
    <col min="1597" max="1600" width="0" style="2" hidden="1" customWidth="1"/>
    <col min="1601" max="1601" width="9.85546875" style="2" customWidth="1"/>
    <col min="1602" max="1602" width="10.85546875" style="2" customWidth="1"/>
    <col min="1603" max="1603" width="11.5703125" style="2" customWidth="1"/>
    <col min="1604" max="1605" width="0" style="2" hidden="1" customWidth="1"/>
    <col min="1606" max="1822" width="9.140625" style="2"/>
    <col min="1823" max="1823" width="0" style="2" hidden="1" customWidth="1"/>
    <col min="1824" max="1824" width="11.42578125" style="2" customWidth="1"/>
    <col min="1825" max="1825" width="7.5703125" style="2" customWidth="1"/>
    <col min="1826" max="1826" width="17.85546875" style="2" customWidth="1"/>
    <col min="1827" max="1827" width="3.5703125" style="2" customWidth="1"/>
    <col min="1828" max="1833" width="0" style="2" hidden="1" customWidth="1"/>
    <col min="1834" max="1834" width="11" style="2" customWidth="1"/>
    <col min="1835" max="1837" width="0" style="2" hidden="1" customWidth="1"/>
    <col min="1838" max="1838" width="10.7109375" style="2" customWidth="1"/>
    <col min="1839" max="1843" width="0" style="2" hidden="1" customWidth="1"/>
    <col min="1844" max="1844" width="13.140625" style="2" customWidth="1"/>
    <col min="1845" max="1845" width="10.42578125" style="2" customWidth="1"/>
    <col min="1846" max="1846" width="10.28515625" style="2" customWidth="1"/>
    <col min="1847" max="1847" width="9.85546875" style="2" customWidth="1"/>
    <col min="1848" max="1848" width="10.7109375" style="2" customWidth="1"/>
    <col min="1849" max="1849" width="10" style="2" customWidth="1"/>
    <col min="1850" max="1850" width="9.5703125" style="2" customWidth="1"/>
    <col min="1851" max="1851" width="10.7109375" style="2" customWidth="1"/>
    <col min="1852" max="1852" width="9.85546875" style="2" customWidth="1"/>
    <col min="1853" max="1856" width="0" style="2" hidden="1" customWidth="1"/>
    <col min="1857" max="1857" width="9.85546875" style="2" customWidth="1"/>
    <col min="1858" max="1858" width="10.85546875" style="2" customWidth="1"/>
    <col min="1859" max="1859" width="11.5703125" style="2" customWidth="1"/>
    <col min="1860" max="1861" width="0" style="2" hidden="1" customWidth="1"/>
    <col min="1862" max="2078" width="9.140625" style="2"/>
    <col min="2079" max="2079" width="0" style="2" hidden="1" customWidth="1"/>
    <col min="2080" max="2080" width="11.42578125" style="2" customWidth="1"/>
    <col min="2081" max="2081" width="7.5703125" style="2" customWidth="1"/>
    <col min="2082" max="2082" width="17.85546875" style="2" customWidth="1"/>
    <col min="2083" max="2083" width="3.5703125" style="2" customWidth="1"/>
    <col min="2084" max="2089" width="0" style="2" hidden="1" customWidth="1"/>
    <col min="2090" max="2090" width="11" style="2" customWidth="1"/>
    <col min="2091" max="2093" width="0" style="2" hidden="1" customWidth="1"/>
    <col min="2094" max="2094" width="10.7109375" style="2" customWidth="1"/>
    <col min="2095" max="2099" width="0" style="2" hidden="1" customWidth="1"/>
    <col min="2100" max="2100" width="13.140625" style="2" customWidth="1"/>
    <col min="2101" max="2101" width="10.42578125" style="2" customWidth="1"/>
    <col min="2102" max="2102" width="10.28515625" style="2" customWidth="1"/>
    <col min="2103" max="2103" width="9.85546875" style="2" customWidth="1"/>
    <col min="2104" max="2104" width="10.7109375" style="2" customWidth="1"/>
    <col min="2105" max="2105" width="10" style="2" customWidth="1"/>
    <col min="2106" max="2106" width="9.5703125" style="2" customWidth="1"/>
    <col min="2107" max="2107" width="10.7109375" style="2" customWidth="1"/>
    <col min="2108" max="2108" width="9.85546875" style="2" customWidth="1"/>
    <col min="2109" max="2112" width="0" style="2" hidden="1" customWidth="1"/>
    <col min="2113" max="2113" width="9.85546875" style="2" customWidth="1"/>
    <col min="2114" max="2114" width="10.85546875" style="2" customWidth="1"/>
    <col min="2115" max="2115" width="11.5703125" style="2" customWidth="1"/>
    <col min="2116" max="2117" width="0" style="2" hidden="1" customWidth="1"/>
    <col min="2118" max="2334" width="9.140625" style="2"/>
    <col min="2335" max="2335" width="0" style="2" hidden="1" customWidth="1"/>
    <col min="2336" max="2336" width="11.42578125" style="2" customWidth="1"/>
    <col min="2337" max="2337" width="7.5703125" style="2" customWidth="1"/>
    <col min="2338" max="2338" width="17.85546875" style="2" customWidth="1"/>
    <col min="2339" max="2339" width="3.5703125" style="2" customWidth="1"/>
    <col min="2340" max="2345" width="0" style="2" hidden="1" customWidth="1"/>
    <col min="2346" max="2346" width="11" style="2" customWidth="1"/>
    <col min="2347" max="2349" width="0" style="2" hidden="1" customWidth="1"/>
    <col min="2350" max="2350" width="10.7109375" style="2" customWidth="1"/>
    <col min="2351" max="2355" width="0" style="2" hidden="1" customWidth="1"/>
    <col min="2356" max="2356" width="13.140625" style="2" customWidth="1"/>
    <col min="2357" max="2357" width="10.42578125" style="2" customWidth="1"/>
    <col min="2358" max="2358" width="10.28515625" style="2" customWidth="1"/>
    <col min="2359" max="2359" width="9.85546875" style="2" customWidth="1"/>
    <col min="2360" max="2360" width="10.7109375" style="2" customWidth="1"/>
    <col min="2361" max="2361" width="10" style="2" customWidth="1"/>
    <col min="2362" max="2362" width="9.5703125" style="2" customWidth="1"/>
    <col min="2363" max="2363" width="10.7109375" style="2" customWidth="1"/>
    <col min="2364" max="2364" width="9.85546875" style="2" customWidth="1"/>
    <col min="2365" max="2368" width="0" style="2" hidden="1" customWidth="1"/>
    <col min="2369" max="2369" width="9.85546875" style="2" customWidth="1"/>
    <col min="2370" max="2370" width="10.85546875" style="2" customWidth="1"/>
    <col min="2371" max="2371" width="11.5703125" style="2" customWidth="1"/>
    <col min="2372" max="2373" width="0" style="2" hidden="1" customWidth="1"/>
    <col min="2374" max="2590" width="9.140625" style="2"/>
    <col min="2591" max="2591" width="0" style="2" hidden="1" customWidth="1"/>
    <col min="2592" max="2592" width="11.42578125" style="2" customWidth="1"/>
    <col min="2593" max="2593" width="7.5703125" style="2" customWidth="1"/>
    <col min="2594" max="2594" width="17.85546875" style="2" customWidth="1"/>
    <col min="2595" max="2595" width="3.5703125" style="2" customWidth="1"/>
    <col min="2596" max="2601" width="0" style="2" hidden="1" customWidth="1"/>
    <col min="2602" max="2602" width="11" style="2" customWidth="1"/>
    <col min="2603" max="2605" width="0" style="2" hidden="1" customWidth="1"/>
    <col min="2606" max="2606" width="10.7109375" style="2" customWidth="1"/>
    <col min="2607" max="2611" width="0" style="2" hidden="1" customWidth="1"/>
    <col min="2612" max="2612" width="13.140625" style="2" customWidth="1"/>
    <col min="2613" max="2613" width="10.42578125" style="2" customWidth="1"/>
    <col min="2614" max="2614" width="10.28515625" style="2" customWidth="1"/>
    <col min="2615" max="2615" width="9.85546875" style="2" customWidth="1"/>
    <col min="2616" max="2616" width="10.7109375" style="2" customWidth="1"/>
    <col min="2617" max="2617" width="10" style="2" customWidth="1"/>
    <col min="2618" max="2618" width="9.5703125" style="2" customWidth="1"/>
    <col min="2619" max="2619" width="10.7109375" style="2" customWidth="1"/>
    <col min="2620" max="2620" width="9.85546875" style="2" customWidth="1"/>
    <col min="2621" max="2624" width="0" style="2" hidden="1" customWidth="1"/>
    <col min="2625" max="2625" width="9.85546875" style="2" customWidth="1"/>
    <col min="2626" max="2626" width="10.85546875" style="2" customWidth="1"/>
    <col min="2627" max="2627" width="11.5703125" style="2" customWidth="1"/>
    <col min="2628" max="2629" width="0" style="2" hidden="1" customWidth="1"/>
    <col min="2630" max="2846" width="9.140625" style="2"/>
    <col min="2847" max="2847" width="0" style="2" hidden="1" customWidth="1"/>
    <col min="2848" max="2848" width="11.42578125" style="2" customWidth="1"/>
    <col min="2849" max="2849" width="7.5703125" style="2" customWidth="1"/>
    <col min="2850" max="2850" width="17.85546875" style="2" customWidth="1"/>
    <col min="2851" max="2851" width="3.5703125" style="2" customWidth="1"/>
    <col min="2852" max="2857" width="0" style="2" hidden="1" customWidth="1"/>
    <col min="2858" max="2858" width="11" style="2" customWidth="1"/>
    <col min="2859" max="2861" width="0" style="2" hidden="1" customWidth="1"/>
    <col min="2862" max="2862" width="10.7109375" style="2" customWidth="1"/>
    <col min="2863" max="2867" width="0" style="2" hidden="1" customWidth="1"/>
    <col min="2868" max="2868" width="13.140625" style="2" customWidth="1"/>
    <col min="2869" max="2869" width="10.42578125" style="2" customWidth="1"/>
    <col min="2870" max="2870" width="10.28515625" style="2" customWidth="1"/>
    <col min="2871" max="2871" width="9.85546875" style="2" customWidth="1"/>
    <col min="2872" max="2872" width="10.7109375" style="2" customWidth="1"/>
    <col min="2873" max="2873" width="10" style="2" customWidth="1"/>
    <col min="2874" max="2874" width="9.5703125" style="2" customWidth="1"/>
    <col min="2875" max="2875" width="10.7109375" style="2" customWidth="1"/>
    <col min="2876" max="2876" width="9.85546875" style="2" customWidth="1"/>
    <col min="2877" max="2880" width="0" style="2" hidden="1" customWidth="1"/>
    <col min="2881" max="2881" width="9.85546875" style="2" customWidth="1"/>
    <col min="2882" max="2882" width="10.85546875" style="2" customWidth="1"/>
    <col min="2883" max="2883" width="11.5703125" style="2" customWidth="1"/>
    <col min="2884" max="2885" width="0" style="2" hidden="1" customWidth="1"/>
    <col min="2886" max="3102" width="9.140625" style="2"/>
    <col min="3103" max="3103" width="0" style="2" hidden="1" customWidth="1"/>
    <col min="3104" max="3104" width="11.42578125" style="2" customWidth="1"/>
    <col min="3105" max="3105" width="7.5703125" style="2" customWidth="1"/>
    <col min="3106" max="3106" width="17.85546875" style="2" customWidth="1"/>
    <col min="3107" max="3107" width="3.5703125" style="2" customWidth="1"/>
    <col min="3108" max="3113" width="0" style="2" hidden="1" customWidth="1"/>
    <col min="3114" max="3114" width="11" style="2" customWidth="1"/>
    <col min="3115" max="3117" width="0" style="2" hidden="1" customWidth="1"/>
    <col min="3118" max="3118" width="10.7109375" style="2" customWidth="1"/>
    <col min="3119" max="3123" width="0" style="2" hidden="1" customWidth="1"/>
    <col min="3124" max="3124" width="13.140625" style="2" customWidth="1"/>
    <col min="3125" max="3125" width="10.42578125" style="2" customWidth="1"/>
    <col min="3126" max="3126" width="10.28515625" style="2" customWidth="1"/>
    <col min="3127" max="3127" width="9.85546875" style="2" customWidth="1"/>
    <col min="3128" max="3128" width="10.7109375" style="2" customWidth="1"/>
    <col min="3129" max="3129" width="10" style="2" customWidth="1"/>
    <col min="3130" max="3130" width="9.5703125" style="2" customWidth="1"/>
    <col min="3131" max="3131" width="10.7109375" style="2" customWidth="1"/>
    <col min="3132" max="3132" width="9.85546875" style="2" customWidth="1"/>
    <col min="3133" max="3136" width="0" style="2" hidden="1" customWidth="1"/>
    <col min="3137" max="3137" width="9.85546875" style="2" customWidth="1"/>
    <col min="3138" max="3138" width="10.85546875" style="2" customWidth="1"/>
    <col min="3139" max="3139" width="11.5703125" style="2" customWidth="1"/>
    <col min="3140" max="3141" width="0" style="2" hidden="1" customWidth="1"/>
    <col min="3142" max="3358" width="9.140625" style="2"/>
    <col min="3359" max="3359" width="0" style="2" hidden="1" customWidth="1"/>
    <col min="3360" max="3360" width="11.42578125" style="2" customWidth="1"/>
    <col min="3361" max="3361" width="7.5703125" style="2" customWidth="1"/>
    <col min="3362" max="3362" width="17.85546875" style="2" customWidth="1"/>
    <col min="3363" max="3363" width="3.5703125" style="2" customWidth="1"/>
    <col min="3364" max="3369" width="0" style="2" hidden="1" customWidth="1"/>
    <col min="3370" max="3370" width="11" style="2" customWidth="1"/>
    <col min="3371" max="3373" width="0" style="2" hidden="1" customWidth="1"/>
    <col min="3374" max="3374" width="10.7109375" style="2" customWidth="1"/>
    <col min="3375" max="3379" width="0" style="2" hidden="1" customWidth="1"/>
    <col min="3380" max="3380" width="13.140625" style="2" customWidth="1"/>
    <col min="3381" max="3381" width="10.42578125" style="2" customWidth="1"/>
    <col min="3382" max="3382" width="10.28515625" style="2" customWidth="1"/>
    <col min="3383" max="3383" width="9.85546875" style="2" customWidth="1"/>
    <col min="3384" max="3384" width="10.7109375" style="2" customWidth="1"/>
    <col min="3385" max="3385" width="10" style="2" customWidth="1"/>
    <col min="3386" max="3386" width="9.5703125" style="2" customWidth="1"/>
    <col min="3387" max="3387" width="10.7109375" style="2" customWidth="1"/>
    <col min="3388" max="3388" width="9.85546875" style="2" customWidth="1"/>
    <col min="3389" max="3392" width="0" style="2" hidden="1" customWidth="1"/>
    <col min="3393" max="3393" width="9.85546875" style="2" customWidth="1"/>
    <col min="3394" max="3394" width="10.85546875" style="2" customWidth="1"/>
    <col min="3395" max="3395" width="11.5703125" style="2" customWidth="1"/>
    <col min="3396" max="3397" width="0" style="2" hidden="1" customWidth="1"/>
    <col min="3398" max="3614" width="9.140625" style="2"/>
    <col min="3615" max="3615" width="0" style="2" hidden="1" customWidth="1"/>
    <col min="3616" max="3616" width="11.42578125" style="2" customWidth="1"/>
    <col min="3617" max="3617" width="7.5703125" style="2" customWidth="1"/>
    <col min="3618" max="3618" width="17.85546875" style="2" customWidth="1"/>
    <col min="3619" max="3619" width="3.5703125" style="2" customWidth="1"/>
    <col min="3620" max="3625" width="0" style="2" hidden="1" customWidth="1"/>
    <col min="3626" max="3626" width="11" style="2" customWidth="1"/>
    <col min="3627" max="3629" width="0" style="2" hidden="1" customWidth="1"/>
    <col min="3630" max="3630" width="10.7109375" style="2" customWidth="1"/>
    <col min="3631" max="3635" width="0" style="2" hidden="1" customWidth="1"/>
    <col min="3636" max="3636" width="13.140625" style="2" customWidth="1"/>
    <col min="3637" max="3637" width="10.42578125" style="2" customWidth="1"/>
    <col min="3638" max="3638" width="10.28515625" style="2" customWidth="1"/>
    <col min="3639" max="3639" width="9.85546875" style="2" customWidth="1"/>
    <col min="3640" max="3640" width="10.7109375" style="2" customWidth="1"/>
    <col min="3641" max="3641" width="10" style="2" customWidth="1"/>
    <col min="3642" max="3642" width="9.5703125" style="2" customWidth="1"/>
    <col min="3643" max="3643" width="10.7109375" style="2" customWidth="1"/>
    <col min="3644" max="3644" width="9.85546875" style="2" customWidth="1"/>
    <col min="3645" max="3648" width="0" style="2" hidden="1" customWidth="1"/>
    <col min="3649" max="3649" width="9.85546875" style="2" customWidth="1"/>
    <col min="3650" max="3650" width="10.85546875" style="2" customWidth="1"/>
    <col min="3651" max="3651" width="11.5703125" style="2" customWidth="1"/>
    <col min="3652" max="3653" width="0" style="2" hidden="1" customWidth="1"/>
    <col min="3654" max="3870" width="9.140625" style="2"/>
    <col min="3871" max="3871" width="0" style="2" hidden="1" customWidth="1"/>
    <col min="3872" max="3872" width="11.42578125" style="2" customWidth="1"/>
    <col min="3873" max="3873" width="7.5703125" style="2" customWidth="1"/>
    <col min="3874" max="3874" width="17.85546875" style="2" customWidth="1"/>
    <col min="3875" max="3875" width="3.5703125" style="2" customWidth="1"/>
    <col min="3876" max="3881" width="0" style="2" hidden="1" customWidth="1"/>
    <col min="3882" max="3882" width="11" style="2" customWidth="1"/>
    <col min="3883" max="3885" width="0" style="2" hidden="1" customWidth="1"/>
    <col min="3886" max="3886" width="10.7109375" style="2" customWidth="1"/>
    <col min="3887" max="3891" width="0" style="2" hidden="1" customWidth="1"/>
    <col min="3892" max="3892" width="13.140625" style="2" customWidth="1"/>
    <col min="3893" max="3893" width="10.42578125" style="2" customWidth="1"/>
    <col min="3894" max="3894" width="10.28515625" style="2" customWidth="1"/>
    <col min="3895" max="3895" width="9.85546875" style="2" customWidth="1"/>
    <col min="3896" max="3896" width="10.7109375" style="2" customWidth="1"/>
    <col min="3897" max="3897" width="10" style="2" customWidth="1"/>
    <col min="3898" max="3898" width="9.5703125" style="2" customWidth="1"/>
    <col min="3899" max="3899" width="10.7109375" style="2" customWidth="1"/>
    <col min="3900" max="3900" width="9.85546875" style="2" customWidth="1"/>
    <col min="3901" max="3904" width="0" style="2" hidden="1" customWidth="1"/>
    <col min="3905" max="3905" width="9.85546875" style="2" customWidth="1"/>
    <col min="3906" max="3906" width="10.85546875" style="2" customWidth="1"/>
    <col min="3907" max="3907" width="11.5703125" style="2" customWidth="1"/>
    <col min="3908" max="3909" width="0" style="2" hidden="1" customWidth="1"/>
    <col min="3910" max="4126" width="9.140625" style="2"/>
    <col min="4127" max="4127" width="0" style="2" hidden="1" customWidth="1"/>
    <col min="4128" max="4128" width="11.42578125" style="2" customWidth="1"/>
    <col min="4129" max="4129" width="7.5703125" style="2" customWidth="1"/>
    <col min="4130" max="4130" width="17.85546875" style="2" customWidth="1"/>
    <col min="4131" max="4131" width="3.5703125" style="2" customWidth="1"/>
    <col min="4132" max="4137" width="0" style="2" hidden="1" customWidth="1"/>
    <col min="4138" max="4138" width="11" style="2" customWidth="1"/>
    <col min="4139" max="4141" width="0" style="2" hidden="1" customWidth="1"/>
    <col min="4142" max="4142" width="10.7109375" style="2" customWidth="1"/>
    <col min="4143" max="4147" width="0" style="2" hidden="1" customWidth="1"/>
    <col min="4148" max="4148" width="13.140625" style="2" customWidth="1"/>
    <col min="4149" max="4149" width="10.42578125" style="2" customWidth="1"/>
    <col min="4150" max="4150" width="10.28515625" style="2" customWidth="1"/>
    <col min="4151" max="4151" width="9.85546875" style="2" customWidth="1"/>
    <col min="4152" max="4152" width="10.7109375" style="2" customWidth="1"/>
    <col min="4153" max="4153" width="10" style="2" customWidth="1"/>
    <col min="4154" max="4154" width="9.5703125" style="2" customWidth="1"/>
    <col min="4155" max="4155" width="10.7109375" style="2" customWidth="1"/>
    <col min="4156" max="4156" width="9.85546875" style="2" customWidth="1"/>
    <col min="4157" max="4160" width="0" style="2" hidden="1" customWidth="1"/>
    <col min="4161" max="4161" width="9.85546875" style="2" customWidth="1"/>
    <col min="4162" max="4162" width="10.85546875" style="2" customWidth="1"/>
    <col min="4163" max="4163" width="11.5703125" style="2" customWidth="1"/>
    <col min="4164" max="4165" width="0" style="2" hidden="1" customWidth="1"/>
    <col min="4166" max="4382" width="9.140625" style="2"/>
    <col min="4383" max="4383" width="0" style="2" hidden="1" customWidth="1"/>
    <col min="4384" max="4384" width="11.42578125" style="2" customWidth="1"/>
    <col min="4385" max="4385" width="7.5703125" style="2" customWidth="1"/>
    <col min="4386" max="4386" width="17.85546875" style="2" customWidth="1"/>
    <col min="4387" max="4387" width="3.5703125" style="2" customWidth="1"/>
    <col min="4388" max="4393" width="0" style="2" hidden="1" customWidth="1"/>
    <col min="4394" max="4394" width="11" style="2" customWidth="1"/>
    <col min="4395" max="4397" width="0" style="2" hidden="1" customWidth="1"/>
    <col min="4398" max="4398" width="10.7109375" style="2" customWidth="1"/>
    <col min="4399" max="4403" width="0" style="2" hidden="1" customWidth="1"/>
    <col min="4404" max="4404" width="13.140625" style="2" customWidth="1"/>
    <col min="4405" max="4405" width="10.42578125" style="2" customWidth="1"/>
    <col min="4406" max="4406" width="10.28515625" style="2" customWidth="1"/>
    <col min="4407" max="4407" width="9.85546875" style="2" customWidth="1"/>
    <col min="4408" max="4408" width="10.7109375" style="2" customWidth="1"/>
    <col min="4409" max="4409" width="10" style="2" customWidth="1"/>
    <col min="4410" max="4410" width="9.5703125" style="2" customWidth="1"/>
    <col min="4411" max="4411" width="10.7109375" style="2" customWidth="1"/>
    <col min="4412" max="4412" width="9.85546875" style="2" customWidth="1"/>
    <col min="4413" max="4416" width="0" style="2" hidden="1" customWidth="1"/>
    <col min="4417" max="4417" width="9.85546875" style="2" customWidth="1"/>
    <col min="4418" max="4418" width="10.85546875" style="2" customWidth="1"/>
    <col min="4419" max="4419" width="11.5703125" style="2" customWidth="1"/>
    <col min="4420" max="4421" width="0" style="2" hidden="1" customWidth="1"/>
    <col min="4422" max="4638" width="9.140625" style="2"/>
    <col min="4639" max="4639" width="0" style="2" hidden="1" customWidth="1"/>
    <col min="4640" max="4640" width="11.42578125" style="2" customWidth="1"/>
    <col min="4641" max="4641" width="7.5703125" style="2" customWidth="1"/>
    <col min="4642" max="4642" width="17.85546875" style="2" customWidth="1"/>
    <col min="4643" max="4643" width="3.5703125" style="2" customWidth="1"/>
    <col min="4644" max="4649" width="0" style="2" hidden="1" customWidth="1"/>
    <col min="4650" max="4650" width="11" style="2" customWidth="1"/>
    <col min="4651" max="4653" width="0" style="2" hidden="1" customWidth="1"/>
    <col min="4654" max="4654" width="10.7109375" style="2" customWidth="1"/>
    <col min="4655" max="4659" width="0" style="2" hidden="1" customWidth="1"/>
    <col min="4660" max="4660" width="13.140625" style="2" customWidth="1"/>
    <col min="4661" max="4661" width="10.42578125" style="2" customWidth="1"/>
    <col min="4662" max="4662" width="10.28515625" style="2" customWidth="1"/>
    <col min="4663" max="4663" width="9.85546875" style="2" customWidth="1"/>
    <col min="4664" max="4664" width="10.7109375" style="2" customWidth="1"/>
    <col min="4665" max="4665" width="10" style="2" customWidth="1"/>
    <col min="4666" max="4666" width="9.5703125" style="2" customWidth="1"/>
    <col min="4667" max="4667" width="10.7109375" style="2" customWidth="1"/>
    <col min="4668" max="4668" width="9.85546875" style="2" customWidth="1"/>
    <col min="4669" max="4672" width="0" style="2" hidden="1" customWidth="1"/>
    <col min="4673" max="4673" width="9.85546875" style="2" customWidth="1"/>
    <col min="4674" max="4674" width="10.85546875" style="2" customWidth="1"/>
    <col min="4675" max="4675" width="11.5703125" style="2" customWidth="1"/>
    <col min="4676" max="4677" width="0" style="2" hidden="1" customWidth="1"/>
    <col min="4678" max="4894" width="9.140625" style="2"/>
    <col min="4895" max="4895" width="0" style="2" hidden="1" customWidth="1"/>
    <col min="4896" max="4896" width="11.42578125" style="2" customWidth="1"/>
    <col min="4897" max="4897" width="7.5703125" style="2" customWidth="1"/>
    <col min="4898" max="4898" width="17.85546875" style="2" customWidth="1"/>
    <col min="4899" max="4899" width="3.5703125" style="2" customWidth="1"/>
    <col min="4900" max="4905" width="0" style="2" hidden="1" customWidth="1"/>
    <col min="4906" max="4906" width="11" style="2" customWidth="1"/>
    <col min="4907" max="4909" width="0" style="2" hidden="1" customWidth="1"/>
    <col min="4910" max="4910" width="10.7109375" style="2" customWidth="1"/>
    <col min="4911" max="4915" width="0" style="2" hidden="1" customWidth="1"/>
    <col min="4916" max="4916" width="13.140625" style="2" customWidth="1"/>
    <col min="4917" max="4917" width="10.42578125" style="2" customWidth="1"/>
    <col min="4918" max="4918" width="10.28515625" style="2" customWidth="1"/>
    <col min="4919" max="4919" width="9.85546875" style="2" customWidth="1"/>
    <col min="4920" max="4920" width="10.7109375" style="2" customWidth="1"/>
    <col min="4921" max="4921" width="10" style="2" customWidth="1"/>
    <col min="4922" max="4922" width="9.5703125" style="2" customWidth="1"/>
    <col min="4923" max="4923" width="10.7109375" style="2" customWidth="1"/>
    <col min="4924" max="4924" width="9.85546875" style="2" customWidth="1"/>
    <col min="4925" max="4928" width="0" style="2" hidden="1" customWidth="1"/>
    <col min="4929" max="4929" width="9.85546875" style="2" customWidth="1"/>
    <col min="4930" max="4930" width="10.85546875" style="2" customWidth="1"/>
    <col min="4931" max="4931" width="11.5703125" style="2" customWidth="1"/>
    <col min="4932" max="4933" width="0" style="2" hidden="1" customWidth="1"/>
    <col min="4934" max="5150" width="9.140625" style="2"/>
    <col min="5151" max="5151" width="0" style="2" hidden="1" customWidth="1"/>
    <col min="5152" max="5152" width="11.42578125" style="2" customWidth="1"/>
    <col min="5153" max="5153" width="7.5703125" style="2" customWidth="1"/>
    <col min="5154" max="5154" width="17.85546875" style="2" customWidth="1"/>
    <col min="5155" max="5155" width="3.5703125" style="2" customWidth="1"/>
    <col min="5156" max="5161" width="0" style="2" hidden="1" customWidth="1"/>
    <col min="5162" max="5162" width="11" style="2" customWidth="1"/>
    <col min="5163" max="5165" width="0" style="2" hidden="1" customWidth="1"/>
    <col min="5166" max="5166" width="10.7109375" style="2" customWidth="1"/>
    <col min="5167" max="5171" width="0" style="2" hidden="1" customWidth="1"/>
    <col min="5172" max="5172" width="13.140625" style="2" customWidth="1"/>
    <col min="5173" max="5173" width="10.42578125" style="2" customWidth="1"/>
    <col min="5174" max="5174" width="10.28515625" style="2" customWidth="1"/>
    <col min="5175" max="5175" width="9.85546875" style="2" customWidth="1"/>
    <col min="5176" max="5176" width="10.7109375" style="2" customWidth="1"/>
    <col min="5177" max="5177" width="10" style="2" customWidth="1"/>
    <col min="5178" max="5178" width="9.5703125" style="2" customWidth="1"/>
    <col min="5179" max="5179" width="10.7109375" style="2" customWidth="1"/>
    <col min="5180" max="5180" width="9.85546875" style="2" customWidth="1"/>
    <col min="5181" max="5184" width="0" style="2" hidden="1" customWidth="1"/>
    <col min="5185" max="5185" width="9.85546875" style="2" customWidth="1"/>
    <col min="5186" max="5186" width="10.85546875" style="2" customWidth="1"/>
    <col min="5187" max="5187" width="11.5703125" style="2" customWidth="1"/>
    <col min="5188" max="5189" width="0" style="2" hidden="1" customWidth="1"/>
    <col min="5190" max="5406" width="9.140625" style="2"/>
    <col min="5407" max="5407" width="0" style="2" hidden="1" customWidth="1"/>
    <col min="5408" max="5408" width="11.42578125" style="2" customWidth="1"/>
    <col min="5409" max="5409" width="7.5703125" style="2" customWidth="1"/>
    <col min="5410" max="5410" width="17.85546875" style="2" customWidth="1"/>
    <col min="5411" max="5411" width="3.5703125" style="2" customWidth="1"/>
    <col min="5412" max="5417" width="0" style="2" hidden="1" customWidth="1"/>
    <col min="5418" max="5418" width="11" style="2" customWidth="1"/>
    <col min="5419" max="5421" width="0" style="2" hidden="1" customWidth="1"/>
    <col min="5422" max="5422" width="10.7109375" style="2" customWidth="1"/>
    <col min="5423" max="5427" width="0" style="2" hidden="1" customWidth="1"/>
    <col min="5428" max="5428" width="13.140625" style="2" customWidth="1"/>
    <col min="5429" max="5429" width="10.42578125" style="2" customWidth="1"/>
    <col min="5430" max="5430" width="10.28515625" style="2" customWidth="1"/>
    <col min="5431" max="5431" width="9.85546875" style="2" customWidth="1"/>
    <col min="5432" max="5432" width="10.7109375" style="2" customWidth="1"/>
    <col min="5433" max="5433" width="10" style="2" customWidth="1"/>
    <col min="5434" max="5434" width="9.5703125" style="2" customWidth="1"/>
    <col min="5435" max="5435" width="10.7109375" style="2" customWidth="1"/>
    <col min="5436" max="5436" width="9.85546875" style="2" customWidth="1"/>
    <col min="5437" max="5440" width="0" style="2" hidden="1" customWidth="1"/>
    <col min="5441" max="5441" width="9.85546875" style="2" customWidth="1"/>
    <col min="5442" max="5442" width="10.85546875" style="2" customWidth="1"/>
    <col min="5443" max="5443" width="11.5703125" style="2" customWidth="1"/>
    <col min="5444" max="5445" width="0" style="2" hidden="1" customWidth="1"/>
    <col min="5446" max="5662" width="9.140625" style="2"/>
    <col min="5663" max="5663" width="0" style="2" hidden="1" customWidth="1"/>
    <col min="5664" max="5664" width="11.42578125" style="2" customWidth="1"/>
    <col min="5665" max="5665" width="7.5703125" style="2" customWidth="1"/>
    <col min="5666" max="5666" width="17.85546875" style="2" customWidth="1"/>
    <col min="5667" max="5667" width="3.5703125" style="2" customWidth="1"/>
    <col min="5668" max="5673" width="0" style="2" hidden="1" customWidth="1"/>
    <col min="5674" max="5674" width="11" style="2" customWidth="1"/>
    <col min="5675" max="5677" width="0" style="2" hidden="1" customWidth="1"/>
    <col min="5678" max="5678" width="10.7109375" style="2" customWidth="1"/>
    <col min="5679" max="5683" width="0" style="2" hidden="1" customWidth="1"/>
    <col min="5684" max="5684" width="13.140625" style="2" customWidth="1"/>
    <col min="5685" max="5685" width="10.42578125" style="2" customWidth="1"/>
    <col min="5686" max="5686" width="10.28515625" style="2" customWidth="1"/>
    <col min="5687" max="5687" width="9.85546875" style="2" customWidth="1"/>
    <col min="5688" max="5688" width="10.7109375" style="2" customWidth="1"/>
    <col min="5689" max="5689" width="10" style="2" customWidth="1"/>
    <col min="5690" max="5690" width="9.5703125" style="2" customWidth="1"/>
    <col min="5691" max="5691" width="10.7109375" style="2" customWidth="1"/>
    <col min="5692" max="5692" width="9.85546875" style="2" customWidth="1"/>
    <col min="5693" max="5696" width="0" style="2" hidden="1" customWidth="1"/>
    <col min="5697" max="5697" width="9.85546875" style="2" customWidth="1"/>
    <col min="5698" max="5698" width="10.85546875" style="2" customWidth="1"/>
    <col min="5699" max="5699" width="11.5703125" style="2" customWidth="1"/>
    <col min="5700" max="5701" width="0" style="2" hidden="1" customWidth="1"/>
    <col min="5702" max="5918" width="9.140625" style="2"/>
    <col min="5919" max="5919" width="0" style="2" hidden="1" customWidth="1"/>
    <col min="5920" max="5920" width="11.42578125" style="2" customWidth="1"/>
    <col min="5921" max="5921" width="7.5703125" style="2" customWidth="1"/>
    <col min="5922" max="5922" width="17.85546875" style="2" customWidth="1"/>
    <col min="5923" max="5923" width="3.5703125" style="2" customWidth="1"/>
    <col min="5924" max="5929" width="0" style="2" hidden="1" customWidth="1"/>
    <col min="5930" max="5930" width="11" style="2" customWidth="1"/>
    <col min="5931" max="5933" width="0" style="2" hidden="1" customWidth="1"/>
    <col min="5934" max="5934" width="10.7109375" style="2" customWidth="1"/>
    <col min="5935" max="5939" width="0" style="2" hidden="1" customWidth="1"/>
    <col min="5940" max="5940" width="13.140625" style="2" customWidth="1"/>
    <col min="5941" max="5941" width="10.42578125" style="2" customWidth="1"/>
    <col min="5942" max="5942" width="10.28515625" style="2" customWidth="1"/>
    <col min="5943" max="5943" width="9.85546875" style="2" customWidth="1"/>
    <col min="5944" max="5944" width="10.7109375" style="2" customWidth="1"/>
    <col min="5945" max="5945" width="10" style="2" customWidth="1"/>
    <col min="5946" max="5946" width="9.5703125" style="2" customWidth="1"/>
    <col min="5947" max="5947" width="10.7109375" style="2" customWidth="1"/>
    <col min="5948" max="5948" width="9.85546875" style="2" customWidth="1"/>
    <col min="5949" max="5952" width="0" style="2" hidden="1" customWidth="1"/>
    <col min="5953" max="5953" width="9.85546875" style="2" customWidth="1"/>
    <col min="5954" max="5954" width="10.85546875" style="2" customWidth="1"/>
    <col min="5955" max="5955" width="11.5703125" style="2" customWidth="1"/>
    <col min="5956" max="5957" width="0" style="2" hidden="1" customWidth="1"/>
    <col min="5958" max="6174" width="9.140625" style="2"/>
    <col min="6175" max="6175" width="0" style="2" hidden="1" customWidth="1"/>
    <col min="6176" max="6176" width="11.42578125" style="2" customWidth="1"/>
    <col min="6177" max="6177" width="7.5703125" style="2" customWidth="1"/>
    <col min="6178" max="6178" width="17.85546875" style="2" customWidth="1"/>
    <col min="6179" max="6179" width="3.5703125" style="2" customWidth="1"/>
    <col min="6180" max="6185" width="0" style="2" hidden="1" customWidth="1"/>
    <col min="6186" max="6186" width="11" style="2" customWidth="1"/>
    <col min="6187" max="6189" width="0" style="2" hidden="1" customWidth="1"/>
    <col min="6190" max="6190" width="10.7109375" style="2" customWidth="1"/>
    <col min="6191" max="6195" width="0" style="2" hidden="1" customWidth="1"/>
    <col min="6196" max="6196" width="13.140625" style="2" customWidth="1"/>
    <col min="6197" max="6197" width="10.42578125" style="2" customWidth="1"/>
    <col min="6198" max="6198" width="10.28515625" style="2" customWidth="1"/>
    <col min="6199" max="6199" width="9.85546875" style="2" customWidth="1"/>
    <col min="6200" max="6200" width="10.7109375" style="2" customWidth="1"/>
    <col min="6201" max="6201" width="10" style="2" customWidth="1"/>
    <col min="6202" max="6202" width="9.5703125" style="2" customWidth="1"/>
    <col min="6203" max="6203" width="10.7109375" style="2" customWidth="1"/>
    <col min="6204" max="6204" width="9.85546875" style="2" customWidth="1"/>
    <col min="6205" max="6208" width="0" style="2" hidden="1" customWidth="1"/>
    <col min="6209" max="6209" width="9.85546875" style="2" customWidth="1"/>
    <col min="6210" max="6210" width="10.85546875" style="2" customWidth="1"/>
    <col min="6211" max="6211" width="11.5703125" style="2" customWidth="1"/>
    <col min="6212" max="6213" width="0" style="2" hidden="1" customWidth="1"/>
    <col min="6214" max="6430" width="9.140625" style="2"/>
    <col min="6431" max="6431" width="0" style="2" hidden="1" customWidth="1"/>
    <col min="6432" max="6432" width="11.42578125" style="2" customWidth="1"/>
    <col min="6433" max="6433" width="7.5703125" style="2" customWidth="1"/>
    <col min="6434" max="6434" width="17.85546875" style="2" customWidth="1"/>
    <col min="6435" max="6435" width="3.5703125" style="2" customWidth="1"/>
    <col min="6436" max="6441" width="0" style="2" hidden="1" customWidth="1"/>
    <col min="6442" max="6442" width="11" style="2" customWidth="1"/>
    <col min="6443" max="6445" width="0" style="2" hidden="1" customWidth="1"/>
    <col min="6446" max="6446" width="10.7109375" style="2" customWidth="1"/>
    <col min="6447" max="6451" width="0" style="2" hidden="1" customWidth="1"/>
    <col min="6452" max="6452" width="13.140625" style="2" customWidth="1"/>
    <col min="6453" max="6453" width="10.42578125" style="2" customWidth="1"/>
    <col min="6454" max="6454" width="10.28515625" style="2" customWidth="1"/>
    <col min="6455" max="6455" width="9.85546875" style="2" customWidth="1"/>
    <col min="6456" max="6456" width="10.7109375" style="2" customWidth="1"/>
    <col min="6457" max="6457" width="10" style="2" customWidth="1"/>
    <col min="6458" max="6458" width="9.5703125" style="2" customWidth="1"/>
    <col min="6459" max="6459" width="10.7109375" style="2" customWidth="1"/>
    <col min="6460" max="6460" width="9.85546875" style="2" customWidth="1"/>
    <col min="6461" max="6464" width="0" style="2" hidden="1" customWidth="1"/>
    <col min="6465" max="6465" width="9.85546875" style="2" customWidth="1"/>
    <col min="6466" max="6466" width="10.85546875" style="2" customWidth="1"/>
    <col min="6467" max="6467" width="11.5703125" style="2" customWidth="1"/>
    <col min="6468" max="6469" width="0" style="2" hidden="1" customWidth="1"/>
    <col min="6470" max="6686" width="9.140625" style="2"/>
    <col min="6687" max="6687" width="0" style="2" hidden="1" customWidth="1"/>
    <col min="6688" max="6688" width="11.42578125" style="2" customWidth="1"/>
    <col min="6689" max="6689" width="7.5703125" style="2" customWidth="1"/>
    <col min="6690" max="6690" width="17.85546875" style="2" customWidth="1"/>
    <col min="6691" max="6691" width="3.5703125" style="2" customWidth="1"/>
    <col min="6692" max="6697" width="0" style="2" hidden="1" customWidth="1"/>
    <col min="6698" max="6698" width="11" style="2" customWidth="1"/>
    <col min="6699" max="6701" width="0" style="2" hidden="1" customWidth="1"/>
    <col min="6702" max="6702" width="10.7109375" style="2" customWidth="1"/>
    <col min="6703" max="6707" width="0" style="2" hidden="1" customWidth="1"/>
    <col min="6708" max="6708" width="13.140625" style="2" customWidth="1"/>
    <col min="6709" max="6709" width="10.42578125" style="2" customWidth="1"/>
    <col min="6710" max="6710" width="10.28515625" style="2" customWidth="1"/>
    <col min="6711" max="6711" width="9.85546875" style="2" customWidth="1"/>
    <col min="6712" max="6712" width="10.7109375" style="2" customWidth="1"/>
    <col min="6713" max="6713" width="10" style="2" customWidth="1"/>
    <col min="6714" max="6714" width="9.5703125" style="2" customWidth="1"/>
    <col min="6715" max="6715" width="10.7109375" style="2" customWidth="1"/>
    <col min="6716" max="6716" width="9.85546875" style="2" customWidth="1"/>
    <col min="6717" max="6720" width="0" style="2" hidden="1" customWidth="1"/>
    <col min="6721" max="6721" width="9.85546875" style="2" customWidth="1"/>
    <col min="6722" max="6722" width="10.85546875" style="2" customWidth="1"/>
    <col min="6723" max="6723" width="11.5703125" style="2" customWidth="1"/>
    <col min="6724" max="6725" width="0" style="2" hidden="1" customWidth="1"/>
    <col min="6726" max="6942" width="9.140625" style="2"/>
    <col min="6943" max="6943" width="0" style="2" hidden="1" customWidth="1"/>
    <col min="6944" max="6944" width="11.42578125" style="2" customWidth="1"/>
    <col min="6945" max="6945" width="7.5703125" style="2" customWidth="1"/>
    <col min="6946" max="6946" width="17.85546875" style="2" customWidth="1"/>
    <col min="6947" max="6947" width="3.5703125" style="2" customWidth="1"/>
    <col min="6948" max="6953" width="0" style="2" hidden="1" customWidth="1"/>
    <col min="6954" max="6954" width="11" style="2" customWidth="1"/>
    <col min="6955" max="6957" width="0" style="2" hidden="1" customWidth="1"/>
    <col min="6958" max="6958" width="10.7109375" style="2" customWidth="1"/>
    <col min="6959" max="6963" width="0" style="2" hidden="1" customWidth="1"/>
    <col min="6964" max="6964" width="13.140625" style="2" customWidth="1"/>
    <col min="6965" max="6965" width="10.42578125" style="2" customWidth="1"/>
    <col min="6966" max="6966" width="10.28515625" style="2" customWidth="1"/>
    <col min="6967" max="6967" width="9.85546875" style="2" customWidth="1"/>
    <col min="6968" max="6968" width="10.7109375" style="2" customWidth="1"/>
    <col min="6969" max="6969" width="10" style="2" customWidth="1"/>
    <col min="6970" max="6970" width="9.5703125" style="2" customWidth="1"/>
    <col min="6971" max="6971" width="10.7109375" style="2" customWidth="1"/>
    <col min="6972" max="6972" width="9.85546875" style="2" customWidth="1"/>
    <col min="6973" max="6976" width="0" style="2" hidden="1" customWidth="1"/>
    <col min="6977" max="6977" width="9.85546875" style="2" customWidth="1"/>
    <col min="6978" max="6978" width="10.85546875" style="2" customWidth="1"/>
    <col min="6979" max="6979" width="11.5703125" style="2" customWidth="1"/>
    <col min="6980" max="6981" width="0" style="2" hidden="1" customWidth="1"/>
    <col min="6982" max="7198" width="9.140625" style="2"/>
    <col min="7199" max="7199" width="0" style="2" hidden="1" customWidth="1"/>
    <col min="7200" max="7200" width="11.42578125" style="2" customWidth="1"/>
    <col min="7201" max="7201" width="7.5703125" style="2" customWidth="1"/>
    <col min="7202" max="7202" width="17.85546875" style="2" customWidth="1"/>
    <col min="7203" max="7203" width="3.5703125" style="2" customWidth="1"/>
    <col min="7204" max="7209" width="0" style="2" hidden="1" customWidth="1"/>
    <col min="7210" max="7210" width="11" style="2" customWidth="1"/>
    <col min="7211" max="7213" width="0" style="2" hidden="1" customWidth="1"/>
    <col min="7214" max="7214" width="10.7109375" style="2" customWidth="1"/>
    <col min="7215" max="7219" width="0" style="2" hidden="1" customWidth="1"/>
    <col min="7220" max="7220" width="13.140625" style="2" customWidth="1"/>
    <col min="7221" max="7221" width="10.42578125" style="2" customWidth="1"/>
    <col min="7222" max="7222" width="10.28515625" style="2" customWidth="1"/>
    <col min="7223" max="7223" width="9.85546875" style="2" customWidth="1"/>
    <col min="7224" max="7224" width="10.7109375" style="2" customWidth="1"/>
    <col min="7225" max="7225" width="10" style="2" customWidth="1"/>
    <col min="7226" max="7226" width="9.5703125" style="2" customWidth="1"/>
    <col min="7227" max="7227" width="10.7109375" style="2" customWidth="1"/>
    <col min="7228" max="7228" width="9.85546875" style="2" customWidth="1"/>
    <col min="7229" max="7232" width="0" style="2" hidden="1" customWidth="1"/>
    <col min="7233" max="7233" width="9.85546875" style="2" customWidth="1"/>
    <col min="7234" max="7234" width="10.85546875" style="2" customWidth="1"/>
    <col min="7235" max="7235" width="11.5703125" style="2" customWidth="1"/>
    <col min="7236" max="7237" width="0" style="2" hidden="1" customWidth="1"/>
    <col min="7238" max="7454" width="9.140625" style="2"/>
    <col min="7455" max="7455" width="0" style="2" hidden="1" customWidth="1"/>
    <col min="7456" max="7456" width="11.42578125" style="2" customWidth="1"/>
    <col min="7457" max="7457" width="7.5703125" style="2" customWidth="1"/>
    <col min="7458" max="7458" width="17.85546875" style="2" customWidth="1"/>
    <col min="7459" max="7459" width="3.5703125" style="2" customWidth="1"/>
    <col min="7460" max="7465" width="0" style="2" hidden="1" customWidth="1"/>
    <col min="7466" max="7466" width="11" style="2" customWidth="1"/>
    <col min="7467" max="7469" width="0" style="2" hidden="1" customWidth="1"/>
    <col min="7470" max="7470" width="10.7109375" style="2" customWidth="1"/>
    <col min="7471" max="7475" width="0" style="2" hidden="1" customWidth="1"/>
    <col min="7476" max="7476" width="13.140625" style="2" customWidth="1"/>
    <col min="7477" max="7477" width="10.42578125" style="2" customWidth="1"/>
    <col min="7478" max="7478" width="10.28515625" style="2" customWidth="1"/>
    <col min="7479" max="7479" width="9.85546875" style="2" customWidth="1"/>
    <col min="7480" max="7480" width="10.7109375" style="2" customWidth="1"/>
    <col min="7481" max="7481" width="10" style="2" customWidth="1"/>
    <col min="7482" max="7482" width="9.5703125" style="2" customWidth="1"/>
    <col min="7483" max="7483" width="10.7109375" style="2" customWidth="1"/>
    <col min="7484" max="7484" width="9.85546875" style="2" customWidth="1"/>
    <col min="7485" max="7488" width="0" style="2" hidden="1" customWidth="1"/>
    <col min="7489" max="7489" width="9.85546875" style="2" customWidth="1"/>
    <col min="7490" max="7490" width="10.85546875" style="2" customWidth="1"/>
    <col min="7491" max="7491" width="11.5703125" style="2" customWidth="1"/>
    <col min="7492" max="7493" width="0" style="2" hidden="1" customWidth="1"/>
    <col min="7494" max="7710" width="9.140625" style="2"/>
    <col min="7711" max="7711" width="0" style="2" hidden="1" customWidth="1"/>
    <col min="7712" max="7712" width="11.42578125" style="2" customWidth="1"/>
    <col min="7713" max="7713" width="7.5703125" style="2" customWidth="1"/>
    <col min="7714" max="7714" width="17.85546875" style="2" customWidth="1"/>
    <col min="7715" max="7715" width="3.5703125" style="2" customWidth="1"/>
    <col min="7716" max="7721" width="0" style="2" hidden="1" customWidth="1"/>
    <col min="7722" max="7722" width="11" style="2" customWidth="1"/>
    <col min="7723" max="7725" width="0" style="2" hidden="1" customWidth="1"/>
    <col min="7726" max="7726" width="10.7109375" style="2" customWidth="1"/>
    <col min="7727" max="7731" width="0" style="2" hidden="1" customWidth="1"/>
    <col min="7732" max="7732" width="13.140625" style="2" customWidth="1"/>
    <col min="7733" max="7733" width="10.42578125" style="2" customWidth="1"/>
    <col min="7734" max="7734" width="10.28515625" style="2" customWidth="1"/>
    <col min="7735" max="7735" width="9.85546875" style="2" customWidth="1"/>
    <col min="7736" max="7736" width="10.7109375" style="2" customWidth="1"/>
    <col min="7737" max="7737" width="10" style="2" customWidth="1"/>
    <col min="7738" max="7738" width="9.5703125" style="2" customWidth="1"/>
    <col min="7739" max="7739" width="10.7109375" style="2" customWidth="1"/>
    <col min="7740" max="7740" width="9.85546875" style="2" customWidth="1"/>
    <col min="7741" max="7744" width="0" style="2" hidden="1" customWidth="1"/>
    <col min="7745" max="7745" width="9.85546875" style="2" customWidth="1"/>
    <col min="7746" max="7746" width="10.85546875" style="2" customWidth="1"/>
    <col min="7747" max="7747" width="11.5703125" style="2" customWidth="1"/>
    <col min="7748" max="7749" width="0" style="2" hidden="1" customWidth="1"/>
    <col min="7750" max="7966" width="9.140625" style="2"/>
    <col min="7967" max="7967" width="0" style="2" hidden="1" customWidth="1"/>
    <col min="7968" max="7968" width="11.42578125" style="2" customWidth="1"/>
    <col min="7969" max="7969" width="7.5703125" style="2" customWidth="1"/>
    <col min="7970" max="7970" width="17.85546875" style="2" customWidth="1"/>
    <col min="7971" max="7971" width="3.5703125" style="2" customWidth="1"/>
    <col min="7972" max="7977" width="0" style="2" hidden="1" customWidth="1"/>
    <col min="7978" max="7978" width="11" style="2" customWidth="1"/>
    <col min="7979" max="7981" width="0" style="2" hidden="1" customWidth="1"/>
    <col min="7982" max="7982" width="10.7109375" style="2" customWidth="1"/>
    <col min="7983" max="7987" width="0" style="2" hidden="1" customWidth="1"/>
    <col min="7988" max="7988" width="13.140625" style="2" customWidth="1"/>
    <col min="7989" max="7989" width="10.42578125" style="2" customWidth="1"/>
    <col min="7990" max="7990" width="10.28515625" style="2" customWidth="1"/>
    <col min="7991" max="7991" width="9.85546875" style="2" customWidth="1"/>
    <col min="7992" max="7992" width="10.7109375" style="2" customWidth="1"/>
    <col min="7993" max="7993" width="10" style="2" customWidth="1"/>
    <col min="7994" max="7994" width="9.5703125" style="2" customWidth="1"/>
    <col min="7995" max="7995" width="10.7109375" style="2" customWidth="1"/>
    <col min="7996" max="7996" width="9.85546875" style="2" customWidth="1"/>
    <col min="7997" max="8000" width="0" style="2" hidden="1" customWidth="1"/>
    <col min="8001" max="8001" width="9.85546875" style="2" customWidth="1"/>
    <col min="8002" max="8002" width="10.85546875" style="2" customWidth="1"/>
    <col min="8003" max="8003" width="11.5703125" style="2" customWidth="1"/>
    <col min="8004" max="8005" width="0" style="2" hidden="1" customWidth="1"/>
    <col min="8006" max="8222" width="9.140625" style="2"/>
    <col min="8223" max="8223" width="0" style="2" hidden="1" customWidth="1"/>
    <col min="8224" max="8224" width="11.42578125" style="2" customWidth="1"/>
    <col min="8225" max="8225" width="7.5703125" style="2" customWidth="1"/>
    <col min="8226" max="8226" width="17.85546875" style="2" customWidth="1"/>
    <col min="8227" max="8227" width="3.5703125" style="2" customWidth="1"/>
    <col min="8228" max="8233" width="0" style="2" hidden="1" customWidth="1"/>
    <col min="8234" max="8234" width="11" style="2" customWidth="1"/>
    <col min="8235" max="8237" width="0" style="2" hidden="1" customWidth="1"/>
    <col min="8238" max="8238" width="10.7109375" style="2" customWidth="1"/>
    <col min="8239" max="8243" width="0" style="2" hidden="1" customWidth="1"/>
    <col min="8244" max="8244" width="13.140625" style="2" customWidth="1"/>
    <col min="8245" max="8245" width="10.42578125" style="2" customWidth="1"/>
    <col min="8246" max="8246" width="10.28515625" style="2" customWidth="1"/>
    <col min="8247" max="8247" width="9.85546875" style="2" customWidth="1"/>
    <col min="8248" max="8248" width="10.7109375" style="2" customWidth="1"/>
    <col min="8249" max="8249" width="10" style="2" customWidth="1"/>
    <col min="8250" max="8250" width="9.5703125" style="2" customWidth="1"/>
    <col min="8251" max="8251" width="10.7109375" style="2" customWidth="1"/>
    <col min="8252" max="8252" width="9.85546875" style="2" customWidth="1"/>
    <col min="8253" max="8256" width="0" style="2" hidden="1" customWidth="1"/>
    <col min="8257" max="8257" width="9.85546875" style="2" customWidth="1"/>
    <col min="8258" max="8258" width="10.85546875" style="2" customWidth="1"/>
    <col min="8259" max="8259" width="11.5703125" style="2" customWidth="1"/>
    <col min="8260" max="8261" width="0" style="2" hidden="1" customWidth="1"/>
    <col min="8262" max="8478" width="9.140625" style="2"/>
    <col min="8479" max="8479" width="0" style="2" hidden="1" customWidth="1"/>
    <col min="8480" max="8480" width="11.42578125" style="2" customWidth="1"/>
    <col min="8481" max="8481" width="7.5703125" style="2" customWidth="1"/>
    <col min="8482" max="8482" width="17.85546875" style="2" customWidth="1"/>
    <col min="8483" max="8483" width="3.5703125" style="2" customWidth="1"/>
    <col min="8484" max="8489" width="0" style="2" hidden="1" customWidth="1"/>
    <col min="8490" max="8490" width="11" style="2" customWidth="1"/>
    <col min="8491" max="8493" width="0" style="2" hidden="1" customWidth="1"/>
    <col min="8494" max="8494" width="10.7109375" style="2" customWidth="1"/>
    <col min="8495" max="8499" width="0" style="2" hidden="1" customWidth="1"/>
    <col min="8500" max="8500" width="13.140625" style="2" customWidth="1"/>
    <col min="8501" max="8501" width="10.42578125" style="2" customWidth="1"/>
    <col min="8502" max="8502" width="10.28515625" style="2" customWidth="1"/>
    <col min="8503" max="8503" width="9.85546875" style="2" customWidth="1"/>
    <col min="8504" max="8504" width="10.7109375" style="2" customWidth="1"/>
    <col min="8505" max="8505" width="10" style="2" customWidth="1"/>
    <col min="8506" max="8506" width="9.5703125" style="2" customWidth="1"/>
    <col min="8507" max="8507" width="10.7109375" style="2" customWidth="1"/>
    <col min="8508" max="8508" width="9.85546875" style="2" customWidth="1"/>
    <col min="8509" max="8512" width="0" style="2" hidden="1" customWidth="1"/>
    <col min="8513" max="8513" width="9.85546875" style="2" customWidth="1"/>
    <col min="8514" max="8514" width="10.85546875" style="2" customWidth="1"/>
    <col min="8515" max="8515" width="11.5703125" style="2" customWidth="1"/>
    <col min="8516" max="8517" width="0" style="2" hidden="1" customWidth="1"/>
    <col min="8518" max="8734" width="9.140625" style="2"/>
    <col min="8735" max="8735" width="0" style="2" hidden="1" customWidth="1"/>
    <col min="8736" max="8736" width="11.42578125" style="2" customWidth="1"/>
    <col min="8737" max="8737" width="7.5703125" style="2" customWidth="1"/>
    <col min="8738" max="8738" width="17.85546875" style="2" customWidth="1"/>
    <col min="8739" max="8739" width="3.5703125" style="2" customWidth="1"/>
    <col min="8740" max="8745" width="0" style="2" hidden="1" customWidth="1"/>
    <col min="8746" max="8746" width="11" style="2" customWidth="1"/>
    <col min="8747" max="8749" width="0" style="2" hidden="1" customWidth="1"/>
    <col min="8750" max="8750" width="10.7109375" style="2" customWidth="1"/>
    <col min="8751" max="8755" width="0" style="2" hidden="1" customWidth="1"/>
    <col min="8756" max="8756" width="13.140625" style="2" customWidth="1"/>
    <col min="8757" max="8757" width="10.42578125" style="2" customWidth="1"/>
    <col min="8758" max="8758" width="10.28515625" style="2" customWidth="1"/>
    <col min="8759" max="8759" width="9.85546875" style="2" customWidth="1"/>
    <col min="8760" max="8760" width="10.7109375" style="2" customWidth="1"/>
    <col min="8761" max="8761" width="10" style="2" customWidth="1"/>
    <col min="8762" max="8762" width="9.5703125" style="2" customWidth="1"/>
    <col min="8763" max="8763" width="10.7109375" style="2" customWidth="1"/>
    <col min="8764" max="8764" width="9.85546875" style="2" customWidth="1"/>
    <col min="8765" max="8768" width="0" style="2" hidden="1" customWidth="1"/>
    <col min="8769" max="8769" width="9.85546875" style="2" customWidth="1"/>
    <col min="8770" max="8770" width="10.85546875" style="2" customWidth="1"/>
    <col min="8771" max="8771" width="11.5703125" style="2" customWidth="1"/>
    <col min="8772" max="8773" width="0" style="2" hidden="1" customWidth="1"/>
    <col min="8774" max="8990" width="9.140625" style="2"/>
    <col min="8991" max="8991" width="0" style="2" hidden="1" customWidth="1"/>
    <col min="8992" max="8992" width="11.42578125" style="2" customWidth="1"/>
    <col min="8993" max="8993" width="7.5703125" style="2" customWidth="1"/>
    <col min="8994" max="8994" width="17.85546875" style="2" customWidth="1"/>
    <col min="8995" max="8995" width="3.5703125" style="2" customWidth="1"/>
    <col min="8996" max="9001" width="0" style="2" hidden="1" customWidth="1"/>
    <col min="9002" max="9002" width="11" style="2" customWidth="1"/>
    <col min="9003" max="9005" width="0" style="2" hidden="1" customWidth="1"/>
    <col min="9006" max="9006" width="10.7109375" style="2" customWidth="1"/>
    <col min="9007" max="9011" width="0" style="2" hidden="1" customWidth="1"/>
    <col min="9012" max="9012" width="13.140625" style="2" customWidth="1"/>
    <col min="9013" max="9013" width="10.42578125" style="2" customWidth="1"/>
    <col min="9014" max="9014" width="10.28515625" style="2" customWidth="1"/>
    <col min="9015" max="9015" width="9.85546875" style="2" customWidth="1"/>
    <col min="9016" max="9016" width="10.7109375" style="2" customWidth="1"/>
    <col min="9017" max="9017" width="10" style="2" customWidth="1"/>
    <col min="9018" max="9018" width="9.5703125" style="2" customWidth="1"/>
    <col min="9019" max="9019" width="10.7109375" style="2" customWidth="1"/>
    <col min="9020" max="9020" width="9.85546875" style="2" customWidth="1"/>
    <col min="9021" max="9024" width="0" style="2" hidden="1" customWidth="1"/>
    <col min="9025" max="9025" width="9.85546875" style="2" customWidth="1"/>
    <col min="9026" max="9026" width="10.85546875" style="2" customWidth="1"/>
    <col min="9027" max="9027" width="11.5703125" style="2" customWidth="1"/>
    <col min="9028" max="9029" width="0" style="2" hidden="1" customWidth="1"/>
    <col min="9030" max="9246" width="9.140625" style="2"/>
    <col min="9247" max="9247" width="0" style="2" hidden="1" customWidth="1"/>
    <col min="9248" max="9248" width="11.42578125" style="2" customWidth="1"/>
    <col min="9249" max="9249" width="7.5703125" style="2" customWidth="1"/>
    <col min="9250" max="9250" width="17.85546875" style="2" customWidth="1"/>
    <col min="9251" max="9251" width="3.5703125" style="2" customWidth="1"/>
    <col min="9252" max="9257" width="0" style="2" hidden="1" customWidth="1"/>
    <col min="9258" max="9258" width="11" style="2" customWidth="1"/>
    <col min="9259" max="9261" width="0" style="2" hidden="1" customWidth="1"/>
    <col min="9262" max="9262" width="10.7109375" style="2" customWidth="1"/>
    <col min="9263" max="9267" width="0" style="2" hidden="1" customWidth="1"/>
    <col min="9268" max="9268" width="13.140625" style="2" customWidth="1"/>
    <col min="9269" max="9269" width="10.42578125" style="2" customWidth="1"/>
    <col min="9270" max="9270" width="10.28515625" style="2" customWidth="1"/>
    <col min="9271" max="9271" width="9.85546875" style="2" customWidth="1"/>
    <col min="9272" max="9272" width="10.7109375" style="2" customWidth="1"/>
    <col min="9273" max="9273" width="10" style="2" customWidth="1"/>
    <col min="9274" max="9274" width="9.5703125" style="2" customWidth="1"/>
    <col min="9275" max="9275" width="10.7109375" style="2" customWidth="1"/>
    <col min="9276" max="9276" width="9.85546875" style="2" customWidth="1"/>
    <col min="9277" max="9280" width="0" style="2" hidden="1" customWidth="1"/>
    <col min="9281" max="9281" width="9.85546875" style="2" customWidth="1"/>
    <col min="9282" max="9282" width="10.85546875" style="2" customWidth="1"/>
    <col min="9283" max="9283" width="11.5703125" style="2" customWidth="1"/>
    <col min="9284" max="9285" width="0" style="2" hidden="1" customWidth="1"/>
    <col min="9286" max="9502" width="9.140625" style="2"/>
    <col min="9503" max="9503" width="0" style="2" hidden="1" customWidth="1"/>
    <col min="9504" max="9504" width="11.42578125" style="2" customWidth="1"/>
    <col min="9505" max="9505" width="7.5703125" style="2" customWidth="1"/>
    <col min="9506" max="9506" width="17.85546875" style="2" customWidth="1"/>
    <col min="9507" max="9507" width="3.5703125" style="2" customWidth="1"/>
    <col min="9508" max="9513" width="0" style="2" hidden="1" customWidth="1"/>
    <col min="9514" max="9514" width="11" style="2" customWidth="1"/>
    <col min="9515" max="9517" width="0" style="2" hidden="1" customWidth="1"/>
    <col min="9518" max="9518" width="10.7109375" style="2" customWidth="1"/>
    <col min="9519" max="9523" width="0" style="2" hidden="1" customWidth="1"/>
    <col min="9524" max="9524" width="13.140625" style="2" customWidth="1"/>
    <col min="9525" max="9525" width="10.42578125" style="2" customWidth="1"/>
    <col min="9526" max="9526" width="10.28515625" style="2" customWidth="1"/>
    <col min="9527" max="9527" width="9.85546875" style="2" customWidth="1"/>
    <col min="9528" max="9528" width="10.7109375" style="2" customWidth="1"/>
    <col min="9529" max="9529" width="10" style="2" customWidth="1"/>
    <col min="9530" max="9530" width="9.5703125" style="2" customWidth="1"/>
    <col min="9531" max="9531" width="10.7109375" style="2" customWidth="1"/>
    <col min="9532" max="9532" width="9.85546875" style="2" customWidth="1"/>
    <col min="9533" max="9536" width="0" style="2" hidden="1" customWidth="1"/>
    <col min="9537" max="9537" width="9.85546875" style="2" customWidth="1"/>
    <col min="9538" max="9538" width="10.85546875" style="2" customWidth="1"/>
    <col min="9539" max="9539" width="11.5703125" style="2" customWidth="1"/>
    <col min="9540" max="9541" width="0" style="2" hidden="1" customWidth="1"/>
    <col min="9542" max="9758" width="9.140625" style="2"/>
    <col min="9759" max="9759" width="0" style="2" hidden="1" customWidth="1"/>
    <col min="9760" max="9760" width="11.42578125" style="2" customWidth="1"/>
    <col min="9761" max="9761" width="7.5703125" style="2" customWidth="1"/>
    <col min="9762" max="9762" width="17.85546875" style="2" customWidth="1"/>
    <col min="9763" max="9763" width="3.5703125" style="2" customWidth="1"/>
    <col min="9764" max="9769" width="0" style="2" hidden="1" customWidth="1"/>
    <col min="9770" max="9770" width="11" style="2" customWidth="1"/>
    <col min="9771" max="9773" width="0" style="2" hidden="1" customWidth="1"/>
    <col min="9774" max="9774" width="10.7109375" style="2" customWidth="1"/>
    <col min="9775" max="9779" width="0" style="2" hidden="1" customWidth="1"/>
    <col min="9780" max="9780" width="13.140625" style="2" customWidth="1"/>
    <col min="9781" max="9781" width="10.42578125" style="2" customWidth="1"/>
    <col min="9782" max="9782" width="10.28515625" style="2" customWidth="1"/>
    <col min="9783" max="9783" width="9.85546875" style="2" customWidth="1"/>
    <col min="9784" max="9784" width="10.7109375" style="2" customWidth="1"/>
    <col min="9785" max="9785" width="10" style="2" customWidth="1"/>
    <col min="9786" max="9786" width="9.5703125" style="2" customWidth="1"/>
    <col min="9787" max="9787" width="10.7109375" style="2" customWidth="1"/>
    <col min="9788" max="9788" width="9.85546875" style="2" customWidth="1"/>
    <col min="9789" max="9792" width="0" style="2" hidden="1" customWidth="1"/>
    <col min="9793" max="9793" width="9.85546875" style="2" customWidth="1"/>
    <col min="9794" max="9794" width="10.85546875" style="2" customWidth="1"/>
    <col min="9795" max="9795" width="11.5703125" style="2" customWidth="1"/>
    <col min="9796" max="9797" width="0" style="2" hidden="1" customWidth="1"/>
    <col min="9798" max="10014" width="9.140625" style="2"/>
    <col min="10015" max="10015" width="0" style="2" hidden="1" customWidth="1"/>
    <col min="10016" max="10016" width="11.42578125" style="2" customWidth="1"/>
    <col min="10017" max="10017" width="7.5703125" style="2" customWidth="1"/>
    <col min="10018" max="10018" width="17.85546875" style="2" customWidth="1"/>
    <col min="10019" max="10019" width="3.5703125" style="2" customWidth="1"/>
    <col min="10020" max="10025" width="0" style="2" hidden="1" customWidth="1"/>
    <col min="10026" max="10026" width="11" style="2" customWidth="1"/>
    <col min="10027" max="10029" width="0" style="2" hidden="1" customWidth="1"/>
    <col min="10030" max="10030" width="10.7109375" style="2" customWidth="1"/>
    <col min="10031" max="10035" width="0" style="2" hidden="1" customWidth="1"/>
    <col min="10036" max="10036" width="13.140625" style="2" customWidth="1"/>
    <col min="10037" max="10037" width="10.42578125" style="2" customWidth="1"/>
    <col min="10038" max="10038" width="10.28515625" style="2" customWidth="1"/>
    <col min="10039" max="10039" width="9.85546875" style="2" customWidth="1"/>
    <col min="10040" max="10040" width="10.7109375" style="2" customWidth="1"/>
    <col min="10041" max="10041" width="10" style="2" customWidth="1"/>
    <col min="10042" max="10042" width="9.5703125" style="2" customWidth="1"/>
    <col min="10043" max="10043" width="10.7109375" style="2" customWidth="1"/>
    <col min="10044" max="10044" width="9.85546875" style="2" customWidth="1"/>
    <col min="10045" max="10048" width="0" style="2" hidden="1" customWidth="1"/>
    <col min="10049" max="10049" width="9.85546875" style="2" customWidth="1"/>
    <col min="10050" max="10050" width="10.85546875" style="2" customWidth="1"/>
    <col min="10051" max="10051" width="11.5703125" style="2" customWidth="1"/>
    <col min="10052" max="10053" width="0" style="2" hidden="1" customWidth="1"/>
    <col min="10054" max="10270" width="9.140625" style="2"/>
    <col min="10271" max="10271" width="0" style="2" hidden="1" customWidth="1"/>
    <col min="10272" max="10272" width="11.42578125" style="2" customWidth="1"/>
    <col min="10273" max="10273" width="7.5703125" style="2" customWidth="1"/>
    <col min="10274" max="10274" width="17.85546875" style="2" customWidth="1"/>
    <col min="10275" max="10275" width="3.5703125" style="2" customWidth="1"/>
    <col min="10276" max="10281" width="0" style="2" hidden="1" customWidth="1"/>
    <col min="10282" max="10282" width="11" style="2" customWidth="1"/>
    <col min="10283" max="10285" width="0" style="2" hidden="1" customWidth="1"/>
    <col min="10286" max="10286" width="10.7109375" style="2" customWidth="1"/>
    <col min="10287" max="10291" width="0" style="2" hidden="1" customWidth="1"/>
    <col min="10292" max="10292" width="13.140625" style="2" customWidth="1"/>
    <col min="10293" max="10293" width="10.42578125" style="2" customWidth="1"/>
    <col min="10294" max="10294" width="10.28515625" style="2" customWidth="1"/>
    <col min="10295" max="10295" width="9.85546875" style="2" customWidth="1"/>
    <col min="10296" max="10296" width="10.7109375" style="2" customWidth="1"/>
    <col min="10297" max="10297" width="10" style="2" customWidth="1"/>
    <col min="10298" max="10298" width="9.5703125" style="2" customWidth="1"/>
    <col min="10299" max="10299" width="10.7109375" style="2" customWidth="1"/>
    <col min="10300" max="10300" width="9.85546875" style="2" customWidth="1"/>
    <col min="10301" max="10304" width="0" style="2" hidden="1" customWidth="1"/>
    <col min="10305" max="10305" width="9.85546875" style="2" customWidth="1"/>
    <col min="10306" max="10306" width="10.85546875" style="2" customWidth="1"/>
    <col min="10307" max="10307" width="11.5703125" style="2" customWidth="1"/>
    <col min="10308" max="10309" width="0" style="2" hidden="1" customWidth="1"/>
    <col min="10310" max="10526" width="9.140625" style="2"/>
    <col min="10527" max="10527" width="0" style="2" hidden="1" customWidth="1"/>
    <col min="10528" max="10528" width="11.42578125" style="2" customWidth="1"/>
    <col min="10529" max="10529" width="7.5703125" style="2" customWidth="1"/>
    <col min="10530" max="10530" width="17.85546875" style="2" customWidth="1"/>
    <col min="10531" max="10531" width="3.5703125" style="2" customWidth="1"/>
    <col min="10532" max="10537" width="0" style="2" hidden="1" customWidth="1"/>
    <col min="10538" max="10538" width="11" style="2" customWidth="1"/>
    <col min="10539" max="10541" width="0" style="2" hidden="1" customWidth="1"/>
    <col min="10542" max="10542" width="10.7109375" style="2" customWidth="1"/>
    <col min="10543" max="10547" width="0" style="2" hidden="1" customWidth="1"/>
    <col min="10548" max="10548" width="13.140625" style="2" customWidth="1"/>
    <col min="10549" max="10549" width="10.42578125" style="2" customWidth="1"/>
    <col min="10550" max="10550" width="10.28515625" style="2" customWidth="1"/>
    <col min="10551" max="10551" width="9.85546875" style="2" customWidth="1"/>
    <col min="10552" max="10552" width="10.7109375" style="2" customWidth="1"/>
    <col min="10553" max="10553" width="10" style="2" customWidth="1"/>
    <col min="10554" max="10554" width="9.5703125" style="2" customWidth="1"/>
    <col min="10555" max="10555" width="10.7109375" style="2" customWidth="1"/>
    <col min="10556" max="10556" width="9.85546875" style="2" customWidth="1"/>
    <col min="10557" max="10560" width="0" style="2" hidden="1" customWidth="1"/>
    <col min="10561" max="10561" width="9.85546875" style="2" customWidth="1"/>
    <col min="10562" max="10562" width="10.85546875" style="2" customWidth="1"/>
    <col min="10563" max="10563" width="11.5703125" style="2" customWidth="1"/>
    <col min="10564" max="10565" width="0" style="2" hidden="1" customWidth="1"/>
    <col min="10566" max="10782" width="9.140625" style="2"/>
    <col min="10783" max="10783" width="0" style="2" hidden="1" customWidth="1"/>
    <col min="10784" max="10784" width="11.42578125" style="2" customWidth="1"/>
    <col min="10785" max="10785" width="7.5703125" style="2" customWidth="1"/>
    <col min="10786" max="10786" width="17.85546875" style="2" customWidth="1"/>
    <col min="10787" max="10787" width="3.5703125" style="2" customWidth="1"/>
    <col min="10788" max="10793" width="0" style="2" hidden="1" customWidth="1"/>
    <col min="10794" max="10794" width="11" style="2" customWidth="1"/>
    <col min="10795" max="10797" width="0" style="2" hidden="1" customWidth="1"/>
    <col min="10798" max="10798" width="10.7109375" style="2" customWidth="1"/>
    <col min="10799" max="10803" width="0" style="2" hidden="1" customWidth="1"/>
    <col min="10804" max="10804" width="13.140625" style="2" customWidth="1"/>
    <col min="10805" max="10805" width="10.42578125" style="2" customWidth="1"/>
    <col min="10806" max="10806" width="10.28515625" style="2" customWidth="1"/>
    <col min="10807" max="10807" width="9.85546875" style="2" customWidth="1"/>
    <col min="10808" max="10808" width="10.7109375" style="2" customWidth="1"/>
    <col min="10809" max="10809" width="10" style="2" customWidth="1"/>
    <col min="10810" max="10810" width="9.5703125" style="2" customWidth="1"/>
    <col min="10811" max="10811" width="10.7109375" style="2" customWidth="1"/>
    <col min="10812" max="10812" width="9.85546875" style="2" customWidth="1"/>
    <col min="10813" max="10816" width="0" style="2" hidden="1" customWidth="1"/>
    <col min="10817" max="10817" width="9.85546875" style="2" customWidth="1"/>
    <col min="10818" max="10818" width="10.85546875" style="2" customWidth="1"/>
    <col min="10819" max="10819" width="11.5703125" style="2" customWidth="1"/>
    <col min="10820" max="10821" width="0" style="2" hidden="1" customWidth="1"/>
    <col min="10822" max="11038" width="9.140625" style="2"/>
    <col min="11039" max="11039" width="0" style="2" hidden="1" customWidth="1"/>
    <col min="11040" max="11040" width="11.42578125" style="2" customWidth="1"/>
    <col min="11041" max="11041" width="7.5703125" style="2" customWidth="1"/>
    <col min="11042" max="11042" width="17.85546875" style="2" customWidth="1"/>
    <col min="11043" max="11043" width="3.5703125" style="2" customWidth="1"/>
    <col min="11044" max="11049" width="0" style="2" hidden="1" customWidth="1"/>
    <col min="11050" max="11050" width="11" style="2" customWidth="1"/>
    <col min="11051" max="11053" width="0" style="2" hidden="1" customWidth="1"/>
    <col min="11054" max="11054" width="10.7109375" style="2" customWidth="1"/>
    <col min="11055" max="11059" width="0" style="2" hidden="1" customWidth="1"/>
    <col min="11060" max="11060" width="13.140625" style="2" customWidth="1"/>
    <col min="11061" max="11061" width="10.42578125" style="2" customWidth="1"/>
    <col min="11062" max="11062" width="10.28515625" style="2" customWidth="1"/>
    <col min="11063" max="11063" width="9.85546875" style="2" customWidth="1"/>
    <col min="11064" max="11064" width="10.7109375" style="2" customWidth="1"/>
    <col min="11065" max="11065" width="10" style="2" customWidth="1"/>
    <col min="11066" max="11066" width="9.5703125" style="2" customWidth="1"/>
    <col min="11067" max="11067" width="10.7109375" style="2" customWidth="1"/>
    <col min="11068" max="11068" width="9.85546875" style="2" customWidth="1"/>
    <col min="11069" max="11072" width="0" style="2" hidden="1" customWidth="1"/>
    <col min="11073" max="11073" width="9.85546875" style="2" customWidth="1"/>
    <col min="11074" max="11074" width="10.85546875" style="2" customWidth="1"/>
    <col min="11075" max="11075" width="11.5703125" style="2" customWidth="1"/>
    <col min="11076" max="11077" width="0" style="2" hidden="1" customWidth="1"/>
    <col min="11078" max="11294" width="9.140625" style="2"/>
    <col min="11295" max="11295" width="0" style="2" hidden="1" customWidth="1"/>
    <col min="11296" max="11296" width="11.42578125" style="2" customWidth="1"/>
    <col min="11297" max="11297" width="7.5703125" style="2" customWidth="1"/>
    <col min="11298" max="11298" width="17.85546875" style="2" customWidth="1"/>
    <col min="11299" max="11299" width="3.5703125" style="2" customWidth="1"/>
    <col min="11300" max="11305" width="0" style="2" hidden="1" customWidth="1"/>
    <col min="11306" max="11306" width="11" style="2" customWidth="1"/>
    <col min="11307" max="11309" width="0" style="2" hidden="1" customWidth="1"/>
    <col min="11310" max="11310" width="10.7109375" style="2" customWidth="1"/>
    <col min="11311" max="11315" width="0" style="2" hidden="1" customWidth="1"/>
    <col min="11316" max="11316" width="13.140625" style="2" customWidth="1"/>
    <col min="11317" max="11317" width="10.42578125" style="2" customWidth="1"/>
    <col min="11318" max="11318" width="10.28515625" style="2" customWidth="1"/>
    <col min="11319" max="11319" width="9.85546875" style="2" customWidth="1"/>
    <col min="11320" max="11320" width="10.7109375" style="2" customWidth="1"/>
    <col min="11321" max="11321" width="10" style="2" customWidth="1"/>
    <col min="11322" max="11322" width="9.5703125" style="2" customWidth="1"/>
    <col min="11323" max="11323" width="10.7109375" style="2" customWidth="1"/>
    <col min="11324" max="11324" width="9.85546875" style="2" customWidth="1"/>
    <col min="11325" max="11328" width="0" style="2" hidden="1" customWidth="1"/>
    <col min="11329" max="11329" width="9.85546875" style="2" customWidth="1"/>
    <col min="11330" max="11330" width="10.85546875" style="2" customWidth="1"/>
    <col min="11331" max="11331" width="11.5703125" style="2" customWidth="1"/>
    <col min="11332" max="11333" width="0" style="2" hidden="1" customWidth="1"/>
    <col min="11334" max="11550" width="9.140625" style="2"/>
    <col min="11551" max="11551" width="0" style="2" hidden="1" customWidth="1"/>
    <col min="11552" max="11552" width="11.42578125" style="2" customWidth="1"/>
    <col min="11553" max="11553" width="7.5703125" style="2" customWidth="1"/>
    <col min="11554" max="11554" width="17.85546875" style="2" customWidth="1"/>
    <col min="11555" max="11555" width="3.5703125" style="2" customWidth="1"/>
    <col min="11556" max="11561" width="0" style="2" hidden="1" customWidth="1"/>
    <col min="11562" max="11562" width="11" style="2" customWidth="1"/>
    <col min="11563" max="11565" width="0" style="2" hidden="1" customWidth="1"/>
    <col min="11566" max="11566" width="10.7109375" style="2" customWidth="1"/>
    <col min="11567" max="11571" width="0" style="2" hidden="1" customWidth="1"/>
    <col min="11572" max="11572" width="13.140625" style="2" customWidth="1"/>
    <col min="11573" max="11573" width="10.42578125" style="2" customWidth="1"/>
    <col min="11574" max="11574" width="10.28515625" style="2" customWidth="1"/>
    <col min="11575" max="11575" width="9.85546875" style="2" customWidth="1"/>
    <col min="11576" max="11576" width="10.7109375" style="2" customWidth="1"/>
    <col min="11577" max="11577" width="10" style="2" customWidth="1"/>
    <col min="11578" max="11578" width="9.5703125" style="2" customWidth="1"/>
    <col min="11579" max="11579" width="10.7109375" style="2" customWidth="1"/>
    <col min="11580" max="11580" width="9.85546875" style="2" customWidth="1"/>
    <col min="11581" max="11584" width="0" style="2" hidden="1" customWidth="1"/>
    <col min="11585" max="11585" width="9.85546875" style="2" customWidth="1"/>
    <col min="11586" max="11586" width="10.85546875" style="2" customWidth="1"/>
    <col min="11587" max="11587" width="11.5703125" style="2" customWidth="1"/>
    <col min="11588" max="11589" width="0" style="2" hidden="1" customWidth="1"/>
    <col min="11590" max="11806" width="9.140625" style="2"/>
    <col min="11807" max="11807" width="0" style="2" hidden="1" customWidth="1"/>
    <col min="11808" max="11808" width="11.42578125" style="2" customWidth="1"/>
    <col min="11809" max="11809" width="7.5703125" style="2" customWidth="1"/>
    <col min="11810" max="11810" width="17.85546875" style="2" customWidth="1"/>
    <col min="11811" max="11811" width="3.5703125" style="2" customWidth="1"/>
    <col min="11812" max="11817" width="0" style="2" hidden="1" customWidth="1"/>
    <col min="11818" max="11818" width="11" style="2" customWidth="1"/>
    <col min="11819" max="11821" width="0" style="2" hidden="1" customWidth="1"/>
    <col min="11822" max="11822" width="10.7109375" style="2" customWidth="1"/>
    <col min="11823" max="11827" width="0" style="2" hidden="1" customWidth="1"/>
    <col min="11828" max="11828" width="13.140625" style="2" customWidth="1"/>
    <col min="11829" max="11829" width="10.42578125" style="2" customWidth="1"/>
    <col min="11830" max="11830" width="10.28515625" style="2" customWidth="1"/>
    <col min="11831" max="11831" width="9.85546875" style="2" customWidth="1"/>
    <col min="11832" max="11832" width="10.7109375" style="2" customWidth="1"/>
    <col min="11833" max="11833" width="10" style="2" customWidth="1"/>
    <col min="11834" max="11834" width="9.5703125" style="2" customWidth="1"/>
    <col min="11835" max="11835" width="10.7109375" style="2" customWidth="1"/>
    <col min="11836" max="11836" width="9.85546875" style="2" customWidth="1"/>
    <col min="11837" max="11840" width="0" style="2" hidden="1" customWidth="1"/>
    <col min="11841" max="11841" width="9.85546875" style="2" customWidth="1"/>
    <col min="11842" max="11842" width="10.85546875" style="2" customWidth="1"/>
    <col min="11843" max="11843" width="11.5703125" style="2" customWidth="1"/>
    <col min="11844" max="11845" width="0" style="2" hidden="1" customWidth="1"/>
    <col min="11846" max="12062" width="9.140625" style="2"/>
    <col min="12063" max="12063" width="0" style="2" hidden="1" customWidth="1"/>
    <col min="12064" max="12064" width="11.42578125" style="2" customWidth="1"/>
    <col min="12065" max="12065" width="7.5703125" style="2" customWidth="1"/>
    <col min="12066" max="12066" width="17.85546875" style="2" customWidth="1"/>
    <col min="12067" max="12067" width="3.5703125" style="2" customWidth="1"/>
    <col min="12068" max="12073" width="0" style="2" hidden="1" customWidth="1"/>
    <col min="12074" max="12074" width="11" style="2" customWidth="1"/>
    <col min="12075" max="12077" width="0" style="2" hidden="1" customWidth="1"/>
    <col min="12078" max="12078" width="10.7109375" style="2" customWidth="1"/>
    <col min="12079" max="12083" width="0" style="2" hidden="1" customWidth="1"/>
    <col min="12084" max="12084" width="13.140625" style="2" customWidth="1"/>
    <col min="12085" max="12085" width="10.42578125" style="2" customWidth="1"/>
    <col min="12086" max="12086" width="10.28515625" style="2" customWidth="1"/>
    <col min="12087" max="12087" width="9.85546875" style="2" customWidth="1"/>
    <col min="12088" max="12088" width="10.7109375" style="2" customWidth="1"/>
    <col min="12089" max="12089" width="10" style="2" customWidth="1"/>
    <col min="12090" max="12090" width="9.5703125" style="2" customWidth="1"/>
    <col min="12091" max="12091" width="10.7109375" style="2" customWidth="1"/>
    <col min="12092" max="12092" width="9.85546875" style="2" customWidth="1"/>
    <col min="12093" max="12096" width="0" style="2" hidden="1" customWidth="1"/>
    <col min="12097" max="12097" width="9.85546875" style="2" customWidth="1"/>
    <col min="12098" max="12098" width="10.85546875" style="2" customWidth="1"/>
    <col min="12099" max="12099" width="11.5703125" style="2" customWidth="1"/>
    <col min="12100" max="12101" width="0" style="2" hidden="1" customWidth="1"/>
    <col min="12102" max="12318" width="9.140625" style="2"/>
    <col min="12319" max="12319" width="0" style="2" hidden="1" customWidth="1"/>
    <col min="12320" max="12320" width="11.42578125" style="2" customWidth="1"/>
    <col min="12321" max="12321" width="7.5703125" style="2" customWidth="1"/>
    <col min="12322" max="12322" width="17.85546875" style="2" customWidth="1"/>
    <col min="12323" max="12323" width="3.5703125" style="2" customWidth="1"/>
    <col min="12324" max="12329" width="0" style="2" hidden="1" customWidth="1"/>
    <col min="12330" max="12330" width="11" style="2" customWidth="1"/>
    <col min="12331" max="12333" width="0" style="2" hidden="1" customWidth="1"/>
    <col min="12334" max="12334" width="10.7109375" style="2" customWidth="1"/>
    <col min="12335" max="12339" width="0" style="2" hidden="1" customWidth="1"/>
    <col min="12340" max="12340" width="13.140625" style="2" customWidth="1"/>
    <col min="12341" max="12341" width="10.42578125" style="2" customWidth="1"/>
    <col min="12342" max="12342" width="10.28515625" style="2" customWidth="1"/>
    <col min="12343" max="12343" width="9.85546875" style="2" customWidth="1"/>
    <col min="12344" max="12344" width="10.7109375" style="2" customWidth="1"/>
    <col min="12345" max="12345" width="10" style="2" customWidth="1"/>
    <col min="12346" max="12346" width="9.5703125" style="2" customWidth="1"/>
    <col min="12347" max="12347" width="10.7109375" style="2" customWidth="1"/>
    <col min="12348" max="12348" width="9.85546875" style="2" customWidth="1"/>
    <col min="12349" max="12352" width="0" style="2" hidden="1" customWidth="1"/>
    <col min="12353" max="12353" width="9.85546875" style="2" customWidth="1"/>
    <col min="12354" max="12354" width="10.85546875" style="2" customWidth="1"/>
    <col min="12355" max="12355" width="11.5703125" style="2" customWidth="1"/>
    <col min="12356" max="12357" width="0" style="2" hidden="1" customWidth="1"/>
    <col min="12358" max="12574" width="9.140625" style="2"/>
    <col min="12575" max="12575" width="0" style="2" hidden="1" customWidth="1"/>
    <col min="12576" max="12576" width="11.42578125" style="2" customWidth="1"/>
    <col min="12577" max="12577" width="7.5703125" style="2" customWidth="1"/>
    <col min="12578" max="12578" width="17.85546875" style="2" customWidth="1"/>
    <col min="12579" max="12579" width="3.5703125" style="2" customWidth="1"/>
    <col min="12580" max="12585" width="0" style="2" hidden="1" customWidth="1"/>
    <col min="12586" max="12586" width="11" style="2" customWidth="1"/>
    <col min="12587" max="12589" width="0" style="2" hidden="1" customWidth="1"/>
    <col min="12590" max="12590" width="10.7109375" style="2" customWidth="1"/>
    <col min="12591" max="12595" width="0" style="2" hidden="1" customWidth="1"/>
    <col min="12596" max="12596" width="13.140625" style="2" customWidth="1"/>
    <col min="12597" max="12597" width="10.42578125" style="2" customWidth="1"/>
    <col min="12598" max="12598" width="10.28515625" style="2" customWidth="1"/>
    <col min="12599" max="12599" width="9.85546875" style="2" customWidth="1"/>
    <col min="12600" max="12600" width="10.7109375" style="2" customWidth="1"/>
    <col min="12601" max="12601" width="10" style="2" customWidth="1"/>
    <col min="12602" max="12602" width="9.5703125" style="2" customWidth="1"/>
    <col min="12603" max="12603" width="10.7109375" style="2" customWidth="1"/>
    <col min="12604" max="12604" width="9.85546875" style="2" customWidth="1"/>
    <col min="12605" max="12608" width="0" style="2" hidden="1" customWidth="1"/>
    <col min="12609" max="12609" width="9.85546875" style="2" customWidth="1"/>
    <col min="12610" max="12610" width="10.85546875" style="2" customWidth="1"/>
    <col min="12611" max="12611" width="11.5703125" style="2" customWidth="1"/>
    <col min="12612" max="12613" width="0" style="2" hidden="1" customWidth="1"/>
    <col min="12614" max="12830" width="9.140625" style="2"/>
    <col min="12831" max="12831" width="0" style="2" hidden="1" customWidth="1"/>
    <col min="12832" max="12832" width="11.42578125" style="2" customWidth="1"/>
    <col min="12833" max="12833" width="7.5703125" style="2" customWidth="1"/>
    <col min="12834" max="12834" width="17.85546875" style="2" customWidth="1"/>
    <col min="12835" max="12835" width="3.5703125" style="2" customWidth="1"/>
    <col min="12836" max="12841" width="0" style="2" hidden="1" customWidth="1"/>
    <col min="12842" max="12842" width="11" style="2" customWidth="1"/>
    <col min="12843" max="12845" width="0" style="2" hidden="1" customWidth="1"/>
    <col min="12846" max="12846" width="10.7109375" style="2" customWidth="1"/>
    <col min="12847" max="12851" width="0" style="2" hidden="1" customWidth="1"/>
    <col min="12852" max="12852" width="13.140625" style="2" customWidth="1"/>
    <col min="12853" max="12853" width="10.42578125" style="2" customWidth="1"/>
    <col min="12854" max="12854" width="10.28515625" style="2" customWidth="1"/>
    <col min="12855" max="12855" width="9.85546875" style="2" customWidth="1"/>
    <col min="12856" max="12856" width="10.7109375" style="2" customWidth="1"/>
    <col min="12857" max="12857" width="10" style="2" customWidth="1"/>
    <col min="12858" max="12858" width="9.5703125" style="2" customWidth="1"/>
    <col min="12859" max="12859" width="10.7109375" style="2" customWidth="1"/>
    <col min="12860" max="12860" width="9.85546875" style="2" customWidth="1"/>
    <col min="12861" max="12864" width="0" style="2" hidden="1" customWidth="1"/>
    <col min="12865" max="12865" width="9.85546875" style="2" customWidth="1"/>
    <col min="12866" max="12866" width="10.85546875" style="2" customWidth="1"/>
    <col min="12867" max="12867" width="11.5703125" style="2" customWidth="1"/>
    <col min="12868" max="12869" width="0" style="2" hidden="1" customWidth="1"/>
    <col min="12870" max="13086" width="9.140625" style="2"/>
    <col min="13087" max="13087" width="0" style="2" hidden="1" customWidth="1"/>
    <col min="13088" max="13088" width="11.42578125" style="2" customWidth="1"/>
    <col min="13089" max="13089" width="7.5703125" style="2" customWidth="1"/>
    <col min="13090" max="13090" width="17.85546875" style="2" customWidth="1"/>
    <col min="13091" max="13091" width="3.5703125" style="2" customWidth="1"/>
    <col min="13092" max="13097" width="0" style="2" hidden="1" customWidth="1"/>
    <col min="13098" max="13098" width="11" style="2" customWidth="1"/>
    <col min="13099" max="13101" width="0" style="2" hidden="1" customWidth="1"/>
    <col min="13102" max="13102" width="10.7109375" style="2" customWidth="1"/>
    <col min="13103" max="13107" width="0" style="2" hidden="1" customWidth="1"/>
    <col min="13108" max="13108" width="13.140625" style="2" customWidth="1"/>
    <col min="13109" max="13109" width="10.42578125" style="2" customWidth="1"/>
    <col min="13110" max="13110" width="10.28515625" style="2" customWidth="1"/>
    <col min="13111" max="13111" width="9.85546875" style="2" customWidth="1"/>
    <col min="13112" max="13112" width="10.7109375" style="2" customWidth="1"/>
    <col min="13113" max="13113" width="10" style="2" customWidth="1"/>
    <col min="13114" max="13114" width="9.5703125" style="2" customWidth="1"/>
    <col min="13115" max="13115" width="10.7109375" style="2" customWidth="1"/>
    <col min="13116" max="13116" width="9.85546875" style="2" customWidth="1"/>
    <col min="13117" max="13120" width="0" style="2" hidden="1" customWidth="1"/>
    <col min="13121" max="13121" width="9.85546875" style="2" customWidth="1"/>
    <col min="13122" max="13122" width="10.85546875" style="2" customWidth="1"/>
    <col min="13123" max="13123" width="11.5703125" style="2" customWidth="1"/>
    <col min="13124" max="13125" width="0" style="2" hidden="1" customWidth="1"/>
    <col min="13126" max="13342" width="9.140625" style="2"/>
    <col min="13343" max="13343" width="0" style="2" hidden="1" customWidth="1"/>
    <col min="13344" max="13344" width="11.42578125" style="2" customWidth="1"/>
    <col min="13345" max="13345" width="7.5703125" style="2" customWidth="1"/>
    <col min="13346" max="13346" width="17.85546875" style="2" customWidth="1"/>
    <col min="13347" max="13347" width="3.5703125" style="2" customWidth="1"/>
    <col min="13348" max="13353" width="0" style="2" hidden="1" customWidth="1"/>
    <col min="13354" max="13354" width="11" style="2" customWidth="1"/>
    <col min="13355" max="13357" width="0" style="2" hidden="1" customWidth="1"/>
    <col min="13358" max="13358" width="10.7109375" style="2" customWidth="1"/>
    <col min="13359" max="13363" width="0" style="2" hidden="1" customWidth="1"/>
    <col min="13364" max="13364" width="13.140625" style="2" customWidth="1"/>
    <col min="13365" max="13365" width="10.42578125" style="2" customWidth="1"/>
    <col min="13366" max="13366" width="10.28515625" style="2" customWidth="1"/>
    <col min="13367" max="13367" width="9.85546875" style="2" customWidth="1"/>
    <col min="13368" max="13368" width="10.7109375" style="2" customWidth="1"/>
    <col min="13369" max="13369" width="10" style="2" customWidth="1"/>
    <col min="13370" max="13370" width="9.5703125" style="2" customWidth="1"/>
    <col min="13371" max="13371" width="10.7109375" style="2" customWidth="1"/>
    <col min="13372" max="13372" width="9.85546875" style="2" customWidth="1"/>
    <col min="13373" max="13376" width="0" style="2" hidden="1" customWidth="1"/>
    <col min="13377" max="13377" width="9.85546875" style="2" customWidth="1"/>
    <col min="13378" max="13378" width="10.85546875" style="2" customWidth="1"/>
    <col min="13379" max="13379" width="11.5703125" style="2" customWidth="1"/>
    <col min="13380" max="13381" width="0" style="2" hidden="1" customWidth="1"/>
    <col min="13382" max="13598" width="9.140625" style="2"/>
    <col min="13599" max="13599" width="0" style="2" hidden="1" customWidth="1"/>
    <col min="13600" max="13600" width="11.42578125" style="2" customWidth="1"/>
    <col min="13601" max="13601" width="7.5703125" style="2" customWidth="1"/>
    <col min="13602" max="13602" width="17.85546875" style="2" customWidth="1"/>
    <col min="13603" max="13603" width="3.5703125" style="2" customWidth="1"/>
    <col min="13604" max="13609" width="0" style="2" hidden="1" customWidth="1"/>
    <col min="13610" max="13610" width="11" style="2" customWidth="1"/>
    <col min="13611" max="13613" width="0" style="2" hidden="1" customWidth="1"/>
    <col min="13614" max="13614" width="10.7109375" style="2" customWidth="1"/>
    <col min="13615" max="13619" width="0" style="2" hidden="1" customWidth="1"/>
    <col min="13620" max="13620" width="13.140625" style="2" customWidth="1"/>
    <col min="13621" max="13621" width="10.42578125" style="2" customWidth="1"/>
    <col min="13622" max="13622" width="10.28515625" style="2" customWidth="1"/>
    <col min="13623" max="13623" width="9.85546875" style="2" customWidth="1"/>
    <col min="13624" max="13624" width="10.7109375" style="2" customWidth="1"/>
    <col min="13625" max="13625" width="10" style="2" customWidth="1"/>
    <col min="13626" max="13626" width="9.5703125" style="2" customWidth="1"/>
    <col min="13627" max="13627" width="10.7109375" style="2" customWidth="1"/>
    <col min="13628" max="13628" width="9.85546875" style="2" customWidth="1"/>
    <col min="13629" max="13632" width="0" style="2" hidden="1" customWidth="1"/>
    <col min="13633" max="13633" width="9.85546875" style="2" customWidth="1"/>
    <col min="13634" max="13634" width="10.85546875" style="2" customWidth="1"/>
    <col min="13635" max="13635" width="11.5703125" style="2" customWidth="1"/>
    <col min="13636" max="13637" width="0" style="2" hidden="1" customWidth="1"/>
    <col min="13638" max="13854" width="9.140625" style="2"/>
    <col min="13855" max="13855" width="0" style="2" hidden="1" customWidth="1"/>
    <col min="13856" max="13856" width="11.42578125" style="2" customWidth="1"/>
    <col min="13857" max="13857" width="7.5703125" style="2" customWidth="1"/>
    <col min="13858" max="13858" width="17.85546875" style="2" customWidth="1"/>
    <col min="13859" max="13859" width="3.5703125" style="2" customWidth="1"/>
    <col min="13860" max="13865" width="0" style="2" hidden="1" customWidth="1"/>
    <col min="13866" max="13866" width="11" style="2" customWidth="1"/>
    <col min="13867" max="13869" width="0" style="2" hidden="1" customWidth="1"/>
    <col min="13870" max="13870" width="10.7109375" style="2" customWidth="1"/>
    <col min="13871" max="13875" width="0" style="2" hidden="1" customWidth="1"/>
    <col min="13876" max="13876" width="13.140625" style="2" customWidth="1"/>
    <col min="13877" max="13877" width="10.42578125" style="2" customWidth="1"/>
    <col min="13878" max="13878" width="10.28515625" style="2" customWidth="1"/>
    <col min="13879" max="13879" width="9.85546875" style="2" customWidth="1"/>
    <col min="13880" max="13880" width="10.7109375" style="2" customWidth="1"/>
    <col min="13881" max="13881" width="10" style="2" customWidth="1"/>
    <col min="13882" max="13882" width="9.5703125" style="2" customWidth="1"/>
    <col min="13883" max="13883" width="10.7109375" style="2" customWidth="1"/>
    <col min="13884" max="13884" width="9.85546875" style="2" customWidth="1"/>
    <col min="13885" max="13888" width="0" style="2" hidden="1" customWidth="1"/>
    <col min="13889" max="13889" width="9.85546875" style="2" customWidth="1"/>
    <col min="13890" max="13890" width="10.85546875" style="2" customWidth="1"/>
    <col min="13891" max="13891" width="11.5703125" style="2" customWidth="1"/>
    <col min="13892" max="13893" width="0" style="2" hidden="1" customWidth="1"/>
    <col min="13894" max="14110" width="9.140625" style="2"/>
    <col min="14111" max="14111" width="0" style="2" hidden="1" customWidth="1"/>
    <col min="14112" max="14112" width="11.42578125" style="2" customWidth="1"/>
    <col min="14113" max="14113" width="7.5703125" style="2" customWidth="1"/>
    <col min="14114" max="14114" width="17.85546875" style="2" customWidth="1"/>
    <col min="14115" max="14115" width="3.5703125" style="2" customWidth="1"/>
    <col min="14116" max="14121" width="0" style="2" hidden="1" customWidth="1"/>
    <col min="14122" max="14122" width="11" style="2" customWidth="1"/>
    <col min="14123" max="14125" width="0" style="2" hidden="1" customWidth="1"/>
    <col min="14126" max="14126" width="10.7109375" style="2" customWidth="1"/>
    <col min="14127" max="14131" width="0" style="2" hidden="1" customWidth="1"/>
    <col min="14132" max="14132" width="13.140625" style="2" customWidth="1"/>
    <col min="14133" max="14133" width="10.42578125" style="2" customWidth="1"/>
    <col min="14134" max="14134" width="10.28515625" style="2" customWidth="1"/>
    <col min="14135" max="14135" width="9.85546875" style="2" customWidth="1"/>
    <col min="14136" max="14136" width="10.7109375" style="2" customWidth="1"/>
    <col min="14137" max="14137" width="10" style="2" customWidth="1"/>
    <col min="14138" max="14138" width="9.5703125" style="2" customWidth="1"/>
    <col min="14139" max="14139" width="10.7109375" style="2" customWidth="1"/>
    <col min="14140" max="14140" width="9.85546875" style="2" customWidth="1"/>
    <col min="14141" max="14144" width="0" style="2" hidden="1" customWidth="1"/>
    <col min="14145" max="14145" width="9.85546875" style="2" customWidth="1"/>
    <col min="14146" max="14146" width="10.85546875" style="2" customWidth="1"/>
    <col min="14147" max="14147" width="11.5703125" style="2" customWidth="1"/>
    <col min="14148" max="14149" width="0" style="2" hidden="1" customWidth="1"/>
    <col min="14150" max="14366" width="9.140625" style="2"/>
    <col min="14367" max="14367" width="0" style="2" hidden="1" customWidth="1"/>
    <col min="14368" max="14368" width="11.42578125" style="2" customWidth="1"/>
    <col min="14369" max="14369" width="7.5703125" style="2" customWidth="1"/>
    <col min="14370" max="14370" width="17.85546875" style="2" customWidth="1"/>
    <col min="14371" max="14371" width="3.5703125" style="2" customWidth="1"/>
    <col min="14372" max="14377" width="0" style="2" hidden="1" customWidth="1"/>
    <col min="14378" max="14378" width="11" style="2" customWidth="1"/>
    <col min="14379" max="14381" width="0" style="2" hidden="1" customWidth="1"/>
    <col min="14382" max="14382" width="10.7109375" style="2" customWidth="1"/>
    <col min="14383" max="14387" width="0" style="2" hidden="1" customWidth="1"/>
    <col min="14388" max="14388" width="13.140625" style="2" customWidth="1"/>
    <col min="14389" max="14389" width="10.42578125" style="2" customWidth="1"/>
    <col min="14390" max="14390" width="10.28515625" style="2" customWidth="1"/>
    <col min="14391" max="14391" width="9.85546875" style="2" customWidth="1"/>
    <col min="14392" max="14392" width="10.7109375" style="2" customWidth="1"/>
    <col min="14393" max="14393" width="10" style="2" customWidth="1"/>
    <col min="14394" max="14394" width="9.5703125" style="2" customWidth="1"/>
    <col min="14395" max="14395" width="10.7109375" style="2" customWidth="1"/>
    <col min="14396" max="14396" width="9.85546875" style="2" customWidth="1"/>
    <col min="14397" max="14400" width="0" style="2" hidden="1" customWidth="1"/>
    <col min="14401" max="14401" width="9.85546875" style="2" customWidth="1"/>
    <col min="14402" max="14402" width="10.85546875" style="2" customWidth="1"/>
    <col min="14403" max="14403" width="11.5703125" style="2" customWidth="1"/>
    <col min="14404" max="14405" width="0" style="2" hidden="1" customWidth="1"/>
    <col min="14406" max="14622" width="9.140625" style="2"/>
    <col min="14623" max="14623" width="0" style="2" hidden="1" customWidth="1"/>
    <col min="14624" max="14624" width="11.42578125" style="2" customWidth="1"/>
    <col min="14625" max="14625" width="7.5703125" style="2" customWidth="1"/>
    <col min="14626" max="14626" width="17.85546875" style="2" customWidth="1"/>
    <col min="14627" max="14627" width="3.5703125" style="2" customWidth="1"/>
    <col min="14628" max="14633" width="0" style="2" hidden="1" customWidth="1"/>
    <col min="14634" max="14634" width="11" style="2" customWidth="1"/>
    <col min="14635" max="14637" width="0" style="2" hidden="1" customWidth="1"/>
    <col min="14638" max="14638" width="10.7109375" style="2" customWidth="1"/>
    <col min="14639" max="14643" width="0" style="2" hidden="1" customWidth="1"/>
    <col min="14644" max="14644" width="13.140625" style="2" customWidth="1"/>
    <col min="14645" max="14645" width="10.42578125" style="2" customWidth="1"/>
    <col min="14646" max="14646" width="10.28515625" style="2" customWidth="1"/>
    <col min="14647" max="14647" width="9.85546875" style="2" customWidth="1"/>
    <col min="14648" max="14648" width="10.7109375" style="2" customWidth="1"/>
    <col min="14649" max="14649" width="10" style="2" customWidth="1"/>
    <col min="14650" max="14650" width="9.5703125" style="2" customWidth="1"/>
    <col min="14651" max="14651" width="10.7109375" style="2" customWidth="1"/>
    <col min="14652" max="14652" width="9.85546875" style="2" customWidth="1"/>
    <col min="14653" max="14656" width="0" style="2" hidden="1" customWidth="1"/>
    <col min="14657" max="14657" width="9.85546875" style="2" customWidth="1"/>
    <col min="14658" max="14658" width="10.85546875" style="2" customWidth="1"/>
    <col min="14659" max="14659" width="11.5703125" style="2" customWidth="1"/>
    <col min="14660" max="14661" width="0" style="2" hidden="1" customWidth="1"/>
    <col min="14662" max="14878" width="9.140625" style="2"/>
    <col min="14879" max="14879" width="0" style="2" hidden="1" customWidth="1"/>
    <col min="14880" max="14880" width="11.42578125" style="2" customWidth="1"/>
    <col min="14881" max="14881" width="7.5703125" style="2" customWidth="1"/>
    <col min="14882" max="14882" width="17.85546875" style="2" customWidth="1"/>
    <col min="14883" max="14883" width="3.5703125" style="2" customWidth="1"/>
    <col min="14884" max="14889" width="0" style="2" hidden="1" customWidth="1"/>
    <col min="14890" max="14890" width="11" style="2" customWidth="1"/>
    <col min="14891" max="14893" width="0" style="2" hidden="1" customWidth="1"/>
    <col min="14894" max="14894" width="10.7109375" style="2" customWidth="1"/>
    <col min="14895" max="14899" width="0" style="2" hidden="1" customWidth="1"/>
    <col min="14900" max="14900" width="13.140625" style="2" customWidth="1"/>
    <col min="14901" max="14901" width="10.42578125" style="2" customWidth="1"/>
    <col min="14902" max="14902" width="10.28515625" style="2" customWidth="1"/>
    <col min="14903" max="14903" width="9.85546875" style="2" customWidth="1"/>
    <col min="14904" max="14904" width="10.7109375" style="2" customWidth="1"/>
    <col min="14905" max="14905" width="10" style="2" customWidth="1"/>
    <col min="14906" max="14906" width="9.5703125" style="2" customWidth="1"/>
    <col min="14907" max="14907" width="10.7109375" style="2" customWidth="1"/>
    <col min="14908" max="14908" width="9.85546875" style="2" customWidth="1"/>
    <col min="14909" max="14912" width="0" style="2" hidden="1" customWidth="1"/>
    <col min="14913" max="14913" width="9.85546875" style="2" customWidth="1"/>
    <col min="14914" max="14914" width="10.85546875" style="2" customWidth="1"/>
    <col min="14915" max="14915" width="11.5703125" style="2" customWidth="1"/>
    <col min="14916" max="14917" width="0" style="2" hidden="1" customWidth="1"/>
    <col min="14918" max="15134" width="9.140625" style="2"/>
    <col min="15135" max="15135" width="0" style="2" hidden="1" customWidth="1"/>
    <col min="15136" max="15136" width="11.42578125" style="2" customWidth="1"/>
    <col min="15137" max="15137" width="7.5703125" style="2" customWidth="1"/>
    <col min="15138" max="15138" width="17.85546875" style="2" customWidth="1"/>
    <col min="15139" max="15139" width="3.5703125" style="2" customWidth="1"/>
    <col min="15140" max="15145" width="0" style="2" hidden="1" customWidth="1"/>
    <col min="15146" max="15146" width="11" style="2" customWidth="1"/>
    <col min="15147" max="15149" width="0" style="2" hidden="1" customWidth="1"/>
    <col min="15150" max="15150" width="10.7109375" style="2" customWidth="1"/>
    <col min="15151" max="15155" width="0" style="2" hidden="1" customWidth="1"/>
    <col min="15156" max="15156" width="13.140625" style="2" customWidth="1"/>
    <col min="15157" max="15157" width="10.42578125" style="2" customWidth="1"/>
    <col min="15158" max="15158" width="10.28515625" style="2" customWidth="1"/>
    <col min="15159" max="15159" width="9.85546875" style="2" customWidth="1"/>
    <col min="15160" max="15160" width="10.7109375" style="2" customWidth="1"/>
    <col min="15161" max="15161" width="10" style="2" customWidth="1"/>
    <col min="15162" max="15162" width="9.5703125" style="2" customWidth="1"/>
    <col min="15163" max="15163" width="10.7109375" style="2" customWidth="1"/>
    <col min="15164" max="15164" width="9.85546875" style="2" customWidth="1"/>
    <col min="15165" max="15168" width="0" style="2" hidden="1" customWidth="1"/>
    <col min="15169" max="15169" width="9.85546875" style="2" customWidth="1"/>
    <col min="15170" max="15170" width="10.85546875" style="2" customWidth="1"/>
    <col min="15171" max="15171" width="11.5703125" style="2" customWidth="1"/>
    <col min="15172" max="15173" width="0" style="2" hidden="1" customWidth="1"/>
    <col min="15174" max="15390" width="9.140625" style="2"/>
    <col min="15391" max="15391" width="0" style="2" hidden="1" customWidth="1"/>
    <col min="15392" max="15392" width="11.42578125" style="2" customWidth="1"/>
    <col min="15393" max="15393" width="7.5703125" style="2" customWidth="1"/>
    <col min="15394" max="15394" width="17.85546875" style="2" customWidth="1"/>
    <col min="15395" max="15395" width="3.5703125" style="2" customWidth="1"/>
    <col min="15396" max="15401" width="0" style="2" hidden="1" customWidth="1"/>
    <col min="15402" max="15402" width="11" style="2" customWidth="1"/>
    <col min="15403" max="15405" width="0" style="2" hidden="1" customWidth="1"/>
    <col min="15406" max="15406" width="10.7109375" style="2" customWidth="1"/>
    <col min="15407" max="15411" width="0" style="2" hidden="1" customWidth="1"/>
    <col min="15412" max="15412" width="13.140625" style="2" customWidth="1"/>
    <col min="15413" max="15413" width="10.42578125" style="2" customWidth="1"/>
    <col min="15414" max="15414" width="10.28515625" style="2" customWidth="1"/>
    <col min="15415" max="15415" width="9.85546875" style="2" customWidth="1"/>
    <col min="15416" max="15416" width="10.7109375" style="2" customWidth="1"/>
    <col min="15417" max="15417" width="10" style="2" customWidth="1"/>
    <col min="15418" max="15418" width="9.5703125" style="2" customWidth="1"/>
    <col min="15419" max="15419" width="10.7109375" style="2" customWidth="1"/>
    <col min="15420" max="15420" width="9.85546875" style="2" customWidth="1"/>
    <col min="15421" max="15424" width="0" style="2" hidden="1" customWidth="1"/>
    <col min="15425" max="15425" width="9.85546875" style="2" customWidth="1"/>
    <col min="15426" max="15426" width="10.85546875" style="2" customWidth="1"/>
    <col min="15427" max="15427" width="11.5703125" style="2" customWidth="1"/>
    <col min="15428" max="15429" width="0" style="2" hidden="1" customWidth="1"/>
    <col min="15430" max="15646" width="9.140625" style="2"/>
    <col min="15647" max="15647" width="0" style="2" hidden="1" customWidth="1"/>
    <col min="15648" max="15648" width="11.42578125" style="2" customWidth="1"/>
    <col min="15649" max="15649" width="7.5703125" style="2" customWidth="1"/>
    <col min="15650" max="15650" width="17.85546875" style="2" customWidth="1"/>
    <col min="15651" max="15651" width="3.5703125" style="2" customWidth="1"/>
    <col min="15652" max="15657" width="0" style="2" hidden="1" customWidth="1"/>
    <col min="15658" max="15658" width="11" style="2" customWidth="1"/>
    <col min="15659" max="15661" width="0" style="2" hidden="1" customWidth="1"/>
    <col min="15662" max="15662" width="10.7109375" style="2" customWidth="1"/>
    <col min="15663" max="15667" width="0" style="2" hidden="1" customWidth="1"/>
    <col min="15668" max="15668" width="13.140625" style="2" customWidth="1"/>
    <col min="15669" max="15669" width="10.42578125" style="2" customWidth="1"/>
    <col min="15670" max="15670" width="10.28515625" style="2" customWidth="1"/>
    <col min="15671" max="15671" width="9.85546875" style="2" customWidth="1"/>
    <col min="15672" max="15672" width="10.7109375" style="2" customWidth="1"/>
    <col min="15673" max="15673" width="10" style="2" customWidth="1"/>
    <col min="15674" max="15674" width="9.5703125" style="2" customWidth="1"/>
    <col min="15675" max="15675" width="10.7109375" style="2" customWidth="1"/>
    <col min="15676" max="15676" width="9.85546875" style="2" customWidth="1"/>
    <col min="15677" max="15680" width="0" style="2" hidden="1" customWidth="1"/>
    <col min="15681" max="15681" width="9.85546875" style="2" customWidth="1"/>
    <col min="15682" max="15682" width="10.85546875" style="2" customWidth="1"/>
    <col min="15683" max="15683" width="11.5703125" style="2" customWidth="1"/>
    <col min="15684" max="15685" width="0" style="2" hidden="1" customWidth="1"/>
    <col min="15686" max="15902" width="9.140625" style="2"/>
    <col min="15903" max="15903" width="0" style="2" hidden="1" customWidth="1"/>
    <col min="15904" max="15904" width="11.42578125" style="2" customWidth="1"/>
    <col min="15905" max="15905" width="7.5703125" style="2" customWidth="1"/>
    <col min="15906" max="15906" width="17.85546875" style="2" customWidth="1"/>
    <col min="15907" max="15907" width="3.5703125" style="2" customWidth="1"/>
    <col min="15908" max="15913" width="0" style="2" hidden="1" customWidth="1"/>
    <col min="15914" max="15914" width="11" style="2" customWidth="1"/>
    <col min="15915" max="15917" width="0" style="2" hidden="1" customWidth="1"/>
    <col min="15918" max="15918" width="10.7109375" style="2" customWidth="1"/>
    <col min="15919" max="15923" width="0" style="2" hidden="1" customWidth="1"/>
    <col min="15924" max="15924" width="13.140625" style="2" customWidth="1"/>
    <col min="15925" max="15925" width="10.42578125" style="2" customWidth="1"/>
    <col min="15926" max="15926" width="10.28515625" style="2" customWidth="1"/>
    <col min="15927" max="15927" width="9.85546875" style="2" customWidth="1"/>
    <col min="15928" max="15928" width="10.7109375" style="2" customWidth="1"/>
    <col min="15929" max="15929" width="10" style="2" customWidth="1"/>
    <col min="15930" max="15930" width="9.5703125" style="2" customWidth="1"/>
    <col min="15931" max="15931" width="10.7109375" style="2" customWidth="1"/>
    <col min="15932" max="15932" width="9.85546875" style="2" customWidth="1"/>
    <col min="15933" max="15936" width="0" style="2" hidden="1" customWidth="1"/>
    <col min="15937" max="15937" width="9.85546875" style="2" customWidth="1"/>
    <col min="15938" max="15938" width="10.85546875" style="2" customWidth="1"/>
    <col min="15939" max="15939" width="11.5703125" style="2" customWidth="1"/>
    <col min="15940" max="15941" width="0" style="2" hidden="1" customWidth="1"/>
    <col min="15942" max="16158" width="9.140625" style="2"/>
    <col min="16159" max="16159" width="0" style="2" hidden="1" customWidth="1"/>
    <col min="16160" max="16160" width="11.42578125" style="2" customWidth="1"/>
    <col min="16161" max="16161" width="7.5703125" style="2" customWidth="1"/>
    <col min="16162" max="16162" width="17.85546875" style="2" customWidth="1"/>
    <col min="16163" max="16163" width="3.5703125" style="2" customWidth="1"/>
    <col min="16164" max="16169" width="0" style="2" hidden="1" customWidth="1"/>
    <col min="16170" max="16170" width="11" style="2" customWidth="1"/>
    <col min="16171" max="16173" width="0" style="2" hidden="1" customWidth="1"/>
    <col min="16174" max="16174" width="10.7109375" style="2" customWidth="1"/>
    <col min="16175" max="16179" width="0" style="2" hidden="1" customWidth="1"/>
    <col min="16180" max="16180" width="13.140625" style="2" customWidth="1"/>
    <col min="16181" max="16181" width="10.42578125" style="2" customWidth="1"/>
    <col min="16182" max="16182" width="10.28515625" style="2" customWidth="1"/>
    <col min="16183" max="16183" width="9.85546875" style="2" customWidth="1"/>
    <col min="16184" max="16184" width="10.7109375" style="2" customWidth="1"/>
    <col min="16185" max="16185" width="10" style="2" customWidth="1"/>
    <col min="16186" max="16186" width="9.5703125" style="2" customWidth="1"/>
    <col min="16187" max="16187" width="10.7109375" style="2" customWidth="1"/>
    <col min="16188" max="16188" width="9.85546875" style="2" customWidth="1"/>
    <col min="16189" max="16192" width="0" style="2" hidden="1" customWidth="1"/>
    <col min="16193" max="16193" width="9.85546875" style="2" customWidth="1"/>
    <col min="16194" max="16194" width="10.85546875" style="2" customWidth="1"/>
    <col min="16195" max="16195" width="11.5703125" style="2" customWidth="1"/>
    <col min="16196" max="16197" width="0" style="2" hidden="1" customWidth="1"/>
    <col min="16198" max="16384" width="9.140625" style="2"/>
  </cols>
  <sheetData>
    <row r="1" spans="1:75" s="41" customFormat="1" ht="15.75" customHeight="1">
      <c r="A1" s="40" t="s">
        <v>0</v>
      </c>
      <c r="B1" s="269"/>
      <c r="C1" s="270"/>
      <c r="D1" s="271"/>
      <c r="E1" s="271"/>
      <c r="F1" s="271"/>
      <c r="G1" s="272"/>
      <c r="H1" s="273"/>
      <c r="I1" s="271"/>
      <c r="J1" s="271"/>
      <c r="K1" s="271"/>
      <c r="L1" s="271"/>
      <c r="M1" s="271"/>
      <c r="N1" s="271"/>
      <c r="O1" s="271"/>
      <c r="P1" s="271"/>
      <c r="Q1" s="274"/>
      <c r="R1" s="270"/>
      <c r="S1" s="270"/>
      <c r="T1" s="245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270"/>
      <c r="AO1" s="270"/>
      <c r="AP1" s="270"/>
      <c r="AQ1" s="270"/>
      <c r="AR1" s="270"/>
      <c r="AS1" s="270"/>
      <c r="AT1" s="270"/>
      <c r="AU1" s="270"/>
      <c r="AV1" s="270"/>
      <c r="AW1" s="270"/>
      <c r="AX1" s="270"/>
      <c r="AY1" s="270"/>
      <c r="AZ1" s="270"/>
      <c r="BA1" s="270"/>
      <c r="BB1" s="270"/>
      <c r="BC1" s="270"/>
      <c r="BD1" s="270"/>
      <c r="BE1" s="270"/>
      <c r="BF1" s="270"/>
      <c r="BG1" s="270"/>
      <c r="BH1" s="270"/>
      <c r="BI1" s="270"/>
      <c r="BJ1" s="270"/>
      <c r="BK1" s="270"/>
      <c r="BL1" s="275"/>
      <c r="BM1" s="270"/>
      <c r="BN1" s="270"/>
      <c r="BO1" s="270"/>
      <c r="BP1" s="270"/>
      <c r="BQ1" s="270"/>
      <c r="BR1" s="270"/>
      <c r="BS1" s="276"/>
    </row>
    <row r="2" spans="1:75" s="41" customFormat="1" ht="15.75">
      <c r="A2" s="40" t="s">
        <v>1</v>
      </c>
      <c r="B2" s="269"/>
      <c r="C2" s="270"/>
      <c r="D2" s="271"/>
      <c r="E2" s="271"/>
      <c r="F2" s="271"/>
      <c r="G2" s="272"/>
      <c r="H2" s="273"/>
      <c r="I2" s="271"/>
      <c r="J2" s="271"/>
      <c r="K2" s="271"/>
      <c r="L2" s="271"/>
      <c r="M2" s="271"/>
      <c r="N2" s="271"/>
      <c r="O2" s="271"/>
      <c r="P2" s="271"/>
      <c r="Q2" s="274"/>
      <c r="R2" s="270"/>
      <c r="S2" s="270"/>
      <c r="T2" s="245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0"/>
      <c r="AG2" s="270"/>
      <c r="AH2" s="270"/>
      <c r="AI2" s="270"/>
      <c r="AJ2" s="270"/>
      <c r="AK2" s="270"/>
      <c r="AL2" s="270"/>
      <c r="AM2" s="270"/>
      <c r="AN2" s="270"/>
      <c r="AO2" s="270"/>
      <c r="AP2" s="270"/>
      <c r="AQ2" s="270"/>
      <c r="AR2" s="270"/>
      <c r="AS2" s="270"/>
      <c r="AT2" s="270"/>
      <c r="AU2" s="270"/>
      <c r="AV2" s="270"/>
      <c r="AW2" s="270"/>
      <c r="AX2" s="270"/>
      <c r="AY2" s="270"/>
      <c r="AZ2" s="270"/>
      <c r="BA2" s="270"/>
      <c r="BB2" s="270"/>
      <c r="BC2" s="270"/>
      <c r="BD2" s="270"/>
      <c r="BE2" s="270"/>
      <c r="BF2" s="270"/>
      <c r="BG2" s="270"/>
      <c r="BH2" s="270"/>
      <c r="BI2" s="270"/>
      <c r="BJ2" s="270"/>
      <c r="BK2" s="270"/>
      <c r="BL2" s="275"/>
      <c r="BM2" s="270"/>
      <c r="BN2" s="270"/>
      <c r="BO2" s="270"/>
      <c r="BP2" s="270"/>
      <c r="BQ2" s="270"/>
      <c r="BR2" s="270"/>
      <c r="BS2" s="276"/>
    </row>
    <row r="3" spans="1:75" s="41" customFormat="1" ht="29.25" customHeight="1">
      <c r="A3" s="451" t="str">
        <f>'Payroll Office'!A3:BO3</f>
        <v>PAYROLL AUGUST 2024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  <c r="R3" s="451"/>
      <c r="S3" s="451"/>
      <c r="T3" s="451"/>
      <c r="U3" s="451"/>
      <c r="V3" s="451"/>
      <c r="W3" s="451"/>
      <c r="X3" s="451"/>
      <c r="Y3" s="451"/>
      <c r="Z3" s="451"/>
      <c r="AA3" s="451"/>
      <c r="AB3" s="451"/>
      <c r="AC3" s="451"/>
      <c r="AD3" s="451"/>
      <c r="AE3" s="451"/>
      <c r="AF3" s="451"/>
      <c r="AG3" s="451"/>
      <c r="AH3" s="451"/>
      <c r="AI3" s="451"/>
      <c r="AJ3" s="451"/>
      <c r="AK3" s="451"/>
      <c r="AL3" s="451"/>
      <c r="AM3" s="451"/>
      <c r="AN3" s="451"/>
      <c r="AO3" s="451"/>
      <c r="AP3" s="451"/>
      <c r="AQ3" s="451"/>
      <c r="AR3" s="451"/>
      <c r="AS3" s="451"/>
      <c r="AT3" s="451"/>
      <c r="AU3" s="451"/>
      <c r="AV3" s="451"/>
      <c r="AW3" s="451"/>
      <c r="AX3" s="451"/>
      <c r="AY3" s="451"/>
      <c r="AZ3" s="451"/>
      <c r="BA3" s="451"/>
      <c r="BB3" s="451"/>
      <c r="BC3" s="451"/>
      <c r="BD3" s="451"/>
      <c r="BE3" s="451"/>
      <c r="BF3" s="451"/>
      <c r="BG3" s="451"/>
      <c r="BH3" s="451"/>
      <c r="BI3" s="451"/>
      <c r="BJ3" s="451"/>
      <c r="BK3" s="451"/>
      <c r="BL3" s="451"/>
      <c r="BM3" s="451"/>
      <c r="BN3" s="451"/>
      <c r="BO3" s="451"/>
      <c r="BP3" s="451"/>
      <c r="BQ3" s="451"/>
      <c r="BR3" s="451"/>
      <c r="BS3" s="452"/>
    </row>
    <row r="4" spans="1:75" s="41" customFormat="1" ht="15.75">
      <c r="A4" s="453" t="str">
        <f>'Payroll Office'!A4:BO4</f>
        <v>From 1st -31th August 2024</v>
      </c>
      <c r="B4" s="453"/>
      <c r="C4" s="453"/>
      <c r="D4" s="453"/>
      <c r="E4" s="453"/>
      <c r="F4" s="453"/>
      <c r="G4" s="453"/>
      <c r="H4" s="453"/>
      <c r="I4" s="453"/>
      <c r="J4" s="453"/>
      <c r="K4" s="453"/>
      <c r="L4" s="453"/>
      <c r="M4" s="453"/>
      <c r="N4" s="453"/>
      <c r="O4" s="453"/>
      <c r="P4" s="453"/>
      <c r="Q4" s="453"/>
      <c r="R4" s="453"/>
      <c r="S4" s="453"/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53"/>
      <c r="AN4" s="453"/>
      <c r="AO4" s="453"/>
      <c r="AP4" s="453"/>
      <c r="AQ4" s="453"/>
      <c r="AR4" s="453"/>
      <c r="AS4" s="453"/>
      <c r="AT4" s="453"/>
      <c r="AU4" s="453"/>
      <c r="AV4" s="453"/>
      <c r="AW4" s="453"/>
      <c r="AX4" s="453"/>
      <c r="AY4" s="453"/>
      <c r="AZ4" s="453"/>
      <c r="BA4" s="453"/>
      <c r="BB4" s="453"/>
      <c r="BC4" s="453"/>
      <c r="BD4" s="453"/>
      <c r="BE4" s="453"/>
      <c r="BF4" s="453"/>
      <c r="BG4" s="453"/>
      <c r="BH4" s="453"/>
      <c r="BI4" s="453"/>
      <c r="BJ4" s="453"/>
      <c r="BK4" s="453"/>
      <c r="BL4" s="453"/>
      <c r="BM4" s="453"/>
      <c r="BN4" s="453"/>
      <c r="BO4" s="453"/>
      <c r="BP4" s="453"/>
      <c r="BQ4" s="453"/>
      <c r="BR4" s="453"/>
      <c r="BS4" s="454"/>
    </row>
    <row r="5" spans="1:75" s="41" customFormat="1" ht="14.25" hidden="1">
      <c r="B5" s="277"/>
      <c r="D5" s="42"/>
      <c r="E5" s="42"/>
      <c r="F5" s="42"/>
      <c r="G5" s="278"/>
      <c r="H5" s="279"/>
      <c r="I5" s="42"/>
      <c r="J5" s="42"/>
      <c r="K5" s="42"/>
      <c r="L5" s="42"/>
      <c r="M5" s="42"/>
      <c r="N5" s="42"/>
      <c r="O5" s="42"/>
      <c r="P5" s="42"/>
      <c r="Q5" s="43"/>
      <c r="T5" s="280"/>
      <c r="BL5" s="36"/>
      <c r="BS5" s="281"/>
    </row>
    <row r="6" spans="1:75" s="41" customFormat="1" ht="14.25" hidden="1">
      <c r="B6" s="277"/>
      <c r="D6" s="42"/>
      <c r="E6" s="42"/>
      <c r="F6" s="42"/>
      <c r="G6" s="278"/>
      <c r="H6" s="279"/>
      <c r="I6" s="42"/>
      <c r="J6" s="42"/>
      <c r="K6" s="42"/>
      <c r="L6" s="42"/>
      <c r="M6" s="42"/>
      <c r="N6" s="42"/>
      <c r="O6" s="42"/>
      <c r="P6" s="42"/>
      <c r="Q6" s="43"/>
      <c r="T6" s="280"/>
      <c r="BL6" s="36"/>
      <c r="BP6" s="177" t="s">
        <v>54</v>
      </c>
      <c r="BQ6" s="177"/>
      <c r="BR6" s="177"/>
      <c r="BS6" s="282"/>
    </row>
    <row r="7" spans="1:75" s="55" customFormat="1" ht="69.75" customHeight="1">
      <c r="A7" s="413" t="s">
        <v>2</v>
      </c>
      <c r="B7" s="413" t="s">
        <v>3</v>
      </c>
      <c r="C7" s="413" t="s">
        <v>4</v>
      </c>
      <c r="D7" s="430" t="s">
        <v>212</v>
      </c>
      <c r="E7" s="427" t="s">
        <v>5</v>
      </c>
      <c r="F7" s="427"/>
      <c r="G7" s="428" t="s">
        <v>92</v>
      </c>
      <c r="H7" s="419" t="s">
        <v>6</v>
      </c>
      <c r="I7" s="420"/>
      <c r="J7" s="420"/>
      <c r="K7" s="420"/>
      <c r="L7" s="420"/>
      <c r="M7" s="420"/>
      <c r="N7" s="420"/>
      <c r="O7" s="420"/>
      <c r="P7" s="421"/>
      <c r="Q7" s="419" t="s">
        <v>172</v>
      </c>
      <c r="R7" s="420"/>
      <c r="S7" s="420"/>
      <c r="T7" s="420"/>
      <c r="U7" s="414" t="s">
        <v>8</v>
      </c>
      <c r="V7" s="415"/>
      <c r="W7" s="415"/>
      <c r="X7" s="415"/>
      <c r="Y7" s="415"/>
      <c r="Z7" s="415"/>
      <c r="AA7" s="415"/>
      <c r="AB7" s="415"/>
      <c r="AC7" s="415"/>
      <c r="AD7" s="415"/>
      <c r="AE7" s="416"/>
      <c r="AF7" s="432" t="s">
        <v>316</v>
      </c>
      <c r="AG7" s="432" t="s">
        <v>280</v>
      </c>
      <c r="AH7" s="417" t="s">
        <v>55</v>
      </c>
      <c r="AI7" s="417" t="s">
        <v>93</v>
      </c>
      <c r="AJ7" s="417" t="s">
        <v>94</v>
      </c>
      <c r="AK7" s="413" t="s">
        <v>95</v>
      </c>
      <c r="AL7" s="417"/>
      <c r="AM7" s="414" t="s">
        <v>12</v>
      </c>
      <c r="AN7" s="415"/>
      <c r="AO7" s="415"/>
      <c r="AP7" s="415"/>
      <c r="AQ7" s="415"/>
      <c r="AR7" s="415"/>
      <c r="AS7" s="415"/>
      <c r="AT7" s="415"/>
      <c r="AU7" s="415"/>
      <c r="AV7" s="416"/>
      <c r="AW7" s="417" t="s">
        <v>96</v>
      </c>
      <c r="AX7" s="417" t="s">
        <v>13</v>
      </c>
      <c r="AY7" s="426" t="s">
        <v>14</v>
      </c>
      <c r="AZ7" s="426"/>
      <c r="BA7" s="426"/>
      <c r="BB7" s="426"/>
      <c r="BC7" s="426"/>
      <c r="BD7" s="426"/>
      <c r="BE7" s="426" t="s">
        <v>15</v>
      </c>
      <c r="BF7" s="426"/>
      <c r="BG7" s="426"/>
      <c r="BH7" s="426"/>
      <c r="BI7" s="414" t="s">
        <v>56</v>
      </c>
      <c r="BJ7" s="415"/>
      <c r="BK7" s="415"/>
      <c r="BL7" s="415"/>
      <c r="BM7" s="415"/>
      <c r="BN7" s="415"/>
      <c r="BO7" s="416"/>
      <c r="BP7" s="447" t="s">
        <v>305</v>
      </c>
      <c r="BQ7" s="322" t="s">
        <v>280</v>
      </c>
      <c r="BR7" s="414" t="s">
        <v>57</v>
      </c>
      <c r="BS7" s="446" t="s">
        <v>173</v>
      </c>
      <c r="BT7" s="445" t="s">
        <v>16</v>
      </c>
    </row>
    <row r="8" spans="1:75" s="55" customFormat="1" ht="84" customHeight="1">
      <c r="A8" s="413"/>
      <c r="B8" s="413"/>
      <c r="C8" s="413"/>
      <c r="D8" s="431"/>
      <c r="E8" s="168" t="s">
        <v>65</v>
      </c>
      <c r="F8" s="218" t="s">
        <v>58</v>
      </c>
      <c r="G8" s="429"/>
      <c r="H8" s="168" t="s">
        <v>230</v>
      </c>
      <c r="I8" s="168" t="s">
        <v>97</v>
      </c>
      <c r="J8" s="168" t="s">
        <v>271</v>
      </c>
      <c r="K8" s="168" t="s">
        <v>272</v>
      </c>
      <c r="L8" s="168" t="s">
        <v>273</v>
      </c>
      <c r="M8" s="168" t="s">
        <v>274</v>
      </c>
      <c r="N8" s="168" t="s">
        <v>275</v>
      </c>
      <c r="O8" s="168" t="s">
        <v>276</v>
      </c>
      <c r="P8" s="168" t="s">
        <v>277</v>
      </c>
      <c r="Q8" s="169" t="s">
        <v>7</v>
      </c>
      <c r="R8" s="169" t="s">
        <v>142</v>
      </c>
      <c r="S8" s="169" t="s">
        <v>143</v>
      </c>
      <c r="T8" s="169" t="s">
        <v>147</v>
      </c>
      <c r="U8" s="170" t="s">
        <v>214</v>
      </c>
      <c r="V8" s="170" t="s">
        <v>98</v>
      </c>
      <c r="W8" s="170" t="s">
        <v>215</v>
      </c>
      <c r="X8" s="170" t="s">
        <v>99</v>
      </c>
      <c r="Y8" s="170" t="s">
        <v>216</v>
      </c>
      <c r="Z8" s="170" t="s">
        <v>100</v>
      </c>
      <c r="AA8" s="170" t="s">
        <v>101</v>
      </c>
      <c r="AB8" s="165" t="s">
        <v>127</v>
      </c>
      <c r="AC8" s="170" t="s">
        <v>102</v>
      </c>
      <c r="AD8" s="170" t="s">
        <v>103</v>
      </c>
      <c r="AE8" s="171" t="str">
        <f>'Payroll Office'!AE8</f>
        <v>Thưởng sinh nhật tháng 08 /Birthday in August</v>
      </c>
      <c r="AF8" s="433"/>
      <c r="AG8" s="433"/>
      <c r="AH8" s="418"/>
      <c r="AI8" s="418"/>
      <c r="AJ8" s="418"/>
      <c r="AK8" s="413"/>
      <c r="AL8" s="418"/>
      <c r="AM8" s="172" t="s">
        <v>60</v>
      </c>
      <c r="AN8" s="172" t="s">
        <v>17</v>
      </c>
      <c r="AO8" s="172" t="s">
        <v>66</v>
      </c>
      <c r="AP8" s="172" t="s">
        <v>67</v>
      </c>
      <c r="AQ8" s="172" t="s">
        <v>71</v>
      </c>
      <c r="AR8" s="172" t="s">
        <v>68</v>
      </c>
      <c r="AS8" s="172" t="s">
        <v>59</v>
      </c>
      <c r="AT8" s="172" t="s">
        <v>69</v>
      </c>
      <c r="AU8" s="172" t="s">
        <v>70</v>
      </c>
      <c r="AV8" s="165" t="s">
        <v>19</v>
      </c>
      <c r="AW8" s="418"/>
      <c r="AX8" s="418"/>
      <c r="AY8" s="165" t="s">
        <v>20</v>
      </c>
      <c r="AZ8" s="165" t="s">
        <v>170</v>
      </c>
      <c r="BA8" s="165" t="s">
        <v>22</v>
      </c>
      <c r="BB8" s="165" t="s">
        <v>23</v>
      </c>
      <c r="BC8" s="165" t="s">
        <v>303</v>
      </c>
      <c r="BD8" s="173" t="s">
        <v>24</v>
      </c>
      <c r="BE8" s="173" t="s">
        <v>25</v>
      </c>
      <c r="BF8" s="173" t="s">
        <v>26</v>
      </c>
      <c r="BG8" s="173" t="s">
        <v>23</v>
      </c>
      <c r="BH8" s="173" t="s">
        <v>27</v>
      </c>
      <c r="BI8" s="173" t="s">
        <v>238</v>
      </c>
      <c r="BJ8" s="165" t="s">
        <v>28</v>
      </c>
      <c r="BK8" s="165" t="s">
        <v>29</v>
      </c>
      <c r="BL8" s="165" t="s">
        <v>104</v>
      </c>
      <c r="BM8" s="167" t="s">
        <v>31</v>
      </c>
      <c r="BN8" s="174" t="s">
        <v>239</v>
      </c>
      <c r="BO8" s="165" t="s">
        <v>240</v>
      </c>
      <c r="BP8" s="448"/>
      <c r="BQ8" s="323"/>
      <c r="BR8" s="414"/>
      <c r="BS8" s="446"/>
      <c r="BT8" s="445"/>
    </row>
    <row r="9" spans="1:75" s="16" customFormat="1" ht="39" customHeight="1">
      <c r="A9" s="24">
        <v>-1</v>
      </c>
      <c r="B9" s="24">
        <v>-2</v>
      </c>
      <c r="C9" s="24">
        <v>-3</v>
      </c>
      <c r="D9" s="283"/>
      <c r="E9" s="283" t="s">
        <v>72</v>
      </c>
      <c r="F9" s="283" t="s">
        <v>73</v>
      </c>
      <c r="G9" s="284"/>
      <c r="H9" s="283" t="s">
        <v>33</v>
      </c>
      <c r="I9" s="283" t="s">
        <v>74</v>
      </c>
      <c r="J9" s="283" t="s">
        <v>75</v>
      </c>
      <c r="K9" s="283" t="s">
        <v>76</v>
      </c>
      <c r="L9" s="283" t="s">
        <v>77</v>
      </c>
      <c r="M9" s="283" t="s">
        <v>78</v>
      </c>
      <c r="N9" s="283" t="s">
        <v>79</v>
      </c>
      <c r="O9" s="283">
        <v>-7</v>
      </c>
      <c r="P9" s="283" t="s">
        <v>80</v>
      </c>
      <c r="Q9" s="285">
        <v>-8</v>
      </c>
      <c r="R9" s="285">
        <v>-9</v>
      </c>
      <c r="S9" s="285"/>
      <c r="T9" s="285"/>
      <c r="U9" s="24"/>
      <c r="V9" s="24">
        <v>-10</v>
      </c>
      <c r="W9" s="24"/>
      <c r="X9" s="24">
        <v>-11</v>
      </c>
      <c r="Y9" s="24"/>
      <c r="Z9" s="24" t="s">
        <v>34</v>
      </c>
      <c r="AA9" s="24" t="s">
        <v>35</v>
      </c>
      <c r="AB9" s="24"/>
      <c r="AC9" s="24">
        <v>-12</v>
      </c>
      <c r="AD9" s="24"/>
      <c r="AE9" s="234" t="s">
        <v>115</v>
      </c>
      <c r="AF9" s="234"/>
      <c r="AG9" s="234"/>
      <c r="AH9" s="24" t="s">
        <v>116</v>
      </c>
      <c r="AI9" s="24" t="s">
        <v>37</v>
      </c>
      <c r="AJ9" s="24" t="s">
        <v>38</v>
      </c>
      <c r="AK9" s="24" t="s">
        <v>105</v>
      </c>
      <c r="AL9" s="24"/>
      <c r="AM9" s="24" t="s">
        <v>106</v>
      </c>
      <c r="AN9" s="24" t="s">
        <v>107</v>
      </c>
      <c r="AO9" s="24" t="s">
        <v>108</v>
      </c>
      <c r="AP9" s="24" t="s">
        <v>81</v>
      </c>
      <c r="AQ9" s="24" t="s">
        <v>82</v>
      </c>
      <c r="AR9" s="24" t="s">
        <v>83</v>
      </c>
      <c r="AS9" s="24" t="s">
        <v>84</v>
      </c>
      <c r="AT9" s="24" t="s">
        <v>85</v>
      </c>
      <c r="AU9" s="24" t="s">
        <v>86</v>
      </c>
      <c r="AV9" s="24" t="s">
        <v>39</v>
      </c>
      <c r="AW9" s="24"/>
      <c r="AX9" s="24" t="s">
        <v>40</v>
      </c>
      <c r="AY9" s="24" t="s">
        <v>41</v>
      </c>
      <c r="AZ9" s="24" t="s">
        <v>42</v>
      </c>
      <c r="BA9" s="24" t="s">
        <v>43</v>
      </c>
      <c r="BB9" s="24" t="s">
        <v>62</v>
      </c>
      <c r="BC9" s="24"/>
      <c r="BD9" s="50" t="s">
        <v>63</v>
      </c>
      <c r="BE9" s="50" t="s">
        <v>53</v>
      </c>
      <c r="BF9" s="50" t="s">
        <v>44</v>
      </c>
      <c r="BG9" s="50" t="s">
        <v>64</v>
      </c>
      <c r="BH9" s="50" t="s">
        <v>45</v>
      </c>
      <c r="BI9" s="24">
        <v>-31</v>
      </c>
      <c r="BJ9" s="24" t="s">
        <v>46</v>
      </c>
      <c r="BK9" s="24" t="s">
        <v>47</v>
      </c>
      <c r="BL9" s="24">
        <v>-33</v>
      </c>
      <c r="BM9" s="24" t="s">
        <v>48</v>
      </c>
      <c r="BN9" s="26" t="s">
        <v>49</v>
      </c>
      <c r="BO9" s="24">
        <v>-36</v>
      </c>
      <c r="BP9" s="286">
        <v>-37</v>
      </c>
      <c r="BQ9" s="286"/>
      <c r="BR9" s="286">
        <v>-38</v>
      </c>
      <c r="BS9" s="287"/>
      <c r="BT9" s="234"/>
    </row>
    <row r="10" spans="1:75" s="45" customFormat="1" ht="28.5" customHeight="1">
      <c r="A10" s="327">
        <v>1</v>
      </c>
      <c r="B10" s="379" t="s">
        <v>260</v>
      </c>
      <c r="C10" s="247" t="s">
        <v>111</v>
      </c>
      <c r="D10" s="176">
        <v>208</v>
      </c>
      <c r="E10" s="176">
        <v>150</v>
      </c>
      <c r="F10" s="235">
        <v>66</v>
      </c>
      <c r="G10" s="235">
        <v>20</v>
      </c>
      <c r="H10" s="235">
        <v>49.5</v>
      </c>
      <c r="I10" s="235">
        <v>18</v>
      </c>
      <c r="J10" s="235"/>
      <c r="K10" s="235"/>
      <c r="L10" s="235"/>
      <c r="M10" s="235"/>
      <c r="N10" s="235"/>
      <c r="O10" s="235"/>
      <c r="P10" s="235"/>
      <c r="Q10" s="236">
        <v>4267000</v>
      </c>
      <c r="R10" s="236">
        <v>1300000</v>
      </c>
      <c r="S10" s="236"/>
      <c r="T10" s="236">
        <v>600000</v>
      </c>
      <c r="U10" s="236">
        <v>0</v>
      </c>
      <c r="V10" s="236">
        <f>IF((E10+F10)&gt;=D10,U10,(E10+F10)*U10/D10)</f>
        <v>0</v>
      </c>
      <c r="W10" s="236">
        <v>300000</v>
      </c>
      <c r="X10" s="236">
        <f>IF((E10+F10)&gt;=160, W10, W10/D10*(E10+F10))</f>
        <v>300000</v>
      </c>
      <c r="Y10" s="236">
        <v>300000</v>
      </c>
      <c r="Z10" s="236">
        <f>IF((E10+F10)&gt;=160,Y10, Y10/D10*(E10+F10))</f>
        <v>300000</v>
      </c>
      <c r="AA10" s="236">
        <v>20000</v>
      </c>
      <c r="AB10" s="236">
        <v>0</v>
      </c>
      <c r="AC10" s="236">
        <f>IF((E10+F10)&gt;=184,500000,0)</f>
        <v>500000</v>
      </c>
      <c r="AD10" s="236">
        <f t="shared" ref="AD10" si="0">G10*13000</f>
        <v>260000</v>
      </c>
      <c r="AE10" s="236">
        <v>0</v>
      </c>
      <c r="AF10" s="236"/>
      <c r="AG10" s="236"/>
      <c r="AH10" s="236">
        <f t="shared" ref="AH10:AH24" si="1">V10+X10+Z10+AA10+AC10+AD10+AE10</f>
        <v>1380000</v>
      </c>
      <c r="AI10" s="236">
        <f t="shared" ref="AI10:AI39" si="2">Q10+R10+T10</f>
        <v>6167000</v>
      </c>
      <c r="AJ10" s="236">
        <f t="shared" ref="AJ10" si="3">AI10/208</f>
        <v>29649.038461538461</v>
      </c>
      <c r="AK10" s="236">
        <f t="shared" ref="AK10" si="4">AJ10*(E10+F10*130%)</f>
        <v>6991243.269230769</v>
      </c>
      <c r="AL10" s="236"/>
      <c r="AM10" s="236">
        <f t="shared" ref="AM10" si="5">AJ10*H10*150%</f>
        <v>2201441.1057692305</v>
      </c>
      <c r="AN10" s="236">
        <f t="shared" ref="AN10" si="6">AJ10*I10*150%*130%</f>
        <v>1040681.2499999999</v>
      </c>
      <c r="AO10" s="236">
        <f t="shared" ref="AO10" si="7">+AJ10*J10*200%</f>
        <v>0</v>
      </c>
      <c r="AP10" s="236">
        <f t="shared" ref="AP10" si="8">AJ10*K10*200%*130%</f>
        <v>0</v>
      </c>
      <c r="AQ10" s="236">
        <f t="shared" ref="AQ10" si="9">AJ10*L10*200%*150%</f>
        <v>0</v>
      </c>
      <c r="AR10" s="236">
        <f t="shared" ref="AR10" si="10">AJ10*M10*200%*150%*130%</f>
        <v>0</v>
      </c>
      <c r="AS10" s="236">
        <f t="shared" ref="AS10" si="11">N10*AJ10*300%</f>
        <v>0</v>
      </c>
      <c r="AT10" s="236">
        <f t="shared" ref="AT10" si="12">AJ10*O10*130%*300%</f>
        <v>0</v>
      </c>
      <c r="AU10" s="236">
        <f t="shared" ref="AU10" si="13">P10*AJ10*150%*300%</f>
        <v>0</v>
      </c>
      <c r="AV10" s="236">
        <f t="shared" ref="AV10" si="14">SUM(AM10:AU10)</f>
        <v>3242122.3557692305</v>
      </c>
      <c r="AW10" s="236"/>
      <c r="AX10" s="236">
        <f>AH10+AK10+AV10++AF10-AG10+AW10</f>
        <v>11613365.625</v>
      </c>
      <c r="AY10" s="236">
        <f t="shared" ref="AY10:AY39" si="15">Q10+R10+T10</f>
        <v>6167000</v>
      </c>
      <c r="AZ10" s="236">
        <f t="shared" ref="AZ10" si="16">AY10*17.5%</f>
        <v>1079225</v>
      </c>
      <c r="BA10" s="236">
        <f t="shared" ref="BA10" si="17">AY10*3%</f>
        <v>185010</v>
      </c>
      <c r="BB10" s="236">
        <f t="shared" ref="BB10" si="18">AY10*1%</f>
        <v>61670</v>
      </c>
      <c r="BC10" s="236">
        <f>AY10*2%</f>
        <v>123340</v>
      </c>
      <c r="BD10" s="236">
        <f>AZ10+BA10+BB10+BC10</f>
        <v>1449245</v>
      </c>
      <c r="BE10" s="236">
        <f t="shared" ref="BE10" si="19">AY10*8%</f>
        <v>493360</v>
      </c>
      <c r="BF10" s="236">
        <f t="shared" ref="BF10" si="20">AY10*1.5%</f>
        <v>92505</v>
      </c>
      <c r="BG10" s="236">
        <f t="shared" ref="BG10" si="21">AY10*1%</f>
        <v>61670</v>
      </c>
      <c r="BH10" s="236">
        <f>BE10+BF10+BG10</f>
        <v>647535</v>
      </c>
      <c r="BI10" s="236">
        <v>11000000</v>
      </c>
      <c r="BJ10" s="236">
        <v>0</v>
      </c>
      <c r="BK10" s="236">
        <f>BJ10*4400000</f>
        <v>0</v>
      </c>
      <c r="BL10" s="236">
        <f t="shared" ref="BL10:BL39" si="22">V10+AB10+AD10</f>
        <v>260000</v>
      </c>
      <c r="BM10" s="236">
        <f t="shared" ref="BM10:BM39" si="23">AX10-BL10-H10*0.5*AJ10-I10*0.95*AJ10-F10*0.3*AJ10-AJ10*J10-AJ10*K10*1.6-AJ10*L10*2-AJ10*M10*2.9-AJ10*N10*2-AJ10*O10*2.9-AJ10*P10*3.5</f>
        <v>9525502.403846154</v>
      </c>
      <c r="BN10" s="236">
        <f>IF(BM10-BI10-BK10-BH10&lt;0,0,BM10-BK10-BI10-BH10)</f>
        <v>0</v>
      </c>
      <c r="BO10" s="236">
        <f t="shared" ref="BO10" si="24">ROUND(IF(BN10&lt;=5000000,BN10*5%,IF(AND(BN10&gt;5000000,BN10&lt;=10000000),BN10*10%-250000,IF(AND(BN10&gt;10000000,BN10&lt;=18000000),BN10*15%-750000,IF(AND(BN10&gt;18000000,BN10&lt;=32000000),BN10*20%-1650000,IF(AND(BN10&gt;32000000,BN10&lt;=52000000),BN10*25%-3250000,IF(AND(BN10&gt;52000000,BN10&lt;80000000),BN10*30%-585000,IF(BN10&gt;80000000,BN10*35%-9850000))))))),0)</f>
        <v>0</v>
      </c>
      <c r="BP10" s="232">
        <v>35000</v>
      </c>
      <c r="BQ10" s="324"/>
      <c r="BR10" s="238">
        <f>AX10-BH10-BO10-BP10-BQ10</f>
        <v>10930830.625</v>
      </c>
      <c r="BS10" s="239" t="s">
        <v>201</v>
      </c>
      <c r="BT10" s="236"/>
    </row>
    <row r="11" spans="1:75" s="41" customFormat="1" ht="28.5" customHeight="1">
      <c r="A11" s="327">
        <f>A10+1</f>
        <v>2</v>
      </c>
      <c r="B11" s="378" t="s">
        <v>227</v>
      </c>
      <c r="C11" s="247" t="s">
        <v>111</v>
      </c>
      <c r="D11" s="176">
        <v>208</v>
      </c>
      <c r="E11" s="176">
        <v>150</v>
      </c>
      <c r="F11" s="235">
        <v>66</v>
      </c>
      <c r="G11" s="235">
        <v>18</v>
      </c>
      <c r="H11" s="235">
        <v>38</v>
      </c>
      <c r="I11" s="235">
        <v>20</v>
      </c>
      <c r="J11" s="235"/>
      <c r="K11" s="235"/>
      <c r="L11" s="235"/>
      <c r="M11" s="235"/>
      <c r="N11" s="235"/>
      <c r="O11" s="235"/>
      <c r="P11" s="328"/>
      <c r="Q11" s="236">
        <v>4267000</v>
      </c>
      <c r="R11" s="240">
        <v>1300000</v>
      </c>
      <c r="S11" s="240"/>
      <c r="T11" s="240">
        <v>600000</v>
      </c>
      <c r="U11" s="236">
        <v>0</v>
      </c>
      <c r="V11" s="236">
        <f>IF((E11+F11)&gt;=D11,U11,(E11+F11)*U11/D11)</f>
        <v>0</v>
      </c>
      <c r="W11" s="236">
        <v>300000</v>
      </c>
      <c r="X11" s="236">
        <f t="shared" ref="X11:X39" si="25">IF((E11+F11)&gt;=160, W11, W11/D11*(E11+F11))</f>
        <v>300000</v>
      </c>
      <c r="Y11" s="236">
        <v>300000</v>
      </c>
      <c r="Z11" s="236">
        <f t="shared" ref="Z11:Z39" si="26">IF((E11+F11)&gt;=160,Y11, Y11/D11*(E11+F11))</f>
        <v>300000</v>
      </c>
      <c r="AA11" s="236"/>
      <c r="AB11" s="236">
        <v>0</v>
      </c>
      <c r="AC11" s="236">
        <f t="shared" ref="AC11:AC39" si="27">IF((E11+F11)&gt;=184,500000,0)</f>
        <v>500000</v>
      </c>
      <c r="AD11" s="236">
        <f>G11*13000</f>
        <v>234000</v>
      </c>
      <c r="AE11" s="236">
        <v>0</v>
      </c>
      <c r="AF11" s="236"/>
      <c r="AG11" s="236"/>
      <c r="AH11" s="236">
        <f>V11+X11+Z11+AA11+AC11+AD11+AE11</f>
        <v>1334000</v>
      </c>
      <c r="AI11" s="236">
        <f t="shared" ref="AI11" si="28">Q11+R11+T11</f>
        <v>6167000</v>
      </c>
      <c r="AJ11" s="236">
        <f>AI11/208</f>
        <v>29649.038461538461</v>
      </c>
      <c r="AK11" s="236">
        <f>AJ11*(E11+F11*130%)</f>
        <v>6991243.269230769</v>
      </c>
      <c r="AL11" s="240"/>
      <c r="AM11" s="236">
        <f>AJ11*H11*150%</f>
        <v>1689995.1923076923</v>
      </c>
      <c r="AN11" s="236">
        <f>AJ11*I11*150%*130%</f>
        <v>1156312.5</v>
      </c>
      <c r="AO11" s="236">
        <f>+AJ11*J11*200%</f>
        <v>0</v>
      </c>
      <c r="AP11" s="236">
        <f>AJ11*K11*200%*130%</f>
        <v>0</v>
      </c>
      <c r="AQ11" s="236">
        <f>AJ11*L11*200%*150%</f>
        <v>0</v>
      </c>
      <c r="AR11" s="236">
        <f>AJ11*M11*200%*150%*130%</f>
        <v>0</v>
      </c>
      <c r="AS11" s="236">
        <f>N11*AJ11*300%</f>
        <v>0</v>
      </c>
      <c r="AT11" s="236">
        <f>AJ11*O11*130%*300%</f>
        <v>0</v>
      </c>
      <c r="AU11" s="236">
        <f>P11*AJ11*150%*300%</f>
        <v>0</v>
      </c>
      <c r="AV11" s="236">
        <f>SUM(AM11:AU11)</f>
        <v>2846307.692307692</v>
      </c>
      <c r="AW11" s="240"/>
      <c r="AX11" s="236">
        <f t="shared" ref="AX11" si="29">AH11+AK11+AV11++AF11-AG11</f>
        <v>11171550.96153846</v>
      </c>
      <c r="AY11" s="236">
        <f t="shared" ref="AY11" si="30">Q11+R11+T11</f>
        <v>6167000</v>
      </c>
      <c r="AZ11" s="236">
        <f>AY11*17.5%</f>
        <v>1079225</v>
      </c>
      <c r="BA11" s="236">
        <f>AY11*3%</f>
        <v>185010</v>
      </c>
      <c r="BB11" s="236">
        <f>AY11*1%</f>
        <v>61670</v>
      </c>
      <c r="BC11" s="236">
        <f t="shared" ref="BC11:BC39" si="31">AY11*2%</f>
        <v>123340</v>
      </c>
      <c r="BD11" s="236">
        <f t="shared" ref="BD11:BD39" si="32">AZ11+BA11+BB11+BC11</f>
        <v>1449245</v>
      </c>
      <c r="BE11" s="236">
        <f>AY11*8%</f>
        <v>493360</v>
      </c>
      <c r="BF11" s="236">
        <f>AY11*1.5%</f>
        <v>92505</v>
      </c>
      <c r="BG11" s="236">
        <f>AY11*1%</f>
        <v>61670</v>
      </c>
      <c r="BH11" s="236">
        <f t="shared" ref="BH11:BH39" si="33">BE11+BF11+BG11</f>
        <v>647535</v>
      </c>
      <c r="BI11" s="236">
        <v>11000001</v>
      </c>
      <c r="BJ11" s="240"/>
      <c r="BK11" s="236">
        <f>BJ11*4400000</f>
        <v>0</v>
      </c>
      <c r="BL11" s="236">
        <f t="shared" si="22"/>
        <v>234000</v>
      </c>
      <c r="BM11" s="236">
        <f t="shared" si="23"/>
        <v>9223836.538461538</v>
      </c>
      <c r="BN11" s="236">
        <f>IF(BM11-BI11-BK11-BH11&lt;0,0,BM11-BK11-BI11-BH11)</f>
        <v>0</v>
      </c>
      <c r="BO11" s="236">
        <f>ROUND(IF(BN11&lt;=5000000,BN11*5%,IF(AND(BN11&gt;5000000,BN11&lt;=10000000),BN11*10%-250000,IF(AND(BN11&gt;10000000,BN11&lt;=18000000),BN11*15%-750000,IF(AND(BN11&gt;18000000,BN11&lt;=32000000),BN11*20%-1650000,IF(AND(BN11&gt;32000000,BN11&lt;=52000000),BN11*25%-3250000,IF(AND(BN11&gt;52000000,BN11&lt;80000000),BN11*30%-585000,IF(BN11&gt;80000000,BN11*35%-9850000))))))),0)</f>
        <v>0</v>
      </c>
      <c r="BP11" s="232">
        <v>35000</v>
      </c>
      <c r="BQ11" s="324"/>
      <c r="BR11" s="238">
        <f t="shared" ref="BR11:BR39" si="34">AX11-BH11-BO11-BP11</f>
        <v>10489015.96153846</v>
      </c>
      <c r="BS11" s="238" t="s">
        <v>204</v>
      </c>
      <c r="BT11" s="236"/>
    </row>
    <row r="12" spans="1:75" s="45" customFormat="1" ht="28.5" customHeight="1">
      <c r="A12" s="327">
        <f t="shared" ref="A12:A39" si="35">A11+1</f>
        <v>3</v>
      </c>
      <c r="B12" s="378" t="s">
        <v>261</v>
      </c>
      <c r="C12" s="247" t="s">
        <v>112</v>
      </c>
      <c r="D12" s="176">
        <v>208</v>
      </c>
      <c r="E12" s="176">
        <v>150</v>
      </c>
      <c r="F12" s="235">
        <v>66</v>
      </c>
      <c r="G12" s="235">
        <v>20</v>
      </c>
      <c r="H12" s="235">
        <v>47</v>
      </c>
      <c r="I12" s="235">
        <v>20</v>
      </c>
      <c r="J12" s="235"/>
      <c r="K12" s="235"/>
      <c r="L12" s="235"/>
      <c r="M12" s="235"/>
      <c r="N12" s="235"/>
      <c r="O12" s="235"/>
      <c r="P12" s="235"/>
      <c r="Q12" s="236">
        <v>4267000</v>
      </c>
      <c r="R12" s="236">
        <v>800000</v>
      </c>
      <c r="S12" s="236"/>
      <c r="T12" s="236">
        <v>600000</v>
      </c>
      <c r="U12" s="236">
        <v>0</v>
      </c>
      <c r="V12" s="236">
        <f t="shared" ref="V12" si="36">IF((E12+F12)&gt;=D12,U12,(E12+F12)*U12/D12)</f>
        <v>0</v>
      </c>
      <c r="W12" s="236">
        <v>300000</v>
      </c>
      <c r="X12" s="236">
        <f t="shared" si="25"/>
        <v>300000</v>
      </c>
      <c r="Y12" s="236">
        <v>300000</v>
      </c>
      <c r="Z12" s="236">
        <f t="shared" si="26"/>
        <v>300000</v>
      </c>
      <c r="AA12" s="236"/>
      <c r="AB12" s="236">
        <v>0</v>
      </c>
      <c r="AC12" s="236">
        <f t="shared" si="27"/>
        <v>500000</v>
      </c>
      <c r="AD12" s="236">
        <f t="shared" ref="AD12" si="37">G12*13000</f>
        <v>260000</v>
      </c>
      <c r="AE12" s="236">
        <v>0</v>
      </c>
      <c r="AF12" s="236"/>
      <c r="AG12" s="236"/>
      <c r="AH12" s="236">
        <f t="shared" si="1"/>
        <v>1360000</v>
      </c>
      <c r="AI12" s="236">
        <f t="shared" si="2"/>
        <v>5667000</v>
      </c>
      <c r="AJ12" s="236">
        <f t="shared" ref="AJ12" si="38">AI12/208</f>
        <v>27245.192307692309</v>
      </c>
      <c r="AK12" s="236">
        <f t="shared" ref="AK12" si="39">AJ12*(E12+F12*130%)</f>
        <v>6424416.3461538469</v>
      </c>
      <c r="AL12" s="236"/>
      <c r="AM12" s="236">
        <f t="shared" ref="AM12" si="40">AJ12*H12*150%</f>
        <v>1920786.0576923077</v>
      </c>
      <c r="AN12" s="236">
        <f t="shared" ref="AN12" si="41">AJ12*I12*150%*130%</f>
        <v>1062562.5</v>
      </c>
      <c r="AO12" s="236">
        <f t="shared" ref="AO12" si="42">+AJ12*J12*200%</f>
        <v>0</v>
      </c>
      <c r="AP12" s="236">
        <f t="shared" ref="AP12" si="43">AJ12*K12*200%*130%</f>
        <v>0</v>
      </c>
      <c r="AQ12" s="236">
        <f t="shared" ref="AQ12" si="44">AJ12*L12*200%*150%</f>
        <v>0</v>
      </c>
      <c r="AR12" s="236">
        <f t="shared" ref="AR12" si="45">AJ12*M12*200%*150%*130%</f>
        <v>0</v>
      </c>
      <c r="AS12" s="236">
        <f t="shared" ref="AS12" si="46">N12*AJ12*300%</f>
        <v>0</v>
      </c>
      <c r="AT12" s="236">
        <f t="shared" ref="AT12" si="47">AJ12*O12*130%*300%</f>
        <v>0</v>
      </c>
      <c r="AU12" s="236">
        <f t="shared" ref="AU12" si="48">P12*AJ12*150%*300%</f>
        <v>0</v>
      </c>
      <c r="AV12" s="236">
        <f t="shared" ref="AV12" si="49">SUM(AM12:AU12)</f>
        <v>2983348.557692308</v>
      </c>
      <c r="AW12" s="236"/>
      <c r="AX12" s="236">
        <f t="shared" ref="AX12:AX39" si="50">AH12+AK12+AV12++AF12-AG12</f>
        <v>10767764.903846156</v>
      </c>
      <c r="AY12" s="236">
        <f t="shared" si="15"/>
        <v>5667000</v>
      </c>
      <c r="AZ12" s="236">
        <f t="shared" ref="AZ12" si="51">AY12*17.5%</f>
        <v>991724.99999999988</v>
      </c>
      <c r="BA12" s="236">
        <f t="shared" ref="BA12" si="52">AY12*3%</f>
        <v>170010</v>
      </c>
      <c r="BB12" s="236">
        <f t="shared" ref="BB12" si="53">AY12*1%</f>
        <v>56670</v>
      </c>
      <c r="BC12" s="236">
        <f t="shared" si="31"/>
        <v>113340</v>
      </c>
      <c r="BD12" s="236">
        <f t="shared" si="32"/>
        <v>1331745</v>
      </c>
      <c r="BE12" s="236">
        <f t="shared" ref="BE12" si="54">AY12*8%</f>
        <v>453360</v>
      </c>
      <c r="BF12" s="236">
        <f t="shared" ref="BF12" si="55">AY12*1.5%</f>
        <v>85005</v>
      </c>
      <c r="BG12" s="236">
        <f t="shared" ref="BG12" si="56">AY12*1%</f>
        <v>56670</v>
      </c>
      <c r="BH12" s="236">
        <f t="shared" si="33"/>
        <v>595035</v>
      </c>
      <c r="BI12" s="236">
        <v>11000000</v>
      </c>
      <c r="BJ12" s="236"/>
      <c r="BK12" s="236">
        <f t="shared" ref="BK12:BK39" si="57">BJ12*4400000</f>
        <v>0</v>
      </c>
      <c r="BL12" s="236">
        <f t="shared" si="22"/>
        <v>260000</v>
      </c>
      <c r="BM12" s="236">
        <f t="shared" si="23"/>
        <v>8810389.4230769239</v>
      </c>
      <c r="BN12" s="236">
        <f t="shared" ref="BN12" si="58">IF(BM12-BI12-BK12-BH12&lt;0,0,BM12-BK12-BI12-BH12)</f>
        <v>0</v>
      </c>
      <c r="BO12" s="236">
        <f t="shared" ref="BO12" si="59">ROUND(IF(BN12&lt;=5000000,BN12*5%,IF(AND(BN12&gt;5000000,BN12&lt;=10000000),BN12*10%-250000,IF(AND(BN12&gt;10000000,BN12&lt;=18000000),BN12*15%-750000,IF(AND(BN12&gt;18000000,BN12&lt;=32000000),BN12*20%-1650000,IF(AND(BN12&gt;32000000,BN12&lt;=52000000),BN12*25%-3250000,IF(AND(BN12&gt;52000000,BN12&lt;80000000),BN12*30%-585000,IF(BN12&gt;80000000,BN12*35%-9850000))))))),0)</f>
        <v>0</v>
      </c>
      <c r="BP12" s="232">
        <v>35000</v>
      </c>
      <c r="BQ12" s="324"/>
      <c r="BR12" s="238">
        <f t="shared" si="34"/>
        <v>10137729.903846156</v>
      </c>
      <c r="BS12" s="238" t="s">
        <v>202</v>
      </c>
      <c r="BT12" s="236"/>
    </row>
    <row r="13" spans="1:75" s="45" customFormat="1" ht="28.5" customHeight="1">
      <c r="A13" s="327">
        <f t="shared" si="35"/>
        <v>4</v>
      </c>
      <c r="B13" s="378" t="s">
        <v>262</v>
      </c>
      <c r="C13" s="247" t="s">
        <v>112</v>
      </c>
      <c r="D13" s="176">
        <v>208</v>
      </c>
      <c r="E13" s="176">
        <v>144.5</v>
      </c>
      <c r="F13" s="235">
        <v>71.5</v>
      </c>
      <c r="G13" s="235">
        <v>20</v>
      </c>
      <c r="H13" s="235">
        <v>42.5</v>
      </c>
      <c r="I13" s="235">
        <v>21</v>
      </c>
      <c r="J13" s="235"/>
      <c r="K13" s="235"/>
      <c r="L13" s="235"/>
      <c r="M13" s="235"/>
      <c r="N13" s="235"/>
      <c r="O13" s="235"/>
      <c r="P13" s="235"/>
      <c r="Q13" s="236">
        <v>4267000</v>
      </c>
      <c r="R13" s="236">
        <v>800000</v>
      </c>
      <c r="S13" s="236"/>
      <c r="T13" s="236">
        <v>600000</v>
      </c>
      <c r="U13" s="236">
        <v>0</v>
      </c>
      <c r="V13" s="236">
        <f t="shared" ref="V13" si="60">IF((E13+F13)&gt;=D13,U13,(E13+F13)*U13/D13)</f>
        <v>0</v>
      </c>
      <c r="W13" s="236">
        <v>300000</v>
      </c>
      <c r="X13" s="236">
        <f t="shared" si="25"/>
        <v>300000</v>
      </c>
      <c r="Y13" s="236">
        <v>300000</v>
      </c>
      <c r="Z13" s="236">
        <f t="shared" si="26"/>
        <v>300000</v>
      </c>
      <c r="AA13" s="236"/>
      <c r="AB13" s="236">
        <v>0</v>
      </c>
      <c r="AC13" s="236">
        <f t="shared" si="27"/>
        <v>500000</v>
      </c>
      <c r="AD13" s="236">
        <f t="shared" ref="AD13" si="61">G13*13000</f>
        <v>260000</v>
      </c>
      <c r="AE13" s="236">
        <v>0</v>
      </c>
      <c r="AF13" s="236"/>
      <c r="AG13" s="236"/>
      <c r="AH13" s="236">
        <f t="shared" si="1"/>
        <v>1360000</v>
      </c>
      <c r="AI13" s="236">
        <f t="shared" si="2"/>
        <v>5667000</v>
      </c>
      <c r="AJ13" s="236">
        <f t="shared" ref="AJ13" si="62">AI13/208</f>
        <v>27245.192307692309</v>
      </c>
      <c r="AK13" s="236">
        <f t="shared" ref="AK13" si="63">AJ13*(E13+F13*130%)</f>
        <v>6469370.913461538</v>
      </c>
      <c r="AL13" s="236"/>
      <c r="AM13" s="236">
        <f t="shared" ref="AM13" si="64">AJ13*H13*150%</f>
        <v>1736881.0096153845</v>
      </c>
      <c r="AN13" s="236">
        <f t="shared" ref="AN13" si="65">AJ13*I13*150%*130%</f>
        <v>1115690.625</v>
      </c>
      <c r="AO13" s="236">
        <f t="shared" ref="AO13" si="66">+AJ13*J13*200%</f>
        <v>0</v>
      </c>
      <c r="AP13" s="236">
        <f t="shared" ref="AP13" si="67">AJ13*K13*200%*130%</f>
        <v>0</v>
      </c>
      <c r="AQ13" s="236">
        <f t="shared" ref="AQ13" si="68">AJ13*L13*200%*150%</f>
        <v>0</v>
      </c>
      <c r="AR13" s="236">
        <f t="shared" ref="AR13" si="69">AJ13*M13*200%*150%*130%</f>
        <v>0</v>
      </c>
      <c r="AS13" s="236">
        <f t="shared" ref="AS13" si="70">N13*AJ13*300%</f>
        <v>0</v>
      </c>
      <c r="AT13" s="236">
        <f t="shared" ref="AT13" si="71">AJ13*O13*130%*300%</f>
        <v>0</v>
      </c>
      <c r="AU13" s="236">
        <f t="shared" ref="AU13" si="72">P13*AJ13*150%*300%</f>
        <v>0</v>
      </c>
      <c r="AV13" s="236">
        <f t="shared" ref="AV13" si="73">SUM(AM13:AU13)</f>
        <v>2852571.6346153845</v>
      </c>
      <c r="AW13" s="236"/>
      <c r="AX13" s="236">
        <f t="shared" si="50"/>
        <v>10681942.548076922</v>
      </c>
      <c r="AY13" s="236">
        <f t="shared" si="15"/>
        <v>5667000</v>
      </c>
      <c r="AZ13" s="236">
        <f t="shared" ref="AZ13" si="74">AY13*17.5%</f>
        <v>991724.99999999988</v>
      </c>
      <c r="BA13" s="236">
        <f t="shared" ref="BA13" si="75">AY13*3%</f>
        <v>170010</v>
      </c>
      <c r="BB13" s="236">
        <f t="shared" ref="BB13" si="76">AY13*1%</f>
        <v>56670</v>
      </c>
      <c r="BC13" s="236">
        <f t="shared" si="31"/>
        <v>113340</v>
      </c>
      <c r="BD13" s="236">
        <f t="shared" si="32"/>
        <v>1331745</v>
      </c>
      <c r="BE13" s="236">
        <f t="shared" ref="BE13" si="77">AY13*8%</f>
        <v>453360</v>
      </c>
      <c r="BF13" s="236">
        <f t="shared" ref="BF13" si="78">AY13*1.5%</f>
        <v>85005</v>
      </c>
      <c r="BG13" s="236">
        <f t="shared" ref="BG13" si="79">AY13*1%</f>
        <v>56670</v>
      </c>
      <c r="BH13" s="236">
        <f t="shared" si="33"/>
        <v>595035</v>
      </c>
      <c r="BI13" s="236">
        <v>11000000</v>
      </c>
      <c r="BJ13" s="236"/>
      <c r="BK13" s="236">
        <f t="shared" si="57"/>
        <v>0</v>
      </c>
      <c r="BL13" s="236">
        <f t="shared" si="22"/>
        <v>260000</v>
      </c>
      <c r="BM13" s="236">
        <f t="shared" si="23"/>
        <v>8715031.2499999981</v>
      </c>
      <c r="BN13" s="236">
        <f t="shared" ref="BN13" si="80">IF(BM13-BI13-BK13-BH13&lt;0,0,BM13-BK13-BI13-BH13)</f>
        <v>0</v>
      </c>
      <c r="BO13" s="236">
        <f t="shared" ref="BO13" si="81">ROUND(IF(BN13&lt;=5000000,BN13*5%,IF(AND(BN13&gt;5000000,BN13&lt;=10000000),BN13*10%-250000,IF(AND(BN13&gt;10000000,BN13&lt;=18000000),BN13*15%-750000,IF(AND(BN13&gt;18000000,BN13&lt;=32000000),BN13*20%-1650000,IF(AND(BN13&gt;32000000,BN13&lt;=52000000),BN13*25%-3250000,IF(AND(BN13&gt;52000000,BN13&lt;80000000),BN13*30%-585000,IF(BN13&gt;80000000,BN13*35%-9850000))))))),0)</f>
        <v>0</v>
      </c>
      <c r="BP13" s="232">
        <v>35000</v>
      </c>
      <c r="BQ13" s="324"/>
      <c r="BR13" s="238">
        <f t="shared" si="34"/>
        <v>10051907.548076922</v>
      </c>
      <c r="BS13" s="238" t="s">
        <v>203</v>
      </c>
      <c r="BT13" s="236"/>
      <c r="BU13" s="184"/>
    </row>
    <row r="14" spans="1:75" s="41" customFormat="1" ht="28.5" customHeight="1">
      <c r="A14" s="327">
        <f t="shared" si="35"/>
        <v>5</v>
      </c>
      <c r="B14" s="233" t="s">
        <v>237</v>
      </c>
      <c r="C14" s="247" t="s">
        <v>112</v>
      </c>
      <c r="D14" s="176">
        <v>208</v>
      </c>
      <c r="E14" s="176">
        <v>150</v>
      </c>
      <c r="F14" s="235">
        <v>66</v>
      </c>
      <c r="G14" s="235">
        <v>18</v>
      </c>
      <c r="H14" s="235">
        <v>40</v>
      </c>
      <c r="I14" s="235">
        <v>18</v>
      </c>
      <c r="J14" s="235"/>
      <c r="K14" s="328"/>
      <c r="L14" s="328"/>
      <c r="M14" s="328"/>
      <c r="N14" s="328"/>
      <c r="O14" s="328"/>
      <c r="P14" s="328"/>
      <c r="Q14" s="236">
        <v>4267000</v>
      </c>
      <c r="R14" s="240">
        <v>800000</v>
      </c>
      <c r="S14" s="240"/>
      <c r="T14" s="240">
        <v>600000</v>
      </c>
      <c r="U14" s="236">
        <v>0</v>
      </c>
      <c r="V14" s="236">
        <f t="shared" ref="V14" si="82">IF((E14+F14)&gt;=D14,U14,(E14+F14)*U14/D14)</f>
        <v>0</v>
      </c>
      <c r="W14" s="236">
        <v>300000</v>
      </c>
      <c r="X14" s="236">
        <f t="shared" si="25"/>
        <v>300000</v>
      </c>
      <c r="Y14" s="236">
        <v>300000</v>
      </c>
      <c r="Z14" s="236">
        <f t="shared" si="26"/>
        <v>300000</v>
      </c>
      <c r="AA14" s="236"/>
      <c r="AB14" s="236">
        <v>0</v>
      </c>
      <c r="AC14" s="236">
        <f t="shared" si="27"/>
        <v>500000</v>
      </c>
      <c r="AD14" s="236">
        <f t="shared" ref="AD14:AD17" si="83">G14*13000</f>
        <v>234000</v>
      </c>
      <c r="AE14" s="236">
        <v>0</v>
      </c>
      <c r="AF14" s="236"/>
      <c r="AG14" s="236"/>
      <c r="AH14" s="236">
        <f t="shared" si="1"/>
        <v>1334000</v>
      </c>
      <c r="AI14" s="236">
        <f t="shared" si="2"/>
        <v>5667000</v>
      </c>
      <c r="AJ14" s="236">
        <f t="shared" ref="AJ14" si="84">AI14/208</f>
        <v>27245.192307692309</v>
      </c>
      <c r="AK14" s="236">
        <f t="shared" ref="AK14" si="85">AJ14*(E14+F14*130%)</f>
        <v>6424416.3461538469</v>
      </c>
      <c r="AL14" s="240"/>
      <c r="AM14" s="236">
        <f t="shared" ref="AM14" si="86">AJ14*H14*150%</f>
        <v>1634711.5384615385</v>
      </c>
      <c r="AN14" s="236">
        <f t="shared" ref="AN14" si="87">AJ14*I14*150%*130%</f>
        <v>956306.25000000012</v>
      </c>
      <c r="AO14" s="236">
        <f t="shared" ref="AO14" si="88">+AJ14*J14*200%</f>
        <v>0</v>
      </c>
      <c r="AP14" s="236">
        <f t="shared" ref="AP14" si="89">AJ14*K14*200%*130%</f>
        <v>0</v>
      </c>
      <c r="AQ14" s="236">
        <f t="shared" ref="AQ14" si="90">AJ14*L14*200%*150%</f>
        <v>0</v>
      </c>
      <c r="AR14" s="236">
        <f t="shared" ref="AR14" si="91">AJ14*M14*200%*150%*130%</f>
        <v>0</v>
      </c>
      <c r="AS14" s="236">
        <f t="shared" ref="AS14" si="92">N14*AJ14*300%</f>
        <v>0</v>
      </c>
      <c r="AT14" s="236">
        <f t="shared" ref="AT14" si="93">AJ14*O14*130%*300%</f>
        <v>0</v>
      </c>
      <c r="AU14" s="236">
        <f t="shared" ref="AU14" si="94">P14*AJ14*150%*300%</f>
        <v>0</v>
      </c>
      <c r="AV14" s="236">
        <f t="shared" ref="AV14" si="95">SUM(AM14:AU14)</f>
        <v>2591017.7884615385</v>
      </c>
      <c r="AW14" s="240"/>
      <c r="AX14" s="236">
        <f t="shared" si="50"/>
        <v>10349434.134615386</v>
      </c>
      <c r="AY14" s="236">
        <f t="shared" si="15"/>
        <v>5667000</v>
      </c>
      <c r="AZ14" s="236">
        <f t="shared" ref="AZ14" si="96">AY14*17.5%</f>
        <v>991724.99999999988</v>
      </c>
      <c r="BA14" s="236">
        <f t="shared" ref="BA14" si="97">AY14*3%</f>
        <v>170010</v>
      </c>
      <c r="BB14" s="236">
        <f t="shared" ref="BB14" si="98">AY14*1%</f>
        <v>56670</v>
      </c>
      <c r="BC14" s="236">
        <f t="shared" si="31"/>
        <v>113340</v>
      </c>
      <c r="BD14" s="236">
        <f t="shared" si="32"/>
        <v>1331745</v>
      </c>
      <c r="BE14" s="236">
        <f t="shared" ref="BE14" si="99">AY14*8%</f>
        <v>453360</v>
      </c>
      <c r="BF14" s="236">
        <f t="shared" ref="BF14" si="100">AY14*1.5%</f>
        <v>85005</v>
      </c>
      <c r="BG14" s="236">
        <f t="shared" ref="BG14" si="101">AY14*1%</f>
        <v>56670</v>
      </c>
      <c r="BH14" s="236">
        <f t="shared" si="33"/>
        <v>595035</v>
      </c>
      <c r="BI14" s="236">
        <v>11000000</v>
      </c>
      <c r="BJ14" s="240"/>
      <c r="BK14" s="236">
        <f t="shared" si="57"/>
        <v>0</v>
      </c>
      <c r="BL14" s="236">
        <f t="shared" si="22"/>
        <v>234000</v>
      </c>
      <c r="BM14" s="236">
        <f t="shared" si="23"/>
        <v>8565182.6923076939</v>
      </c>
      <c r="BN14" s="236">
        <f t="shared" ref="BN14" si="102">IF(BM14-BI14-BK14-BH14&lt;0,0,BM14-BK14-BI14-BH14)</f>
        <v>0</v>
      </c>
      <c r="BO14" s="236">
        <f t="shared" ref="BO14" si="103">ROUND(IF(BN14&lt;=5000000,BN14*5%,IF(AND(BN14&gt;5000000,BN14&lt;=10000000),BN14*10%-250000,IF(AND(BN14&gt;10000000,BN14&lt;=18000000),BN14*15%-750000,IF(AND(BN14&gt;18000000,BN14&lt;=32000000),BN14*20%-1650000,IF(AND(BN14&gt;32000000,BN14&lt;=52000000),BN14*25%-3250000,IF(AND(BN14&gt;52000000,BN14&lt;80000000),BN14*30%-585000,IF(BN14&gt;80000000,BN14*35%-9850000))))))),0)</f>
        <v>0</v>
      </c>
      <c r="BP14" s="232">
        <v>35000</v>
      </c>
      <c r="BQ14" s="324"/>
      <c r="BR14" s="238">
        <f t="shared" si="34"/>
        <v>9719399.1346153859</v>
      </c>
      <c r="BS14" s="241" t="s">
        <v>207</v>
      </c>
      <c r="BT14" s="240"/>
      <c r="BW14" s="347"/>
    </row>
    <row r="15" spans="1:75" s="41" customFormat="1" ht="28.5" customHeight="1">
      <c r="A15" s="327">
        <f t="shared" si="35"/>
        <v>6</v>
      </c>
      <c r="B15" s="325" t="s">
        <v>246</v>
      </c>
      <c r="C15" s="247" t="s">
        <v>112</v>
      </c>
      <c r="D15" s="176">
        <v>208</v>
      </c>
      <c r="E15" s="176">
        <v>150</v>
      </c>
      <c r="F15" s="235">
        <v>66</v>
      </c>
      <c r="G15" s="235">
        <v>19</v>
      </c>
      <c r="H15" s="235">
        <v>42</v>
      </c>
      <c r="I15" s="235">
        <v>18</v>
      </c>
      <c r="J15" s="235"/>
      <c r="K15" s="329"/>
      <c r="L15" s="329"/>
      <c r="M15" s="329"/>
      <c r="N15" s="329"/>
      <c r="O15" s="329"/>
      <c r="P15" s="329"/>
      <c r="Q15" s="236">
        <v>4267000</v>
      </c>
      <c r="R15" s="240">
        <v>800000</v>
      </c>
      <c r="S15" s="240"/>
      <c r="T15" s="240">
        <v>300000</v>
      </c>
      <c r="U15" s="236">
        <v>0</v>
      </c>
      <c r="V15" s="236">
        <f t="shared" ref="V15:V17" si="104">IF((E15+F15)&gt;=D15,U15,(E15+F15)*U15/D15)</f>
        <v>0</v>
      </c>
      <c r="W15" s="236">
        <v>300000</v>
      </c>
      <c r="X15" s="236">
        <f t="shared" si="25"/>
        <v>300000</v>
      </c>
      <c r="Y15" s="236">
        <v>300000</v>
      </c>
      <c r="Z15" s="236">
        <f t="shared" si="26"/>
        <v>300000</v>
      </c>
      <c r="AA15" s="236"/>
      <c r="AB15" s="236">
        <v>0</v>
      </c>
      <c r="AC15" s="236">
        <f t="shared" si="27"/>
        <v>500000</v>
      </c>
      <c r="AD15" s="236">
        <f t="shared" si="83"/>
        <v>247000</v>
      </c>
      <c r="AE15" s="236">
        <v>0</v>
      </c>
      <c r="AF15" s="236"/>
      <c r="AG15" s="236"/>
      <c r="AH15" s="236">
        <f t="shared" si="1"/>
        <v>1347000</v>
      </c>
      <c r="AI15" s="236">
        <f t="shared" si="2"/>
        <v>5367000</v>
      </c>
      <c r="AJ15" s="236">
        <f t="shared" ref="AJ15:AJ17" si="105">AI15/208</f>
        <v>25802.884615384617</v>
      </c>
      <c r="AK15" s="236">
        <f t="shared" ref="AK15:AK17" si="106">AJ15*(E15+F15*130%)</f>
        <v>6084320.192307693</v>
      </c>
      <c r="AL15" s="236"/>
      <c r="AM15" s="236">
        <f t="shared" ref="AM15:AM17" si="107">AJ15*H15*150%</f>
        <v>1625581.730769231</v>
      </c>
      <c r="AN15" s="236">
        <f t="shared" ref="AN15:AN17" si="108">AJ15*I15*150%*130%</f>
        <v>905681.25000000023</v>
      </c>
      <c r="AO15" s="236">
        <f t="shared" ref="AO15:AO17" si="109">+AJ15*J15*200%</f>
        <v>0</v>
      </c>
      <c r="AP15" s="236">
        <f t="shared" ref="AP15:AP17" si="110">AJ15*K15*200%*130%</f>
        <v>0</v>
      </c>
      <c r="AQ15" s="236">
        <f t="shared" ref="AQ15:AQ17" si="111">AJ15*L15*200%*150%</f>
        <v>0</v>
      </c>
      <c r="AR15" s="236">
        <f t="shared" ref="AR15:AR17" si="112">AJ15*M15*200%*150%*130%</f>
        <v>0</v>
      </c>
      <c r="AS15" s="236">
        <f t="shared" ref="AS15:AS17" si="113">N15*AJ15*300%</f>
        <v>0</v>
      </c>
      <c r="AT15" s="236">
        <f t="shared" ref="AT15:AT17" si="114">AJ15*O15*130%*300%</f>
        <v>0</v>
      </c>
      <c r="AU15" s="236">
        <f t="shared" ref="AU15:AU17" si="115">P15*AJ15*150%*300%</f>
        <v>0</v>
      </c>
      <c r="AV15" s="236">
        <f t="shared" ref="AV15:AV17" si="116">SUM(AM15:AU15)</f>
        <v>2531262.980769231</v>
      </c>
      <c r="AW15" s="236"/>
      <c r="AX15" s="236">
        <f t="shared" si="50"/>
        <v>9962583.1730769239</v>
      </c>
      <c r="AY15" s="236">
        <f t="shared" si="15"/>
        <v>5367000</v>
      </c>
      <c r="AZ15" s="236">
        <f t="shared" ref="AZ15:AZ17" si="117">AY15*17.5%</f>
        <v>939224.99999999988</v>
      </c>
      <c r="BA15" s="236">
        <f t="shared" ref="BA15:BA17" si="118">AY15*3%</f>
        <v>161010</v>
      </c>
      <c r="BB15" s="236">
        <f t="shared" ref="BB15:BB17" si="119">AY15*1%</f>
        <v>53670</v>
      </c>
      <c r="BC15" s="236">
        <f t="shared" si="31"/>
        <v>107340</v>
      </c>
      <c r="BD15" s="236">
        <f t="shared" si="32"/>
        <v>1261245</v>
      </c>
      <c r="BE15" s="236">
        <f t="shared" ref="BE15:BE17" si="120">AY15*8%</f>
        <v>429360</v>
      </c>
      <c r="BF15" s="236">
        <f t="shared" ref="BF15:BF17" si="121">AY15*1.5%</f>
        <v>80505</v>
      </c>
      <c r="BG15" s="236">
        <f t="shared" ref="BG15:BG17" si="122">AY15*1%</f>
        <v>53670</v>
      </c>
      <c r="BH15" s="236">
        <f t="shared" si="33"/>
        <v>563535</v>
      </c>
      <c r="BI15" s="240">
        <v>11000000</v>
      </c>
      <c r="BJ15" s="236"/>
      <c r="BK15" s="236">
        <f t="shared" si="57"/>
        <v>0</v>
      </c>
      <c r="BL15" s="236">
        <f t="shared" si="22"/>
        <v>247000</v>
      </c>
      <c r="BM15" s="236">
        <f t="shared" si="23"/>
        <v>8221596.1538461568</v>
      </c>
      <c r="BN15" s="236">
        <f t="shared" ref="BN15:BN17" si="123">IF(BM15-BI15-BK15-BH15&lt;0,0,BM15-BK15-BI15-BH15)</f>
        <v>0</v>
      </c>
      <c r="BO15" s="236">
        <f t="shared" ref="BO15:BO17" si="124">ROUND(IF(BN15&lt;=5000000,BN15*5%,IF(AND(BN15&gt;5000000,BN15&lt;=10000000),BN15*10%-250000,IF(AND(BN15&gt;10000000,BN15&lt;=18000000),BN15*15%-750000,IF(AND(BN15&gt;18000000,BN15&lt;=32000000),BN15*20%-1650000,IF(AND(BN15&gt;32000000,BN15&lt;=52000000),BN15*25%-3250000,IF(AND(BN15&gt;52000000,BN15&lt;80000000),BN15*30%-585000,IF(BN15&gt;80000000,BN15*35%-9850000))))))),0)</f>
        <v>0</v>
      </c>
      <c r="BP15" s="232">
        <v>35000</v>
      </c>
      <c r="BQ15" s="324"/>
      <c r="BR15" s="238">
        <f t="shared" si="34"/>
        <v>9364048.1730769239</v>
      </c>
      <c r="BS15" s="238" t="s">
        <v>208</v>
      </c>
      <c r="BT15" s="236"/>
    </row>
    <row r="16" spans="1:75" s="45" customFormat="1" ht="33.75" customHeight="1">
      <c r="A16" s="327">
        <f t="shared" si="35"/>
        <v>7</v>
      </c>
      <c r="B16" s="378" t="s">
        <v>327</v>
      </c>
      <c r="C16" s="247" t="s">
        <v>148</v>
      </c>
      <c r="D16" s="176">
        <v>208</v>
      </c>
      <c r="E16" s="176">
        <v>120.5</v>
      </c>
      <c r="F16" s="235">
        <v>71.5</v>
      </c>
      <c r="G16" s="235">
        <v>17</v>
      </c>
      <c r="H16" s="235">
        <v>33</v>
      </c>
      <c r="I16" s="235">
        <v>18</v>
      </c>
      <c r="J16" s="235"/>
      <c r="K16" s="235"/>
      <c r="L16" s="235"/>
      <c r="M16" s="235"/>
      <c r="N16" s="235"/>
      <c r="O16" s="235"/>
      <c r="P16" s="235"/>
      <c r="Q16" s="236">
        <v>4267000</v>
      </c>
      <c r="R16" s="240">
        <v>300000</v>
      </c>
      <c r="S16" s="240"/>
      <c r="T16" s="240">
        <v>600000</v>
      </c>
      <c r="U16" s="236">
        <v>0</v>
      </c>
      <c r="V16" s="236">
        <f t="shared" ref="V16" si="125">IF((E16+F16)&gt;=D16,U16,(E16+F16)*U16/D16)</f>
        <v>0</v>
      </c>
      <c r="W16" s="236">
        <v>300000</v>
      </c>
      <c r="X16" s="236">
        <f t="shared" si="25"/>
        <v>300000</v>
      </c>
      <c r="Y16" s="236">
        <v>300000</v>
      </c>
      <c r="Z16" s="236">
        <f t="shared" si="26"/>
        <v>300000</v>
      </c>
      <c r="AA16" s="236"/>
      <c r="AB16" s="236">
        <v>0</v>
      </c>
      <c r="AC16" s="236">
        <f t="shared" si="27"/>
        <v>500000</v>
      </c>
      <c r="AD16" s="236">
        <f t="shared" ref="AD16" si="126">G16*13000</f>
        <v>221000</v>
      </c>
      <c r="AE16" s="236">
        <v>0</v>
      </c>
      <c r="AF16" s="236"/>
      <c r="AG16" s="236"/>
      <c r="AH16" s="236">
        <f t="shared" ref="AH16" si="127">V16+X16+Z16+AA16+AC16+AD16+AE16</f>
        <v>1321000</v>
      </c>
      <c r="AI16" s="236">
        <f t="shared" ref="AI16" si="128">Q16+R16+T16</f>
        <v>5167000</v>
      </c>
      <c r="AJ16" s="236">
        <f t="shared" ref="AJ16" si="129">AI16/208</f>
        <v>24841.346153846152</v>
      </c>
      <c r="AK16" s="236">
        <f t="shared" ref="AK16" si="130">AJ16*(E16+F16*130%)</f>
        <v>5302385.336538461</v>
      </c>
      <c r="AL16" s="236"/>
      <c r="AM16" s="236">
        <f t="shared" ref="AM16" si="131">AJ16*H16*150%</f>
        <v>1229646.6346153845</v>
      </c>
      <c r="AN16" s="236">
        <f t="shared" ref="AN16" si="132">AJ16*I16*150%*130%</f>
        <v>871931.25</v>
      </c>
      <c r="AO16" s="236">
        <f t="shared" ref="AO16" si="133">+AJ16*J16*200%</f>
        <v>0</v>
      </c>
      <c r="AP16" s="236">
        <f t="shared" ref="AP16" si="134">AJ16*K16*200%*130%</f>
        <v>0</v>
      </c>
      <c r="AQ16" s="236">
        <f t="shared" ref="AQ16" si="135">AJ16*L16*200%*150%</f>
        <v>0</v>
      </c>
      <c r="AR16" s="236">
        <f t="shared" ref="AR16" si="136">AJ16*M16*200%*150%*130%</f>
        <v>0</v>
      </c>
      <c r="AS16" s="236">
        <f t="shared" ref="AS16" si="137">N16*AJ16*300%</f>
        <v>0</v>
      </c>
      <c r="AT16" s="236">
        <f t="shared" ref="AT16" si="138">AJ16*O16*130%*300%</f>
        <v>0</v>
      </c>
      <c r="AU16" s="236">
        <f t="shared" ref="AU16" si="139">P16*AJ16*150%*300%</f>
        <v>0</v>
      </c>
      <c r="AV16" s="236">
        <f t="shared" ref="AV16" si="140">SUM(AM16:AU16)</f>
        <v>2101577.8846153845</v>
      </c>
      <c r="AW16" s="236"/>
      <c r="AX16" s="236">
        <f t="shared" ref="AX16" si="141">AH16+AK16+AV16++AF16-AG16</f>
        <v>8724963.221153846</v>
      </c>
      <c r="AY16" s="236">
        <f t="shared" si="15"/>
        <v>5167000</v>
      </c>
      <c r="AZ16" s="236">
        <f t="shared" ref="AZ16" si="142">AY16*17.5%</f>
        <v>904225</v>
      </c>
      <c r="BA16" s="236">
        <f t="shared" ref="BA16" si="143">AY16*3%</f>
        <v>155010</v>
      </c>
      <c r="BB16" s="236">
        <f t="shared" ref="BB16" si="144">AY16*1%</f>
        <v>51670</v>
      </c>
      <c r="BC16" s="236">
        <f t="shared" ref="BC16" si="145">AY16*2%</f>
        <v>103340</v>
      </c>
      <c r="BD16" s="236">
        <f t="shared" ref="BD16" si="146">AZ16+BA16+BB16+BC16</f>
        <v>1214245</v>
      </c>
      <c r="BE16" s="236">
        <f t="shared" ref="BE16" si="147">AY16*8%</f>
        <v>413360</v>
      </c>
      <c r="BF16" s="236">
        <f t="shared" ref="BF16" si="148">AY16*1.5%</f>
        <v>77505</v>
      </c>
      <c r="BG16" s="236">
        <f t="shared" ref="BG16" si="149">AY16*1%</f>
        <v>51670</v>
      </c>
      <c r="BH16" s="236">
        <f t="shared" ref="BH16" si="150">BE16+BF16+BG16</f>
        <v>542535</v>
      </c>
      <c r="BI16" s="240">
        <v>11000000</v>
      </c>
      <c r="BJ16" s="236"/>
      <c r="BK16" s="236">
        <f t="shared" ref="BK16" si="151">BJ16*4400000</f>
        <v>0</v>
      </c>
      <c r="BL16" s="236">
        <f t="shared" ref="BL16" si="152">V16+AB16+AD16</f>
        <v>221000</v>
      </c>
      <c r="BM16" s="236">
        <f t="shared" ref="BM16" si="153">AX16-BL16-H16*0.5*AJ16-I16*0.95*AJ16-F16*0.3*AJ16-AJ16*J16-AJ16*K16*1.6-AJ16*L16*2-AJ16*M16*2.9-AJ16*N16*2-AJ16*O16*2.9-AJ16*P16*3.5</f>
        <v>7136447.115384615</v>
      </c>
      <c r="BN16" s="236">
        <f t="shared" ref="BN16" si="154">IF(BM16-BI16-BK16-BH16&lt;0,0,BM16-BK16-BI16-BH16)</f>
        <v>0</v>
      </c>
      <c r="BO16" s="236">
        <f t="shared" ref="BO16" si="155">ROUND(IF(BN16&lt;=5000000,BN16*5%,IF(AND(BN16&gt;5000000,BN16&lt;=10000000),BN16*10%-250000,IF(AND(BN16&gt;10000000,BN16&lt;=18000000),BN16*15%-750000,IF(AND(BN16&gt;18000000,BN16&lt;=32000000),BN16*20%-1650000,IF(AND(BN16&gt;32000000,BN16&lt;=52000000),BN16*25%-3250000,IF(AND(BN16&gt;52000000,BN16&lt;80000000),BN16*30%-585000,IF(BN16&gt;80000000,BN16*35%-9850000))))))),0)</f>
        <v>0</v>
      </c>
      <c r="BP16" s="232">
        <v>35000</v>
      </c>
      <c r="BQ16" s="324"/>
      <c r="BR16" s="238">
        <f t="shared" ref="BR16" si="156">AX16-BH16-BO16-BP16</f>
        <v>8147428.221153846</v>
      </c>
      <c r="BS16" s="238" t="s">
        <v>210</v>
      </c>
      <c r="BT16" s="236"/>
    </row>
    <row r="17" spans="1:72" s="41" customFormat="1" ht="25.5" customHeight="1">
      <c r="A17" s="327">
        <f t="shared" si="35"/>
        <v>8</v>
      </c>
      <c r="B17" s="325" t="s">
        <v>177</v>
      </c>
      <c r="C17" s="247" t="s">
        <v>158</v>
      </c>
      <c r="D17" s="176">
        <v>208</v>
      </c>
      <c r="E17" s="176">
        <v>150</v>
      </c>
      <c r="F17" s="235">
        <v>66</v>
      </c>
      <c r="G17" s="235">
        <v>18</v>
      </c>
      <c r="H17" s="235">
        <v>39</v>
      </c>
      <c r="I17" s="235">
        <v>20.5</v>
      </c>
      <c r="J17" s="235"/>
      <c r="K17" s="235"/>
      <c r="L17" s="235"/>
      <c r="M17" s="235"/>
      <c r="N17" s="235"/>
      <c r="O17" s="235"/>
      <c r="P17" s="235"/>
      <c r="Q17" s="236">
        <v>4267000</v>
      </c>
      <c r="R17" s="240">
        <v>300000</v>
      </c>
      <c r="S17" s="240"/>
      <c r="T17" s="240">
        <v>300000</v>
      </c>
      <c r="U17" s="236">
        <v>0</v>
      </c>
      <c r="V17" s="236">
        <f t="shared" si="104"/>
        <v>0</v>
      </c>
      <c r="W17" s="236">
        <v>300000</v>
      </c>
      <c r="X17" s="236">
        <f t="shared" si="25"/>
        <v>300000</v>
      </c>
      <c r="Y17" s="236">
        <v>300000</v>
      </c>
      <c r="Z17" s="236">
        <f t="shared" si="26"/>
        <v>300000</v>
      </c>
      <c r="AA17" s="236"/>
      <c r="AB17" s="236">
        <v>0</v>
      </c>
      <c r="AC17" s="236">
        <f t="shared" si="27"/>
        <v>500000</v>
      </c>
      <c r="AD17" s="236">
        <f t="shared" si="83"/>
        <v>234000</v>
      </c>
      <c r="AE17" s="236">
        <v>100000</v>
      </c>
      <c r="AF17" s="236"/>
      <c r="AG17" s="236"/>
      <c r="AH17" s="236">
        <f t="shared" si="1"/>
        <v>1434000</v>
      </c>
      <c r="AI17" s="236">
        <f t="shared" si="2"/>
        <v>4867000</v>
      </c>
      <c r="AJ17" s="236">
        <f t="shared" si="105"/>
        <v>23399.038461538461</v>
      </c>
      <c r="AK17" s="236">
        <f t="shared" si="106"/>
        <v>5517493.269230769</v>
      </c>
      <c r="AL17" s="236"/>
      <c r="AM17" s="236">
        <f t="shared" si="107"/>
        <v>1368843.75</v>
      </c>
      <c r="AN17" s="236">
        <f t="shared" si="108"/>
        <v>935376.5625</v>
      </c>
      <c r="AO17" s="236">
        <f t="shared" si="109"/>
        <v>0</v>
      </c>
      <c r="AP17" s="236">
        <f t="shared" si="110"/>
        <v>0</v>
      </c>
      <c r="AQ17" s="236">
        <f t="shared" si="111"/>
        <v>0</v>
      </c>
      <c r="AR17" s="236">
        <f t="shared" si="112"/>
        <v>0</v>
      </c>
      <c r="AS17" s="236">
        <f t="shared" si="113"/>
        <v>0</v>
      </c>
      <c r="AT17" s="236">
        <f t="shared" si="114"/>
        <v>0</v>
      </c>
      <c r="AU17" s="236">
        <f t="shared" si="115"/>
        <v>0</v>
      </c>
      <c r="AV17" s="236">
        <f t="shared" si="116"/>
        <v>2304220.3125</v>
      </c>
      <c r="AW17" s="236"/>
      <c r="AX17" s="236">
        <f t="shared" si="50"/>
        <v>9255713.5817307681</v>
      </c>
      <c r="AY17" s="236">
        <f t="shared" si="15"/>
        <v>4867000</v>
      </c>
      <c r="AZ17" s="236">
        <f t="shared" si="117"/>
        <v>851725</v>
      </c>
      <c r="BA17" s="236">
        <f t="shared" si="118"/>
        <v>146010</v>
      </c>
      <c r="BB17" s="236">
        <f t="shared" si="119"/>
        <v>48670</v>
      </c>
      <c r="BC17" s="236">
        <f t="shared" si="31"/>
        <v>97340</v>
      </c>
      <c r="BD17" s="236">
        <f t="shared" si="32"/>
        <v>1143745</v>
      </c>
      <c r="BE17" s="236">
        <f t="shared" si="120"/>
        <v>389360</v>
      </c>
      <c r="BF17" s="236">
        <f t="shared" si="121"/>
        <v>73005</v>
      </c>
      <c r="BG17" s="236">
        <f t="shared" si="122"/>
        <v>48670</v>
      </c>
      <c r="BH17" s="236">
        <f t="shared" si="33"/>
        <v>511035</v>
      </c>
      <c r="BI17" s="240">
        <v>11000000</v>
      </c>
      <c r="BJ17" s="236"/>
      <c r="BK17" s="236">
        <f t="shared" si="57"/>
        <v>0</v>
      </c>
      <c r="BL17" s="236">
        <f t="shared" si="22"/>
        <v>234000</v>
      </c>
      <c r="BM17" s="236">
        <f t="shared" si="23"/>
        <v>7646435.0961538441</v>
      </c>
      <c r="BN17" s="236">
        <f t="shared" si="123"/>
        <v>0</v>
      </c>
      <c r="BO17" s="236">
        <f t="shared" si="124"/>
        <v>0</v>
      </c>
      <c r="BP17" s="232">
        <v>35000</v>
      </c>
      <c r="BQ17" s="324"/>
      <c r="BR17" s="238">
        <f t="shared" si="34"/>
        <v>8709678.5817307681</v>
      </c>
      <c r="BS17" s="238" t="s">
        <v>209</v>
      </c>
      <c r="BT17" s="236"/>
    </row>
    <row r="18" spans="1:72" s="41" customFormat="1" ht="25.5" customHeight="1">
      <c r="A18" s="327">
        <f t="shared" si="35"/>
        <v>9</v>
      </c>
      <c r="B18" s="325" t="s">
        <v>309</v>
      </c>
      <c r="C18" s="247" t="s">
        <v>158</v>
      </c>
      <c r="D18" s="176">
        <v>208</v>
      </c>
      <c r="E18" s="176">
        <v>136</v>
      </c>
      <c r="F18" s="235">
        <v>0</v>
      </c>
      <c r="G18" s="235">
        <v>0</v>
      </c>
      <c r="H18" s="235">
        <v>0</v>
      </c>
      <c r="I18" s="235">
        <v>0</v>
      </c>
      <c r="J18" s="235"/>
      <c r="K18" s="235"/>
      <c r="L18" s="235"/>
      <c r="M18" s="235"/>
      <c r="N18" s="235"/>
      <c r="O18" s="235"/>
      <c r="P18" s="235"/>
      <c r="Q18" s="236">
        <v>4267000</v>
      </c>
      <c r="R18" s="240">
        <v>300000</v>
      </c>
      <c r="S18" s="240"/>
      <c r="T18" s="240">
        <v>600000</v>
      </c>
      <c r="U18" s="236">
        <v>0</v>
      </c>
      <c r="V18" s="236">
        <f t="shared" ref="V18" si="157">IF((E18+F18)&gt;=D18,U18,(E18+F18)*U18/D18)</f>
        <v>0</v>
      </c>
      <c r="W18" s="236">
        <v>300000</v>
      </c>
      <c r="X18" s="236">
        <f t="shared" si="25"/>
        <v>196153.84615384616</v>
      </c>
      <c r="Y18" s="236">
        <v>300000</v>
      </c>
      <c r="Z18" s="236">
        <f t="shared" si="26"/>
        <v>196153.84615384616</v>
      </c>
      <c r="AA18" s="236"/>
      <c r="AB18" s="236">
        <v>0</v>
      </c>
      <c r="AC18" s="236">
        <f t="shared" si="27"/>
        <v>0</v>
      </c>
      <c r="AD18" s="236">
        <f t="shared" ref="AD18" si="158">G18*13000</f>
        <v>0</v>
      </c>
      <c r="AE18" s="236">
        <v>0</v>
      </c>
      <c r="AF18" s="236"/>
      <c r="AG18" s="236"/>
      <c r="AH18" s="236">
        <f t="shared" ref="AH18" si="159">V18+X18+Z18+AA18+AC18+AD18+AE18</f>
        <v>392307.69230769231</v>
      </c>
      <c r="AI18" s="236">
        <f t="shared" ref="AI18" si="160">Q18+R18+T18</f>
        <v>5167000</v>
      </c>
      <c r="AJ18" s="236">
        <f t="shared" ref="AJ18" si="161">AI18/208</f>
        <v>24841.346153846152</v>
      </c>
      <c r="AK18" s="236">
        <f t="shared" ref="AK18" si="162">AJ18*(E18+F18*130%)</f>
        <v>3378423.0769230765</v>
      </c>
      <c r="AL18" s="236"/>
      <c r="AM18" s="236">
        <f t="shared" ref="AM18" si="163">AJ18*H18*150%</f>
        <v>0</v>
      </c>
      <c r="AN18" s="236">
        <f t="shared" ref="AN18" si="164">AJ18*I18*150%*130%</f>
        <v>0</v>
      </c>
      <c r="AO18" s="236">
        <f t="shared" ref="AO18" si="165">+AJ18*J18*200%</f>
        <v>0</v>
      </c>
      <c r="AP18" s="236">
        <f t="shared" ref="AP18" si="166">AJ18*K18*200%*130%</f>
        <v>0</v>
      </c>
      <c r="AQ18" s="236">
        <f t="shared" ref="AQ18" si="167">AJ18*L18*200%*150%</f>
        <v>0</v>
      </c>
      <c r="AR18" s="236">
        <f t="shared" ref="AR18" si="168">AJ18*M18*200%*150%*130%</f>
        <v>0</v>
      </c>
      <c r="AS18" s="236">
        <f t="shared" ref="AS18" si="169">N18*AJ18*300%</f>
        <v>0</v>
      </c>
      <c r="AT18" s="236">
        <f t="shared" ref="AT18" si="170">AJ18*O18*130%*300%</f>
        <v>0</v>
      </c>
      <c r="AU18" s="236">
        <f t="shared" ref="AU18" si="171">P18*AJ18*150%*300%</f>
        <v>0</v>
      </c>
      <c r="AV18" s="236">
        <f t="shared" ref="AV18" si="172">SUM(AM18:AU18)</f>
        <v>0</v>
      </c>
      <c r="AW18" s="236"/>
      <c r="AX18" s="236">
        <f t="shared" ref="AX18" si="173">AH18+AK18+AV18++AF18-AG18</f>
        <v>3770730.769230769</v>
      </c>
      <c r="AY18" s="236">
        <f t="shared" si="15"/>
        <v>5167000</v>
      </c>
      <c r="AZ18" s="236">
        <f t="shared" ref="AZ18" si="174">AY18*17.5%</f>
        <v>904225</v>
      </c>
      <c r="BA18" s="236">
        <f t="shared" ref="BA18" si="175">AY18*3%</f>
        <v>155010</v>
      </c>
      <c r="BB18" s="236">
        <f t="shared" ref="BB18" si="176">AY18*1%</f>
        <v>51670</v>
      </c>
      <c r="BC18" s="236">
        <f t="shared" ref="BC18" si="177">AY18*2%</f>
        <v>103340</v>
      </c>
      <c r="BD18" s="236">
        <f t="shared" ref="BD18" si="178">AZ18+BA18+BB18+BC18</f>
        <v>1214245</v>
      </c>
      <c r="BE18" s="236">
        <f t="shared" ref="BE18" si="179">AY18*8%</f>
        <v>413360</v>
      </c>
      <c r="BF18" s="236">
        <f t="shared" ref="BF18" si="180">AY18*1.5%</f>
        <v>77505</v>
      </c>
      <c r="BG18" s="236">
        <f t="shared" ref="BG18" si="181">AY18*1%</f>
        <v>51670</v>
      </c>
      <c r="BH18" s="236">
        <f t="shared" ref="BH18" si="182">BE18+BF18+BG18</f>
        <v>542535</v>
      </c>
      <c r="BI18" s="240">
        <v>11000000</v>
      </c>
      <c r="BJ18" s="236"/>
      <c r="BK18" s="236">
        <f t="shared" ref="BK18" si="183">BJ18*4400000</f>
        <v>0</v>
      </c>
      <c r="BL18" s="236">
        <f t="shared" ref="BL18" si="184">V18+AB18+AD18</f>
        <v>0</v>
      </c>
      <c r="BM18" s="236">
        <f t="shared" ref="BM18" si="185">AX18-BL18-H18*0.5*AJ18-I18*0.95*AJ18-F18*0.3*AJ18-AJ18*J18-AJ18*K18*1.6-AJ18*L18*2-AJ18*M18*2.9-AJ18*N18*2-AJ18*O18*2.9-AJ18*P18*3.5</f>
        <v>3770730.769230769</v>
      </c>
      <c r="BN18" s="236">
        <f t="shared" ref="BN18" si="186">IF(BM18-BI18-BK18-BH18&lt;0,0,BM18-BK18-BI18-BH18)</f>
        <v>0</v>
      </c>
      <c r="BO18" s="236">
        <f t="shared" ref="BO18" si="187">ROUND(IF(BN18&lt;=5000000,BN18*5%,IF(AND(BN18&gt;5000000,BN18&lt;=10000000),BN18*10%-250000,IF(AND(BN18&gt;10000000,BN18&lt;=18000000),BN18*15%-750000,IF(AND(BN18&gt;18000000,BN18&lt;=32000000),BN18*20%-1650000,IF(AND(BN18&gt;32000000,BN18&lt;=52000000),BN18*25%-3250000,IF(AND(BN18&gt;52000000,BN18&lt;80000000),BN18*30%-585000,IF(BN18&gt;80000000,BN18*35%-9850000))))))),0)</f>
        <v>0</v>
      </c>
      <c r="BP18" s="232"/>
      <c r="BQ18" s="324"/>
      <c r="BR18" s="238">
        <f t="shared" ref="BR18" si="188">AX18-BH18-BO18-BP18</f>
        <v>3228195.769230769</v>
      </c>
      <c r="BS18" s="238" t="s">
        <v>209</v>
      </c>
      <c r="BT18" s="236"/>
    </row>
    <row r="19" spans="1:72" s="41" customFormat="1" ht="25.5" customHeight="1">
      <c r="A19" s="327">
        <f t="shared" si="35"/>
        <v>10</v>
      </c>
      <c r="B19" s="325" t="s">
        <v>247</v>
      </c>
      <c r="C19" s="247" t="s">
        <v>113</v>
      </c>
      <c r="D19" s="176">
        <v>208</v>
      </c>
      <c r="E19" s="176">
        <v>142</v>
      </c>
      <c r="F19" s="235">
        <v>66</v>
      </c>
      <c r="G19" s="235">
        <v>18</v>
      </c>
      <c r="H19" s="235">
        <v>40.5</v>
      </c>
      <c r="I19" s="235">
        <v>18</v>
      </c>
      <c r="J19" s="235"/>
      <c r="K19" s="235"/>
      <c r="L19" s="235"/>
      <c r="M19" s="235"/>
      <c r="N19" s="235"/>
      <c r="O19" s="235"/>
      <c r="P19" s="235"/>
      <c r="Q19" s="236">
        <v>4064000</v>
      </c>
      <c r="R19" s="240">
        <v>0</v>
      </c>
      <c r="S19" s="240"/>
      <c r="T19" s="240">
        <v>0</v>
      </c>
      <c r="U19" s="236">
        <v>0</v>
      </c>
      <c r="V19" s="236">
        <f t="shared" ref="V19:V23" si="189">IF((E19+F19)&gt;=D19,U19,(E19+F19)*U19/D19)</f>
        <v>0</v>
      </c>
      <c r="W19" s="236">
        <v>300000</v>
      </c>
      <c r="X19" s="236">
        <f t="shared" si="25"/>
        <v>300000</v>
      </c>
      <c r="Y19" s="236">
        <v>300000</v>
      </c>
      <c r="Z19" s="236">
        <f t="shared" si="26"/>
        <v>300000</v>
      </c>
      <c r="AA19" s="236"/>
      <c r="AB19" s="236">
        <v>0</v>
      </c>
      <c r="AC19" s="236">
        <f t="shared" si="27"/>
        <v>500000</v>
      </c>
      <c r="AD19" s="236">
        <f t="shared" ref="AD19:AD23" si="190">G19*13000</f>
        <v>234000</v>
      </c>
      <c r="AE19" s="236">
        <v>0</v>
      </c>
      <c r="AF19" s="236"/>
      <c r="AG19" s="236"/>
      <c r="AH19" s="236">
        <f t="shared" si="1"/>
        <v>1334000</v>
      </c>
      <c r="AI19" s="236">
        <f t="shared" si="2"/>
        <v>4064000</v>
      </c>
      <c r="AJ19" s="236">
        <f t="shared" ref="AJ19:AJ23" si="191">AI19/208</f>
        <v>19538.461538461539</v>
      </c>
      <c r="AK19" s="236">
        <f t="shared" ref="AK19:AK23" si="192">AJ19*(E19+F19*130%)</f>
        <v>4450861.538461539</v>
      </c>
      <c r="AL19" s="240"/>
      <c r="AM19" s="236">
        <f t="shared" ref="AM19:AM23" si="193">AJ19*H19*150%</f>
        <v>1186961.5384615385</v>
      </c>
      <c r="AN19" s="236">
        <f t="shared" ref="AN19:AN23" si="194">AJ19*I19*150%*130%</f>
        <v>685800</v>
      </c>
      <c r="AO19" s="236">
        <f t="shared" ref="AO19:AO23" si="195">+AJ19*J19*200%</f>
        <v>0</v>
      </c>
      <c r="AP19" s="236">
        <f t="shared" ref="AP19:AP23" si="196">AJ19*K19*200%*130%</f>
        <v>0</v>
      </c>
      <c r="AQ19" s="236">
        <f t="shared" ref="AQ19:AQ23" si="197">AJ19*L19*200%*150%</f>
        <v>0</v>
      </c>
      <c r="AR19" s="236">
        <f t="shared" ref="AR19:AR23" si="198">AJ19*M19*200%*150%*130%</f>
        <v>0</v>
      </c>
      <c r="AS19" s="236">
        <f t="shared" ref="AS19:AS23" si="199">N19*AJ19*300%</f>
        <v>0</v>
      </c>
      <c r="AT19" s="236">
        <f t="shared" ref="AT19:AT23" si="200">AJ19*O19*130%*300%</f>
        <v>0</v>
      </c>
      <c r="AU19" s="236">
        <f t="shared" ref="AU19:AU23" si="201">P19*AJ19*150%*300%</f>
        <v>0</v>
      </c>
      <c r="AV19" s="236">
        <f t="shared" ref="AV19:AV23" si="202">SUM(AM19:AU19)</f>
        <v>1872761.5384615385</v>
      </c>
      <c r="AW19" s="240"/>
      <c r="AX19" s="236">
        <f t="shared" si="50"/>
        <v>7657623.0769230779</v>
      </c>
      <c r="AY19" s="236">
        <f t="shared" si="15"/>
        <v>4064000</v>
      </c>
      <c r="AZ19" s="236">
        <f t="shared" ref="AZ19:AZ23" si="203">AY19*17.5%</f>
        <v>711200</v>
      </c>
      <c r="BA19" s="236">
        <f t="shared" ref="BA19:BA23" si="204">AY19*3%</f>
        <v>121920</v>
      </c>
      <c r="BB19" s="236">
        <f t="shared" ref="BB19:BB23" si="205">AY19*1%</f>
        <v>40640</v>
      </c>
      <c r="BC19" s="236">
        <f t="shared" si="31"/>
        <v>81280</v>
      </c>
      <c r="BD19" s="236">
        <f t="shared" si="32"/>
        <v>955040</v>
      </c>
      <c r="BE19" s="236">
        <f t="shared" ref="BE19:BE23" si="206">AY19*8%</f>
        <v>325120</v>
      </c>
      <c r="BF19" s="236">
        <f t="shared" ref="BF19:BF23" si="207">AY19*1.5%</f>
        <v>60960</v>
      </c>
      <c r="BG19" s="236">
        <f t="shared" ref="BG19:BG23" si="208">AY19*1%</f>
        <v>40640</v>
      </c>
      <c r="BH19" s="236">
        <f t="shared" si="33"/>
        <v>426720</v>
      </c>
      <c r="BI19" s="240">
        <v>11000000</v>
      </c>
      <c r="BJ19" s="240"/>
      <c r="BK19" s="236">
        <f t="shared" si="57"/>
        <v>0</v>
      </c>
      <c r="BL19" s="236">
        <f t="shared" si="22"/>
        <v>234000</v>
      </c>
      <c r="BM19" s="236">
        <f t="shared" si="23"/>
        <v>6307000.0000000019</v>
      </c>
      <c r="BN19" s="236">
        <f t="shared" ref="BN19:BN23" si="209">IF(BM19-BI19-BK19-BH19&lt;0,0,BM19-BK19-BI19-BH19)</f>
        <v>0</v>
      </c>
      <c r="BO19" s="236">
        <f t="shared" ref="BO19:BO23" si="210">ROUND(IF(BN19&lt;=5000000,BN19*5%,IF(AND(BN19&gt;5000000,BN19&lt;=10000000),BN19*10%-250000,IF(AND(BN19&gt;10000000,BN19&lt;=18000000),BN19*15%-750000,IF(AND(BN19&gt;18000000,BN19&lt;=32000000),BN19*20%-1650000,IF(AND(BN19&gt;32000000,BN19&lt;=52000000),BN19*25%-3250000,IF(AND(BN19&gt;52000000,BN19&lt;80000000),BN19*30%-585000,IF(BN19&gt;80000000,BN19*35%-9850000))))))),0)</f>
        <v>0</v>
      </c>
      <c r="BP19" s="232">
        <v>35000</v>
      </c>
      <c r="BQ19" s="324"/>
      <c r="BR19" s="238">
        <f t="shared" si="34"/>
        <v>7195903.0769230779</v>
      </c>
      <c r="BS19" s="239" t="s">
        <v>243</v>
      </c>
      <c r="BT19" s="236"/>
    </row>
    <row r="20" spans="1:72" s="41" customFormat="1" ht="25.5" customHeight="1">
      <c r="A20" s="327">
        <f t="shared" si="35"/>
        <v>11</v>
      </c>
      <c r="B20" s="325" t="s">
        <v>248</v>
      </c>
      <c r="C20" s="247" t="s">
        <v>113</v>
      </c>
      <c r="D20" s="176">
        <v>208</v>
      </c>
      <c r="E20" s="176">
        <v>150</v>
      </c>
      <c r="F20" s="235">
        <v>66</v>
      </c>
      <c r="G20" s="235">
        <v>19</v>
      </c>
      <c r="H20" s="235">
        <v>39.5</v>
      </c>
      <c r="I20" s="235">
        <v>18</v>
      </c>
      <c r="J20" s="235"/>
      <c r="K20" s="235"/>
      <c r="L20" s="235"/>
      <c r="M20" s="235"/>
      <c r="N20" s="235"/>
      <c r="O20" s="235"/>
      <c r="P20" s="235"/>
      <c r="Q20" s="236">
        <v>4064000</v>
      </c>
      <c r="R20" s="240">
        <v>0</v>
      </c>
      <c r="S20" s="240"/>
      <c r="T20" s="240">
        <v>0</v>
      </c>
      <c r="U20" s="236">
        <v>0</v>
      </c>
      <c r="V20" s="236">
        <f t="shared" ref="V20" si="211">IF((E20+F20)&gt;=D20,U20,(E20+F20)*U20/D20)</f>
        <v>0</v>
      </c>
      <c r="W20" s="236">
        <v>300000</v>
      </c>
      <c r="X20" s="236">
        <f t="shared" si="25"/>
        <v>300000</v>
      </c>
      <c r="Y20" s="236">
        <v>300000</v>
      </c>
      <c r="Z20" s="236">
        <f t="shared" si="26"/>
        <v>300000</v>
      </c>
      <c r="AA20" s="236"/>
      <c r="AB20" s="236">
        <v>0</v>
      </c>
      <c r="AC20" s="236">
        <f t="shared" si="27"/>
        <v>500000</v>
      </c>
      <c r="AD20" s="236">
        <f t="shared" ref="AD20" si="212">G20*13000</f>
        <v>247000</v>
      </c>
      <c r="AE20" s="236">
        <v>100000</v>
      </c>
      <c r="AF20" s="236"/>
      <c r="AG20" s="236"/>
      <c r="AH20" s="236">
        <f t="shared" si="1"/>
        <v>1447000</v>
      </c>
      <c r="AI20" s="236">
        <f t="shared" si="2"/>
        <v>4064000</v>
      </c>
      <c r="AJ20" s="236">
        <f t="shared" ref="AJ20" si="213">AI20/208</f>
        <v>19538.461538461539</v>
      </c>
      <c r="AK20" s="236">
        <f t="shared" ref="AK20" si="214">AJ20*(E20+F20*130%)</f>
        <v>4607169.230769231</v>
      </c>
      <c r="AL20" s="240"/>
      <c r="AM20" s="236">
        <f t="shared" ref="AM20" si="215">AJ20*H20*150%</f>
        <v>1157653.846153846</v>
      </c>
      <c r="AN20" s="236">
        <f t="shared" ref="AN20" si="216">AJ20*I20*150%*130%</f>
        <v>685800</v>
      </c>
      <c r="AO20" s="236">
        <f t="shared" ref="AO20" si="217">+AJ20*J20*200%</f>
        <v>0</v>
      </c>
      <c r="AP20" s="236">
        <f t="shared" ref="AP20" si="218">AJ20*K20*200%*130%</f>
        <v>0</v>
      </c>
      <c r="AQ20" s="236">
        <f t="shared" ref="AQ20" si="219">AJ20*L20*200%*150%</f>
        <v>0</v>
      </c>
      <c r="AR20" s="236">
        <f t="shared" ref="AR20" si="220">AJ20*M20*200%*150%*130%</f>
        <v>0</v>
      </c>
      <c r="AS20" s="236">
        <f t="shared" ref="AS20" si="221">N20*AJ20*300%</f>
        <v>0</v>
      </c>
      <c r="AT20" s="236">
        <f t="shared" ref="AT20" si="222">AJ20*O20*130%*300%</f>
        <v>0</v>
      </c>
      <c r="AU20" s="236">
        <f t="shared" ref="AU20" si="223">P20*AJ20*150%*300%</f>
        <v>0</v>
      </c>
      <c r="AV20" s="236">
        <f t="shared" ref="AV20" si="224">SUM(AM20:AU20)</f>
        <v>1843453.846153846</v>
      </c>
      <c r="AW20" s="240"/>
      <c r="AX20" s="236">
        <f t="shared" si="50"/>
        <v>7897623.076923077</v>
      </c>
      <c r="AY20" s="236">
        <f t="shared" si="15"/>
        <v>4064000</v>
      </c>
      <c r="AZ20" s="236">
        <f t="shared" ref="AZ20" si="225">AY20*17.5%</f>
        <v>711200</v>
      </c>
      <c r="BA20" s="236">
        <f t="shared" ref="BA20" si="226">AY20*3%</f>
        <v>121920</v>
      </c>
      <c r="BB20" s="236">
        <f t="shared" ref="BB20" si="227">AY20*1%</f>
        <v>40640</v>
      </c>
      <c r="BC20" s="236">
        <f t="shared" si="31"/>
        <v>81280</v>
      </c>
      <c r="BD20" s="236">
        <f t="shared" si="32"/>
        <v>955040</v>
      </c>
      <c r="BE20" s="236">
        <f t="shared" ref="BE20" si="228">AY20*8%</f>
        <v>325120</v>
      </c>
      <c r="BF20" s="236">
        <f t="shared" ref="BF20" si="229">AY20*1.5%</f>
        <v>60960</v>
      </c>
      <c r="BG20" s="236">
        <f t="shared" ref="BG20" si="230">AY20*1%</f>
        <v>40640</v>
      </c>
      <c r="BH20" s="236">
        <f t="shared" si="33"/>
        <v>426720</v>
      </c>
      <c r="BI20" s="240">
        <v>11000000</v>
      </c>
      <c r="BJ20" s="240"/>
      <c r="BK20" s="236">
        <f t="shared" si="57"/>
        <v>0</v>
      </c>
      <c r="BL20" s="236">
        <f t="shared" si="22"/>
        <v>247000</v>
      </c>
      <c r="BM20" s="236">
        <f t="shared" si="23"/>
        <v>6543769.2307692319</v>
      </c>
      <c r="BN20" s="236">
        <f t="shared" ref="BN20" si="231">IF(BM20-BI20-BK20-BH20&lt;0,0,BM20-BK20-BI20-BH20)</f>
        <v>0</v>
      </c>
      <c r="BO20" s="236">
        <f t="shared" ref="BO20" si="232">ROUND(IF(BN20&lt;=5000000,BN20*5%,IF(AND(BN20&gt;5000000,BN20&lt;=10000000),BN20*10%-250000,IF(AND(BN20&gt;10000000,BN20&lt;=18000000),BN20*15%-750000,IF(AND(BN20&gt;18000000,BN20&lt;=32000000),BN20*20%-1650000,IF(AND(BN20&gt;32000000,BN20&lt;=52000000),BN20*25%-3250000,IF(AND(BN20&gt;52000000,BN20&lt;80000000),BN20*30%-585000,IF(BN20&gt;80000000,BN20*35%-9850000))))))),0)</f>
        <v>0</v>
      </c>
      <c r="BP20" s="232">
        <v>0</v>
      </c>
      <c r="BQ20" s="324"/>
      <c r="BR20" s="238">
        <f t="shared" si="34"/>
        <v>7470903.076923077</v>
      </c>
      <c r="BS20" s="239" t="s">
        <v>243</v>
      </c>
      <c r="BT20" s="236"/>
    </row>
    <row r="21" spans="1:72" s="41" customFormat="1" ht="25.5" customHeight="1">
      <c r="A21" s="327">
        <f t="shared" si="35"/>
        <v>12</v>
      </c>
      <c r="B21" s="325" t="s">
        <v>249</v>
      </c>
      <c r="C21" s="247" t="s">
        <v>113</v>
      </c>
      <c r="D21" s="176">
        <v>208</v>
      </c>
      <c r="E21" s="176">
        <v>144.5</v>
      </c>
      <c r="F21" s="235">
        <v>71.5</v>
      </c>
      <c r="G21" s="235">
        <v>19</v>
      </c>
      <c r="H21" s="235">
        <v>37.5</v>
      </c>
      <c r="I21" s="235">
        <v>19.5</v>
      </c>
      <c r="J21" s="235"/>
      <c r="K21" s="235"/>
      <c r="L21" s="235"/>
      <c r="M21" s="235"/>
      <c r="N21" s="235"/>
      <c r="O21" s="235"/>
      <c r="P21" s="235"/>
      <c r="Q21" s="236">
        <v>4064000</v>
      </c>
      <c r="R21" s="240">
        <v>0</v>
      </c>
      <c r="S21" s="240"/>
      <c r="T21" s="240">
        <v>0</v>
      </c>
      <c r="U21" s="236">
        <v>0</v>
      </c>
      <c r="V21" s="236">
        <f t="shared" si="189"/>
        <v>0</v>
      </c>
      <c r="W21" s="236">
        <v>300000</v>
      </c>
      <c r="X21" s="236">
        <f t="shared" si="25"/>
        <v>300000</v>
      </c>
      <c r="Y21" s="236">
        <v>300000</v>
      </c>
      <c r="Z21" s="236">
        <f t="shared" si="26"/>
        <v>300000</v>
      </c>
      <c r="AA21" s="236"/>
      <c r="AB21" s="236">
        <v>0</v>
      </c>
      <c r="AC21" s="236">
        <f t="shared" si="27"/>
        <v>500000</v>
      </c>
      <c r="AD21" s="236">
        <f t="shared" si="190"/>
        <v>247000</v>
      </c>
      <c r="AE21" s="236">
        <v>0</v>
      </c>
      <c r="AF21" s="236"/>
      <c r="AG21" s="236"/>
      <c r="AH21" s="236">
        <f t="shared" si="1"/>
        <v>1347000</v>
      </c>
      <c r="AI21" s="236">
        <f t="shared" si="2"/>
        <v>4064000</v>
      </c>
      <c r="AJ21" s="236">
        <f t="shared" si="191"/>
        <v>19538.461538461539</v>
      </c>
      <c r="AK21" s="236">
        <f t="shared" si="192"/>
        <v>4639407.692307692</v>
      </c>
      <c r="AL21" s="240"/>
      <c r="AM21" s="236">
        <f t="shared" si="193"/>
        <v>1099038.4615384615</v>
      </c>
      <c r="AN21" s="236">
        <f t="shared" si="194"/>
        <v>742950</v>
      </c>
      <c r="AO21" s="236">
        <f t="shared" si="195"/>
        <v>0</v>
      </c>
      <c r="AP21" s="236">
        <f t="shared" si="196"/>
        <v>0</v>
      </c>
      <c r="AQ21" s="236">
        <f t="shared" si="197"/>
        <v>0</v>
      </c>
      <c r="AR21" s="236">
        <f t="shared" si="198"/>
        <v>0</v>
      </c>
      <c r="AS21" s="236">
        <f t="shared" si="199"/>
        <v>0</v>
      </c>
      <c r="AT21" s="236">
        <f t="shared" si="200"/>
        <v>0</v>
      </c>
      <c r="AU21" s="236">
        <f t="shared" si="201"/>
        <v>0</v>
      </c>
      <c r="AV21" s="236">
        <f t="shared" si="202"/>
        <v>1841988.4615384615</v>
      </c>
      <c r="AW21" s="240"/>
      <c r="AX21" s="236">
        <f t="shared" si="50"/>
        <v>7828396.153846154</v>
      </c>
      <c r="AY21" s="236">
        <f t="shared" si="15"/>
        <v>4064000</v>
      </c>
      <c r="AZ21" s="236">
        <f t="shared" si="203"/>
        <v>711200</v>
      </c>
      <c r="BA21" s="236">
        <f t="shared" si="204"/>
        <v>121920</v>
      </c>
      <c r="BB21" s="236">
        <f t="shared" si="205"/>
        <v>40640</v>
      </c>
      <c r="BC21" s="236">
        <f t="shared" si="31"/>
        <v>81280</v>
      </c>
      <c r="BD21" s="236">
        <f t="shared" si="32"/>
        <v>955040</v>
      </c>
      <c r="BE21" s="236">
        <f t="shared" si="206"/>
        <v>325120</v>
      </c>
      <c r="BF21" s="236">
        <f t="shared" si="207"/>
        <v>60960</v>
      </c>
      <c r="BG21" s="236">
        <f t="shared" si="208"/>
        <v>40640</v>
      </c>
      <c r="BH21" s="236">
        <f t="shared" si="33"/>
        <v>426720</v>
      </c>
      <c r="BI21" s="240">
        <v>11000000</v>
      </c>
      <c r="BJ21" s="240"/>
      <c r="BK21" s="236">
        <f t="shared" si="57"/>
        <v>0</v>
      </c>
      <c r="BL21" s="236">
        <f t="shared" si="22"/>
        <v>247000</v>
      </c>
      <c r="BM21" s="236">
        <f t="shared" si="23"/>
        <v>6434000</v>
      </c>
      <c r="BN21" s="236">
        <f t="shared" si="209"/>
        <v>0</v>
      </c>
      <c r="BO21" s="236">
        <f t="shared" si="210"/>
        <v>0</v>
      </c>
      <c r="BP21" s="232">
        <v>35000</v>
      </c>
      <c r="BQ21" s="324"/>
      <c r="BR21" s="238">
        <f t="shared" si="34"/>
        <v>7366676.153846154</v>
      </c>
      <c r="BS21" s="239" t="s">
        <v>243</v>
      </c>
      <c r="BT21" s="236"/>
    </row>
    <row r="22" spans="1:72" s="41" customFormat="1" ht="25.5" customHeight="1">
      <c r="A22" s="327">
        <f t="shared" si="35"/>
        <v>13</v>
      </c>
      <c r="B22" s="325" t="s">
        <v>250</v>
      </c>
      <c r="C22" s="247" t="s">
        <v>113</v>
      </c>
      <c r="D22" s="176">
        <v>208</v>
      </c>
      <c r="E22" s="176">
        <v>161</v>
      </c>
      <c r="F22" s="235">
        <v>55</v>
      </c>
      <c r="G22" s="235">
        <v>19</v>
      </c>
      <c r="H22" s="235">
        <v>42</v>
      </c>
      <c r="I22" s="235">
        <v>15</v>
      </c>
      <c r="J22" s="235"/>
      <c r="K22" s="235"/>
      <c r="L22" s="235"/>
      <c r="M22" s="235"/>
      <c r="N22" s="235"/>
      <c r="O22" s="235"/>
      <c r="P22" s="235"/>
      <c r="Q22" s="236">
        <v>4064000</v>
      </c>
      <c r="R22" s="240">
        <v>0</v>
      </c>
      <c r="S22" s="240"/>
      <c r="T22" s="240">
        <v>0</v>
      </c>
      <c r="U22" s="236">
        <v>0</v>
      </c>
      <c r="V22" s="236">
        <f t="shared" ref="V22" si="233">IF((E22+F22)&gt;=D22,U22,(E22+F22)*U22/D22)</f>
        <v>0</v>
      </c>
      <c r="W22" s="236">
        <v>300000</v>
      </c>
      <c r="X22" s="236">
        <f t="shared" si="25"/>
        <v>300000</v>
      </c>
      <c r="Y22" s="236">
        <v>300000</v>
      </c>
      <c r="Z22" s="236">
        <f t="shared" si="26"/>
        <v>300000</v>
      </c>
      <c r="AA22" s="236"/>
      <c r="AB22" s="236">
        <v>0</v>
      </c>
      <c r="AC22" s="236">
        <f t="shared" si="27"/>
        <v>500000</v>
      </c>
      <c r="AD22" s="236">
        <f t="shared" ref="AD22" si="234">G22*13000</f>
        <v>247000</v>
      </c>
      <c r="AE22" s="236">
        <v>0</v>
      </c>
      <c r="AF22" s="236"/>
      <c r="AG22" s="236"/>
      <c r="AH22" s="236">
        <f t="shared" si="1"/>
        <v>1347000</v>
      </c>
      <c r="AI22" s="236">
        <f t="shared" si="2"/>
        <v>4064000</v>
      </c>
      <c r="AJ22" s="236">
        <f t="shared" ref="AJ22" si="235">AI22/208</f>
        <v>19538.461538461539</v>
      </c>
      <c r="AK22" s="236">
        <f t="shared" ref="AK22" si="236">AJ22*(E22+F22*130%)</f>
        <v>4542692.307692308</v>
      </c>
      <c r="AL22" s="240"/>
      <c r="AM22" s="236">
        <f t="shared" ref="AM22" si="237">AJ22*H22*150%</f>
        <v>1230923.076923077</v>
      </c>
      <c r="AN22" s="236">
        <f t="shared" ref="AN22" si="238">AJ22*I22*150%*130%</f>
        <v>571500</v>
      </c>
      <c r="AO22" s="236">
        <f t="shared" ref="AO22" si="239">+AJ22*J22*200%</f>
        <v>0</v>
      </c>
      <c r="AP22" s="236">
        <f t="shared" ref="AP22" si="240">AJ22*K22*200%*130%</f>
        <v>0</v>
      </c>
      <c r="AQ22" s="236">
        <f t="shared" ref="AQ22" si="241">AJ22*L22*200%*150%</f>
        <v>0</v>
      </c>
      <c r="AR22" s="236">
        <f t="shared" ref="AR22" si="242">AJ22*M22*200%*150%*130%</f>
        <v>0</v>
      </c>
      <c r="AS22" s="236">
        <f t="shared" ref="AS22" si="243">N22*AJ22*300%</f>
        <v>0</v>
      </c>
      <c r="AT22" s="236">
        <f t="shared" ref="AT22" si="244">AJ22*O22*130%*300%</f>
        <v>0</v>
      </c>
      <c r="AU22" s="236">
        <f t="shared" ref="AU22" si="245">P22*AJ22*150%*300%</f>
        <v>0</v>
      </c>
      <c r="AV22" s="236">
        <f t="shared" ref="AV22" si="246">SUM(AM22:AU22)</f>
        <v>1802423.076923077</v>
      </c>
      <c r="AW22" s="240"/>
      <c r="AX22" s="236">
        <f t="shared" si="50"/>
        <v>7692115.384615385</v>
      </c>
      <c r="AY22" s="236">
        <f t="shared" si="15"/>
        <v>4064000</v>
      </c>
      <c r="AZ22" s="236">
        <f t="shared" ref="AZ22" si="247">AY22*17.5%</f>
        <v>711200</v>
      </c>
      <c r="BA22" s="236">
        <f t="shared" ref="BA22" si="248">AY22*3%</f>
        <v>121920</v>
      </c>
      <c r="BB22" s="236">
        <f t="shared" ref="BB22" si="249">AY22*1%</f>
        <v>40640</v>
      </c>
      <c r="BC22" s="236">
        <f t="shared" si="31"/>
        <v>81280</v>
      </c>
      <c r="BD22" s="236">
        <f t="shared" si="32"/>
        <v>955040</v>
      </c>
      <c r="BE22" s="236">
        <f t="shared" ref="BE22" si="250">AY22*8%</f>
        <v>325120</v>
      </c>
      <c r="BF22" s="236">
        <f t="shared" ref="BF22" si="251">AY22*1.5%</f>
        <v>60960</v>
      </c>
      <c r="BG22" s="236">
        <f t="shared" ref="BG22" si="252">AY22*1%</f>
        <v>40640</v>
      </c>
      <c r="BH22" s="236">
        <f t="shared" si="33"/>
        <v>426720</v>
      </c>
      <c r="BI22" s="240">
        <v>11000000</v>
      </c>
      <c r="BJ22" s="240"/>
      <c r="BK22" s="236">
        <f t="shared" si="57"/>
        <v>0</v>
      </c>
      <c r="BL22" s="236">
        <f t="shared" si="22"/>
        <v>247000</v>
      </c>
      <c r="BM22" s="236">
        <f t="shared" si="23"/>
        <v>6434000.0000000009</v>
      </c>
      <c r="BN22" s="236">
        <f t="shared" ref="BN22" si="253">IF(BM22-BI22-BK22-BH22&lt;0,0,BM22-BK22-BI22-BH22)</f>
        <v>0</v>
      </c>
      <c r="BO22" s="236">
        <f t="shared" ref="BO22" si="254">ROUND(IF(BN22&lt;=5000000,BN22*5%,IF(AND(BN22&gt;5000000,BN22&lt;=10000000),BN22*10%-250000,IF(AND(BN22&gt;10000000,BN22&lt;=18000000),BN22*15%-750000,IF(AND(BN22&gt;18000000,BN22&lt;=32000000),BN22*20%-1650000,IF(AND(BN22&gt;32000000,BN22&lt;=52000000),BN22*25%-3250000,IF(AND(BN22&gt;52000000,BN22&lt;80000000),BN22*30%-585000,IF(BN22&gt;80000000,BN22*35%-9850000))))))),0)</f>
        <v>0</v>
      </c>
      <c r="BP22" s="232">
        <v>35000</v>
      </c>
      <c r="BQ22" s="324"/>
      <c r="BR22" s="238">
        <f t="shared" si="34"/>
        <v>7230395.384615385</v>
      </c>
      <c r="BS22" s="239" t="s">
        <v>243</v>
      </c>
      <c r="BT22" s="236"/>
    </row>
    <row r="23" spans="1:72" s="41" customFormat="1" ht="25.5" customHeight="1">
      <c r="A23" s="327">
        <f t="shared" si="35"/>
        <v>14</v>
      </c>
      <c r="B23" s="325" t="s">
        <v>251</v>
      </c>
      <c r="C23" s="247" t="s">
        <v>113</v>
      </c>
      <c r="D23" s="176">
        <v>208</v>
      </c>
      <c r="E23" s="176">
        <v>144.5</v>
      </c>
      <c r="F23" s="235">
        <v>71.5</v>
      </c>
      <c r="G23" s="235">
        <v>17</v>
      </c>
      <c r="H23" s="235">
        <v>31.5</v>
      </c>
      <c r="I23" s="235">
        <v>19.5</v>
      </c>
      <c r="J23" s="235"/>
      <c r="K23" s="235"/>
      <c r="L23" s="235"/>
      <c r="M23" s="235"/>
      <c r="N23" s="235"/>
      <c r="O23" s="235"/>
      <c r="P23" s="235"/>
      <c r="Q23" s="236">
        <v>4064000</v>
      </c>
      <c r="R23" s="240">
        <v>0</v>
      </c>
      <c r="S23" s="240"/>
      <c r="T23" s="240">
        <v>0</v>
      </c>
      <c r="U23" s="236">
        <v>0</v>
      </c>
      <c r="V23" s="236">
        <f t="shared" si="189"/>
        <v>0</v>
      </c>
      <c r="W23" s="236">
        <v>300000</v>
      </c>
      <c r="X23" s="236">
        <f t="shared" si="25"/>
        <v>300000</v>
      </c>
      <c r="Y23" s="236">
        <v>300000</v>
      </c>
      <c r="Z23" s="236">
        <f t="shared" si="26"/>
        <v>300000</v>
      </c>
      <c r="AA23" s="236"/>
      <c r="AB23" s="236">
        <v>0</v>
      </c>
      <c r="AC23" s="236">
        <f t="shared" si="27"/>
        <v>500000</v>
      </c>
      <c r="AD23" s="236">
        <f t="shared" si="190"/>
        <v>221000</v>
      </c>
      <c r="AE23" s="236">
        <v>0</v>
      </c>
      <c r="AF23" s="236"/>
      <c r="AG23" s="236"/>
      <c r="AH23" s="236">
        <f t="shared" si="1"/>
        <v>1321000</v>
      </c>
      <c r="AI23" s="236">
        <f t="shared" si="2"/>
        <v>4064000</v>
      </c>
      <c r="AJ23" s="236">
        <f t="shared" si="191"/>
        <v>19538.461538461539</v>
      </c>
      <c r="AK23" s="236">
        <f t="shared" si="192"/>
        <v>4639407.692307692</v>
      </c>
      <c r="AL23" s="240"/>
      <c r="AM23" s="236">
        <f t="shared" si="193"/>
        <v>923192.30769230775</v>
      </c>
      <c r="AN23" s="236">
        <f t="shared" si="194"/>
        <v>742950</v>
      </c>
      <c r="AO23" s="236">
        <f t="shared" si="195"/>
        <v>0</v>
      </c>
      <c r="AP23" s="236">
        <f t="shared" si="196"/>
        <v>0</v>
      </c>
      <c r="AQ23" s="236">
        <f t="shared" si="197"/>
        <v>0</v>
      </c>
      <c r="AR23" s="236">
        <f t="shared" si="198"/>
        <v>0</v>
      </c>
      <c r="AS23" s="236">
        <f t="shared" si="199"/>
        <v>0</v>
      </c>
      <c r="AT23" s="236">
        <f t="shared" si="200"/>
        <v>0</v>
      </c>
      <c r="AU23" s="236">
        <f t="shared" si="201"/>
        <v>0</v>
      </c>
      <c r="AV23" s="236">
        <f t="shared" si="202"/>
        <v>1666142.3076923077</v>
      </c>
      <c r="AW23" s="240"/>
      <c r="AX23" s="236">
        <f t="shared" si="50"/>
        <v>7626550</v>
      </c>
      <c r="AY23" s="236">
        <f t="shared" si="15"/>
        <v>4064000</v>
      </c>
      <c r="AZ23" s="236">
        <f t="shared" si="203"/>
        <v>711200</v>
      </c>
      <c r="BA23" s="236">
        <f t="shared" si="204"/>
        <v>121920</v>
      </c>
      <c r="BB23" s="236">
        <f t="shared" si="205"/>
        <v>40640</v>
      </c>
      <c r="BC23" s="236">
        <f t="shared" si="31"/>
        <v>81280</v>
      </c>
      <c r="BD23" s="236">
        <f t="shared" si="32"/>
        <v>955040</v>
      </c>
      <c r="BE23" s="236">
        <f t="shared" si="206"/>
        <v>325120</v>
      </c>
      <c r="BF23" s="236">
        <f t="shared" si="207"/>
        <v>60960</v>
      </c>
      <c r="BG23" s="236">
        <f t="shared" si="208"/>
        <v>40640</v>
      </c>
      <c r="BH23" s="236">
        <f t="shared" si="33"/>
        <v>426720</v>
      </c>
      <c r="BI23" s="240">
        <v>11000000</v>
      </c>
      <c r="BJ23" s="240"/>
      <c r="BK23" s="236">
        <f t="shared" si="57"/>
        <v>0</v>
      </c>
      <c r="BL23" s="236">
        <f t="shared" si="22"/>
        <v>221000</v>
      </c>
      <c r="BM23" s="236">
        <f t="shared" si="23"/>
        <v>6316769.230769231</v>
      </c>
      <c r="BN23" s="236">
        <f t="shared" si="209"/>
        <v>0</v>
      </c>
      <c r="BO23" s="236">
        <f t="shared" si="210"/>
        <v>0</v>
      </c>
      <c r="BP23" s="232">
        <v>35000</v>
      </c>
      <c r="BQ23" s="324"/>
      <c r="BR23" s="238">
        <f t="shared" si="34"/>
        <v>7164830</v>
      </c>
      <c r="BS23" s="239" t="s">
        <v>243</v>
      </c>
      <c r="BT23" s="236"/>
    </row>
    <row r="24" spans="1:72" s="41" customFormat="1" ht="25.5" customHeight="1">
      <c r="A24" s="327">
        <f t="shared" si="35"/>
        <v>15</v>
      </c>
      <c r="B24" s="325" t="s">
        <v>252</v>
      </c>
      <c r="C24" s="247" t="s">
        <v>113</v>
      </c>
      <c r="D24" s="176">
        <v>208</v>
      </c>
      <c r="E24" s="176">
        <v>144.5</v>
      </c>
      <c r="F24" s="235">
        <v>71.5</v>
      </c>
      <c r="G24" s="235">
        <v>18</v>
      </c>
      <c r="H24" s="235">
        <v>34.5</v>
      </c>
      <c r="I24" s="235">
        <v>19.5</v>
      </c>
      <c r="J24" s="235"/>
      <c r="K24" s="235"/>
      <c r="L24" s="235"/>
      <c r="M24" s="235"/>
      <c r="N24" s="235"/>
      <c r="O24" s="235"/>
      <c r="P24" s="235"/>
      <c r="Q24" s="236">
        <v>4064000</v>
      </c>
      <c r="R24" s="240">
        <v>0</v>
      </c>
      <c r="S24" s="240"/>
      <c r="T24" s="240">
        <v>0</v>
      </c>
      <c r="U24" s="236">
        <v>0</v>
      </c>
      <c r="V24" s="236">
        <f t="shared" ref="V24" si="255">IF((E24+F24)&gt;=D24,U24,(E24+F24)*U24/D24)</f>
        <v>0</v>
      </c>
      <c r="W24" s="236">
        <v>300000</v>
      </c>
      <c r="X24" s="236">
        <f t="shared" si="25"/>
        <v>300000</v>
      </c>
      <c r="Y24" s="236">
        <v>300000</v>
      </c>
      <c r="Z24" s="236">
        <f t="shared" si="26"/>
        <v>300000</v>
      </c>
      <c r="AA24" s="236"/>
      <c r="AB24" s="236"/>
      <c r="AC24" s="236">
        <f t="shared" si="27"/>
        <v>500000</v>
      </c>
      <c r="AD24" s="236">
        <f t="shared" ref="AD24" si="256">G24*13000</f>
        <v>234000</v>
      </c>
      <c r="AE24" s="236">
        <v>0</v>
      </c>
      <c r="AF24" s="236"/>
      <c r="AG24" s="236"/>
      <c r="AH24" s="236">
        <f t="shared" si="1"/>
        <v>1334000</v>
      </c>
      <c r="AI24" s="236">
        <f t="shared" si="2"/>
        <v>4064000</v>
      </c>
      <c r="AJ24" s="236">
        <f t="shared" ref="AJ24" si="257">AI24/208</f>
        <v>19538.461538461539</v>
      </c>
      <c r="AK24" s="236">
        <f t="shared" ref="AK24" si="258">AJ24*(E24+F24*130%)</f>
        <v>4639407.692307692</v>
      </c>
      <c r="AL24" s="240"/>
      <c r="AM24" s="236">
        <f t="shared" ref="AM24" si="259">AJ24*H24*150%</f>
        <v>1011115.3846153847</v>
      </c>
      <c r="AN24" s="236">
        <f t="shared" ref="AN24" si="260">AJ24*I24*150%*130%</f>
        <v>742950</v>
      </c>
      <c r="AO24" s="236">
        <f t="shared" ref="AO24" si="261">+AJ24*J24*200%</f>
        <v>0</v>
      </c>
      <c r="AP24" s="236">
        <f t="shared" ref="AP24" si="262">AJ24*K24*200%*130%</f>
        <v>0</v>
      </c>
      <c r="AQ24" s="236">
        <f t="shared" ref="AQ24" si="263">AJ24*L24*200%*150%</f>
        <v>0</v>
      </c>
      <c r="AR24" s="236">
        <f t="shared" ref="AR24" si="264">AJ24*M24*200%*150%*130%</f>
        <v>0</v>
      </c>
      <c r="AS24" s="236">
        <f t="shared" ref="AS24" si="265">N24*AJ24*300%</f>
        <v>0</v>
      </c>
      <c r="AT24" s="236">
        <f t="shared" ref="AT24" si="266">AJ24*O24*130%*300%</f>
        <v>0</v>
      </c>
      <c r="AU24" s="236">
        <f t="shared" ref="AU24" si="267">P24*AJ24*150%*300%</f>
        <v>0</v>
      </c>
      <c r="AV24" s="236">
        <f t="shared" ref="AV24" si="268">SUM(AM24:AU24)</f>
        <v>1754065.3846153847</v>
      </c>
      <c r="AW24" s="240"/>
      <c r="AX24" s="236">
        <f t="shared" si="50"/>
        <v>7727473.076923077</v>
      </c>
      <c r="AY24" s="236">
        <f t="shared" si="15"/>
        <v>4064000</v>
      </c>
      <c r="AZ24" s="236">
        <f t="shared" ref="AZ24" si="269">AY24*17.5%</f>
        <v>711200</v>
      </c>
      <c r="BA24" s="236">
        <f t="shared" ref="BA24" si="270">AY24*3%</f>
        <v>121920</v>
      </c>
      <c r="BB24" s="236">
        <f t="shared" ref="BB24" si="271">AY24*1%</f>
        <v>40640</v>
      </c>
      <c r="BC24" s="236">
        <f t="shared" si="31"/>
        <v>81280</v>
      </c>
      <c r="BD24" s="236">
        <f t="shared" si="32"/>
        <v>955040</v>
      </c>
      <c r="BE24" s="236">
        <f t="shared" ref="BE24" si="272">AY24*8%</f>
        <v>325120</v>
      </c>
      <c r="BF24" s="236">
        <f t="shared" ref="BF24" si="273">AY24*1.5%</f>
        <v>60960</v>
      </c>
      <c r="BG24" s="236">
        <f t="shared" ref="BG24" si="274">AY24*1%</f>
        <v>40640</v>
      </c>
      <c r="BH24" s="236">
        <f t="shared" si="33"/>
        <v>426720</v>
      </c>
      <c r="BI24" s="240">
        <v>11000000</v>
      </c>
      <c r="BJ24" s="240"/>
      <c r="BK24" s="236">
        <f t="shared" si="57"/>
        <v>0</v>
      </c>
      <c r="BL24" s="236">
        <f t="shared" si="22"/>
        <v>234000</v>
      </c>
      <c r="BM24" s="236">
        <f t="shared" si="23"/>
        <v>6375384.615384615</v>
      </c>
      <c r="BN24" s="236">
        <f t="shared" ref="BN24" si="275">IF(BM24-BI24-BK24-BH24&lt;0,0,BM24-BK24-BI24-BH24)</f>
        <v>0</v>
      </c>
      <c r="BO24" s="236">
        <f t="shared" ref="BO24" si="276">ROUND(IF(BN24&lt;=5000000,BN24*5%,IF(AND(BN24&gt;5000000,BN24&lt;=10000000),BN24*10%-250000,IF(AND(BN24&gt;10000000,BN24&lt;=18000000),BN24*15%-750000,IF(AND(BN24&gt;18000000,BN24&lt;=32000000),BN24*20%-1650000,IF(AND(BN24&gt;32000000,BN24&lt;=52000000),BN24*25%-3250000,IF(AND(BN24&gt;52000000,BN24&lt;80000000),BN24*30%-585000,IF(BN24&gt;80000000,BN24*35%-9850000))))))),0)</f>
        <v>0</v>
      </c>
      <c r="BP24" s="232">
        <v>35000</v>
      </c>
      <c r="BQ24" s="324"/>
      <c r="BR24" s="238">
        <f t="shared" si="34"/>
        <v>7265753.076923077</v>
      </c>
      <c r="BS24" s="239" t="s">
        <v>243</v>
      </c>
      <c r="BT24" s="236"/>
    </row>
    <row r="25" spans="1:72" s="41" customFormat="1" ht="25.5" customHeight="1">
      <c r="A25" s="327">
        <f t="shared" si="35"/>
        <v>16</v>
      </c>
      <c r="B25" s="325" t="s">
        <v>268</v>
      </c>
      <c r="C25" s="247" t="s">
        <v>113</v>
      </c>
      <c r="D25" s="176">
        <v>208</v>
      </c>
      <c r="E25" s="176">
        <v>142</v>
      </c>
      <c r="F25" s="235">
        <v>66</v>
      </c>
      <c r="G25" s="235">
        <v>19</v>
      </c>
      <c r="H25" s="235">
        <v>43.5</v>
      </c>
      <c r="I25" s="235">
        <v>19</v>
      </c>
      <c r="J25" s="235"/>
      <c r="K25" s="235"/>
      <c r="L25" s="235"/>
      <c r="M25" s="235"/>
      <c r="N25" s="235"/>
      <c r="O25" s="235"/>
      <c r="P25" s="235"/>
      <c r="Q25" s="236">
        <v>4064000</v>
      </c>
      <c r="R25" s="240">
        <v>0</v>
      </c>
      <c r="S25" s="240"/>
      <c r="T25" s="240">
        <v>0</v>
      </c>
      <c r="U25" s="236">
        <v>0</v>
      </c>
      <c r="V25" s="236">
        <f t="shared" ref="V25" si="277">IF((E25+F25)&gt;=D25,U25,(E25+F25)*U25/D25)</f>
        <v>0</v>
      </c>
      <c r="W25" s="236">
        <v>300000</v>
      </c>
      <c r="X25" s="236">
        <f t="shared" si="25"/>
        <v>300000</v>
      </c>
      <c r="Y25" s="236">
        <v>300000</v>
      </c>
      <c r="Z25" s="236">
        <f t="shared" si="26"/>
        <v>300000</v>
      </c>
      <c r="AA25" s="236"/>
      <c r="AB25" s="236"/>
      <c r="AC25" s="236">
        <f t="shared" si="27"/>
        <v>500000</v>
      </c>
      <c r="AD25" s="236">
        <f t="shared" ref="AD25" si="278">G25*13000</f>
        <v>247000</v>
      </c>
      <c r="AE25" s="236">
        <v>0</v>
      </c>
      <c r="AF25" s="236"/>
      <c r="AG25" s="236"/>
      <c r="AH25" s="236">
        <f t="shared" ref="AH25" si="279">V25+X25+Z25+AA25+AC25+AD25+AE25</f>
        <v>1347000</v>
      </c>
      <c r="AI25" s="236">
        <f t="shared" si="2"/>
        <v>4064000</v>
      </c>
      <c r="AJ25" s="236">
        <f t="shared" ref="AJ25" si="280">AI25/208</f>
        <v>19538.461538461539</v>
      </c>
      <c r="AK25" s="236">
        <f t="shared" ref="AK25" si="281">AJ25*(E25+F25*130%)</f>
        <v>4450861.538461539</v>
      </c>
      <c r="AL25" s="240"/>
      <c r="AM25" s="236">
        <f t="shared" ref="AM25" si="282">AJ25*H25*150%</f>
        <v>1274884.6153846155</v>
      </c>
      <c r="AN25" s="236">
        <f t="shared" ref="AN25" si="283">AJ25*I25*150%*130%</f>
        <v>723900.00000000012</v>
      </c>
      <c r="AO25" s="236">
        <f t="shared" ref="AO25" si="284">+AJ25*J25*200%</f>
        <v>0</v>
      </c>
      <c r="AP25" s="236">
        <f t="shared" ref="AP25" si="285">AJ25*K25*200%*130%</f>
        <v>0</v>
      </c>
      <c r="AQ25" s="236">
        <f t="shared" ref="AQ25" si="286">AJ25*L25*200%*150%</f>
        <v>0</v>
      </c>
      <c r="AR25" s="236">
        <f t="shared" ref="AR25" si="287">AJ25*M25*200%*150%*130%</f>
        <v>0</v>
      </c>
      <c r="AS25" s="236">
        <f t="shared" ref="AS25" si="288">N25*AJ25*300%</f>
        <v>0</v>
      </c>
      <c r="AT25" s="236">
        <f t="shared" ref="AT25" si="289">AJ25*O25*130%*300%</f>
        <v>0</v>
      </c>
      <c r="AU25" s="236">
        <f t="shared" ref="AU25" si="290">P25*AJ25*150%*300%</f>
        <v>0</v>
      </c>
      <c r="AV25" s="236">
        <f t="shared" ref="AV25" si="291">SUM(AM25:AU25)</f>
        <v>1998784.6153846155</v>
      </c>
      <c r="AW25" s="240"/>
      <c r="AX25" s="236">
        <f t="shared" si="50"/>
        <v>7796646.153846154</v>
      </c>
      <c r="AY25" s="236">
        <f t="shared" si="15"/>
        <v>4064000</v>
      </c>
      <c r="AZ25" s="236">
        <f t="shared" ref="AZ25" si="292">AY25*17.5%</f>
        <v>711200</v>
      </c>
      <c r="BA25" s="236">
        <f t="shared" ref="BA25" si="293">AY25*3%</f>
        <v>121920</v>
      </c>
      <c r="BB25" s="236">
        <f t="shared" ref="BB25" si="294">AY25*1%</f>
        <v>40640</v>
      </c>
      <c r="BC25" s="236">
        <f t="shared" si="31"/>
        <v>81280</v>
      </c>
      <c r="BD25" s="236">
        <f t="shared" si="32"/>
        <v>955040</v>
      </c>
      <c r="BE25" s="236">
        <f t="shared" ref="BE25" si="295">AY25*8%</f>
        <v>325120</v>
      </c>
      <c r="BF25" s="236">
        <f t="shared" ref="BF25" si="296">AY25*1.5%</f>
        <v>60960</v>
      </c>
      <c r="BG25" s="236">
        <f t="shared" ref="BG25" si="297">AY25*1%</f>
        <v>40640</v>
      </c>
      <c r="BH25" s="236">
        <f t="shared" si="33"/>
        <v>426720</v>
      </c>
      <c r="BI25" s="240">
        <v>11000000</v>
      </c>
      <c r="BJ25" s="240"/>
      <c r="BK25" s="236">
        <f t="shared" si="57"/>
        <v>0</v>
      </c>
      <c r="BL25" s="236">
        <f t="shared" si="22"/>
        <v>247000</v>
      </c>
      <c r="BM25" s="236">
        <f t="shared" si="23"/>
        <v>6385153.846153846</v>
      </c>
      <c r="BN25" s="236">
        <f t="shared" ref="BN25" si="298">IF(BM25-BI25-BK25-BH25&lt;0,0,BM25-BK25-BI25-BH25)</f>
        <v>0</v>
      </c>
      <c r="BO25" s="236">
        <f t="shared" ref="BO25" si="299">ROUND(IF(BN25&lt;=5000000,BN25*5%,IF(AND(BN25&gt;5000000,BN25&lt;=10000000),BN25*10%-250000,IF(AND(BN25&gt;10000000,BN25&lt;=18000000),BN25*15%-750000,IF(AND(BN25&gt;18000000,BN25&lt;=32000000),BN25*20%-1650000,IF(AND(BN25&gt;32000000,BN25&lt;=52000000),BN25*25%-3250000,IF(AND(BN25&gt;52000000,BN25&lt;80000000),BN25*30%-585000,IF(BN25&gt;80000000,BN25*35%-9850000))))))),0)</f>
        <v>0</v>
      </c>
      <c r="BP25" s="232">
        <v>35000</v>
      </c>
      <c r="BQ25" s="324"/>
      <c r="BR25" s="238">
        <f t="shared" si="34"/>
        <v>7334926.153846154</v>
      </c>
      <c r="BS25" s="239" t="s">
        <v>243</v>
      </c>
      <c r="BT25" s="236"/>
    </row>
    <row r="26" spans="1:72" s="41" customFormat="1" ht="25.5" customHeight="1">
      <c r="A26" s="327">
        <f t="shared" si="35"/>
        <v>17</v>
      </c>
      <c r="B26" s="325" t="s">
        <v>267</v>
      </c>
      <c r="C26" s="247" t="s">
        <v>113</v>
      </c>
      <c r="D26" s="176">
        <v>208</v>
      </c>
      <c r="E26" s="176">
        <v>139.5</v>
      </c>
      <c r="F26" s="235">
        <v>60.5</v>
      </c>
      <c r="G26" s="235">
        <v>17</v>
      </c>
      <c r="H26" s="235">
        <v>36</v>
      </c>
      <c r="I26" s="235">
        <v>16.5</v>
      </c>
      <c r="J26" s="235"/>
      <c r="K26" s="235"/>
      <c r="L26" s="235"/>
      <c r="M26" s="235"/>
      <c r="N26" s="235"/>
      <c r="O26" s="235"/>
      <c r="P26" s="235"/>
      <c r="Q26" s="236">
        <v>4064000</v>
      </c>
      <c r="R26" s="240">
        <v>0</v>
      </c>
      <c r="S26" s="240"/>
      <c r="T26" s="240">
        <v>0</v>
      </c>
      <c r="U26" s="236">
        <v>0</v>
      </c>
      <c r="V26" s="236">
        <f t="shared" ref="V26:V27" si="300">IF((E26+F26)&gt;=D26,U26,(E26+F26)*U26/D26)</f>
        <v>0</v>
      </c>
      <c r="W26" s="236">
        <v>300000</v>
      </c>
      <c r="X26" s="236">
        <f t="shared" si="25"/>
        <v>300000</v>
      </c>
      <c r="Y26" s="236">
        <v>300000</v>
      </c>
      <c r="Z26" s="236">
        <f t="shared" si="26"/>
        <v>300000</v>
      </c>
      <c r="AA26" s="236"/>
      <c r="AB26" s="236"/>
      <c r="AC26" s="236">
        <f t="shared" si="27"/>
        <v>500000</v>
      </c>
      <c r="AD26" s="236">
        <f t="shared" ref="AD26:AD27" si="301">G26*13000</f>
        <v>221000</v>
      </c>
      <c r="AE26" s="236">
        <v>100000</v>
      </c>
      <c r="AF26" s="236"/>
      <c r="AG26" s="236"/>
      <c r="AH26" s="236">
        <f t="shared" ref="AH26:AH27" si="302">V26+X26+Z26+AA26+AC26+AD26+AE26</f>
        <v>1421000</v>
      </c>
      <c r="AI26" s="236">
        <f t="shared" si="2"/>
        <v>4064000</v>
      </c>
      <c r="AJ26" s="236">
        <f t="shared" ref="AJ26:AJ27" si="303">AI26/208</f>
        <v>19538.461538461539</v>
      </c>
      <c r="AK26" s="236">
        <f t="shared" ref="AK26:AK27" si="304">AJ26*(E26+F26*130%)</f>
        <v>4262315.384615385</v>
      </c>
      <c r="AL26" s="240"/>
      <c r="AM26" s="236">
        <f t="shared" ref="AM26:AM27" si="305">AJ26*H26*150%</f>
        <v>1055076.923076923</v>
      </c>
      <c r="AN26" s="236">
        <f t="shared" ref="AN26:AN27" si="306">AJ26*I26*150%*130%</f>
        <v>628650</v>
      </c>
      <c r="AO26" s="236">
        <f t="shared" ref="AO26:AO27" si="307">+AJ26*J26*200%</f>
        <v>0</v>
      </c>
      <c r="AP26" s="236">
        <f t="shared" ref="AP26:AP27" si="308">AJ26*K26*200%*130%</f>
        <v>0</v>
      </c>
      <c r="AQ26" s="236">
        <f t="shared" ref="AQ26:AQ27" si="309">AJ26*L26*200%*150%</f>
        <v>0</v>
      </c>
      <c r="AR26" s="236">
        <f t="shared" ref="AR26:AR27" si="310">AJ26*M26*200%*150%*130%</f>
        <v>0</v>
      </c>
      <c r="AS26" s="236">
        <f t="shared" ref="AS26:AS27" si="311">N26*AJ26*300%</f>
        <v>0</v>
      </c>
      <c r="AT26" s="236">
        <f t="shared" ref="AT26:AT27" si="312">AJ26*O26*130%*300%</f>
        <v>0</v>
      </c>
      <c r="AU26" s="236">
        <f t="shared" ref="AU26:AU27" si="313">P26*AJ26*150%*300%</f>
        <v>0</v>
      </c>
      <c r="AV26" s="236">
        <f t="shared" ref="AV26:AV27" si="314">SUM(AM26:AU26)</f>
        <v>1683726.923076923</v>
      </c>
      <c r="AW26" s="240"/>
      <c r="AX26" s="236">
        <f t="shared" si="50"/>
        <v>7367042.307692308</v>
      </c>
      <c r="AY26" s="236">
        <f t="shared" si="15"/>
        <v>4064000</v>
      </c>
      <c r="AZ26" s="236">
        <f t="shared" ref="AZ26:AZ27" si="315">AY26*17.5%</f>
        <v>711200</v>
      </c>
      <c r="BA26" s="236">
        <f t="shared" ref="BA26:BA27" si="316">AY26*3%</f>
        <v>121920</v>
      </c>
      <c r="BB26" s="236">
        <f t="shared" ref="BB26:BB27" si="317">AY26*1%</f>
        <v>40640</v>
      </c>
      <c r="BC26" s="236">
        <f t="shared" si="31"/>
        <v>81280</v>
      </c>
      <c r="BD26" s="236">
        <f t="shared" si="32"/>
        <v>955040</v>
      </c>
      <c r="BE26" s="236">
        <f t="shared" ref="BE26:BE27" si="318">AY26*8%</f>
        <v>325120</v>
      </c>
      <c r="BF26" s="236">
        <f t="shared" ref="BF26:BF27" si="319">AY26*1.5%</f>
        <v>60960</v>
      </c>
      <c r="BG26" s="236">
        <f t="shared" ref="BG26:BG27" si="320">AY26*1%</f>
        <v>40640</v>
      </c>
      <c r="BH26" s="236">
        <f t="shared" si="33"/>
        <v>426720</v>
      </c>
      <c r="BI26" s="240">
        <v>11000000</v>
      </c>
      <c r="BJ26" s="240"/>
      <c r="BK26" s="236">
        <f t="shared" si="57"/>
        <v>0</v>
      </c>
      <c r="BL26" s="236">
        <f t="shared" si="22"/>
        <v>221000</v>
      </c>
      <c r="BM26" s="236">
        <f t="shared" si="23"/>
        <v>6133461.538461538</v>
      </c>
      <c r="BN26" s="236">
        <f t="shared" ref="BN26:BN27" si="321">IF(BM26-BI26-BK26-BH26&lt;0,0,BM26-BK26-BI26-BH26)</f>
        <v>0</v>
      </c>
      <c r="BO26" s="236">
        <f t="shared" ref="BO26:BO27" si="322">ROUND(IF(BN26&lt;=5000000,BN26*5%,IF(AND(BN26&gt;5000000,BN26&lt;=10000000),BN26*10%-250000,IF(AND(BN26&gt;10000000,BN26&lt;=18000000),BN26*15%-750000,IF(AND(BN26&gt;18000000,BN26&lt;=32000000),BN26*20%-1650000,IF(AND(BN26&gt;32000000,BN26&lt;=52000000),BN26*25%-3250000,IF(AND(BN26&gt;52000000,BN26&lt;80000000),BN26*30%-585000,IF(BN26&gt;80000000,BN26*35%-9850000))))))),0)</f>
        <v>0</v>
      </c>
      <c r="BP26" s="232">
        <v>35000</v>
      </c>
      <c r="BQ26" s="324"/>
      <c r="BR26" s="238">
        <f t="shared" si="34"/>
        <v>6905322.307692308</v>
      </c>
      <c r="BS26" s="239" t="s">
        <v>243</v>
      </c>
      <c r="BT26" s="236"/>
    </row>
    <row r="27" spans="1:72" s="41" customFormat="1" ht="25.5" customHeight="1">
      <c r="A27" s="327">
        <f t="shared" si="35"/>
        <v>18</v>
      </c>
      <c r="B27" s="325" t="s">
        <v>287</v>
      </c>
      <c r="C27" s="247" t="s">
        <v>113</v>
      </c>
      <c r="D27" s="176">
        <v>208</v>
      </c>
      <c r="E27" s="176">
        <v>113</v>
      </c>
      <c r="F27" s="235">
        <v>55</v>
      </c>
      <c r="G27" s="235">
        <v>15</v>
      </c>
      <c r="H27" s="235">
        <v>33</v>
      </c>
      <c r="I27" s="235">
        <v>15</v>
      </c>
      <c r="J27" s="235"/>
      <c r="K27" s="235"/>
      <c r="L27" s="235"/>
      <c r="M27" s="235"/>
      <c r="N27" s="235"/>
      <c r="O27" s="235"/>
      <c r="P27" s="235"/>
      <c r="Q27" s="236">
        <v>4064000</v>
      </c>
      <c r="R27" s="240">
        <v>0</v>
      </c>
      <c r="S27" s="240"/>
      <c r="T27" s="240">
        <v>0</v>
      </c>
      <c r="U27" s="236">
        <v>0</v>
      </c>
      <c r="V27" s="236">
        <f t="shared" si="300"/>
        <v>0</v>
      </c>
      <c r="W27" s="236">
        <v>300000</v>
      </c>
      <c r="X27" s="236">
        <f t="shared" si="25"/>
        <v>300000</v>
      </c>
      <c r="Y27" s="236">
        <v>300000</v>
      </c>
      <c r="Z27" s="236">
        <f t="shared" si="26"/>
        <v>300000</v>
      </c>
      <c r="AA27" s="236"/>
      <c r="AB27" s="236"/>
      <c r="AC27" s="236">
        <f t="shared" si="27"/>
        <v>0</v>
      </c>
      <c r="AD27" s="236">
        <f t="shared" si="301"/>
        <v>195000</v>
      </c>
      <c r="AE27" s="236">
        <v>0</v>
      </c>
      <c r="AF27" s="236"/>
      <c r="AG27" s="236"/>
      <c r="AH27" s="236">
        <f t="shared" si="302"/>
        <v>795000</v>
      </c>
      <c r="AI27" s="236">
        <f t="shared" ref="AI27" si="323">Q27+R27+T27</f>
        <v>4064000</v>
      </c>
      <c r="AJ27" s="236">
        <f t="shared" si="303"/>
        <v>19538.461538461539</v>
      </c>
      <c r="AK27" s="236">
        <f t="shared" si="304"/>
        <v>3604846.153846154</v>
      </c>
      <c r="AL27" s="240"/>
      <c r="AM27" s="236">
        <f t="shared" si="305"/>
        <v>967153.84615384613</v>
      </c>
      <c r="AN27" s="236">
        <f t="shared" si="306"/>
        <v>571500</v>
      </c>
      <c r="AO27" s="236">
        <f t="shared" si="307"/>
        <v>0</v>
      </c>
      <c r="AP27" s="236">
        <f t="shared" si="308"/>
        <v>0</v>
      </c>
      <c r="AQ27" s="236">
        <f t="shared" si="309"/>
        <v>0</v>
      </c>
      <c r="AR27" s="236">
        <f t="shared" si="310"/>
        <v>0</v>
      </c>
      <c r="AS27" s="236">
        <f t="shared" si="311"/>
        <v>0</v>
      </c>
      <c r="AT27" s="236">
        <f t="shared" si="312"/>
        <v>0</v>
      </c>
      <c r="AU27" s="236">
        <f t="shared" si="313"/>
        <v>0</v>
      </c>
      <c r="AV27" s="236">
        <f t="shared" si="314"/>
        <v>1538653.846153846</v>
      </c>
      <c r="AW27" s="240"/>
      <c r="AX27" s="236">
        <f t="shared" si="50"/>
        <v>5938500</v>
      </c>
      <c r="AY27" s="236">
        <f t="shared" si="15"/>
        <v>4064000</v>
      </c>
      <c r="AZ27" s="236">
        <f t="shared" si="315"/>
        <v>711200</v>
      </c>
      <c r="BA27" s="236">
        <f t="shared" si="316"/>
        <v>121920</v>
      </c>
      <c r="BB27" s="236">
        <f t="shared" si="317"/>
        <v>40640</v>
      </c>
      <c r="BC27" s="236">
        <f t="shared" si="31"/>
        <v>81280</v>
      </c>
      <c r="BD27" s="236">
        <f t="shared" si="32"/>
        <v>955040</v>
      </c>
      <c r="BE27" s="236">
        <f t="shared" si="318"/>
        <v>325120</v>
      </c>
      <c r="BF27" s="236">
        <f t="shared" si="319"/>
        <v>60960</v>
      </c>
      <c r="BG27" s="236">
        <f t="shared" si="320"/>
        <v>40640</v>
      </c>
      <c r="BH27" s="236">
        <f t="shared" si="33"/>
        <v>426720</v>
      </c>
      <c r="BI27" s="240">
        <v>11000000</v>
      </c>
      <c r="BJ27" s="240"/>
      <c r="BK27" s="236">
        <f t="shared" si="57"/>
        <v>0</v>
      </c>
      <c r="BL27" s="236">
        <f t="shared" si="22"/>
        <v>195000</v>
      </c>
      <c r="BM27" s="236">
        <f t="shared" si="23"/>
        <v>4820307.692307693</v>
      </c>
      <c r="BN27" s="236">
        <f t="shared" si="321"/>
        <v>0</v>
      </c>
      <c r="BO27" s="236">
        <f t="shared" si="322"/>
        <v>0</v>
      </c>
      <c r="BP27" s="232">
        <v>35000</v>
      </c>
      <c r="BQ27" s="324"/>
      <c r="BR27" s="238">
        <f t="shared" si="34"/>
        <v>5476780</v>
      </c>
      <c r="BS27" s="239" t="s">
        <v>243</v>
      </c>
      <c r="BT27" s="236"/>
    </row>
    <row r="28" spans="1:72" s="41" customFormat="1" ht="25.5" customHeight="1">
      <c r="A28" s="327">
        <f t="shared" si="35"/>
        <v>19</v>
      </c>
      <c r="B28" s="325" t="s">
        <v>294</v>
      </c>
      <c r="C28" s="247" t="s">
        <v>113</v>
      </c>
      <c r="D28" s="176">
        <v>208</v>
      </c>
      <c r="E28" s="176">
        <v>150</v>
      </c>
      <c r="F28" s="235">
        <v>66</v>
      </c>
      <c r="G28" s="235">
        <v>19</v>
      </c>
      <c r="H28" s="235">
        <v>40.5</v>
      </c>
      <c r="I28" s="235">
        <v>18</v>
      </c>
      <c r="J28" s="235"/>
      <c r="K28" s="235"/>
      <c r="L28" s="235"/>
      <c r="M28" s="235"/>
      <c r="N28" s="235"/>
      <c r="O28" s="235"/>
      <c r="P28" s="235"/>
      <c r="Q28" s="236">
        <v>4064000</v>
      </c>
      <c r="R28" s="240">
        <v>0</v>
      </c>
      <c r="S28" s="240"/>
      <c r="T28" s="240">
        <v>0</v>
      </c>
      <c r="U28" s="236">
        <v>0</v>
      </c>
      <c r="V28" s="236">
        <f t="shared" ref="V28" si="324">IF((E28+F28)&gt;=D28,U28,(E28+F28)*U28/D28)</f>
        <v>0</v>
      </c>
      <c r="W28" s="236">
        <v>300000</v>
      </c>
      <c r="X28" s="236">
        <f t="shared" si="25"/>
        <v>300000</v>
      </c>
      <c r="Y28" s="236">
        <v>300000</v>
      </c>
      <c r="Z28" s="236">
        <f t="shared" si="26"/>
        <v>300000</v>
      </c>
      <c r="AA28" s="236"/>
      <c r="AB28" s="236"/>
      <c r="AC28" s="236">
        <f t="shared" si="27"/>
        <v>500000</v>
      </c>
      <c r="AD28" s="236">
        <f t="shared" ref="AD28" si="325">G28*13000</f>
        <v>247000</v>
      </c>
      <c r="AE28" s="236">
        <v>0</v>
      </c>
      <c r="AF28" s="236"/>
      <c r="AG28" s="236"/>
      <c r="AH28" s="236">
        <f t="shared" ref="AH28" si="326">V28+X28+Z28+AA28+AC28+AD28+AE28</f>
        <v>1347000</v>
      </c>
      <c r="AI28" s="236">
        <f t="shared" ref="AI28" si="327">Q28+R28+T28</f>
        <v>4064000</v>
      </c>
      <c r="AJ28" s="236">
        <f t="shared" ref="AJ28" si="328">AI28/208</f>
        <v>19538.461538461539</v>
      </c>
      <c r="AK28" s="236">
        <f t="shared" ref="AK28" si="329">AJ28*(E28+F28*130%)</f>
        <v>4607169.230769231</v>
      </c>
      <c r="AL28" s="240"/>
      <c r="AM28" s="236">
        <f t="shared" ref="AM28" si="330">AJ28*H28*150%</f>
        <v>1186961.5384615385</v>
      </c>
      <c r="AN28" s="236">
        <f t="shared" ref="AN28" si="331">AJ28*I28*150%*130%</f>
        <v>685800</v>
      </c>
      <c r="AO28" s="236">
        <f t="shared" ref="AO28" si="332">+AJ28*J28*200%</f>
        <v>0</v>
      </c>
      <c r="AP28" s="236">
        <f t="shared" ref="AP28" si="333">AJ28*K28*200%*130%</f>
        <v>0</v>
      </c>
      <c r="AQ28" s="236">
        <f t="shared" ref="AQ28" si="334">AJ28*L28*200%*150%</f>
        <v>0</v>
      </c>
      <c r="AR28" s="236">
        <f t="shared" ref="AR28" si="335">AJ28*M28*200%*150%*130%</f>
        <v>0</v>
      </c>
      <c r="AS28" s="236">
        <f t="shared" ref="AS28" si="336">N28*AJ28*300%</f>
        <v>0</v>
      </c>
      <c r="AT28" s="236">
        <f t="shared" ref="AT28" si="337">AJ28*O28*130%*300%</f>
        <v>0</v>
      </c>
      <c r="AU28" s="236">
        <f t="shared" ref="AU28" si="338">P28*AJ28*150%*300%</f>
        <v>0</v>
      </c>
      <c r="AV28" s="236">
        <f t="shared" ref="AV28" si="339">SUM(AM28:AU28)</f>
        <v>1872761.5384615385</v>
      </c>
      <c r="AW28" s="240"/>
      <c r="AX28" s="236">
        <f t="shared" ref="AX28" si="340">AH28+AK28+AV28++AF28-AG28</f>
        <v>7826930.7692307699</v>
      </c>
      <c r="AY28" s="236">
        <f t="shared" si="15"/>
        <v>4064000</v>
      </c>
      <c r="AZ28" s="236">
        <f t="shared" ref="AZ28" si="341">AY28*17.5%</f>
        <v>711200</v>
      </c>
      <c r="BA28" s="236">
        <f t="shared" ref="BA28" si="342">AY28*3%</f>
        <v>121920</v>
      </c>
      <c r="BB28" s="236">
        <f t="shared" ref="BB28" si="343">AY28*1%</f>
        <v>40640</v>
      </c>
      <c r="BC28" s="236">
        <f t="shared" si="31"/>
        <v>81280</v>
      </c>
      <c r="BD28" s="236">
        <f t="shared" si="32"/>
        <v>955040</v>
      </c>
      <c r="BE28" s="236">
        <f t="shared" ref="BE28" si="344">AY28*8%</f>
        <v>325120</v>
      </c>
      <c r="BF28" s="236">
        <f t="shared" ref="BF28" si="345">AY28*1.5%</f>
        <v>60960</v>
      </c>
      <c r="BG28" s="236">
        <f t="shared" ref="BG28" si="346">AY28*1%</f>
        <v>40640</v>
      </c>
      <c r="BH28" s="236">
        <f t="shared" si="33"/>
        <v>426720</v>
      </c>
      <c r="BI28" s="240">
        <v>11000000</v>
      </c>
      <c r="BJ28" s="240"/>
      <c r="BK28" s="236">
        <f t="shared" ref="BK28" si="347">BJ28*4400000</f>
        <v>0</v>
      </c>
      <c r="BL28" s="236">
        <f t="shared" si="22"/>
        <v>247000</v>
      </c>
      <c r="BM28" s="236">
        <f t="shared" si="23"/>
        <v>6463307.6923076939</v>
      </c>
      <c r="BN28" s="236">
        <f t="shared" ref="BN28" si="348">IF(BM28-BI28-BK28-BH28&lt;0,0,BM28-BK28-BI28-BH28)</f>
        <v>0</v>
      </c>
      <c r="BO28" s="236">
        <f t="shared" ref="BO28" si="349">ROUND(IF(BN28&lt;=5000000,BN28*5%,IF(AND(BN28&gt;5000000,BN28&lt;=10000000),BN28*10%-250000,IF(AND(BN28&gt;10000000,BN28&lt;=18000000),BN28*15%-750000,IF(AND(BN28&gt;18000000,BN28&lt;=32000000),BN28*20%-1650000,IF(AND(BN28&gt;32000000,BN28&lt;=52000000),BN28*25%-3250000,IF(AND(BN28&gt;52000000,BN28&lt;80000000),BN28*30%-585000,IF(BN28&gt;80000000,BN28*35%-9850000))))))),0)</f>
        <v>0</v>
      </c>
      <c r="BP28" s="232">
        <v>35000</v>
      </c>
      <c r="BQ28" s="324"/>
      <c r="BR28" s="238">
        <f t="shared" si="34"/>
        <v>7365210.7692307699</v>
      </c>
      <c r="BS28" s="239" t="s">
        <v>243</v>
      </c>
      <c r="BT28" s="236"/>
    </row>
    <row r="29" spans="1:72" s="41" customFormat="1" ht="25.5" customHeight="1">
      <c r="A29" s="327">
        <f t="shared" si="35"/>
        <v>20</v>
      </c>
      <c r="B29" s="325" t="s">
        <v>295</v>
      </c>
      <c r="C29" s="247" t="s">
        <v>113</v>
      </c>
      <c r="D29" s="176">
        <v>208</v>
      </c>
      <c r="E29" s="176">
        <v>150</v>
      </c>
      <c r="F29" s="235">
        <v>66</v>
      </c>
      <c r="G29" s="235">
        <v>19</v>
      </c>
      <c r="H29" s="235">
        <v>40.5</v>
      </c>
      <c r="I29" s="235">
        <v>18</v>
      </c>
      <c r="J29" s="235"/>
      <c r="K29" s="235"/>
      <c r="L29" s="235"/>
      <c r="M29" s="235"/>
      <c r="N29" s="235"/>
      <c r="O29" s="235"/>
      <c r="P29" s="235"/>
      <c r="Q29" s="236">
        <v>4064000</v>
      </c>
      <c r="R29" s="240">
        <v>0</v>
      </c>
      <c r="S29" s="240"/>
      <c r="T29" s="240">
        <v>0</v>
      </c>
      <c r="U29" s="236">
        <v>0</v>
      </c>
      <c r="V29" s="236">
        <f t="shared" ref="V29" si="350">IF((E29+F29)&gt;=D29,U29,(E29+F29)*U29/D29)</f>
        <v>0</v>
      </c>
      <c r="W29" s="236">
        <v>300000</v>
      </c>
      <c r="X29" s="236">
        <f t="shared" si="25"/>
        <v>300000</v>
      </c>
      <c r="Y29" s="236">
        <v>300000</v>
      </c>
      <c r="Z29" s="236">
        <f t="shared" si="26"/>
        <v>300000</v>
      </c>
      <c r="AA29" s="236"/>
      <c r="AB29" s="236"/>
      <c r="AC29" s="236">
        <f t="shared" si="27"/>
        <v>500000</v>
      </c>
      <c r="AD29" s="236">
        <f t="shared" ref="AD29" si="351">G29*13000</f>
        <v>247000</v>
      </c>
      <c r="AE29" s="236">
        <v>0</v>
      </c>
      <c r="AF29" s="236"/>
      <c r="AG29" s="236"/>
      <c r="AH29" s="236">
        <f t="shared" ref="AH29" si="352">V29+X29+Z29+AA29+AC29+AD29+AE29</f>
        <v>1347000</v>
      </c>
      <c r="AI29" s="236">
        <f t="shared" ref="AI29" si="353">Q29+R29+T29</f>
        <v>4064000</v>
      </c>
      <c r="AJ29" s="236">
        <f t="shared" ref="AJ29" si="354">AI29/208</f>
        <v>19538.461538461539</v>
      </c>
      <c r="AK29" s="236">
        <f t="shared" ref="AK29" si="355">AJ29*(E29+F29*130%)</f>
        <v>4607169.230769231</v>
      </c>
      <c r="AL29" s="240"/>
      <c r="AM29" s="236">
        <f t="shared" ref="AM29" si="356">AJ29*H29*150%</f>
        <v>1186961.5384615385</v>
      </c>
      <c r="AN29" s="236">
        <f t="shared" ref="AN29" si="357">AJ29*I29*150%*130%</f>
        <v>685800</v>
      </c>
      <c r="AO29" s="236">
        <f t="shared" ref="AO29" si="358">+AJ29*J29*200%</f>
        <v>0</v>
      </c>
      <c r="AP29" s="236">
        <f t="shared" ref="AP29" si="359">AJ29*K29*200%*130%</f>
        <v>0</v>
      </c>
      <c r="AQ29" s="236">
        <f t="shared" ref="AQ29" si="360">AJ29*L29*200%*150%</f>
        <v>0</v>
      </c>
      <c r="AR29" s="236">
        <f t="shared" ref="AR29" si="361">AJ29*M29*200%*150%*130%</f>
        <v>0</v>
      </c>
      <c r="AS29" s="236">
        <f t="shared" ref="AS29" si="362">N29*AJ29*300%</f>
        <v>0</v>
      </c>
      <c r="AT29" s="236">
        <f t="shared" ref="AT29" si="363">AJ29*O29*130%*300%</f>
        <v>0</v>
      </c>
      <c r="AU29" s="236">
        <f t="shared" ref="AU29" si="364">P29*AJ29*150%*300%</f>
        <v>0</v>
      </c>
      <c r="AV29" s="236">
        <f t="shared" ref="AV29" si="365">SUM(AM29:AU29)</f>
        <v>1872761.5384615385</v>
      </c>
      <c r="AW29" s="240"/>
      <c r="AX29" s="236">
        <f t="shared" si="50"/>
        <v>7826930.7692307699</v>
      </c>
      <c r="AY29" s="236">
        <f t="shared" si="15"/>
        <v>4064000</v>
      </c>
      <c r="AZ29" s="236">
        <f t="shared" ref="AZ29" si="366">AY29*17.5%</f>
        <v>711200</v>
      </c>
      <c r="BA29" s="236">
        <f t="shared" ref="BA29" si="367">AY29*3%</f>
        <v>121920</v>
      </c>
      <c r="BB29" s="236">
        <f t="shared" ref="BB29" si="368">AY29*1%</f>
        <v>40640</v>
      </c>
      <c r="BC29" s="236">
        <f t="shared" si="31"/>
        <v>81280</v>
      </c>
      <c r="BD29" s="236">
        <f t="shared" si="32"/>
        <v>955040</v>
      </c>
      <c r="BE29" s="236">
        <f t="shared" ref="BE29" si="369">AY29*8%</f>
        <v>325120</v>
      </c>
      <c r="BF29" s="236">
        <f t="shared" ref="BF29" si="370">AY29*1.5%</f>
        <v>60960</v>
      </c>
      <c r="BG29" s="236">
        <f t="shared" ref="BG29" si="371">AY29*1%</f>
        <v>40640</v>
      </c>
      <c r="BH29" s="236">
        <f t="shared" si="33"/>
        <v>426720</v>
      </c>
      <c r="BI29" s="240">
        <v>11000000</v>
      </c>
      <c r="BJ29" s="240"/>
      <c r="BK29" s="236">
        <f t="shared" ref="BK29" si="372">BJ29*4400000</f>
        <v>0</v>
      </c>
      <c r="BL29" s="236">
        <f t="shared" si="22"/>
        <v>247000</v>
      </c>
      <c r="BM29" s="236">
        <f t="shared" si="23"/>
        <v>6463307.6923076939</v>
      </c>
      <c r="BN29" s="236">
        <f t="shared" ref="BN29" si="373">IF(BM29-BI29-BK29-BH29&lt;0,0,BM29-BK29-BI29-BH29)</f>
        <v>0</v>
      </c>
      <c r="BO29" s="236">
        <f t="shared" ref="BO29" si="374">ROUND(IF(BN29&lt;=5000000,BN29*5%,IF(AND(BN29&gt;5000000,BN29&lt;=10000000),BN29*10%-250000,IF(AND(BN29&gt;10000000,BN29&lt;=18000000),BN29*15%-750000,IF(AND(BN29&gt;18000000,BN29&lt;=32000000),BN29*20%-1650000,IF(AND(BN29&gt;32000000,BN29&lt;=52000000),BN29*25%-3250000,IF(AND(BN29&gt;52000000,BN29&lt;80000000),BN29*30%-585000,IF(BN29&gt;80000000,BN29*35%-9850000))))))),0)</f>
        <v>0</v>
      </c>
      <c r="BP29" s="232">
        <v>35000</v>
      </c>
      <c r="BQ29" s="324"/>
      <c r="BR29" s="238">
        <f t="shared" si="34"/>
        <v>7365210.7692307699</v>
      </c>
      <c r="BS29" s="239" t="s">
        <v>243</v>
      </c>
      <c r="BT29" s="236"/>
    </row>
    <row r="30" spans="1:72" s="41" customFormat="1" ht="25.5" customHeight="1">
      <c r="A30" s="327">
        <f t="shared" si="35"/>
        <v>21</v>
      </c>
      <c r="B30" s="325" t="s">
        <v>293</v>
      </c>
      <c r="C30" s="247" t="s">
        <v>113</v>
      </c>
      <c r="D30" s="176">
        <v>208</v>
      </c>
      <c r="E30" s="176">
        <v>144.5</v>
      </c>
      <c r="F30" s="235">
        <v>71.5</v>
      </c>
      <c r="G30" s="235">
        <v>19</v>
      </c>
      <c r="H30" s="235">
        <v>37.5</v>
      </c>
      <c r="I30" s="235">
        <v>19.5</v>
      </c>
      <c r="J30" s="235"/>
      <c r="K30" s="235"/>
      <c r="L30" s="235"/>
      <c r="M30" s="235"/>
      <c r="N30" s="235"/>
      <c r="O30" s="235"/>
      <c r="P30" s="235"/>
      <c r="Q30" s="236">
        <v>4064000</v>
      </c>
      <c r="R30" s="240">
        <v>0</v>
      </c>
      <c r="S30" s="240"/>
      <c r="T30" s="240">
        <v>0</v>
      </c>
      <c r="U30" s="236">
        <v>0</v>
      </c>
      <c r="V30" s="236">
        <f t="shared" ref="V30" si="375">IF((E30+F30)&gt;=D30,U30,(E30+F30)*U30/D30)</f>
        <v>0</v>
      </c>
      <c r="W30" s="236">
        <v>300000</v>
      </c>
      <c r="X30" s="236">
        <f t="shared" si="25"/>
        <v>300000</v>
      </c>
      <c r="Y30" s="236">
        <v>300000</v>
      </c>
      <c r="Z30" s="236">
        <f t="shared" si="26"/>
        <v>300000</v>
      </c>
      <c r="AA30" s="236">
        <v>20000</v>
      </c>
      <c r="AB30" s="236"/>
      <c r="AC30" s="236">
        <f t="shared" si="27"/>
        <v>500000</v>
      </c>
      <c r="AD30" s="236">
        <f t="shared" ref="AD30" si="376">G30*13000</f>
        <v>247000</v>
      </c>
      <c r="AE30" s="236">
        <v>0</v>
      </c>
      <c r="AF30" s="236"/>
      <c r="AG30" s="236"/>
      <c r="AH30" s="236">
        <f t="shared" ref="AH30" si="377">V30+X30+Z30+AA30+AC30+AD30+AE30</f>
        <v>1367000</v>
      </c>
      <c r="AI30" s="236">
        <f t="shared" ref="AI30" si="378">Q30+R30+T30</f>
        <v>4064000</v>
      </c>
      <c r="AJ30" s="236">
        <f t="shared" ref="AJ30" si="379">AI30/208</f>
        <v>19538.461538461539</v>
      </c>
      <c r="AK30" s="236">
        <f t="shared" ref="AK30" si="380">AJ30*(E30+F30*130%)</f>
        <v>4639407.692307692</v>
      </c>
      <c r="AL30" s="240"/>
      <c r="AM30" s="236">
        <f t="shared" ref="AM30" si="381">AJ30*H30*150%</f>
        <v>1099038.4615384615</v>
      </c>
      <c r="AN30" s="236">
        <f t="shared" ref="AN30" si="382">AJ30*I30*150%*130%</f>
        <v>742950</v>
      </c>
      <c r="AO30" s="236">
        <f t="shared" ref="AO30" si="383">+AJ30*J30*200%</f>
        <v>0</v>
      </c>
      <c r="AP30" s="236">
        <f t="shared" ref="AP30" si="384">AJ30*K30*200%*130%</f>
        <v>0</v>
      </c>
      <c r="AQ30" s="236">
        <f t="shared" ref="AQ30" si="385">AJ30*L30*200%*150%</f>
        <v>0</v>
      </c>
      <c r="AR30" s="236">
        <f t="shared" ref="AR30" si="386">AJ30*M30*200%*150%*130%</f>
        <v>0</v>
      </c>
      <c r="AS30" s="236">
        <f t="shared" ref="AS30" si="387">N30*AJ30*300%</f>
        <v>0</v>
      </c>
      <c r="AT30" s="236">
        <f t="shared" ref="AT30" si="388">AJ30*O30*130%*300%</f>
        <v>0</v>
      </c>
      <c r="AU30" s="236">
        <f t="shared" ref="AU30" si="389">P30*AJ30*150%*300%</f>
        <v>0</v>
      </c>
      <c r="AV30" s="236">
        <f t="shared" ref="AV30" si="390">SUM(AM30:AU30)</f>
        <v>1841988.4615384615</v>
      </c>
      <c r="AW30" s="240"/>
      <c r="AX30" s="236">
        <f t="shared" ref="AX30" si="391">AH30+AK30+AV30++AF30-AG30</f>
        <v>7848396.153846154</v>
      </c>
      <c r="AY30" s="236">
        <f t="shared" si="15"/>
        <v>4064000</v>
      </c>
      <c r="AZ30" s="236">
        <f t="shared" ref="AZ30" si="392">AY30*17.5%</f>
        <v>711200</v>
      </c>
      <c r="BA30" s="236">
        <f t="shared" ref="BA30" si="393">AY30*3%</f>
        <v>121920</v>
      </c>
      <c r="BB30" s="236">
        <f t="shared" ref="BB30" si="394">AY30*1%</f>
        <v>40640</v>
      </c>
      <c r="BC30" s="236">
        <f t="shared" si="31"/>
        <v>81280</v>
      </c>
      <c r="BD30" s="236">
        <f t="shared" si="32"/>
        <v>955040</v>
      </c>
      <c r="BE30" s="236">
        <f t="shared" ref="BE30" si="395">AY30*8%</f>
        <v>325120</v>
      </c>
      <c r="BF30" s="236">
        <f t="shared" ref="BF30" si="396">AY30*1.5%</f>
        <v>60960</v>
      </c>
      <c r="BG30" s="236">
        <f t="shared" ref="BG30" si="397">AY30*1%</f>
        <v>40640</v>
      </c>
      <c r="BH30" s="236">
        <f t="shared" si="33"/>
        <v>426720</v>
      </c>
      <c r="BI30" s="240">
        <v>11000000</v>
      </c>
      <c r="BJ30" s="240"/>
      <c r="BK30" s="236">
        <f t="shared" ref="BK30" si="398">BJ30*4400000</f>
        <v>0</v>
      </c>
      <c r="BL30" s="236">
        <f t="shared" si="22"/>
        <v>247000</v>
      </c>
      <c r="BM30" s="236">
        <f t="shared" si="23"/>
        <v>6454000</v>
      </c>
      <c r="BN30" s="236">
        <f t="shared" ref="BN30" si="399">IF(BM30-BI30-BK30-BH30&lt;0,0,BM30-BK30-BI30-BH30)</f>
        <v>0</v>
      </c>
      <c r="BO30" s="236">
        <f t="shared" ref="BO30" si="400">ROUND(IF(BN30&lt;=5000000,BN30*5%,IF(AND(BN30&gt;5000000,BN30&lt;=10000000),BN30*10%-250000,IF(AND(BN30&gt;10000000,BN30&lt;=18000000),BN30*15%-750000,IF(AND(BN30&gt;18000000,BN30&lt;=32000000),BN30*20%-1650000,IF(AND(BN30&gt;32000000,BN30&lt;=52000000),BN30*25%-3250000,IF(AND(BN30&gt;52000000,BN30&lt;80000000),BN30*30%-585000,IF(BN30&gt;80000000,BN30*35%-9850000))))))),0)</f>
        <v>0</v>
      </c>
      <c r="BP30" s="232">
        <v>35000</v>
      </c>
      <c r="BQ30" s="324"/>
      <c r="BR30" s="238">
        <f t="shared" si="34"/>
        <v>7386676.153846154</v>
      </c>
      <c r="BS30" s="239" t="s">
        <v>243</v>
      </c>
      <c r="BT30" s="236"/>
    </row>
    <row r="31" spans="1:72" s="41" customFormat="1" ht="25.5" customHeight="1">
      <c r="A31" s="327">
        <f t="shared" si="35"/>
        <v>22</v>
      </c>
      <c r="B31" s="325" t="s">
        <v>288</v>
      </c>
      <c r="C31" s="247" t="s">
        <v>113</v>
      </c>
      <c r="D31" s="176">
        <v>208</v>
      </c>
      <c r="E31" s="176">
        <v>109</v>
      </c>
      <c r="F31" s="235">
        <v>55</v>
      </c>
      <c r="G31" s="235">
        <v>13</v>
      </c>
      <c r="H31" s="235">
        <v>25.5</v>
      </c>
      <c r="I31" s="235">
        <v>15</v>
      </c>
      <c r="J31" s="235"/>
      <c r="K31" s="235"/>
      <c r="L31" s="235"/>
      <c r="M31" s="235"/>
      <c r="N31" s="235"/>
      <c r="O31" s="235"/>
      <c r="P31" s="235"/>
      <c r="Q31" s="236">
        <v>4064000</v>
      </c>
      <c r="R31" s="240">
        <v>0</v>
      </c>
      <c r="S31" s="240"/>
      <c r="T31" s="240">
        <v>0</v>
      </c>
      <c r="U31" s="236">
        <v>0</v>
      </c>
      <c r="V31" s="236">
        <f t="shared" ref="V31:V33" si="401">IF((E31+F31)&gt;=D31,U31,(E31+F31)*U31/D31)</f>
        <v>0</v>
      </c>
      <c r="W31" s="236">
        <v>300000</v>
      </c>
      <c r="X31" s="236">
        <f t="shared" si="25"/>
        <v>300000</v>
      </c>
      <c r="Y31" s="236">
        <v>300000</v>
      </c>
      <c r="Z31" s="236">
        <f t="shared" si="26"/>
        <v>300000</v>
      </c>
      <c r="AA31" s="236"/>
      <c r="AB31" s="236"/>
      <c r="AC31" s="236">
        <f t="shared" si="27"/>
        <v>0</v>
      </c>
      <c r="AD31" s="236">
        <f t="shared" ref="AD31:AD33" si="402">G31*13000</f>
        <v>169000</v>
      </c>
      <c r="AE31" s="236">
        <v>0</v>
      </c>
      <c r="AF31" s="236"/>
      <c r="AG31" s="236"/>
      <c r="AH31" s="236">
        <f t="shared" ref="AH31:AH33" si="403">V31+X31+Z31+AA31+AC31+AD31+AE31</f>
        <v>769000</v>
      </c>
      <c r="AI31" s="236">
        <f t="shared" ref="AI31:AI33" si="404">Q31+R31+T31</f>
        <v>4064000</v>
      </c>
      <c r="AJ31" s="236">
        <f t="shared" ref="AJ31:AJ33" si="405">AI31/208</f>
        <v>19538.461538461539</v>
      </c>
      <c r="AK31" s="236">
        <f t="shared" ref="AK31:AK33" si="406">AJ31*(E31+F31*130%)</f>
        <v>3526692.307692308</v>
      </c>
      <c r="AL31" s="240"/>
      <c r="AM31" s="236">
        <f t="shared" ref="AM31:AM33" si="407">AJ31*H31*150%</f>
        <v>747346.15384615387</v>
      </c>
      <c r="AN31" s="236">
        <f t="shared" ref="AN31:AN33" si="408">AJ31*I31*150%*130%</f>
        <v>571500</v>
      </c>
      <c r="AO31" s="236">
        <f t="shared" ref="AO31:AO33" si="409">+AJ31*J31*200%</f>
        <v>0</v>
      </c>
      <c r="AP31" s="236">
        <f t="shared" ref="AP31:AP33" si="410">AJ31*K31*200%*130%</f>
        <v>0</v>
      </c>
      <c r="AQ31" s="236">
        <f t="shared" ref="AQ31:AQ33" si="411">AJ31*L31*200%*150%</f>
        <v>0</v>
      </c>
      <c r="AR31" s="236">
        <f t="shared" ref="AR31:AR33" si="412">AJ31*M31*200%*150%*130%</f>
        <v>0</v>
      </c>
      <c r="AS31" s="236">
        <f t="shared" ref="AS31:AS33" si="413">N31*AJ31*300%</f>
        <v>0</v>
      </c>
      <c r="AT31" s="236">
        <f t="shared" ref="AT31:AT33" si="414">AJ31*O31*130%*300%</f>
        <v>0</v>
      </c>
      <c r="AU31" s="236">
        <f t="shared" ref="AU31:AU33" si="415">P31*AJ31*150%*300%</f>
        <v>0</v>
      </c>
      <c r="AV31" s="236">
        <f t="shared" ref="AV31:AV33" si="416">SUM(AM31:AU31)</f>
        <v>1318846.153846154</v>
      </c>
      <c r="AW31" s="240"/>
      <c r="AX31" s="236">
        <f t="shared" si="50"/>
        <v>5614538.461538462</v>
      </c>
      <c r="AY31" s="236">
        <f t="shared" si="15"/>
        <v>4064000</v>
      </c>
      <c r="AZ31" s="236">
        <f t="shared" ref="AZ31:AZ33" si="417">AY31*17.5%</f>
        <v>711200</v>
      </c>
      <c r="BA31" s="236">
        <f t="shared" ref="BA31:BA33" si="418">AY31*3%</f>
        <v>121920</v>
      </c>
      <c r="BB31" s="236">
        <f t="shared" ref="BB31:BB33" si="419">AY31*1%</f>
        <v>40640</v>
      </c>
      <c r="BC31" s="236">
        <f t="shared" si="31"/>
        <v>81280</v>
      </c>
      <c r="BD31" s="236">
        <f t="shared" si="32"/>
        <v>955040</v>
      </c>
      <c r="BE31" s="236">
        <f t="shared" ref="BE31:BE33" si="420">AY31*8%</f>
        <v>325120</v>
      </c>
      <c r="BF31" s="236">
        <f t="shared" ref="BF31:BF33" si="421">AY31*1.5%</f>
        <v>60960</v>
      </c>
      <c r="BG31" s="236">
        <f t="shared" ref="BG31:BG33" si="422">AY31*1%</f>
        <v>40640</v>
      </c>
      <c r="BH31" s="236">
        <f t="shared" si="33"/>
        <v>426720</v>
      </c>
      <c r="BI31" s="240">
        <v>11000000</v>
      </c>
      <c r="BJ31" s="240"/>
      <c r="BK31" s="236">
        <f t="shared" ref="BK31:BK33" si="423">BJ31*4400000</f>
        <v>0</v>
      </c>
      <c r="BL31" s="236">
        <f t="shared" si="22"/>
        <v>169000</v>
      </c>
      <c r="BM31" s="236">
        <f t="shared" si="23"/>
        <v>4595615.384615385</v>
      </c>
      <c r="BN31" s="236">
        <f t="shared" ref="BN31:BN33" si="424">IF(BM31-BI31-BK31-BH31&lt;0,0,BM31-BK31-BI31-BH31)</f>
        <v>0</v>
      </c>
      <c r="BO31" s="236">
        <f t="shared" ref="BO31:BO33" si="425">ROUND(IF(BN31&lt;=5000000,BN31*5%,IF(AND(BN31&gt;5000000,BN31&lt;=10000000),BN31*10%-250000,IF(AND(BN31&gt;10000000,BN31&lt;=18000000),BN31*15%-750000,IF(AND(BN31&gt;18000000,BN31&lt;=32000000),BN31*20%-1650000,IF(AND(BN31&gt;32000000,BN31&lt;=52000000),BN31*25%-3250000,IF(AND(BN31&gt;52000000,BN31&lt;80000000),BN31*30%-585000,IF(BN31&gt;80000000,BN31*35%-9850000))))))),0)</f>
        <v>0</v>
      </c>
      <c r="BP31" s="232">
        <v>35000</v>
      </c>
      <c r="BQ31" s="324"/>
      <c r="BR31" s="238">
        <f t="shared" si="34"/>
        <v>5152818.461538462</v>
      </c>
      <c r="BS31" s="239" t="s">
        <v>243</v>
      </c>
      <c r="BT31" s="236"/>
    </row>
    <row r="32" spans="1:72" s="41" customFormat="1" ht="25.5" customHeight="1">
      <c r="A32" s="327">
        <f t="shared" si="35"/>
        <v>23</v>
      </c>
      <c r="B32" s="325" t="s">
        <v>315</v>
      </c>
      <c r="C32" s="247" t="s">
        <v>113</v>
      </c>
      <c r="D32" s="176">
        <v>208</v>
      </c>
      <c r="E32" s="176">
        <v>120.5</v>
      </c>
      <c r="F32" s="235">
        <v>71.5</v>
      </c>
      <c r="G32" s="235">
        <v>17</v>
      </c>
      <c r="H32" s="235">
        <v>31.5</v>
      </c>
      <c r="I32" s="235">
        <v>19.5</v>
      </c>
      <c r="J32" s="235"/>
      <c r="K32" s="235"/>
      <c r="L32" s="235"/>
      <c r="M32" s="235"/>
      <c r="N32" s="235"/>
      <c r="O32" s="235"/>
      <c r="P32" s="235"/>
      <c r="Q32" s="236">
        <v>4267000</v>
      </c>
      <c r="R32" s="240">
        <v>0</v>
      </c>
      <c r="S32" s="240"/>
      <c r="T32" s="240">
        <v>600000</v>
      </c>
      <c r="U32" s="236">
        <v>0</v>
      </c>
      <c r="V32" s="236">
        <f t="shared" si="401"/>
        <v>0</v>
      </c>
      <c r="W32" s="236">
        <v>300000</v>
      </c>
      <c r="X32" s="236">
        <f t="shared" si="25"/>
        <v>300000</v>
      </c>
      <c r="Y32" s="236">
        <v>300000</v>
      </c>
      <c r="Z32" s="236">
        <f t="shared" si="26"/>
        <v>300000</v>
      </c>
      <c r="AA32" s="236">
        <v>20000</v>
      </c>
      <c r="AB32" s="236"/>
      <c r="AC32" s="236">
        <f t="shared" si="27"/>
        <v>500000</v>
      </c>
      <c r="AD32" s="236">
        <f t="shared" si="402"/>
        <v>221000</v>
      </c>
      <c r="AE32" s="236">
        <v>0</v>
      </c>
      <c r="AF32" s="236"/>
      <c r="AG32" s="236"/>
      <c r="AH32" s="236">
        <f t="shared" si="403"/>
        <v>1341000</v>
      </c>
      <c r="AI32" s="236">
        <f t="shared" si="404"/>
        <v>4867000</v>
      </c>
      <c r="AJ32" s="236">
        <f t="shared" si="405"/>
        <v>23399.038461538461</v>
      </c>
      <c r="AK32" s="236">
        <f t="shared" si="406"/>
        <v>4994524.759615384</v>
      </c>
      <c r="AL32" s="240"/>
      <c r="AM32" s="236">
        <f t="shared" si="407"/>
        <v>1105604.5673076923</v>
      </c>
      <c r="AN32" s="236">
        <f t="shared" si="408"/>
        <v>889748.4375</v>
      </c>
      <c r="AO32" s="236">
        <f t="shared" si="409"/>
        <v>0</v>
      </c>
      <c r="AP32" s="236">
        <f t="shared" si="410"/>
        <v>0</v>
      </c>
      <c r="AQ32" s="236">
        <f t="shared" si="411"/>
        <v>0</v>
      </c>
      <c r="AR32" s="236">
        <f t="shared" si="412"/>
        <v>0</v>
      </c>
      <c r="AS32" s="236">
        <f t="shared" si="413"/>
        <v>0</v>
      </c>
      <c r="AT32" s="236">
        <f t="shared" si="414"/>
        <v>0</v>
      </c>
      <c r="AU32" s="236">
        <f t="shared" si="415"/>
        <v>0</v>
      </c>
      <c r="AV32" s="236">
        <f t="shared" si="416"/>
        <v>1995353.0048076923</v>
      </c>
      <c r="AW32" s="240"/>
      <c r="AX32" s="236">
        <f t="shared" si="50"/>
        <v>8330877.7644230761</v>
      </c>
      <c r="AY32" s="236">
        <f t="shared" si="15"/>
        <v>4867000</v>
      </c>
      <c r="AZ32" s="236">
        <f t="shared" si="417"/>
        <v>851725</v>
      </c>
      <c r="BA32" s="236">
        <f t="shared" si="418"/>
        <v>146010</v>
      </c>
      <c r="BB32" s="236">
        <f t="shared" si="419"/>
        <v>48670</v>
      </c>
      <c r="BC32" s="236">
        <f t="shared" si="31"/>
        <v>97340</v>
      </c>
      <c r="BD32" s="236">
        <f t="shared" si="32"/>
        <v>1143745</v>
      </c>
      <c r="BE32" s="236">
        <f t="shared" si="420"/>
        <v>389360</v>
      </c>
      <c r="BF32" s="236">
        <f t="shared" si="421"/>
        <v>73005</v>
      </c>
      <c r="BG32" s="236">
        <f t="shared" si="422"/>
        <v>48670</v>
      </c>
      <c r="BH32" s="236">
        <f t="shared" si="33"/>
        <v>511035</v>
      </c>
      <c r="BI32" s="240">
        <v>11000000</v>
      </c>
      <c r="BJ32" s="240"/>
      <c r="BK32" s="236">
        <f t="shared" si="423"/>
        <v>0</v>
      </c>
      <c r="BL32" s="236">
        <f t="shared" si="22"/>
        <v>221000</v>
      </c>
      <c r="BM32" s="236">
        <f t="shared" si="23"/>
        <v>6805966.3461538451</v>
      </c>
      <c r="BN32" s="236">
        <f t="shared" si="424"/>
        <v>0</v>
      </c>
      <c r="BO32" s="236">
        <f t="shared" si="425"/>
        <v>0</v>
      </c>
      <c r="BP32" s="232">
        <v>0</v>
      </c>
      <c r="BQ32" s="324"/>
      <c r="BR32" s="238">
        <f t="shared" si="34"/>
        <v>7819842.7644230761</v>
      </c>
      <c r="BS32" s="239" t="s">
        <v>243</v>
      </c>
      <c r="BT32" s="236"/>
    </row>
    <row r="33" spans="1:75" s="41" customFormat="1" ht="25.5" customHeight="1">
      <c r="A33" s="327">
        <f t="shared" si="35"/>
        <v>24</v>
      </c>
      <c r="B33" s="325" t="s">
        <v>310</v>
      </c>
      <c r="C33" s="247" t="s">
        <v>113</v>
      </c>
      <c r="D33" s="176">
        <v>208</v>
      </c>
      <c r="E33" s="176">
        <v>131.5</v>
      </c>
      <c r="F33" s="235">
        <v>60.5</v>
      </c>
      <c r="G33" s="235">
        <v>17</v>
      </c>
      <c r="H33" s="235">
        <v>36</v>
      </c>
      <c r="I33" s="235">
        <v>16.5</v>
      </c>
      <c r="J33" s="235"/>
      <c r="K33" s="235"/>
      <c r="L33" s="235"/>
      <c r="M33" s="235"/>
      <c r="N33" s="235"/>
      <c r="O33" s="235"/>
      <c r="P33" s="235"/>
      <c r="Q33" s="236">
        <v>4064000</v>
      </c>
      <c r="R33" s="240">
        <v>0</v>
      </c>
      <c r="S33" s="240"/>
      <c r="T33" s="240">
        <v>0</v>
      </c>
      <c r="U33" s="236">
        <v>0</v>
      </c>
      <c r="V33" s="236">
        <f t="shared" si="401"/>
        <v>0</v>
      </c>
      <c r="W33" s="236">
        <v>300000</v>
      </c>
      <c r="X33" s="236">
        <f t="shared" si="25"/>
        <v>300000</v>
      </c>
      <c r="Y33" s="236">
        <v>300000</v>
      </c>
      <c r="Z33" s="236">
        <f t="shared" si="26"/>
        <v>300000</v>
      </c>
      <c r="AA33" s="236"/>
      <c r="AB33" s="236"/>
      <c r="AC33" s="236">
        <f t="shared" si="27"/>
        <v>500000</v>
      </c>
      <c r="AD33" s="236">
        <f t="shared" si="402"/>
        <v>221000</v>
      </c>
      <c r="AE33" s="236">
        <v>0</v>
      </c>
      <c r="AF33" s="236"/>
      <c r="AG33" s="236"/>
      <c r="AH33" s="236">
        <f t="shared" si="403"/>
        <v>1321000</v>
      </c>
      <c r="AI33" s="236">
        <f t="shared" si="404"/>
        <v>4064000</v>
      </c>
      <c r="AJ33" s="236">
        <f t="shared" si="405"/>
        <v>19538.461538461539</v>
      </c>
      <c r="AK33" s="236">
        <f t="shared" si="406"/>
        <v>4106007.6923076925</v>
      </c>
      <c r="AL33" s="240"/>
      <c r="AM33" s="236">
        <f t="shared" si="407"/>
        <v>1055076.923076923</v>
      </c>
      <c r="AN33" s="236">
        <f t="shared" si="408"/>
        <v>628650</v>
      </c>
      <c r="AO33" s="236">
        <f t="shared" si="409"/>
        <v>0</v>
      </c>
      <c r="AP33" s="236">
        <f t="shared" si="410"/>
        <v>0</v>
      </c>
      <c r="AQ33" s="236">
        <f t="shared" si="411"/>
        <v>0</v>
      </c>
      <c r="AR33" s="236">
        <f t="shared" si="412"/>
        <v>0</v>
      </c>
      <c r="AS33" s="236">
        <f t="shared" si="413"/>
        <v>0</v>
      </c>
      <c r="AT33" s="236">
        <f t="shared" si="414"/>
        <v>0</v>
      </c>
      <c r="AU33" s="236">
        <f t="shared" si="415"/>
        <v>0</v>
      </c>
      <c r="AV33" s="236">
        <f t="shared" si="416"/>
        <v>1683726.923076923</v>
      </c>
      <c r="AW33" s="240"/>
      <c r="AX33" s="236">
        <f t="shared" si="50"/>
        <v>7110734.615384615</v>
      </c>
      <c r="AY33" s="236">
        <f t="shared" ref="AY33" si="426">Q33+R33+T33</f>
        <v>4064000</v>
      </c>
      <c r="AZ33" s="236">
        <f t="shared" si="417"/>
        <v>711200</v>
      </c>
      <c r="BA33" s="236">
        <f t="shared" si="418"/>
        <v>121920</v>
      </c>
      <c r="BB33" s="236">
        <f t="shared" si="419"/>
        <v>40640</v>
      </c>
      <c r="BC33" s="236">
        <f t="shared" si="31"/>
        <v>81280</v>
      </c>
      <c r="BD33" s="236">
        <f t="shared" si="32"/>
        <v>955040</v>
      </c>
      <c r="BE33" s="236">
        <f t="shared" si="420"/>
        <v>325120</v>
      </c>
      <c r="BF33" s="236">
        <f t="shared" si="421"/>
        <v>60960</v>
      </c>
      <c r="BG33" s="236">
        <f t="shared" si="422"/>
        <v>40640</v>
      </c>
      <c r="BH33" s="236">
        <f t="shared" si="33"/>
        <v>426720</v>
      </c>
      <c r="BI33" s="240">
        <v>11000000</v>
      </c>
      <c r="BJ33" s="240"/>
      <c r="BK33" s="236">
        <f t="shared" si="423"/>
        <v>0</v>
      </c>
      <c r="BL33" s="236">
        <f t="shared" si="22"/>
        <v>221000</v>
      </c>
      <c r="BM33" s="236">
        <f t="shared" si="23"/>
        <v>5877153.8461538451</v>
      </c>
      <c r="BN33" s="236">
        <f t="shared" si="424"/>
        <v>0</v>
      </c>
      <c r="BO33" s="236">
        <f t="shared" si="425"/>
        <v>0</v>
      </c>
      <c r="BP33" s="232">
        <v>0</v>
      </c>
      <c r="BQ33" s="324"/>
      <c r="BR33" s="238">
        <f t="shared" si="34"/>
        <v>6684014.615384615</v>
      </c>
      <c r="BS33" s="239" t="s">
        <v>243</v>
      </c>
      <c r="BT33" s="236"/>
    </row>
    <row r="34" spans="1:75" s="41" customFormat="1" ht="32.25" customHeight="1">
      <c r="A34" s="327">
        <f t="shared" si="35"/>
        <v>25</v>
      </c>
      <c r="B34" s="325" t="s">
        <v>328</v>
      </c>
      <c r="C34" s="247" t="s">
        <v>113</v>
      </c>
      <c r="D34" s="176">
        <v>208</v>
      </c>
      <c r="E34" s="176">
        <v>208</v>
      </c>
      <c r="F34" s="235">
        <v>0</v>
      </c>
      <c r="G34" s="235">
        <v>21</v>
      </c>
      <c r="H34" s="235">
        <v>63</v>
      </c>
      <c r="I34" s="235">
        <v>0</v>
      </c>
      <c r="J34" s="235"/>
      <c r="K34" s="235"/>
      <c r="L34" s="235"/>
      <c r="M34" s="235"/>
      <c r="N34" s="235"/>
      <c r="O34" s="235"/>
      <c r="P34" s="235"/>
      <c r="Q34" s="236">
        <v>4064000</v>
      </c>
      <c r="R34" s="240">
        <v>0</v>
      </c>
      <c r="S34" s="240"/>
      <c r="T34" s="240">
        <v>0</v>
      </c>
      <c r="U34" s="236">
        <v>0</v>
      </c>
      <c r="V34" s="236">
        <f>IF((E34+F34)&gt;=D34,U34,(E34+F34)*U34/D34)</f>
        <v>0</v>
      </c>
      <c r="W34" s="236">
        <v>300000</v>
      </c>
      <c r="X34" s="236">
        <f t="shared" si="25"/>
        <v>300000</v>
      </c>
      <c r="Y34" s="236">
        <v>300000</v>
      </c>
      <c r="Z34" s="236">
        <f t="shared" si="26"/>
        <v>300000</v>
      </c>
      <c r="AA34" s="236"/>
      <c r="AB34" s="236"/>
      <c r="AC34" s="236">
        <f t="shared" si="27"/>
        <v>500000</v>
      </c>
      <c r="AD34" s="236">
        <f>G34*13000</f>
        <v>273000</v>
      </c>
      <c r="AE34" s="236">
        <v>0</v>
      </c>
      <c r="AF34" s="236"/>
      <c r="AG34" s="236"/>
      <c r="AH34" s="236">
        <f>V34+X34+Z34+AA34+AC34+AD34+AE34</f>
        <v>1373000</v>
      </c>
      <c r="AI34" s="236">
        <f>Q34+R34+T34</f>
        <v>4064000</v>
      </c>
      <c r="AJ34" s="236">
        <f>AI34/208</f>
        <v>19538.461538461539</v>
      </c>
      <c r="AK34" s="236">
        <f>AJ34*(E34+F34*130%)</f>
        <v>4064000</v>
      </c>
      <c r="AL34" s="240"/>
      <c r="AM34" s="236">
        <f>AJ34*H34*150%</f>
        <v>1846384.6153846155</v>
      </c>
      <c r="AN34" s="236">
        <f>AJ34*I34*150%*130%</f>
        <v>0</v>
      </c>
      <c r="AO34" s="236">
        <f>+AJ34*J34*200%</f>
        <v>0</v>
      </c>
      <c r="AP34" s="236">
        <f>AJ34*K34*200%*130%</f>
        <v>0</v>
      </c>
      <c r="AQ34" s="236">
        <f>AJ34*L34*200%*150%</f>
        <v>0</v>
      </c>
      <c r="AR34" s="236">
        <f>AJ34*M34*200%*150%*130%</f>
        <v>0</v>
      </c>
      <c r="AS34" s="236">
        <f>N34*AJ34*300%</f>
        <v>0</v>
      </c>
      <c r="AT34" s="236">
        <f>AJ34*O34*130%*300%</f>
        <v>0</v>
      </c>
      <c r="AU34" s="236">
        <f>P34*AJ34*150%*300%</f>
        <v>0</v>
      </c>
      <c r="AV34" s="236">
        <f>SUM(AM34:AU34)</f>
        <v>1846384.6153846155</v>
      </c>
      <c r="AW34" s="240"/>
      <c r="AX34" s="236">
        <f>AH34+AK34+AV34++AF34-AG34</f>
        <v>7283384.615384616</v>
      </c>
      <c r="AY34" s="236">
        <f t="shared" ref="AY34:AY35" si="427">Q34+R34+T34</f>
        <v>4064000</v>
      </c>
      <c r="AZ34" s="236">
        <f>AY34*17.5%</f>
        <v>711200</v>
      </c>
      <c r="BA34" s="236">
        <f>AY34*3%</f>
        <v>121920</v>
      </c>
      <c r="BB34" s="236">
        <f>AY34*1%</f>
        <v>40640</v>
      </c>
      <c r="BC34" s="236">
        <f t="shared" ref="BC34:BC35" si="428">AY34*2%</f>
        <v>81280</v>
      </c>
      <c r="BD34" s="236">
        <f t="shared" ref="BD34:BD35" si="429">AZ34+BA34+BB34+BC34</f>
        <v>955040</v>
      </c>
      <c r="BE34" s="236">
        <f>AY34*8%</f>
        <v>325120</v>
      </c>
      <c r="BF34" s="236">
        <f>AY34*1.5%</f>
        <v>60960</v>
      </c>
      <c r="BG34" s="236">
        <f>AY34*1%</f>
        <v>40640</v>
      </c>
      <c r="BH34" s="236">
        <f t="shared" ref="BH34:BH35" si="430">BE34+BF34+BG34</f>
        <v>426720</v>
      </c>
      <c r="BI34" s="240">
        <v>11000000</v>
      </c>
      <c r="BJ34" s="240"/>
      <c r="BK34" s="236">
        <f>BJ34*4400000</f>
        <v>0</v>
      </c>
      <c r="BL34" s="236">
        <f t="shared" ref="BL34:BL35" si="431">V34+AB34+AD34</f>
        <v>273000</v>
      </c>
      <c r="BM34" s="236">
        <f t="shared" ref="BM34:BM35" si="432">AX34-BL34-H34*0.5*AJ34-I34*0.95*AJ34-F34*0.3*AJ34-AJ34*J34-AJ34*K34*1.6-AJ34*L34*2-AJ34*M34*2.9-AJ34*N34*2-AJ34*O34*2.9-AJ34*P34*3.5</f>
        <v>6394923.0769230779</v>
      </c>
      <c r="BN34" s="236">
        <f>IF(BM34-BI34-BK34-BH34&lt;0,0,BM34-BK34-BI34-BH34)</f>
        <v>0</v>
      </c>
      <c r="BO34" s="236">
        <f>ROUND(IF(BN34&lt;=5000000,BN34*5%,IF(AND(BN34&gt;5000000,BN34&lt;=10000000),BN34*10%-250000,IF(AND(BN34&gt;10000000,BN34&lt;=18000000),BN34*15%-750000,IF(AND(BN34&gt;18000000,BN34&lt;=32000000),BN34*20%-1650000,IF(AND(BN34&gt;32000000,BN34&lt;=52000000),BN34*25%-3250000,IF(AND(BN34&gt;52000000,BN34&lt;80000000),BN34*30%-585000,IF(BN34&gt;80000000,BN34*35%-9850000))))))),0)</f>
        <v>0</v>
      </c>
      <c r="BP34" s="232">
        <v>0</v>
      </c>
      <c r="BQ34" s="324"/>
      <c r="BR34" s="238">
        <f t="shared" ref="BR34:BR35" si="433">AX34-BH34-BO34-BP34</f>
        <v>6856664.615384616</v>
      </c>
      <c r="BS34" s="239" t="s">
        <v>243</v>
      </c>
      <c r="BT34" s="236"/>
    </row>
    <row r="35" spans="1:75" s="41" customFormat="1" ht="32.25" customHeight="1">
      <c r="A35" s="327">
        <f t="shared" si="35"/>
        <v>26</v>
      </c>
      <c r="B35" s="325" t="s">
        <v>329</v>
      </c>
      <c r="C35" s="247" t="s">
        <v>113</v>
      </c>
      <c r="D35" s="176">
        <v>208</v>
      </c>
      <c r="E35" s="176">
        <v>161</v>
      </c>
      <c r="F35" s="235">
        <v>55</v>
      </c>
      <c r="G35" s="235">
        <v>22</v>
      </c>
      <c r="H35" s="235">
        <v>51</v>
      </c>
      <c r="I35" s="235">
        <v>15</v>
      </c>
      <c r="J35" s="235"/>
      <c r="K35" s="235"/>
      <c r="L35" s="235"/>
      <c r="M35" s="235"/>
      <c r="N35" s="235"/>
      <c r="O35" s="235"/>
      <c r="P35" s="235"/>
      <c r="Q35" s="236">
        <v>4064000</v>
      </c>
      <c r="R35" s="240">
        <v>0</v>
      </c>
      <c r="S35" s="240"/>
      <c r="T35" s="240">
        <v>0</v>
      </c>
      <c r="U35" s="236">
        <v>0</v>
      </c>
      <c r="V35" s="236">
        <f t="shared" ref="V35" si="434">IF((E35+F35)&gt;=D35,U35,(E35+F35)*U35/D35)</f>
        <v>0</v>
      </c>
      <c r="W35" s="236">
        <v>300000</v>
      </c>
      <c r="X35" s="236">
        <f t="shared" si="25"/>
        <v>300000</v>
      </c>
      <c r="Y35" s="236">
        <v>300000</v>
      </c>
      <c r="Z35" s="236">
        <f t="shared" si="26"/>
        <v>300000</v>
      </c>
      <c r="AA35" s="236">
        <v>20000</v>
      </c>
      <c r="AB35" s="236"/>
      <c r="AC35" s="236">
        <f t="shared" si="27"/>
        <v>500000</v>
      </c>
      <c r="AD35" s="236">
        <f t="shared" ref="AD35" si="435">G35*13000</f>
        <v>286000</v>
      </c>
      <c r="AE35" s="236">
        <v>0</v>
      </c>
      <c r="AF35" s="236"/>
      <c r="AG35" s="236"/>
      <c r="AH35" s="236">
        <f t="shared" ref="AH35" si="436">V35+X35+Z35+AA35+AC35+AD35+AE35</f>
        <v>1406000</v>
      </c>
      <c r="AI35" s="236">
        <f t="shared" ref="AI35" si="437">Q35+R35+T35</f>
        <v>4064000</v>
      </c>
      <c r="AJ35" s="236">
        <f t="shared" ref="AJ35" si="438">AI35/208</f>
        <v>19538.461538461539</v>
      </c>
      <c r="AK35" s="236">
        <f t="shared" ref="AK35" si="439">AJ35*(E35+F35*130%)</f>
        <v>4542692.307692308</v>
      </c>
      <c r="AL35" s="240"/>
      <c r="AM35" s="236">
        <f t="shared" ref="AM35" si="440">AJ35*H35*150%</f>
        <v>1494692.3076923077</v>
      </c>
      <c r="AN35" s="236">
        <f t="shared" ref="AN35" si="441">AJ35*I35*150%*130%</f>
        <v>571500</v>
      </c>
      <c r="AO35" s="236">
        <f t="shared" ref="AO35" si="442">+AJ35*J35*200%</f>
        <v>0</v>
      </c>
      <c r="AP35" s="236">
        <f t="shared" ref="AP35" si="443">AJ35*K35*200%*130%</f>
        <v>0</v>
      </c>
      <c r="AQ35" s="236">
        <f t="shared" ref="AQ35" si="444">AJ35*L35*200%*150%</f>
        <v>0</v>
      </c>
      <c r="AR35" s="236">
        <f t="shared" ref="AR35" si="445">AJ35*M35*200%*150%*130%</f>
        <v>0</v>
      </c>
      <c r="AS35" s="236">
        <f t="shared" ref="AS35" si="446">N35*AJ35*300%</f>
        <v>0</v>
      </c>
      <c r="AT35" s="236">
        <f t="shared" ref="AT35" si="447">AJ35*O35*130%*300%</f>
        <v>0</v>
      </c>
      <c r="AU35" s="236">
        <f t="shared" ref="AU35" si="448">P35*AJ35*150%*300%</f>
        <v>0</v>
      </c>
      <c r="AV35" s="236">
        <f t="shared" ref="AV35" si="449">SUM(AM35:AU35)</f>
        <v>2066192.3076923077</v>
      </c>
      <c r="AW35" s="240"/>
      <c r="AX35" s="236">
        <f t="shared" ref="AX35" si="450">AH35+AK35+AV35++AF35-AG35</f>
        <v>8014884.615384616</v>
      </c>
      <c r="AY35" s="236">
        <f t="shared" si="427"/>
        <v>4064000</v>
      </c>
      <c r="AZ35" s="236">
        <f t="shared" ref="AZ35" si="451">AY35*17.5%</f>
        <v>711200</v>
      </c>
      <c r="BA35" s="236">
        <f t="shared" ref="BA35" si="452">AY35*3%</f>
        <v>121920</v>
      </c>
      <c r="BB35" s="236">
        <f t="shared" ref="BB35" si="453">AY35*1%</f>
        <v>40640</v>
      </c>
      <c r="BC35" s="236">
        <f t="shared" si="428"/>
        <v>81280</v>
      </c>
      <c r="BD35" s="236">
        <f t="shared" si="429"/>
        <v>955040</v>
      </c>
      <c r="BE35" s="236">
        <f t="shared" ref="BE35" si="454">AY35*8%</f>
        <v>325120</v>
      </c>
      <c r="BF35" s="236">
        <f t="shared" ref="BF35" si="455">AY35*1.5%</f>
        <v>60960</v>
      </c>
      <c r="BG35" s="236">
        <f t="shared" ref="BG35" si="456">AY35*1%</f>
        <v>40640</v>
      </c>
      <c r="BH35" s="236">
        <f t="shared" si="430"/>
        <v>426720</v>
      </c>
      <c r="BI35" s="240">
        <v>11000000</v>
      </c>
      <c r="BJ35" s="240"/>
      <c r="BK35" s="236">
        <f t="shared" ref="BK35" si="457">BJ35*4400000</f>
        <v>0</v>
      </c>
      <c r="BL35" s="236">
        <f t="shared" si="431"/>
        <v>286000</v>
      </c>
      <c r="BM35" s="236">
        <f t="shared" si="432"/>
        <v>6629846.1538461549</v>
      </c>
      <c r="BN35" s="236">
        <f t="shared" ref="BN35" si="458">IF(BM35-BI35-BK35-BH35&lt;0,0,BM35-BK35-BI35-BH35)</f>
        <v>0</v>
      </c>
      <c r="BO35" s="236">
        <f t="shared" ref="BO35" si="459">ROUND(IF(BN35&lt;=5000000,BN35*5%,IF(AND(BN35&gt;5000000,BN35&lt;=10000000),BN35*10%-250000,IF(AND(BN35&gt;10000000,BN35&lt;=18000000),BN35*15%-750000,IF(AND(BN35&gt;18000000,BN35&lt;=32000000),BN35*20%-1650000,IF(AND(BN35&gt;32000000,BN35&lt;=52000000),BN35*25%-3250000,IF(AND(BN35&gt;52000000,BN35&lt;80000000),BN35*30%-585000,IF(BN35&gt;80000000,BN35*35%-9850000))))))),0)</f>
        <v>0</v>
      </c>
      <c r="BP35" s="232">
        <v>0</v>
      </c>
      <c r="BQ35" s="324"/>
      <c r="BR35" s="238">
        <f t="shared" si="433"/>
        <v>7588164.615384616</v>
      </c>
      <c r="BS35" s="239" t="s">
        <v>243</v>
      </c>
      <c r="BT35" s="236"/>
    </row>
    <row r="36" spans="1:75" s="41" customFormat="1" ht="28.5" customHeight="1">
      <c r="A36" s="327">
        <f t="shared" si="35"/>
        <v>27</v>
      </c>
      <c r="B36" s="325" t="s">
        <v>330</v>
      </c>
      <c r="C36" s="247" t="s">
        <v>113</v>
      </c>
      <c r="D36" s="176">
        <v>208</v>
      </c>
      <c r="E36" s="176">
        <v>140</v>
      </c>
      <c r="F36" s="235">
        <v>0</v>
      </c>
      <c r="G36" s="235">
        <v>13</v>
      </c>
      <c r="H36" s="235">
        <v>40</v>
      </c>
      <c r="I36" s="235">
        <v>0</v>
      </c>
      <c r="J36" s="235"/>
      <c r="K36" s="235"/>
      <c r="L36" s="235"/>
      <c r="M36" s="235"/>
      <c r="N36" s="235"/>
      <c r="O36" s="235"/>
      <c r="P36" s="235"/>
      <c r="Q36" s="236">
        <v>4064000</v>
      </c>
      <c r="R36" s="240">
        <v>0</v>
      </c>
      <c r="S36" s="240"/>
      <c r="T36" s="240">
        <v>0</v>
      </c>
      <c r="U36" s="236">
        <v>0</v>
      </c>
      <c r="V36" s="236">
        <f t="shared" ref="V36" si="460">IF((E36+F36)&gt;=D36,U36,(E36+F36)*U36/D36)</f>
        <v>0</v>
      </c>
      <c r="W36" s="236">
        <v>300000</v>
      </c>
      <c r="X36" s="236">
        <f t="shared" si="25"/>
        <v>201923.07692307694</v>
      </c>
      <c r="Y36" s="236">
        <v>300000</v>
      </c>
      <c r="Z36" s="236">
        <f t="shared" si="26"/>
        <v>201923.07692307694</v>
      </c>
      <c r="AA36" s="236"/>
      <c r="AB36" s="236"/>
      <c r="AC36" s="236">
        <f t="shared" si="27"/>
        <v>0</v>
      </c>
      <c r="AD36" s="236">
        <f t="shared" ref="AD36" si="461">G36*13000</f>
        <v>169000</v>
      </c>
      <c r="AE36" s="236">
        <v>0</v>
      </c>
      <c r="AF36" s="236"/>
      <c r="AG36" s="236"/>
      <c r="AH36" s="236">
        <f t="shared" ref="AH36" si="462">V36+X36+Z36+AA36+AC36+AD36+AE36</f>
        <v>572846.15384615387</v>
      </c>
      <c r="AI36" s="236">
        <f t="shared" ref="AI36" si="463">Q36+R36+T36</f>
        <v>4064000</v>
      </c>
      <c r="AJ36" s="236">
        <f t="shared" ref="AJ36" si="464">AI36/208</f>
        <v>19538.461538461539</v>
      </c>
      <c r="AK36" s="236">
        <f t="shared" ref="AK36" si="465">AJ36*(E36+F36*130%)</f>
        <v>2735384.6153846155</v>
      </c>
      <c r="AL36" s="240"/>
      <c r="AM36" s="236">
        <f t="shared" ref="AM36" si="466">AJ36*H36*150%</f>
        <v>1172307.6923076923</v>
      </c>
      <c r="AN36" s="236">
        <f t="shared" ref="AN36" si="467">AJ36*I36*150%*130%</f>
        <v>0</v>
      </c>
      <c r="AO36" s="236">
        <f t="shared" ref="AO36" si="468">+AJ36*J36*200%</f>
        <v>0</v>
      </c>
      <c r="AP36" s="236">
        <f t="shared" ref="AP36" si="469">AJ36*K36*200%*130%</f>
        <v>0</v>
      </c>
      <c r="AQ36" s="236">
        <f t="shared" ref="AQ36" si="470">AJ36*L36*200%*150%</f>
        <v>0</v>
      </c>
      <c r="AR36" s="236">
        <f t="shared" ref="AR36" si="471">AJ36*M36*200%*150%*130%</f>
        <v>0</v>
      </c>
      <c r="AS36" s="236">
        <f t="shared" ref="AS36" si="472">N36*AJ36*300%</f>
        <v>0</v>
      </c>
      <c r="AT36" s="236">
        <f t="shared" ref="AT36" si="473">AJ36*O36*130%*300%</f>
        <v>0</v>
      </c>
      <c r="AU36" s="236">
        <f t="shared" ref="AU36" si="474">P36*AJ36*150%*300%</f>
        <v>0</v>
      </c>
      <c r="AV36" s="236">
        <f t="shared" ref="AV36" si="475">SUM(AM36:AU36)</f>
        <v>1172307.6923076923</v>
      </c>
      <c r="AW36" s="240"/>
      <c r="AX36" s="236">
        <f t="shared" ref="AX36" si="476">AH36+AK36+AV36++AF36-AG36</f>
        <v>4480538.461538462</v>
      </c>
      <c r="AY36" s="236">
        <f t="shared" ref="AY36" si="477">Q36+R36+T36</f>
        <v>4064000</v>
      </c>
      <c r="AZ36" s="236">
        <f t="shared" ref="AZ36" si="478">AY36*17.5%</f>
        <v>711200</v>
      </c>
      <c r="BA36" s="236">
        <f t="shared" ref="BA36" si="479">AY36*3%</f>
        <v>121920</v>
      </c>
      <c r="BB36" s="236">
        <f t="shared" ref="BB36" si="480">AY36*1%</f>
        <v>40640</v>
      </c>
      <c r="BC36" s="236">
        <f t="shared" ref="BC36" si="481">AY36*2%</f>
        <v>81280</v>
      </c>
      <c r="BD36" s="236">
        <f t="shared" ref="BD36" si="482">AZ36+BA36+BB36+BC36</f>
        <v>955040</v>
      </c>
      <c r="BE36" s="236">
        <f t="shared" ref="BE36" si="483">AY36*8%</f>
        <v>325120</v>
      </c>
      <c r="BF36" s="236">
        <f t="shared" ref="BF36" si="484">AY36*1.5%</f>
        <v>60960</v>
      </c>
      <c r="BG36" s="236">
        <f t="shared" ref="BG36" si="485">AY36*1%</f>
        <v>40640</v>
      </c>
      <c r="BH36" s="236">
        <f t="shared" ref="BH36" si="486">BE36+BF36+BG36</f>
        <v>426720</v>
      </c>
      <c r="BI36" s="240">
        <v>11000000</v>
      </c>
      <c r="BJ36" s="240"/>
      <c r="BK36" s="236">
        <f t="shared" ref="BK36" si="487">BJ36*4400000</f>
        <v>0</v>
      </c>
      <c r="BL36" s="236">
        <f t="shared" ref="BL36" si="488">V36+AB36+AD36</f>
        <v>169000</v>
      </c>
      <c r="BM36" s="236">
        <f t="shared" ref="BM36" si="489">AX36-BL36-H36*0.5*AJ36-I36*0.95*AJ36-F36*0.3*AJ36-AJ36*J36-AJ36*K36*1.6-AJ36*L36*2-AJ36*M36*2.9-AJ36*N36*2-AJ36*O36*2.9-AJ36*P36*3.5</f>
        <v>3920769.230769231</v>
      </c>
      <c r="BN36" s="236">
        <f t="shared" ref="BN36" si="490">IF(BM36-BI36-BK36-BH36&lt;0,0,BM36-BK36-BI36-BH36)</f>
        <v>0</v>
      </c>
      <c r="BO36" s="236">
        <f t="shared" ref="BO36" si="491">ROUND(IF(BN36&lt;=5000000,BN36*5%,IF(AND(BN36&gt;5000000,BN36&lt;=10000000),BN36*10%-250000,IF(AND(BN36&gt;10000000,BN36&lt;=18000000),BN36*15%-750000,IF(AND(BN36&gt;18000000,BN36&lt;=32000000),BN36*20%-1650000,IF(AND(BN36&gt;32000000,BN36&lt;=52000000),BN36*25%-3250000,IF(AND(BN36&gt;52000000,BN36&lt;80000000),BN36*30%-585000,IF(BN36&gt;80000000,BN36*35%-9850000))))))),0)</f>
        <v>0</v>
      </c>
      <c r="BP36" s="232">
        <v>0</v>
      </c>
      <c r="BQ36" s="324"/>
      <c r="BR36" s="238">
        <f t="shared" ref="BR36" si="492">AX36-BH36-BO36-BP36</f>
        <v>4053818.461538462</v>
      </c>
      <c r="BS36" s="239" t="s">
        <v>243</v>
      </c>
      <c r="BT36" s="236"/>
    </row>
    <row r="37" spans="1:75" s="45" customFormat="1" ht="28.5" customHeight="1">
      <c r="A37" s="327">
        <f t="shared" si="35"/>
        <v>28</v>
      </c>
      <c r="B37" s="378" t="s">
        <v>114</v>
      </c>
      <c r="C37" s="247" t="s">
        <v>163</v>
      </c>
      <c r="D37" s="176">
        <v>208</v>
      </c>
      <c r="E37" s="176">
        <v>184</v>
      </c>
      <c r="F37" s="235">
        <v>0</v>
      </c>
      <c r="G37" s="235">
        <v>0</v>
      </c>
      <c r="H37" s="235">
        <v>2.5</v>
      </c>
      <c r="I37" s="235">
        <v>0</v>
      </c>
      <c r="J37" s="235"/>
      <c r="K37" s="235"/>
      <c r="L37" s="235"/>
      <c r="M37" s="235"/>
      <c r="N37" s="235"/>
      <c r="O37" s="235"/>
      <c r="P37" s="235"/>
      <c r="Q37" s="236">
        <v>4267000</v>
      </c>
      <c r="R37" s="236">
        <v>1300000</v>
      </c>
      <c r="S37" s="236"/>
      <c r="T37" s="236">
        <v>900000</v>
      </c>
      <c r="U37" s="236">
        <v>400000</v>
      </c>
      <c r="V37" s="236">
        <f>IF((E37+F37)&gt;=160,U37,(E37+F37)*U37/D37)</f>
        <v>400000</v>
      </c>
      <c r="W37" s="236">
        <v>300000</v>
      </c>
      <c r="X37" s="236">
        <f t="shared" si="25"/>
        <v>300000</v>
      </c>
      <c r="Y37" s="236">
        <v>300000</v>
      </c>
      <c r="Z37" s="236">
        <f t="shared" si="26"/>
        <v>300000</v>
      </c>
      <c r="AA37" s="236"/>
      <c r="AB37" s="236">
        <v>0</v>
      </c>
      <c r="AC37" s="236">
        <f t="shared" si="27"/>
        <v>500000</v>
      </c>
      <c r="AD37" s="236">
        <f t="shared" ref="AD37" si="493">G37*13000</f>
        <v>0</v>
      </c>
      <c r="AE37" s="236">
        <v>0</v>
      </c>
      <c r="AF37" s="236"/>
      <c r="AG37" s="236"/>
      <c r="AH37" s="236">
        <f t="shared" ref="AH37" si="494">V37+X37+Z37+AA37+AC37+AD37+AE37</f>
        <v>1500000</v>
      </c>
      <c r="AI37" s="236">
        <f t="shared" si="2"/>
        <v>6467000</v>
      </c>
      <c r="AJ37" s="236">
        <f t="shared" ref="AJ37" si="495">AI37/208</f>
        <v>31091.346153846152</v>
      </c>
      <c r="AK37" s="236">
        <f t="shared" ref="AK37" si="496">AJ37*(E37+F37*130%)</f>
        <v>5720807.692307692</v>
      </c>
      <c r="AL37" s="236"/>
      <c r="AM37" s="236">
        <f t="shared" ref="AM37" si="497">AJ37*H37*150%</f>
        <v>116592.54807692306</v>
      </c>
      <c r="AN37" s="236">
        <f t="shared" ref="AN37" si="498">AJ37*I37*150%*130%</f>
        <v>0</v>
      </c>
      <c r="AO37" s="236">
        <f t="shared" ref="AO37" si="499">+AJ37*J37*200%</f>
        <v>0</v>
      </c>
      <c r="AP37" s="236">
        <f t="shared" ref="AP37" si="500">AJ37*K37*200%*130%</f>
        <v>0</v>
      </c>
      <c r="AQ37" s="236">
        <f t="shared" ref="AQ37" si="501">AJ37*L37*200%*150%</f>
        <v>0</v>
      </c>
      <c r="AR37" s="236">
        <f t="shared" ref="AR37" si="502">AJ37*M37*200%*150%*130%</f>
        <v>0</v>
      </c>
      <c r="AS37" s="236">
        <f t="shared" ref="AS37" si="503">N37*AJ37*300%</f>
        <v>0</v>
      </c>
      <c r="AT37" s="236">
        <f t="shared" ref="AT37" si="504">AJ37*O37*130%*300%</f>
        <v>0</v>
      </c>
      <c r="AU37" s="236">
        <f t="shared" ref="AU37" si="505">P37*AJ37*150%*300%</f>
        <v>0</v>
      </c>
      <c r="AV37" s="236">
        <f t="shared" ref="AV37" si="506">SUM(AM37:AU37)</f>
        <v>116592.54807692306</v>
      </c>
      <c r="AW37" s="236"/>
      <c r="AX37" s="236">
        <f t="shared" si="50"/>
        <v>7337400.240384615</v>
      </c>
      <c r="AY37" s="236">
        <f t="shared" si="15"/>
        <v>6467000</v>
      </c>
      <c r="AZ37" s="236">
        <f t="shared" ref="AZ37" si="507">AY37*17.5%</f>
        <v>1131725</v>
      </c>
      <c r="BA37" s="236">
        <f t="shared" ref="BA37" si="508">AY37*3%</f>
        <v>194010</v>
      </c>
      <c r="BB37" s="236">
        <f t="shared" ref="BB37" si="509">AY37*1%</f>
        <v>64670</v>
      </c>
      <c r="BC37" s="236">
        <f t="shared" si="31"/>
        <v>129340</v>
      </c>
      <c r="BD37" s="236">
        <f t="shared" si="32"/>
        <v>1519745</v>
      </c>
      <c r="BE37" s="236">
        <f t="shared" ref="BE37" si="510">AY37*8%</f>
        <v>517360</v>
      </c>
      <c r="BF37" s="236">
        <f t="shared" ref="BF37" si="511">AY37*1.5%</f>
        <v>97005</v>
      </c>
      <c r="BG37" s="236">
        <f t="shared" ref="BG37" si="512">AY37*1%</f>
        <v>64670</v>
      </c>
      <c r="BH37" s="236">
        <f t="shared" si="33"/>
        <v>679035</v>
      </c>
      <c r="BI37" s="240">
        <v>11000000</v>
      </c>
      <c r="BJ37" s="236"/>
      <c r="BK37" s="236">
        <f t="shared" si="57"/>
        <v>0</v>
      </c>
      <c r="BL37" s="236">
        <f t="shared" si="22"/>
        <v>400000</v>
      </c>
      <c r="BM37" s="236">
        <f t="shared" si="23"/>
        <v>6898536.057692307</v>
      </c>
      <c r="BN37" s="236">
        <f t="shared" ref="BN37" si="513">IF(BM37-BI37-BK37-BH37&lt;0,0,BM37-BK37-BI37-BH37)</f>
        <v>0</v>
      </c>
      <c r="BO37" s="236">
        <f t="shared" ref="BO37" si="514">ROUND(IF(BN37&lt;=5000000,BN37*5%,IF(AND(BN37&gt;5000000,BN37&lt;=10000000),BN37*10%-250000,IF(AND(BN37&gt;10000000,BN37&lt;=18000000),BN37*15%-750000,IF(AND(BN37&gt;18000000,BN37&lt;=32000000),BN37*20%-1650000,IF(AND(BN37&gt;32000000,BN37&lt;=52000000),BN37*25%-3250000,IF(AND(BN37&gt;52000000,BN37&lt;80000000),BN37*30%-585000,IF(BN37&gt;80000000,BN37*35%-9850000))))))),0)</f>
        <v>0</v>
      </c>
      <c r="BP37" s="232">
        <v>35000</v>
      </c>
      <c r="BQ37" s="324"/>
      <c r="BR37" s="238">
        <f t="shared" si="34"/>
        <v>6623365.240384615</v>
      </c>
      <c r="BS37" s="238" t="s">
        <v>205</v>
      </c>
      <c r="BT37" s="236"/>
      <c r="BU37" s="184"/>
    </row>
    <row r="38" spans="1:75" s="41" customFormat="1" ht="28.5" customHeight="1">
      <c r="A38" s="327">
        <f t="shared" si="35"/>
        <v>29</v>
      </c>
      <c r="B38" s="233" t="s">
        <v>236</v>
      </c>
      <c r="C38" s="247" t="s">
        <v>162</v>
      </c>
      <c r="D38" s="176">
        <v>208</v>
      </c>
      <c r="E38" s="176">
        <v>148</v>
      </c>
      <c r="F38" s="235">
        <v>0</v>
      </c>
      <c r="G38" s="235">
        <v>0</v>
      </c>
      <c r="H38" s="235">
        <v>1.5</v>
      </c>
      <c r="I38" s="235">
        <v>0</v>
      </c>
      <c r="J38" s="235"/>
      <c r="K38" s="328"/>
      <c r="L38" s="328"/>
      <c r="M38" s="328"/>
      <c r="N38" s="328"/>
      <c r="O38" s="328"/>
      <c r="P38" s="328"/>
      <c r="Q38" s="236">
        <v>4267000</v>
      </c>
      <c r="R38" s="240">
        <v>800000</v>
      </c>
      <c r="S38" s="240"/>
      <c r="T38" s="240">
        <v>600000</v>
      </c>
      <c r="U38" s="236">
        <v>400000</v>
      </c>
      <c r="V38" s="236">
        <v>400000</v>
      </c>
      <c r="W38" s="236">
        <v>300000</v>
      </c>
      <c r="X38" s="236">
        <f t="shared" si="25"/>
        <v>213461.53846153847</v>
      </c>
      <c r="Y38" s="236">
        <v>300000</v>
      </c>
      <c r="Z38" s="236">
        <f t="shared" si="26"/>
        <v>213461.53846153847</v>
      </c>
      <c r="AA38" s="236"/>
      <c r="AB38" s="236">
        <v>0</v>
      </c>
      <c r="AC38" s="236">
        <f t="shared" si="27"/>
        <v>0</v>
      </c>
      <c r="AD38" s="236">
        <f t="shared" ref="AD38" si="515">G38*13000</f>
        <v>0</v>
      </c>
      <c r="AE38" s="236">
        <v>0</v>
      </c>
      <c r="AF38" s="236"/>
      <c r="AG38" s="236"/>
      <c r="AH38" s="236">
        <f>V38+X38+Z38+AA38+AC38+AD38+AE38</f>
        <v>826923.07692307699</v>
      </c>
      <c r="AI38" s="236">
        <f t="shared" si="2"/>
        <v>5667000</v>
      </c>
      <c r="AJ38" s="236">
        <f t="shared" ref="AJ38" si="516">AI38/208</f>
        <v>27245.192307692309</v>
      </c>
      <c r="AK38" s="236">
        <f t="shared" ref="AK38" si="517">AJ38*(E38+F38*130%)</f>
        <v>4032288.4615384615</v>
      </c>
      <c r="AL38" s="240"/>
      <c r="AM38" s="236">
        <f t="shared" ref="AM38" si="518">AJ38*H38*150%</f>
        <v>61301.682692307688</v>
      </c>
      <c r="AN38" s="236">
        <f t="shared" ref="AN38" si="519">AJ38*I38*150%*130%</f>
        <v>0</v>
      </c>
      <c r="AO38" s="236">
        <f t="shared" ref="AO38" si="520">+AJ38*J38*200%</f>
        <v>0</v>
      </c>
      <c r="AP38" s="236">
        <f t="shared" ref="AP38" si="521">AJ38*K38*200%*130%</f>
        <v>0</v>
      </c>
      <c r="AQ38" s="236">
        <f t="shared" ref="AQ38" si="522">AJ38*L38*200%*150%</f>
        <v>0</v>
      </c>
      <c r="AR38" s="236">
        <f t="shared" ref="AR38" si="523">AJ38*M38*200%*150%*130%</f>
        <v>0</v>
      </c>
      <c r="AS38" s="236">
        <f t="shared" ref="AS38" si="524">N38*AJ38*300%</f>
        <v>0</v>
      </c>
      <c r="AT38" s="236">
        <f t="shared" ref="AT38" si="525">AJ38*O38*130%*300%</f>
        <v>0</v>
      </c>
      <c r="AU38" s="236">
        <f t="shared" ref="AU38" si="526">P38*AJ38*150%*300%</f>
        <v>0</v>
      </c>
      <c r="AV38" s="236">
        <f t="shared" ref="AV38" si="527">SUM(AM38:AU38)</f>
        <v>61301.682692307688</v>
      </c>
      <c r="AW38" s="240"/>
      <c r="AX38" s="236">
        <f t="shared" si="50"/>
        <v>4920513.221153846</v>
      </c>
      <c r="AY38" s="236">
        <f t="shared" si="15"/>
        <v>5667000</v>
      </c>
      <c r="AZ38" s="236">
        <f t="shared" ref="AZ38" si="528">AY38*17.5%</f>
        <v>991724.99999999988</v>
      </c>
      <c r="BA38" s="236">
        <f t="shared" ref="BA38" si="529">AY38*3%</f>
        <v>170010</v>
      </c>
      <c r="BB38" s="236">
        <f t="shared" ref="BB38" si="530">AY38*1%</f>
        <v>56670</v>
      </c>
      <c r="BC38" s="236">
        <f t="shared" si="31"/>
        <v>113340</v>
      </c>
      <c r="BD38" s="236">
        <f t="shared" si="32"/>
        <v>1331745</v>
      </c>
      <c r="BE38" s="236">
        <f t="shared" ref="BE38" si="531">AY38*8%</f>
        <v>453360</v>
      </c>
      <c r="BF38" s="236">
        <f t="shared" ref="BF38" si="532">AY38*1.5%</f>
        <v>85005</v>
      </c>
      <c r="BG38" s="236">
        <f t="shared" ref="BG38" si="533">AY38*1%</f>
        <v>56670</v>
      </c>
      <c r="BH38" s="236">
        <f t="shared" si="33"/>
        <v>595035</v>
      </c>
      <c r="BI38" s="240">
        <v>11000000</v>
      </c>
      <c r="BJ38" s="240"/>
      <c r="BK38" s="236">
        <f t="shared" si="57"/>
        <v>0</v>
      </c>
      <c r="BL38" s="236">
        <f t="shared" si="22"/>
        <v>400000</v>
      </c>
      <c r="BM38" s="236">
        <f t="shared" si="23"/>
        <v>4500079.326923077</v>
      </c>
      <c r="BN38" s="236">
        <f t="shared" ref="BN38" si="534">IF(BM38-BI38-BK38-BH38&lt;0,0,BM38-BK38-BI38-BH38)</f>
        <v>0</v>
      </c>
      <c r="BO38" s="236">
        <f t="shared" ref="BO38" si="535">ROUND(IF(BN38&lt;=5000000,BN38*5%,IF(AND(BN38&gt;5000000,BN38&lt;=10000000),BN38*10%-250000,IF(AND(BN38&gt;10000000,BN38&lt;=18000000),BN38*15%-750000,IF(AND(BN38&gt;18000000,BN38&lt;=32000000),BN38*20%-1650000,IF(AND(BN38&gt;32000000,BN38&lt;=52000000),BN38*25%-3250000,IF(AND(BN38&gt;52000000,BN38&lt;80000000),BN38*30%-585000,IF(BN38&gt;80000000,BN38*35%-9850000))))))),0)</f>
        <v>0</v>
      </c>
      <c r="BP38" s="232">
        <v>35000</v>
      </c>
      <c r="BQ38" s="324"/>
      <c r="BR38" s="238">
        <f t="shared" si="34"/>
        <v>4290478.221153846</v>
      </c>
      <c r="BS38" s="241" t="s">
        <v>206</v>
      </c>
      <c r="BT38" s="240"/>
      <c r="BW38" s="347"/>
    </row>
    <row r="39" spans="1:75" s="41" customFormat="1" ht="28.5" customHeight="1">
      <c r="A39" s="327">
        <f t="shared" si="35"/>
        <v>30</v>
      </c>
      <c r="B39" s="325" t="s">
        <v>255</v>
      </c>
      <c r="C39" s="247" t="s">
        <v>254</v>
      </c>
      <c r="D39" s="176">
        <v>208</v>
      </c>
      <c r="E39" s="176">
        <v>192</v>
      </c>
      <c r="F39" s="235">
        <v>0</v>
      </c>
      <c r="G39" s="235">
        <v>0</v>
      </c>
      <c r="H39" s="235">
        <v>0</v>
      </c>
      <c r="I39" s="235">
        <v>0</v>
      </c>
      <c r="J39" s="235"/>
      <c r="K39" s="235"/>
      <c r="L39" s="235"/>
      <c r="M39" s="235"/>
      <c r="N39" s="235"/>
      <c r="O39" s="235"/>
      <c r="P39" s="235"/>
      <c r="Q39" s="236">
        <v>4064000</v>
      </c>
      <c r="R39" s="240">
        <v>0</v>
      </c>
      <c r="S39" s="240"/>
      <c r="T39" s="240">
        <v>0</v>
      </c>
      <c r="U39" s="236">
        <v>400000</v>
      </c>
      <c r="V39" s="236">
        <f t="shared" ref="V39" si="536">IF((E39+F39)&gt;=160,U39,(E39+F39)*U39/D39)</f>
        <v>400000</v>
      </c>
      <c r="W39" s="236">
        <v>300000</v>
      </c>
      <c r="X39" s="236">
        <f t="shared" si="25"/>
        <v>300000</v>
      </c>
      <c r="Y39" s="236">
        <v>300000</v>
      </c>
      <c r="Z39" s="236">
        <f t="shared" si="26"/>
        <v>300000</v>
      </c>
      <c r="AA39" s="236"/>
      <c r="AB39" s="236"/>
      <c r="AC39" s="236">
        <f t="shared" si="27"/>
        <v>500000</v>
      </c>
      <c r="AD39" s="236">
        <f t="shared" ref="AD39" si="537">G39*13000</f>
        <v>0</v>
      </c>
      <c r="AE39" s="236">
        <v>0</v>
      </c>
      <c r="AF39" s="236"/>
      <c r="AG39" s="236"/>
      <c r="AH39" s="236">
        <f>V39+X39+Z39+AA39+AC39+AD39+AE39</f>
        <v>1500000</v>
      </c>
      <c r="AI39" s="236">
        <f t="shared" si="2"/>
        <v>4064000</v>
      </c>
      <c r="AJ39" s="236">
        <f t="shared" ref="AJ39" si="538">AI39/208</f>
        <v>19538.461538461539</v>
      </c>
      <c r="AK39" s="236">
        <f t="shared" ref="AK39" si="539">AJ39*(E39+F39*130%)</f>
        <v>3751384.6153846155</v>
      </c>
      <c r="AL39" s="240"/>
      <c r="AM39" s="236">
        <f t="shared" ref="AM39" si="540">AJ39*H39*150%</f>
        <v>0</v>
      </c>
      <c r="AN39" s="236">
        <f t="shared" ref="AN39" si="541">AJ39*I39*150%*130%</f>
        <v>0</v>
      </c>
      <c r="AO39" s="236">
        <f t="shared" ref="AO39" si="542">+AJ39*J39*200%</f>
        <v>0</v>
      </c>
      <c r="AP39" s="236">
        <f t="shared" ref="AP39" si="543">AJ39*K39*200%*130%</f>
        <v>0</v>
      </c>
      <c r="AQ39" s="236">
        <f t="shared" ref="AQ39" si="544">AJ39*L39*200%*150%</f>
        <v>0</v>
      </c>
      <c r="AR39" s="236">
        <f t="shared" ref="AR39" si="545">AJ39*M39*200%*150%*130%</f>
        <v>0</v>
      </c>
      <c r="AS39" s="236">
        <f t="shared" ref="AS39" si="546">N39*AJ39*300%</f>
        <v>0</v>
      </c>
      <c r="AT39" s="236">
        <f t="shared" ref="AT39" si="547">AJ39*O39*130%*300%</f>
        <v>0</v>
      </c>
      <c r="AU39" s="236">
        <f t="shared" ref="AU39" si="548">P39*AJ39*150%*300%</f>
        <v>0</v>
      </c>
      <c r="AV39" s="236">
        <f t="shared" ref="AV39" si="549">SUM(AM39:AU39)</f>
        <v>0</v>
      </c>
      <c r="AW39" s="240"/>
      <c r="AX39" s="236">
        <f t="shared" si="50"/>
        <v>5251384.615384616</v>
      </c>
      <c r="AY39" s="236">
        <f t="shared" si="15"/>
        <v>4064000</v>
      </c>
      <c r="AZ39" s="236">
        <f t="shared" ref="AZ39" si="550">AY39*17.5%</f>
        <v>711200</v>
      </c>
      <c r="BA39" s="236">
        <f t="shared" ref="BA39" si="551">AY39*3%</f>
        <v>121920</v>
      </c>
      <c r="BB39" s="236">
        <f t="shared" ref="BB39" si="552">AY39*1%</f>
        <v>40640</v>
      </c>
      <c r="BC39" s="236">
        <f t="shared" si="31"/>
        <v>81280</v>
      </c>
      <c r="BD39" s="236">
        <f t="shared" si="32"/>
        <v>955040</v>
      </c>
      <c r="BE39" s="236">
        <f t="shared" ref="BE39" si="553">AY39*8%</f>
        <v>325120</v>
      </c>
      <c r="BF39" s="236">
        <f t="shared" ref="BF39" si="554">AY39*1.5%</f>
        <v>60960</v>
      </c>
      <c r="BG39" s="236">
        <f t="shared" ref="BG39" si="555">AY39*1%</f>
        <v>40640</v>
      </c>
      <c r="BH39" s="236">
        <f t="shared" si="33"/>
        <v>426720</v>
      </c>
      <c r="BI39" s="240">
        <v>11000000</v>
      </c>
      <c r="BJ39" s="240"/>
      <c r="BK39" s="236">
        <f t="shared" si="57"/>
        <v>0</v>
      </c>
      <c r="BL39" s="236">
        <f t="shared" si="22"/>
        <v>400000</v>
      </c>
      <c r="BM39" s="236">
        <f t="shared" si="23"/>
        <v>4851384.615384616</v>
      </c>
      <c r="BN39" s="236">
        <f t="shared" ref="BN39" si="556">IF(BM39-BI39-BK39-BH39&lt;0,0,BM39-BK39-BI39-BH39)</f>
        <v>0</v>
      </c>
      <c r="BO39" s="236">
        <f t="shared" ref="BO39" si="557">ROUND(IF(BN39&lt;=5000000,BN39*5%,IF(AND(BN39&gt;5000000,BN39&lt;=10000000),BN39*10%-250000,IF(AND(BN39&gt;10000000,BN39&lt;=18000000),BN39*15%-750000,IF(AND(BN39&gt;18000000,BN39&lt;=32000000),BN39*20%-1650000,IF(AND(BN39&gt;32000000,BN39&lt;=52000000),BN39*25%-3250000,IF(AND(BN39&gt;52000000,BN39&lt;80000000),BN39*30%-585000,IF(BN39&gt;80000000,BN39*35%-9850000))))))),0)</f>
        <v>0</v>
      </c>
      <c r="BP39" s="232">
        <v>35000</v>
      </c>
      <c r="BQ39" s="324"/>
      <c r="BR39" s="238">
        <f t="shared" si="34"/>
        <v>4789664.615384616</v>
      </c>
      <c r="BS39" s="239" t="s">
        <v>243</v>
      </c>
      <c r="BT39" s="236"/>
    </row>
    <row r="40" spans="1:75" s="137" customFormat="1" ht="39.950000000000003" customHeight="1">
      <c r="A40" s="449" t="s">
        <v>117</v>
      </c>
      <c r="B40" s="450"/>
      <c r="C40" s="450"/>
      <c r="D40" s="299">
        <f t="shared" ref="D40:J40" si="558">SUM(D10:D39)</f>
        <v>6240</v>
      </c>
      <c r="E40" s="300">
        <f t="shared" si="558"/>
        <v>4420.5</v>
      </c>
      <c r="F40" s="300">
        <f t="shared" si="558"/>
        <v>1567.5</v>
      </c>
      <c r="G40" s="300">
        <f t="shared" si="558"/>
        <v>471</v>
      </c>
      <c r="H40" s="300">
        <f t="shared" si="558"/>
        <v>1038.5</v>
      </c>
      <c r="I40" s="300">
        <f t="shared" si="558"/>
        <v>435</v>
      </c>
      <c r="J40" s="300">
        <f t="shared" si="558"/>
        <v>0</v>
      </c>
      <c r="K40" s="299">
        <f t="shared" ref="K40:P40" si="559">SUM(K10:K33)</f>
        <v>0</v>
      </c>
      <c r="L40" s="299">
        <f t="shared" si="559"/>
        <v>0</v>
      </c>
      <c r="M40" s="299">
        <f t="shared" si="559"/>
        <v>0</v>
      </c>
      <c r="N40" s="299">
        <f t="shared" si="559"/>
        <v>0</v>
      </c>
      <c r="O40" s="299">
        <f t="shared" si="559"/>
        <v>0</v>
      </c>
      <c r="P40" s="299">
        <f t="shared" si="559"/>
        <v>0</v>
      </c>
      <c r="Q40" s="299">
        <f t="shared" ref="Q40:AV40" si="560">SUM(Q10:Q39)</f>
        <v>124356000</v>
      </c>
      <c r="R40" s="299">
        <f t="shared" si="560"/>
        <v>8800000</v>
      </c>
      <c r="S40" s="299">
        <f t="shared" si="560"/>
        <v>0</v>
      </c>
      <c r="T40" s="299">
        <f t="shared" si="560"/>
        <v>6900000</v>
      </c>
      <c r="U40" s="299">
        <f t="shared" si="560"/>
        <v>1200000</v>
      </c>
      <c r="V40" s="299">
        <f t="shared" si="560"/>
        <v>1200000</v>
      </c>
      <c r="W40" s="299">
        <f t="shared" si="560"/>
        <v>9000000</v>
      </c>
      <c r="X40" s="299">
        <f t="shared" si="560"/>
        <v>8711538.461538462</v>
      </c>
      <c r="Y40" s="299">
        <f t="shared" si="560"/>
        <v>9000000</v>
      </c>
      <c r="Z40" s="299">
        <f t="shared" si="560"/>
        <v>8711538.461538462</v>
      </c>
      <c r="AA40" s="299">
        <f t="shared" si="560"/>
        <v>80000</v>
      </c>
      <c r="AB40" s="299">
        <f t="shared" si="560"/>
        <v>0</v>
      </c>
      <c r="AC40" s="299">
        <f t="shared" si="560"/>
        <v>12500000</v>
      </c>
      <c r="AD40" s="299">
        <f t="shared" si="560"/>
        <v>6123000</v>
      </c>
      <c r="AE40" s="299">
        <f t="shared" si="560"/>
        <v>300000</v>
      </c>
      <c r="AF40" s="299">
        <f t="shared" si="560"/>
        <v>0</v>
      </c>
      <c r="AG40" s="299">
        <f t="shared" si="560"/>
        <v>0</v>
      </c>
      <c r="AH40" s="299">
        <f t="shared" si="560"/>
        <v>37626076.923076928</v>
      </c>
      <c r="AI40" s="299">
        <f t="shared" si="560"/>
        <v>140056000</v>
      </c>
      <c r="AJ40" s="299">
        <f t="shared" si="560"/>
        <v>673346.15384615387</v>
      </c>
      <c r="AK40" s="299">
        <f t="shared" si="560"/>
        <v>144747809.85576922</v>
      </c>
      <c r="AL40" s="299">
        <f t="shared" si="560"/>
        <v>0</v>
      </c>
      <c r="AM40" s="299">
        <f t="shared" si="560"/>
        <v>34386155.04807692</v>
      </c>
      <c r="AN40" s="299">
        <f t="shared" si="560"/>
        <v>18916490.625</v>
      </c>
      <c r="AO40" s="299">
        <f t="shared" si="560"/>
        <v>0</v>
      </c>
      <c r="AP40" s="299">
        <f t="shared" si="560"/>
        <v>0</v>
      </c>
      <c r="AQ40" s="299">
        <f t="shared" si="560"/>
        <v>0</v>
      </c>
      <c r="AR40" s="299">
        <f t="shared" si="560"/>
        <v>0</v>
      </c>
      <c r="AS40" s="299">
        <f t="shared" si="560"/>
        <v>0</v>
      </c>
      <c r="AT40" s="299">
        <f t="shared" si="560"/>
        <v>0</v>
      </c>
      <c r="AU40" s="299">
        <f t="shared" si="560"/>
        <v>0</v>
      </c>
      <c r="AV40" s="299">
        <f t="shared" si="560"/>
        <v>53302645.673076905</v>
      </c>
      <c r="AW40" s="299">
        <f t="shared" ref="AW40:BP40" si="561">SUM(AW10:AW39)</f>
        <v>0</v>
      </c>
      <c r="AX40" s="299">
        <f t="shared" si="561"/>
        <v>235676532.45192307</v>
      </c>
      <c r="AY40" s="299">
        <f t="shared" si="561"/>
        <v>140056000</v>
      </c>
      <c r="AZ40" s="299">
        <f t="shared" si="561"/>
        <v>24509800</v>
      </c>
      <c r="BA40" s="299">
        <f t="shared" si="561"/>
        <v>4201680</v>
      </c>
      <c r="BB40" s="299">
        <f t="shared" si="561"/>
        <v>1400560</v>
      </c>
      <c r="BC40" s="299">
        <f t="shared" si="561"/>
        <v>2801120</v>
      </c>
      <c r="BD40" s="299">
        <f t="shared" si="561"/>
        <v>32913160</v>
      </c>
      <c r="BE40" s="299">
        <f t="shared" si="561"/>
        <v>11204480</v>
      </c>
      <c r="BF40" s="299">
        <f t="shared" si="561"/>
        <v>2100840</v>
      </c>
      <c r="BG40" s="299">
        <f t="shared" si="561"/>
        <v>1400560</v>
      </c>
      <c r="BH40" s="299">
        <f t="shared" si="561"/>
        <v>14705880</v>
      </c>
      <c r="BI40" s="299">
        <f t="shared" si="561"/>
        <v>330000001</v>
      </c>
      <c r="BJ40" s="299">
        <f t="shared" si="561"/>
        <v>0</v>
      </c>
      <c r="BK40" s="299">
        <f t="shared" si="561"/>
        <v>0</v>
      </c>
      <c r="BL40" s="299">
        <f t="shared" si="561"/>
        <v>7323000</v>
      </c>
      <c r="BM40" s="299">
        <f t="shared" si="561"/>
        <v>197219887.01923075</v>
      </c>
      <c r="BN40" s="299">
        <f t="shared" si="561"/>
        <v>0</v>
      </c>
      <c r="BO40" s="299">
        <f t="shared" si="561"/>
        <v>0</v>
      </c>
      <c r="BP40" s="299">
        <f t="shared" si="561"/>
        <v>805000</v>
      </c>
      <c r="BQ40" s="299"/>
      <c r="BR40" s="299">
        <f>SUM(BR10:BR39)</f>
        <v>220165652.45192307</v>
      </c>
      <c r="BS40" s="301">
        <f>BR40+'Payroll of factory (SOI) '!BQ27+'Payroll Office'!BO23+'Payroll of factory  '!BO22</f>
        <v>570768685.48557687</v>
      </c>
      <c r="BT40" s="302">
        <f>BR40+'Payroll of factory  '!BQ22</f>
        <v>272166822.35576922</v>
      </c>
      <c r="BU40" s="137">
        <v>669634053.44230759</v>
      </c>
      <c r="BV40" s="137">
        <f>BT40-BU40</f>
        <v>-397467231.08653837</v>
      </c>
    </row>
    <row r="41" spans="1:75" ht="15" customHeight="1">
      <c r="AX41" s="31"/>
      <c r="AY41" s="31"/>
      <c r="BG41" s="31"/>
      <c r="BR41" s="86"/>
      <c r="BS41" s="120"/>
    </row>
    <row r="42" spans="1:75" s="103" customFormat="1" ht="26.25">
      <c r="B42" s="107" t="s">
        <v>50</v>
      </c>
      <c r="C42" s="107"/>
      <c r="D42" s="107"/>
      <c r="E42" s="107"/>
      <c r="F42" s="107"/>
      <c r="G42" s="293"/>
      <c r="H42" s="104"/>
      <c r="I42" s="104"/>
      <c r="J42" s="104"/>
      <c r="K42" s="104"/>
      <c r="L42" s="104"/>
      <c r="M42" s="104"/>
      <c r="N42" s="104"/>
      <c r="O42" s="104"/>
      <c r="P42" s="104"/>
      <c r="Q42" s="294"/>
      <c r="R42" s="110"/>
      <c r="S42" s="110"/>
      <c r="T42" s="295"/>
      <c r="Y42" s="246"/>
      <c r="Z42" s="246"/>
      <c r="AA42" s="246"/>
      <c r="AD42" s="246"/>
      <c r="AF42" s="334"/>
      <c r="AH42" s="246" t="s">
        <v>51</v>
      </c>
      <c r="AJ42" s="246"/>
      <c r="AK42" s="296"/>
      <c r="AL42" s="296"/>
      <c r="AM42" s="441"/>
      <c r="AN42" s="441"/>
      <c r="AO42" s="296"/>
      <c r="AP42" s="296"/>
      <c r="AQ42" s="296"/>
      <c r="AR42" s="296"/>
      <c r="AS42" s="296"/>
      <c r="AT42" s="296"/>
      <c r="AU42" s="296"/>
      <c r="AV42" s="295"/>
      <c r="AW42" s="296"/>
      <c r="AX42" s="110"/>
      <c r="AZ42" s="297"/>
      <c r="BA42" s="297"/>
      <c r="BB42" s="297"/>
      <c r="BC42" s="297"/>
      <c r="BD42" s="297"/>
      <c r="BE42" s="297"/>
      <c r="BF42" s="297"/>
      <c r="BG42" s="297"/>
      <c r="BI42" s="298"/>
      <c r="BJ42" s="298"/>
      <c r="BK42" s="298"/>
      <c r="BL42" s="298"/>
      <c r="BM42" s="298"/>
      <c r="BN42" s="298"/>
      <c r="BO42" s="298"/>
      <c r="BP42" s="298"/>
      <c r="BQ42" s="298"/>
      <c r="BR42" s="298" t="s">
        <v>52</v>
      </c>
      <c r="BS42" s="298"/>
      <c r="BT42" s="298"/>
    </row>
    <row r="43" spans="1:75">
      <c r="AX43" s="31"/>
      <c r="AY43" s="31"/>
      <c r="BD43" s="31"/>
    </row>
    <row r="44" spans="1:75" ht="15.75">
      <c r="AX44" s="31"/>
      <c r="BD44" s="31"/>
      <c r="BF44" s="31"/>
      <c r="BR44" s="299"/>
    </row>
    <row r="45" spans="1:75">
      <c r="AX45" s="31"/>
      <c r="AY45" s="31"/>
      <c r="BD45" s="31"/>
    </row>
    <row r="46" spans="1:75">
      <c r="AX46" s="31"/>
      <c r="BD46" s="31"/>
    </row>
    <row r="47" spans="1:75">
      <c r="BT47" s="70">
        <f>BR40+'Payroll of factory (SOI) '!BQ27+'Payroll of factory  '!BO22+'Payroll Office'!BO23</f>
        <v>570768685.48557687</v>
      </c>
    </row>
    <row r="49" spans="50:50">
      <c r="AX49" s="31"/>
    </row>
  </sheetData>
  <autoFilter ref="A9:EC42" xr:uid="{00000000-0009-0000-0000-000008000000}"/>
  <mergeCells count="30">
    <mergeCell ref="A3:BS3"/>
    <mergeCell ref="A4:BS4"/>
    <mergeCell ref="BR7:BR8"/>
    <mergeCell ref="AX7:AX8"/>
    <mergeCell ref="AY7:BD7"/>
    <mergeCell ref="AM42:AN42"/>
    <mergeCell ref="Q7:T7"/>
    <mergeCell ref="AG7:AG8"/>
    <mergeCell ref="AM7:AV7"/>
    <mergeCell ref="AW7:AW8"/>
    <mergeCell ref="AF7:AF8"/>
    <mergeCell ref="A40:C40"/>
    <mergeCell ref="A7:A8"/>
    <mergeCell ref="B7:B8"/>
    <mergeCell ref="C7:C8"/>
    <mergeCell ref="E7:F7"/>
    <mergeCell ref="D7:D8"/>
    <mergeCell ref="BT7:BT8"/>
    <mergeCell ref="U7:AE7"/>
    <mergeCell ref="BS7:BS8"/>
    <mergeCell ref="G7:G8"/>
    <mergeCell ref="H7:P7"/>
    <mergeCell ref="AI7:AI8"/>
    <mergeCell ref="AJ7:AJ8"/>
    <mergeCell ref="AK7:AK8"/>
    <mergeCell ref="BE7:BH7"/>
    <mergeCell ref="BP7:BP8"/>
    <mergeCell ref="AL7:AL8"/>
    <mergeCell ref="BI7:BO7"/>
    <mergeCell ref="AH7:AH8"/>
  </mergeCells>
  <pageMargins left="0.45" right="0.45" top="0.25" bottom="0.25" header="0.3" footer="0.3"/>
  <pageSetup paperSize="8" scale="4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Payroll Mr Shin</vt:lpstr>
      <vt:lpstr>Mr. Lim</vt:lpstr>
      <vt:lpstr>Mr.Moon</vt:lpstr>
      <vt:lpstr>Mr. Yang</vt:lpstr>
      <vt:lpstr>Mr. Choi</vt:lpstr>
      <vt:lpstr>Mr. Hwang</vt:lpstr>
      <vt:lpstr>Payroll Office</vt:lpstr>
      <vt:lpstr>Payroll of factory  </vt:lpstr>
      <vt:lpstr>Payroll of factory (SOI) </vt:lpstr>
      <vt:lpstr>Payroll of factory (DET).1</vt:lpstr>
      <vt:lpstr>'Mr. Choi'!Print_Area</vt:lpstr>
      <vt:lpstr>'Mr. Hwang'!Print_Area</vt:lpstr>
      <vt:lpstr>'Mr. Lim'!Print_Area</vt:lpstr>
      <vt:lpstr>'Mr. Yang'!Print_Area</vt:lpstr>
      <vt:lpstr>Mr.Moon!Print_Area</vt:lpstr>
      <vt:lpstr>'Payroll Mr Shin'!Print_Area</vt:lpstr>
      <vt:lpstr>'Payroll of factory  '!Print_Area</vt:lpstr>
      <vt:lpstr>'Payroll of factory (DET).1'!Print_Area</vt:lpstr>
      <vt:lpstr>'Payroll of factory (SOI) '!Print_Area</vt:lpstr>
      <vt:lpstr>'Payroll Office'!Print_Area</vt:lpstr>
      <vt:lpstr>'Payroll of factory (SOI)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2024-09-10T02:00:04Z</cp:lastPrinted>
  <dcterms:created xsi:type="dcterms:W3CDTF">2015-06-05T18:17:20Z</dcterms:created>
  <dcterms:modified xsi:type="dcterms:W3CDTF">2024-09-17T00:57:08Z</dcterms:modified>
</cp:coreProperties>
</file>