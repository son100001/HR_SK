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Receive File Zalo\"/>
    </mc:Choice>
  </mc:AlternateContent>
  <xr:revisionPtr revIDLastSave="0" documentId="13_ncr:1_{76D03A5D-CD45-49BB-932C-A8A7E9FD5BC3}" xr6:coauthVersionLast="47" xr6:coauthVersionMax="47" xr10:uidLastSave="{00000000-0000-0000-0000-000000000000}"/>
  <bookViews>
    <workbookView xWindow="-120" yWindow="-120" windowWidth="20730" windowHeight="11160" tabRatio="717" activeTab="1" xr2:uid="{00000000-000D-0000-FFFF-FFFF00000000}"/>
  </bookViews>
  <sheets>
    <sheet name="HR-Summarize" sheetId="8" r:id="rId1"/>
    <sheet name="HR-Details of Schedule" sheetId="9" r:id="rId2"/>
  </sheets>
  <externalReferences>
    <externalReference r:id="rId3"/>
  </externalReferences>
  <definedNames>
    <definedName name="Giang___S_S" localSheetId="1">[1]Inzi!#REF!</definedName>
    <definedName name="Giang___S_S" localSheetId="0">[1]Inzi!#REF!</definedName>
    <definedName name="Giang___S_S">[1]Inzi!#REF!</definedName>
  </definedNames>
  <calcPr calcId="181029"/>
  <extLst>
    <ext uri="GoogleSheetsCustomDataVersion2">
      <go:sheetsCustomData xmlns:go="http://customooxmlschemas.google.com/" r:id="rId11" roundtripDataChecksum="zlW5sBZ7wCkRHmvQjMobJ1xxsfEAfBYI8krqV/vUYAk="/>
    </ext>
  </extLst>
</workbook>
</file>

<file path=xl/calcChain.xml><?xml version="1.0" encoding="utf-8"?>
<calcChain xmlns="http://schemas.openxmlformats.org/spreadsheetml/2006/main">
  <c r="E11" i="8" l="1"/>
  <c r="D11" i="8"/>
  <c r="E14" i="8"/>
  <c r="D14" i="8"/>
  <c r="D13" i="8"/>
  <c r="E12" i="8"/>
  <c r="D12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</calcChain>
</file>

<file path=xl/sharedStrings.xml><?xml version="1.0" encoding="utf-8"?>
<sst xmlns="http://schemas.openxmlformats.org/spreadsheetml/2006/main" count="184" uniqueCount="122">
  <si>
    <t>No 
STT 
순번</t>
  </si>
  <si>
    <t>Service
Dịch vụ
서비스</t>
  </si>
  <si>
    <t>Total Time - Tổng thời gian - 총시간</t>
  </si>
  <si>
    <t>Start Date
Ngày bắt đầu
시작일</t>
  </si>
  <si>
    <t>Golive
Chính thức vận hành
가동시작</t>
  </si>
  <si>
    <t>Hours/Days - H/Ngày - 시간/일</t>
  </si>
  <si>
    <t xml:space="preserve">S&amp;S PIC
Phụ trách
담당 </t>
  </si>
  <si>
    <t xml:space="preserve">Elensys PIC
Phụ trách
담당 </t>
  </si>
  <si>
    <t>Progress
Tiến độ 
진도</t>
  </si>
  <si>
    <t>Start date
Ngày bắt đầu
시작일</t>
  </si>
  <si>
    <t>End date
Ngày kết thúc
마감일</t>
  </si>
  <si>
    <t>Days
Ngày
일자</t>
  </si>
  <si>
    <t>Note
Ghi chú
비고</t>
  </si>
  <si>
    <t>Support after Golive - Hỗ trợ sau go live - 가동시작 이후 지원</t>
  </si>
  <si>
    <t>HR IMPLEMENTTION SCHEDULE</t>
  </si>
  <si>
    <t>SET UP SERVER AND DATABASE
서버 및 데이터베이스 설정</t>
  </si>
  <si>
    <t>SET UP BASIC INFORMATION
기본 정보 설정</t>
  </si>
  <si>
    <t>EMPLOYEE INFORMATION
직원 정보</t>
  </si>
  <si>
    <t>40 (Hours) / 5 (Days)</t>
  </si>
  <si>
    <t>TIME ATTENDANCE
시간 출석</t>
  </si>
  <si>
    <t>PAYROLL
급여명세서</t>
  </si>
  <si>
    <t>HR &amp; ACCOUNTING INTERFACE
인사 및 회계 인터페이스</t>
  </si>
  <si>
    <t>REPORTS
보고</t>
  </si>
  <si>
    <t>HR Smartbooks software.
Phần mềm HR Smartbooks.
HR 스마트북 소프트웨어.</t>
  </si>
  <si>
    <t>No/
STT/
순번</t>
  </si>
  <si>
    <t>Description/
Chi Tiết/
항목</t>
  </si>
  <si>
    <t>SIGN CONTRACT 회사 서명</t>
  </si>
  <si>
    <t>Sign contract/ Ký hợp đồng- 계약 체결</t>
  </si>
  <si>
    <t>Test Timekeeping and PayRoll the first month/ Kiểm thử công lương tháng đầu tiên- 첫 번째 달의 근태관리 및 급여지급 테스트</t>
  </si>
  <si>
    <t>Test Timekeeping and Payroll the second month/ Kiểm thử công lương tháng thứ 2- 두 번째 달의 근태관리 및 급여지급 테스트</t>
  </si>
  <si>
    <t>Close/ Nghiệm thu- 마감</t>
  </si>
  <si>
    <t>SET UP SERVER AND DATABASE/ 서버 및 데이터베이스 설정</t>
  </si>
  <si>
    <t>Create new database to test/ Tạo mới dữ liệu- 테스트를 위한 새 데이터베이스 생성</t>
  </si>
  <si>
    <t>Install the new set up to test/ Cài đặt mới hệ thống- 테스트를 위한 새로 설정 설치</t>
  </si>
  <si>
    <t>SET UP BASIS INFORMATION/ CÀI ĐẶT TỔNG QUÁT/ 총괄 설치</t>
  </si>
  <si>
    <t>Register working time shift - Đăng ký ca - 근무 시간 교대제 등록</t>
  </si>
  <si>
    <t>Set up timekeeping - Cài đặt công - 출퇴근 기록 설정</t>
  </si>
  <si>
    <t>Create / Edit Factory - Tạo/ Sửa xưởng - 공장 생성/ 편집</t>
  </si>
  <si>
    <t>Create / Edit Department - Tạo/ Sửa bộ phận - 부서 생성/ 편집</t>
  </si>
  <si>
    <t>Create / Edit Team - Tạo/ Sửa nhóm - 팀 생성/ 편집</t>
  </si>
  <si>
    <t>Create / Edit Position - Tạo/ Sửa vị trí - 직위 생성/ 편집</t>
  </si>
  <si>
    <t>Create / Edit type of labour contract - Tạo/ Sửa hợp đồng - 근로계약 생성/ 편집</t>
  </si>
  <si>
    <t>Create / Edit Degrees - Tạo/ Sửa bằng cấp - 학위 생성/ 편집</t>
  </si>
  <si>
    <t>Create / Edit Discipline Type - Tạo/ Sửa loại kỷ luật - 징계 유형 생성/ 편집</t>
  </si>
  <si>
    <t>Create/ Edit Leave type - Tạo/ Sửa loại nghỉ - 휴가 유형 생성/ 편집</t>
  </si>
  <si>
    <t>Create/ Edit Working Time type - Tạo/ Sửa loại công - 근무시간 유형 생성/ 편집</t>
  </si>
  <si>
    <t>Create/Edit Regional - Tạo/ Sửa vùng miền - 지역별 생성/ 편집</t>
  </si>
  <si>
    <t>Create/Edit Salary Component - Tạo/ Sửa thành phần lương - 급여 구성 요소 생성/ 편집</t>
  </si>
  <si>
    <t>Create/Edit Salary Table - Tạo/ Sửa mẫu lương 급여 테이블 생성/ 편집</t>
  </si>
  <si>
    <t>Register User - Tạo người dùng - 사용자 신청</t>
  </si>
  <si>
    <t>Authority user permission - Phân quyền người dùng - 사용자 분권</t>
  </si>
  <si>
    <t>EMPLOYEE INFORMATION / THÔNG TIN NHÂN VIÊN/ 직원 정보</t>
  </si>
  <si>
    <t>Create/Edit Employee information -  Tạo/ Sửa thông tin nhân viên - 직원 정보 생성/ 편집</t>
  </si>
  <si>
    <t>Contract Labour management - Tạo/ Sửa hợp đồng lao động - 근로계약 생성/ 편집</t>
  </si>
  <si>
    <t>Family Information - Tạo/ Sửa thông tin gia đình - 가정 정보 생성/ 편집</t>
  </si>
  <si>
    <t>TIME ATTENDANCE/CHẤM CÔNG/ 출퇴근</t>
  </si>
  <si>
    <t>Time keeping - Daily - Chấm công - 출퇴근시간</t>
  </si>
  <si>
    <t>Working time of exception - Công ngoại lệ - 예외 근무시간</t>
  </si>
  <si>
    <t>Register Overtime - Đăng ký tăng ca - 초과근무 신청</t>
  </si>
  <si>
    <t>Machine working time data - Dữ liệu máy chấm công - 출퇴근 기록기의 데이터</t>
  </si>
  <si>
    <t>Employee Register Time shift - Đăng ký ca - 교대신청</t>
  </si>
  <si>
    <t>Employee Leave Register - Đăng ký nghỉ - 휴가 신청</t>
  </si>
  <si>
    <t>Pregnancy Registration - Đăng ký thai sản 임신 신청</t>
  </si>
  <si>
    <t>Uniform control - Đăng ký đồng phục - 유니폼 신청</t>
  </si>
  <si>
    <t>The violate employee list - Danh sách nhân viên kỷ luật - 위반 직원 리스트</t>
  </si>
  <si>
    <t>Leave time report - Báo cáo nghỉ - 휴가 보고서</t>
  </si>
  <si>
    <t>Pregnancy report - Báo cáo thai sản - 임신 보고서</t>
  </si>
  <si>
    <t>Working time summary report - Báo cáo công tổng hợp - 근무시간 요약보고서</t>
  </si>
  <si>
    <t>Working time detail report - Báo cáo công theo ngày - 일별 근무시간 보고서</t>
  </si>
  <si>
    <t>Working time terminated detail report - Báo cáo công nhân viên nghỉ việc - 퇴직원 보고서</t>
  </si>
  <si>
    <t>Working time active detail report - Báo cáo công nhân viên đang làm - 임직원 보고서</t>
  </si>
  <si>
    <t>Working time pregnancy detail report - Báo cáo công nhân viên chế độ - 임산부 보고서</t>
  </si>
  <si>
    <t>Other report - Báo cáo khác - 기타 보고서</t>
  </si>
  <si>
    <t>Audit module - Chấm công khách hàng - 감사 모듈</t>
  </si>
  <si>
    <t>Test real data in the first month - Kiểm tra dữ liệu công tháng thứ 1 - 첫 번째 달의 실질 데이터 테이스트</t>
  </si>
  <si>
    <t>Test real data in the second month - Kiểm tra dữ liệu công tháng thứ 2 -  두 번째 달의 실질 데이터 테이스트</t>
  </si>
  <si>
    <t>Close module - Đóng phần chấm công - 모듈 마감</t>
  </si>
  <si>
    <t>PAYROLL/TÍNH LƯƠNG/ 급여계산</t>
  </si>
  <si>
    <t>Long Term Salary Component - Lương cố định - 고정급여</t>
  </si>
  <si>
    <t>Monthly Salary Component - Lương biến động - 변동급여</t>
  </si>
  <si>
    <t>Dependant manager - Quản lý người phụ thuộc - 부양가족 관리</t>
  </si>
  <si>
    <t>Payroll Calculation - Tính lương - 급여 계산</t>
  </si>
  <si>
    <t>Print Pay Slips - In phiếu lương - 급여명세서 인쇄</t>
  </si>
  <si>
    <t>Set up the formular salary teamplate - Cài đặt công thức lương - 급여 계산 공식 설정</t>
  </si>
  <si>
    <t>Checking the salary on the system - Kiểm tra lương trên hệ thống - 시스템의 급여 검토</t>
  </si>
  <si>
    <t>Set up audit module - Lương khách hàng - 감사 모듈 설정</t>
  </si>
  <si>
    <t>Test real data in the second month - Kiểm tra dữ liệu công tháng thứ 2 - 두 번째 달의 실질 데이터 테이스트</t>
  </si>
  <si>
    <t>Close module - Đóng phần tính lương - 모듈 마감</t>
  </si>
  <si>
    <t>HR-ACC INTERFACE/ HR-ACC 인터페이스</t>
  </si>
  <si>
    <t>Set up account code - Cài đặt tài khoản - 계정 코드 설정</t>
  </si>
  <si>
    <t>Connect data between HR and ACC - Kết nối dữ liệu với kế toán - 화계와 데이터 연동</t>
  </si>
  <si>
    <t>Test data - Kiểm tra dữ liệu - 데이터 검사</t>
  </si>
  <si>
    <t>Customer feed back - Phản hồi khác hàng - 고객 피드백</t>
  </si>
  <si>
    <t>Modify system - Chỉnh sửa hệ thống - 시스템 수정</t>
  </si>
  <si>
    <t>Close module - Đóng phần hành - 모듈 마감</t>
  </si>
  <si>
    <t>REPORTS/BÁO CÁO/ 보고서</t>
  </si>
  <si>
    <t>The detail working time - Báo cáo công chi tiết - 근무시간 내역 보고서</t>
  </si>
  <si>
    <t>The child report - Báo cáo con nhỏ - 자식 보고서</t>
  </si>
  <si>
    <t>The union fee report - Báo cáo công đoàn phí - 노동조합비 보고서</t>
  </si>
  <si>
    <t>The insurance report - Báo cáo phí bảo hiểm - 보험료 보고서</t>
  </si>
  <si>
    <t>The quantity report - Báo cáo số lượng nhân viên - 직원수 보고서</t>
  </si>
  <si>
    <t>The annual leave report - Báo báo phép năm - 연차 보고서</t>
  </si>
  <si>
    <t>The ABC bonus report - Báo cáo ABC tùy nhu cầu - ABC 보너스 보고서</t>
  </si>
  <si>
    <t>Maintainant after Completion Full Project - Bảo trì sau khi ký biên bản nghiệm thu dự án - 프로젝트 완료 이후 유지보수</t>
  </si>
  <si>
    <t>DEMO &amp; SIGN CONTRACT
회사 서명</t>
  </si>
  <si>
    <t>4 (Hours) / 0.5 (Days)</t>
  </si>
  <si>
    <t>8 (Hours) / 1 (Days)</t>
  </si>
  <si>
    <t>8 (Hours) / 2 (Days)</t>
  </si>
  <si>
    <t>TESTING ACTUAL DATA for ONE MONTHS
1개월간 실제 데이터 테스트</t>
  </si>
  <si>
    <t>ONE MONTH based on Actual Status
실제 상태 기준으로 1 개월</t>
  </si>
  <si>
    <t>06 Months free</t>
  </si>
  <si>
    <t>HR IMPLEMENTTION SCHEDULE DETAIL</t>
  </si>
  <si>
    <t>Mr. Son/Mr. Ha</t>
  </si>
  <si>
    <t>160 (Hours) / 20 (Days)</t>
  </si>
  <si>
    <t>152 (Hours) / 19 (Days)</t>
  </si>
  <si>
    <t>540 (Hours)/ 67.5 (Days)</t>
  </si>
  <si>
    <t>HANDLE OT JAN TO SEP/XỬ LÝ GIỜ TĂNG CA TỪ THÁNG 1 ĐẾN THÁNG 9/ 1월부터 9월까지 핸들링 OT</t>
  </si>
  <si>
    <t>Handle Overtime january to september/Xử lý giờ tăng ca từ tháng 1 đến tháng 9/ 1월부터 9월까지 핸들링 OT</t>
  </si>
  <si>
    <t>HANDLE OT JAN TO SEP
1월부터 9월까지 핸들링 OT</t>
  </si>
  <si>
    <t>104 (Hours) / 13 (Days)</t>
  </si>
  <si>
    <t>1 Months free</t>
  </si>
  <si>
    <t>48 (Hours) / 6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</si>
</sst>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/dd/yyyy"/>
    <numFmt numFmtId="165" formatCode="#,##0;\-#,##0"/>
    <numFmt numFmtId="166" formatCode="[$-409]d\-mmm\-yy"/>
  </numFmts>
  <fonts count="1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FFFFFF"/>
      <name val="Century Gothic"/>
      <family val="2"/>
    </font>
    <font>
      <sz val="11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FFFFFF"/>
      <name val="Century Gothic"/>
      <family val="2"/>
    </font>
    <font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6"/>
      <color rgb="FFFFFFFF"/>
      <name val="Century Gothic"/>
      <family val="2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rgb="FF0C6082"/>
        <bgColor rgb="FF0C6082"/>
      </patternFill>
    </fill>
    <fill>
      <patternFill patternType="solid">
        <fgColor rgb="FF084057"/>
        <bgColor rgb="FF084057"/>
      </patternFill>
    </fill>
    <fill>
      <patternFill patternType="solid">
        <fgColor rgb="FF8AD4F3"/>
        <bgColor rgb="FF8AD4F3"/>
      </patternFill>
    </fill>
    <fill>
      <patternFill patternType="solid">
        <fgColor theme="4" tint="0.79998168889431442"/>
        <bgColor rgb="FFF0E1E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rgb="FF084057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rgb="FF1C4587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8"/>
  </cellStyleXfs>
  <cellXfs count="89">
    <xf numFmtId="0" fontId="0" fillId="0" borderId="0" xfId="0"/>
    <xf numFmtId="164" fontId="9" fillId="0" borderId="15" xfId="0" applyNumberFormat="1" applyFont="1" applyBorder="1" applyAlignment="1">
      <alignment horizontal="center" vertical="center"/>
    </xf>
    <xf numFmtId="0" fontId="3" fillId="0" borderId="8" xfId="1" applyFont="1"/>
    <xf numFmtId="0" fontId="11" fillId="3" borderId="8" xfId="1" applyFont="1" applyFill="1" applyAlignment="1">
      <alignment horizontal="left" vertical="center"/>
    </xf>
    <xf numFmtId="0" fontId="12" fillId="3" borderId="8" xfId="1" applyFont="1" applyFill="1"/>
    <xf numFmtId="0" fontId="13" fillId="3" borderId="9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14" fontId="4" fillId="2" borderId="5" xfId="1" applyNumberFormat="1" applyFont="1" applyFill="1" applyBorder="1" applyAlignment="1">
      <alignment horizontal="center" vertical="center" wrapText="1"/>
    </xf>
    <xf numFmtId="0" fontId="14" fillId="4" borderId="13" xfId="1" applyFont="1" applyFill="1" applyBorder="1" applyAlignment="1">
      <alignment vertical="center"/>
    </xf>
    <xf numFmtId="0" fontId="14" fillId="4" borderId="14" xfId="1" applyFont="1" applyFill="1" applyBorder="1" applyAlignment="1">
      <alignment vertical="center"/>
    </xf>
    <xf numFmtId="0" fontId="14" fillId="4" borderId="6" xfId="1" applyFont="1" applyFill="1" applyBorder="1" applyAlignment="1">
      <alignment horizontal="center" vertical="center"/>
    </xf>
    <xf numFmtId="9" fontId="14" fillId="4" borderId="10" xfId="1" applyNumberFormat="1" applyFont="1" applyFill="1" applyBorder="1" applyAlignment="1">
      <alignment horizontal="center" vertical="center"/>
    </xf>
    <xf numFmtId="0" fontId="14" fillId="4" borderId="14" xfId="1" applyFont="1" applyFill="1" applyBorder="1" applyAlignment="1">
      <alignment horizontal="center" vertical="center"/>
    </xf>
    <xf numFmtId="0" fontId="2" fillId="0" borderId="8" xfId="1" applyFont="1"/>
    <xf numFmtId="0" fontId="2" fillId="0" borderId="6" xfId="1" applyFont="1" applyBorder="1" applyAlignment="1">
      <alignment horizontal="center" vertical="center" wrapText="1"/>
    </xf>
    <xf numFmtId="166" fontId="2" fillId="0" borderId="6" xfId="1" applyNumberFormat="1" applyFont="1" applyBorder="1" applyAlignment="1">
      <alignment horizontal="left" vertical="center"/>
    </xf>
    <xf numFmtId="166" fontId="2" fillId="0" borderId="6" xfId="1" applyNumberFormat="1" applyFont="1" applyBorder="1" applyAlignment="1">
      <alignment horizontal="center" vertical="center"/>
    </xf>
    <xf numFmtId="9" fontId="2" fillId="0" borderId="6" xfId="1" applyNumberFormat="1" applyFont="1" applyBorder="1" applyAlignment="1">
      <alignment horizontal="center" vertical="center" wrapText="1"/>
    </xf>
    <xf numFmtId="9" fontId="2" fillId="0" borderId="12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2" fillId="0" borderId="6" xfId="1" applyFont="1" applyBorder="1" applyAlignment="1">
      <alignment horizontal="left" vertical="center" wrapText="1"/>
    </xf>
    <xf numFmtId="164" fontId="2" fillId="0" borderId="6" xfId="1" applyNumberFormat="1" applyFont="1" applyBorder="1" applyAlignment="1">
      <alignment horizontal="center" vertical="center"/>
    </xf>
    <xf numFmtId="166" fontId="2" fillId="0" borderId="6" xfId="1" applyNumberFormat="1" applyFont="1" applyBorder="1" applyAlignment="1">
      <alignment horizontal="left" vertical="center" wrapText="1"/>
    </xf>
    <xf numFmtId="166" fontId="2" fillId="0" borderId="6" xfId="1" applyNumberFormat="1" applyFont="1" applyBorder="1" applyAlignment="1">
      <alignment horizontal="center" vertical="center" wrapText="1"/>
    </xf>
    <xf numFmtId="0" fontId="2" fillId="0" borderId="6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14" fillId="4" borderId="11" xfId="1" applyFont="1" applyFill="1" applyBorder="1" applyAlignment="1">
      <alignment vertical="center"/>
    </xf>
    <xf numFmtId="0" fontId="14" fillId="4" borderId="8" xfId="1" applyFont="1" applyFill="1" applyAlignment="1">
      <alignment vertical="center"/>
    </xf>
    <xf numFmtId="164" fontId="2" fillId="0" borderId="6" xfId="1" applyNumberFormat="1" applyFont="1" applyBorder="1" applyAlignment="1">
      <alignment horizontal="center" vertical="top"/>
    </xf>
    <xf numFmtId="164" fontId="2" fillId="0" borderId="6" xfId="1" applyNumberFormat="1" applyFont="1" applyBorder="1" applyAlignment="1">
      <alignment horizontal="center" vertical="top" wrapText="1"/>
    </xf>
    <xf numFmtId="0" fontId="2" fillId="0" borderId="10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left" vertical="center"/>
    </xf>
    <xf numFmtId="0" fontId="2" fillId="0" borderId="10" xfId="1" applyFont="1" applyBorder="1" applyAlignment="1">
      <alignment horizontal="center" vertical="center"/>
    </xf>
    <xf numFmtId="164" fontId="2" fillId="0" borderId="10" xfId="1" applyNumberFormat="1" applyFont="1" applyBorder="1" applyAlignment="1">
      <alignment horizontal="center" vertical="top" wrapText="1"/>
    </xf>
    <xf numFmtId="0" fontId="7" fillId="5" borderId="2" xfId="1" applyFont="1" applyFill="1" applyBorder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11" fillId="7" borderId="8" xfId="1" applyFont="1" applyFill="1" applyAlignment="1">
      <alignment horizontal="left" vertical="center"/>
    </xf>
    <xf numFmtId="0" fontId="12" fillId="7" borderId="8" xfId="1" applyFont="1" applyFill="1"/>
    <xf numFmtId="0" fontId="3" fillId="8" borderId="8" xfId="1" applyFont="1" applyFill="1"/>
    <xf numFmtId="164" fontId="10" fillId="9" borderId="15" xfId="0" applyNumberFormat="1" applyFont="1" applyFill="1" applyBorder="1" applyAlignment="1">
      <alignment horizontal="center" vertical="center"/>
    </xf>
    <xf numFmtId="0" fontId="8" fillId="10" borderId="6" xfId="1" applyFont="1" applyFill="1" applyBorder="1" applyAlignment="1">
      <alignment vertical="center"/>
    </xf>
    <xf numFmtId="9" fontId="14" fillId="10" borderId="6" xfId="1" applyNumberFormat="1" applyFont="1" applyFill="1" applyBorder="1" applyAlignment="1">
      <alignment horizontal="center" vertical="center"/>
    </xf>
    <xf numFmtId="9" fontId="2" fillId="8" borderId="12" xfId="1" applyNumberFormat="1" applyFont="1" applyFill="1" applyBorder="1" applyAlignment="1">
      <alignment horizontal="center" vertical="center" wrapText="1"/>
    </xf>
    <xf numFmtId="165" fontId="8" fillId="10" borderId="6" xfId="1" applyNumberFormat="1" applyFont="1" applyFill="1" applyBorder="1" applyAlignment="1">
      <alignment horizontal="center" vertical="center"/>
    </xf>
    <xf numFmtId="0" fontId="8" fillId="10" borderId="6" xfId="1" applyFont="1" applyFill="1" applyBorder="1" applyAlignment="1">
      <alignment horizontal="center" vertical="center"/>
    </xf>
    <xf numFmtId="164" fontId="8" fillId="10" borderId="6" xfId="1" applyNumberFormat="1" applyFont="1" applyFill="1" applyBorder="1" applyAlignment="1">
      <alignment horizontal="center" vertical="center"/>
    </xf>
    <xf numFmtId="0" fontId="2" fillId="0" borderId="18" xfId="1" applyFont="1" applyBorder="1"/>
    <xf numFmtId="0" fontId="6" fillId="0" borderId="1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9" fontId="2" fillId="0" borderId="3" xfId="1" applyNumberFormat="1" applyFont="1" applyBorder="1" applyAlignment="1">
      <alignment horizontal="center" vertical="center" wrapText="1"/>
    </xf>
    <xf numFmtId="166" fontId="2" fillId="0" borderId="4" xfId="1" applyNumberFormat="1" applyFont="1" applyBorder="1" applyAlignment="1">
      <alignment horizontal="center" vertical="center" wrapText="1"/>
    </xf>
    <xf numFmtId="0" fontId="2" fillId="0" borderId="15" xfId="1" applyFont="1" applyBorder="1"/>
    <xf numFmtId="0" fontId="14" fillId="4" borderId="15" xfId="1" applyFont="1" applyFill="1" applyBorder="1" applyAlignment="1">
      <alignment vertical="center"/>
    </xf>
    <xf numFmtId="166" fontId="2" fillId="0" borderId="10" xfId="1" applyNumberFormat="1" applyFont="1" applyBorder="1" applyAlignment="1">
      <alignment horizontal="center" vertical="center"/>
    </xf>
    <xf numFmtId="9" fontId="2" fillId="0" borderId="10" xfId="1" applyNumberFormat="1" applyFont="1" applyBorder="1" applyAlignment="1">
      <alignment horizontal="center" vertical="center" wrapText="1"/>
    </xf>
    <xf numFmtId="9" fontId="2" fillId="0" borderId="19" xfId="1" applyNumberFormat="1" applyFont="1" applyBorder="1" applyAlignment="1">
      <alignment horizontal="center" vertical="center" wrapText="1"/>
    </xf>
    <xf numFmtId="0" fontId="8" fillId="10" borderId="4" xfId="1" applyFont="1" applyFill="1" applyBorder="1" applyAlignment="1">
      <alignment vertical="center"/>
    </xf>
    <xf numFmtId="9" fontId="14" fillId="10" borderId="4" xfId="1" applyNumberFormat="1" applyFont="1" applyFill="1" applyBorder="1" applyAlignment="1">
      <alignment horizontal="center" vertical="center"/>
    </xf>
    <xf numFmtId="9" fontId="2" fillId="8" borderId="20" xfId="1" applyNumberFormat="1" applyFont="1" applyFill="1" applyBorder="1" applyAlignment="1">
      <alignment horizontal="center" vertical="center" wrapText="1"/>
    </xf>
    <xf numFmtId="164" fontId="15" fillId="8" borderId="21" xfId="0" applyNumberFormat="1" applyFont="1" applyFill="1" applyBorder="1" applyAlignment="1">
      <alignment horizontal="center" vertical="center"/>
    </xf>
    <xf numFmtId="165" fontId="8" fillId="10" borderId="4" xfId="1" applyNumberFormat="1" applyFont="1" applyFill="1" applyBorder="1" applyAlignment="1">
      <alignment horizontal="center" vertical="center"/>
    </xf>
    <xf numFmtId="0" fontId="8" fillId="10" borderId="4" xfId="1" applyFont="1" applyFill="1" applyBorder="1" applyAlignment="1">
      <alignment horizontal="center" vertical="center"/>
    </xf>
    <xf numFmtId="0" fontId="14" fillId="4" borderId="15" xfId="1" applyFont="1" applyFill="1" applyBorder="1" applyAlignment="1">
      <alignment horizontal="center" vertical="center"/>
    </xf>
    <xf numFmtId="9" fontId="2" fillId="0" borderId="15" xfId="1" applyNumberFormat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left" vertical="center" wrapText="1"/>
    </xf>
    <xf numFmtId="166" fontId="2" fillId="0" borderId="15" xfId="1" applyNumberFormat="1" applyFont="1" applyBorder="1" applyAlignment="1">
      <alignment horizontal="center" vertical="center"/>
    </xf>
    <xf numFmtId="164" fontId="2" fillId="0" borderId="15" xfId="1" applyNumberFormat="1" applyFont="1" applyBorder="1" applyAlignment="1">
      <alignment horizontal="center" vertical="top" wrapText="1"/>
    </xf>
    <xf numFmtId="0" fontId="2" fillId="0" borderId="15" xfId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13" fillId="3" borderId="10" xfId="1" applyFont="1" applyFill="1" applyBorder="1" applyAlignment="1">
      <alignment horizontal="center" vertical="center" wrapText="1"/>
    </xf>
    <xf numFmtId="0" fontId="5" fillId="0" borderId="4" xfId="1" applyFont="1" applyBorder="1"/>
    <xf numFmtId="0" fontId="13" fillId="3" borderId="10" xfId="1" applyFont="1" applyFill="1" applyBorder="1" applyAlignment="1">
      <alignment vertical="center" wrapText="1"/>
    </xf>
    <xf numFmtId="0" fontId="13" fillId="3" borderId="9" xfId="1" applyFont="1" applyFill="1" applyBorder="1" applyAlignment="1">
      <alignment horizontal="center" vertical="center" wrapText="1"/>
    </xf>
    <xf numFmtId="0" fontId="5" fillId="0" borderId="1" xfId="1" applyFont="1" applyBorder="1"/>
    <xf numFmtId="0" fontId="3" fillId="0" borderId="2" xfId="1" applyFont="1" applyBorder="1" applyAlignment="1">
      <alignment horizontal="center" vertical="center" wrapText="1"/>
    </xf>
    <xf numFmtId="0" fontId="5" fillId="0" borderId="3" xfId="1" applyFont="1" applyBorder="1"/>
    <xf numFmtId="164" fontId="10" fillId="6" borderId="17" xfId="0" applyNumberFormat="1" applyFont="1" applyFill="1" applyBorder="1" applyAlignment="1">
      <alignment horizontal="center" vertical="center"/>
    </xf>
    <xf numFmtId="164" fontId="10" fillId="6" borderId="16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1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R_Document/PM/HR-Summary%20Project%20Items_18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&amp;K"/>
      <sheetName val="IS"/>
      <sheetName val="Nahal"/>
      <sheetName val="Mazars"/>
      <sheetName val="Inzi"/>
      <sheetName val="Samhwan"/>
      <sheetName val="Sungju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180AE"/>
      </a:accent1>
      <a:accent2>
        <a:srgbClr val="6C5B97"/>
      </a:accent2>
      <a:accent3>
        <a:srgbClr val="FCB239"/>
      </a:accent3>
      <a:accent4>
        <a:srgbClr val="D74061"/>
      </a:accent4>
      <a:accent5>
        <a:srgbClr val="F37A29"/>
      </a:accent5>
      <a:accent6>
        <a:srgbClr val="B66BA3"/>
      </a:accent6>
      <a:hlink>
        <a:srgbClr val="D2B356"/>
      </a:hlink>
      <a:folHlink>
        <a:srgbClr val="D2B35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E14"/>
  <sheetViews>
    <sheetView zoomScaleNormal="100" workbookViewId="0">
      <selection activeCell="B5" sqref="B5"/>
    </sheetView>
  </sheetViews>
  <sheetFormatPr defaultColWidth="12.625" defaultRowHeight="15" customHeight="1" x14ac:dyDescent="0.3"/>
  <cols>
    <col min="1" max="1" width="7.875" style="2" customWidth="1"/>
    <col min="2" max="2" width="53.125" style="2" customWidth="1"/>
    <col min="3" max="3" width="31.375" style="2" customWidth="1"/>
    <col min="4" max="4" width="19.25" style="2" customWidth="1"/>
    <col min="5" max="5" width="18" style="2" customWidth="1"/>
    <col min="6" max="16384" width="12.625" style="2"/>
  </cols>
  <sheetData>
    <row r="1" spans="1:5" ht="20.25" x14ac:dyDescent="0.3">
      <c r="A1" s="3" t="s">
        <v>14</v>
      </c>
      <c r="B1" s="4"/>
      <c r="C1" s="4"/>
      <c r="D1" s="4"/>
      <c r="E1" s="4"/>
    </row>
    <row r="2" spans="1:5" ht="27.75" customHeight="1" x14ac:dyDescent="0.3">
      <c r="A2" s="80" t="s">
        <v>0</v>
      </c>
      <c r="B2" s="82" t="s">
        <v>1</v>
      </c>
      <c r="C2" s="5" t="s">
        <v>2</v>
      </c>
      <c r="D2" s="83" t="s">
        <v>3</v>
      </c>
      <c r="E2" s="83" t="s">
        <v>4</v>
      </c>
    </row>
    <row r="3" spans="1:5" ht="27.75" customHeight="1" x14ac:dyDescent="0.3">
      <c r="A3" s="81"/>
      <c r="B3" s="81"/>
      <c r="C3" s="6" t="s">
        <v>5</v>
      </c>
      <c r="D3" s="84"/>
      <c r="E3" s="84"/>
    </row>
    <row r="4" spans="1:5" ht="30" customHeight="1" x14ac:dyDescent="0.3">
      <c r="A4" s="7">
        <v>1</v>
      </c>
      <c r="B4" s="8" t="s">
        <v>104</v>
      </c>
      <c r="C4" s="9" t="s">
        <v>105</v>
      </c>
      <c r="D4" s="1">
        <f>'HR-Details of Schedule'!F3</f>
        <v>45551</v>
      </c>
      <c r="E4" s="1">
        <f>'HR-Details of Schedule'!G3</f>
        <v>45551</v>
      </c>
    </row>
    <row r="5" spans="1:5" ht="30" customHeight="1" x14ac:dyDescent="0.3">
      <c r="A5" s="7">
        <v>2</v>
      </c>
      <c r="B5" s="8" t="s">
        <v>15</v>
      </c>
      <c r="C5" s="9" t="s">
        <v>106</v>
      </c>
      <c r="D5" s="1">
        <f>'HR-Details of Schedule'!F8</f>
        <v>45561</v>
      </c>
      <c r="E5" s="1">
        <f>'HR-Details of Schedule'!G8</f>
        <v>45561</v>
      </c>
    </row>
    <row r="6" spans="1:5" ht="30" customHeight="1" x14ac:dyDescent="0.3">
      <c r="A6" s="7">
        <v>3</v>
      </c>
      <c r="B6" s="8" t="s">
        <v>16</v>
      </c>
      <c r="C6" s="9" t="s">
        <v>106</v>
      </c>
      <c r="D6" s="1">
        <f>'HR-Details of Schedule'!F11</f>
        <v>45562</v>
      </c>
      <c r="E6" s="1">
        <f>'HR-Details of Schedule'!G11</f>
        <v>45562</v>
      </c>
    </row>
    <row r="7" spans="1:5" ht="30" customHeight="1" x14ac:dyDescent="0.3">
      <c r="A7" s="7">
        <v>4</v>
      </c>
      <c r="B7" s="8" t="s">
        <v>17</v>
      </c>
      <c r="C7" s="9" t="s">
        <v>18</v>
      </c>
      <c r="D7" s="1">
        <f>'HR-Details of Schedule'!F28</f>
        <v>45565</v>
      </c>
      <c r="E7" s="1">
        <f>'HR-Details of Schedule'!G28</f>
        <v>45569</v>
      </c>
    </row>
    <row r="8" spans="1:5" ht="30" customHeight="1" x14ac:dyDescent="0.3">
      <c r="A8" s="7">
        <v>5</v>
      </c>
      <c r="B8" s="8" t="s">
        <v>19</v>
      </c>
      <c r="C8" s="9" t="s">
        <v>113</v>
      </c>
      <c r="D8" s="1">
        <f>'HR-Details of Schedule'!F32</f>
        <v>45569</v>
      </c>
      <c r="E8" s="1">
        <f>'HR-Details of Schedule'!G32</f>
        <v>45586</v>
      </c>
    </row>
    <row r="9" spans="1:5" ht="30" customHeight="1" x14ac:dyDescent="0.3">
      <c r="A9" s="7">
        <v>6</v>
      </c>
      <c r="B9" s="8" t="s">
        <v>20</v>
      </c>
      <c r="C9" s="9" t="s">
        <v>114</v>
      </c>
      <c r="D9" s="1">
        <f>'HR-Details of Schedule'!F54</f>
        <v>45587</v>
      </c>
      <c r="E9" s="1">
        <f>'HR-Details of Schedule'!G54</f>
        <v>45603</v>
      </c>
    </row>
    <row r="10" spans="1:5" ht="30" customHeight="1" x14ac:dyDescent="0.3">
      <c r="A10" s="10">
        <v>7</v>
      </c>
      <c r="B10" s="11" t="s">
        <v>21</v>
      </c>
      <c r="C10" s="9" t="s">
        <v>107</v>
      </c>
      <c r="D10" s="1">
        <f>'HR-Details of Schedule'!F66</f>
        <v>45575</v>
      </c>
      <c r="E10" s="1">
        <f>'HR-Details of Schedule'!G66</f>
        <v>45577</v>
      </c>
    </row>
    <row r="11" spans="1:5" ht="30" customHeight="1" x14ac:dyDescent="0.3">
      <c r="A11" s="55">
        <v>9</v>
      </c>
      <c r="B11" s="56" t="s">
        <v>118</v>
      </c>
      <c r="C11" s="79" t="s">
        <v>119</v>
      </c>
      <c r="D11" s="1">
        <f>'HR-Details of Schedule'!F73</f>
        <v>45604</v>
      </c>
      <c r="E11" s="1">
        <f>'HR-Details of Schedule'!G73</f>
        <v>45618</v>
      </c>
    </row>
    <row r="12" spans="1:5" ht="30" customHeight="1" x14ac:dyDescent="0.3">
      <c r="A12" s="10">
        <v>8</v>
      </c>
      <c r="B12" s="11" t="s">
        <v>22</v>
      </c>
      <c r="C12" s="9" t="s">
        <v>121</v>
      </c>
      <c r="D12" s="1">
        <f>'HR-Details of Schedule'!F75</f>
        <v>45619</v>
      </c>
      <c r="E12" s="1">
        <f>'HR-Details of Schedule'!G75</f>
        <v>45626</v>
      </c>
    </row>
    <row r="13" spans="1:5" ht="42.75" x14ac:dyDescent="0.3">
      <c r="A13" s="42"/>
      <c r="B13" s="42" t="s">
        <v>23</v>
      </c>
      <c r="C13" s="43" t="s">
        <v>115</v>
      </c>
      <c r="D13" s="87">
        <f>'HR-Details of Schedule'!G75</f>
        <v>45626</v>
      </c>
      <c r="E13" s="88"/>
    </row>
    <row r="14" spans="1:5" ht="49.5" x14ac:dyDescent="0.3">
      <c r="A14" s="85" t="s">
        <v>108</v>
      </c>
      <c r="B14" s="86"/>
      <c r="C14" s="8" t="s">
        <v>109</v>
      </c>
      <c r="D14" s="1">
        <f>'HR-Details of Schedule'!F83</f>
        <v>45627</v>
      </c>
      <c r="E14" s="1">
        <f>'HR-Details of Schedule'!G83</f>
        <v>46022</v>
      </c>
    </row>
  </sheetData>
  <mergeCells count="6">
    <mergeCell ref="A2:A3"/>
    <mergeCell ref="B2:B3"/>
    <mergeCell ref="D2:D3"/>
    <mergeCell ref="E2:E3"/>
    <mergeCell ref="A14:B14"/>
    <mergeCell ref="D13:E13"/>
  </mergeCells>
  <printOptions horizontalCentered="1"/>
  <pageMargins left="0.25" right="0.25433526011560692" top="0.5" bottom="0.5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4"/>
  <sheetViews>
    <sheetView tabSelected="1" zoomScale="70" zoomScaleNormal="70" workbookViewId="0">
      <selection activeCell="B6" sqref="B6"/>
    </sheetView>
  </sheetViews>
  <sheetFormatPr defaultColWidth="8.75" defaultRowHeight="16.5" x14ac:dyDescent="0.3"/>
  <cols>
    <col min="1" max="1" width="8.75" style="2"/>
    <col min="2" max="2" width="91.5" style="2" customWidth="1"/>
    <col min="3" max="3" width="17.25" style="2" customWidth="1"/>
    <col min="4" max="4" width="11.875" style="2" hidden="1" customWidth="1"/>
    <col min="5" max="5" width="8.75" style="2"/>
    <col min="6" max="7" width="15.75" style="2" customWidth="1"/>
    <col min="8" max="8" width="6" style="2" customWidth="1"/>
    <col min="9" max="9" width="17.5" style="2" customWidth="1"/>
    <col min="10" max="16384" width="8.75" style="2"/>
  </cols>
  <sheetData>
    <row r="1" spans="1:9" ht="20.25" x14ac:dyDescent="0.3">
      <c r="A1" s="44" t="s">
        <v>111</v>
      </c>
      <c r="B1" s="45"/>
      <c r="C1" s="45"/>
      <c r="D1" s="45"/>
      <c r="E1" s="45"/>
      <c r="F1" s="46"/>
      <c r="G1" s="46"/>
      <c r="H1" s="46"/>
      <c r="I1" s="46"/>
    </row>
    <row r="2" spans="1:9" ht="60" customHeight="1" x14ac:dyDescent="0.3">
      <c r="A2" s="12" t="s">
        <v>24</v>
      </c>
      <c r="B2" s="12" t="s">
        <v>25</v>
      </c>
      <c r="C2" s="13" t="s">
        <v>6</v>
      </c>
      <c r="D2" s="13" t="s">
        <v>7</v>
      </c>
      <c r="E2" s="14" t="s">
        <v>8</v>
      </c>
      <c r="F2" s="15" t="s">
        <v>9</v>
      </c>
      <c r="G2" s="15" t="s">
        <v>10</v>
      </c>
      <c r="H2" s="15" t="s">
        <v>11</v>
      </c>
      <c r="I2" s="15" t="s">
        <v>12</v>
      </c>
    </row>
    <row r="3" spans="1:9" s="21" customFormat="1" ht="21" customHeight="1" x14ac:dyDescent="0.3">
      <c r="A3" s="16" t="s">
        <v>26</v>
      </c>
      <c r="B3" s="17"/>
      <c r="C3" s="18"/>
      <c r="D3" s="18"/>
      <c r="E3" s="19"/>
      <c r="F3" s="47">
        <v>45551</v>
      </c>
      <c r="G3" s="47">
        <v>45551</v>
      </c>
      <c r="H3" s="20">
        <v>0.5</v>
      </c>
      <c r="I3" s="17"/>
    </row>
    <row r="4" spans="1:9" s="21" customFormat="1" ht="21" customHeight="1" x14ac:dyDescent="0.3">
      <c r="A4" s="22">
        <v>1</v>
      </c>
      <c r="B4" s="23" t="s">
        <v>27</v>
      </c>
      <c r="C4" s="54"/>
      <c r="D4" s="25"/>
      <c r="E4" s="26">
        <v>0</v>
      </c>
      <c r="F4" s="27"/>
      <c r="G4" s="27"/>
      <c r="H4" s="24"/>
      <c r="I4" s="23"/>
    </row>
    <row r="5" spans="1:9" s="21" customFormat="1" ht="34.5" x14ac:dyDescent="0.3">
      <c r="A5" s="22">
        <v>2</v>
      </c>
      <c r="B5" s="57" t="s">
        <v>28</v>
      </c>
      <c r="C5" s="60"/>
      <c r="D5" s="58"/>
      <c r="E5" s="26">
        <v>0</v>
      </c>
      <c r="F5" s="29"/>
      <c r="G5" s="29"/>
      <c r="H5" s="22"/>
      <c r="I5" s="28"/>
    </row>
    <row r="6" spans="1:9" s="21" customFormat="1" ht="34.5" x14ac:dyDescent="0.3">
      <c r="A6" s="22">
        <v>3</v>
      </c>
      <c r="B6" s="30" t="s">
        <v>29</v>
      </c>
      <c r="C6" s="59"/>
      <c r="D6" s="25"/>
      <c r="E6" s="26">
        <v>0</v>
      </c>
      <c r="F6" s="27"/>
      <c r="G6" s="27"/>
      <c r="H6" s="31"/>
      <c r="I6" s="30"/>
    </row>
    <row r="7" spans="1:9" s="21" customFormat="1" ht="17.25" x14ac:dyDescent="0.3">
      <c r="A7" s="22">
        <v>4</v>
      </c>
      <c r="B7" s="32" t="s">
        <v>30</v>
      </c>
      <c r="C7" s="33"/>
      <c r="D7" s="25"/>
      <c r="E7" s="26">
        <v>0</v>
      </c>
      <c r="F7" s="29"/>
      <c r="G7" s="29"/>
      <c r="H7" s="33"/>
      <c r="I7" s="32"/>
    </row>
    <row r="8" spans="1:9" s="21" customFormat="1" ht="17.25" x14ac:dyDescent="0.3">
      <c r="A8" s="34" t="s">
        <v>31</v>
      </c>
      <c r="B8" s="35"/>
      <c r="C8" s="18"/>
      <c r="D8" s="18"/>
      <c r="E8" s="26">
        <v>0</v>
      </c>
      <c r="F8" s="47">
        <v>45561</v>
      </c>
      <c r="G8" s="47">
        <v>45561</v>
      </c>
      <c r="H8" s="20">
        <v>1</v>
      </c>
      <c r="I8" s="35"/>
    </row>
    <row r="9" spans="1:9" s="21" customFormat="1" ht="20.45" customHeight="1" x14ac:dyDescent="0.3">
      <c r="A9" s="22">
        <v>1</v>
      </c>
      <c r="B9" s="28" t="s">
        <v>32</v>
      </c>
      <c r="C9" s="24" t="s">
        <v>112</v>
      </c>
      <c r="D9" s="25"/>
      <c r="E9" s="26">
        <v>0</v>
      </c>
      <c r="F9" s="36"/>
      <c r="G9" s="36"/>
      <c r="H9" s="22"/>
      <c r="I9" s="28"/>
    </row>
    <row r="10" spans="1:9" s="21" customFormat="1" ht="20.45" customHeight="1" x14ac:dyDescent="0.3">
      <c r="A10" s="22">
        <v>2</v>
      </c>
      <c r="B10" s="30" t="s">
        <v>33</v>
      </c>
      <c r="C10" s="24" t="s">
        <v>112</v>
      </c>
      <c r="D10" s="25"/>
      <c r="E10" s="26">
        <v>0</v>
      </c>
      <c r="F10" s="37"/>
      <c r="G10" s="37"/>
      <c r="H10" s="31"/>
      <c r="I10" s="30"/>
    </row>
    <row r="11" spans="1:9" s="21" customFormat="1" ht="17.25" x14ac:dyDescent="0.3">
      <c r="A11" s="34" t="s">
        <v>34</v>
      </c>
      <c r="B11" s="35"/>
      <c r="C11" s="18"/>
      <c r="D11" s="18"/>
      <c r="E11" s="26">
        <v>0</v>
      </c>
      <c r="F11" s="47">
        <v>45562</v>
      </c>
      <c r="G11" s="47">
        <v>45562</v>
      </c>
      <c r="H11" s="20">
        <v>1</v>
      </c>
      <c r="I11" s="35"/>
    </row>
    <row r="12" spans="1:9" s="21" customFormat="1" ht="19.149999999999999" customHeight="1" x14ac:dyDescent="0.3">
      <c r="A12" s="22">
        <v>1</v>
      </c>
      <c r="B12" s="32" t="s">
        <v>35</v>
      </c>
      <c r="C12" s="24" t="s">
        <v>112</v>
      </c>
      <c r="D12" s="25"/>
      <c r="E12" s="26">
        <v>0</v>
      </c>
      <c r="F12" s="36"/>
      <c r="G12" s="36"/>
      <c r="H12" s="33"/>
      <c r="I12" s="32"/>
    </row>
    <row r="13" spans="1:9" s="21" customFormat="1" ht="19.149999999999999" customHeight="1" x14ac:dyDescent="0.3">
      <c r="A13" s="22">
        <v>2</v>
      </c>
      <c r="B13" s="23" t="s">
        <v>36</v>
      </c>
      <c r="C13" s="24" t="s">
        <v>112</v>
      </c>
      <c r="D13" s="25"/>
      <c r="E13" s="26">
        <v>0</v>
      </c>
      <c r="F13" s="37"/>
      <c r="G13" s="37"/>
      <c r="H13" s="24"/>
      <c r="I13" s="23"/>
    </row>
    <row r="14" spans="1:9" s="21" customFormat="1" ht="19.149999999999999" customHeight="1" x14ac:dyDescent="0.3">
      <c r="A14" s="22">
        <v>3</v>
      </c>
      <c r="B14" s="32" t="s">
        <v>37</v>
      </c>
      <c r="C14" s="24" t="s">
        <v>112</v>
      </c>
      <c r="D14" s="25"/>
      <c r="E14" s="26">
        <v>0</v>
      </c>
      <c r="F14" s="36"/>
      <c r="G14" s="36"/>
      <c r="H14" s="33"/>
      <c r="I14" s="32"/>
    </row>
    <row r="15" spans="1:9" s="21" customFormat="1" ht="19.149999999999999" customHeight="1" x14ac:dyDescent="0.3">
      <c r="A15" s="22">
        <v>4</v>
      </c>
      <c r="B15" s="23" t="s">
        <v>38</v>
      </c>
      <c r="C15" s="24" t="s">
        <v>112</v>
      </c>
      <c r="D15" s="25"/>
      <c r="E15" s="26">
        <v>0</v>
      </c>
      <c r="F15" s="37"/>
      <c r="G15" s="37"/>
      <c r="H15" s="24"/>
      <c r="I15" s="23"/>
    </row>
    <row r="16" spans="1:9" s="21" customFormat="1" ht="19.149999999999999" customHeight="1" x14ac:dyDescent="0.3">
      <c r="A16" s="22">
        <v>5</v>
      </c>
      <c r="B16" s="32" t="s">
        <v>39</v>
      </c>
      <c r="C16" s="24" t="s">
        <v>112</v>
      </c>
      <c r="D16" s="25"/>
      <c r="E16" s="26">
        <v>0</v>
      </c>
      <c r="F16" s="36"/>
      <c r="G16" s="36"/>
      <c r="H16" s="33"/>
      <c r="I16" s="32"/>
    </row>
    <row r="17" spans="1:9" s="21" customFormat="1" ht="19.149999999999999" customHeight="1" x14ac:dyDescent="0.3">
      <c r="A17" s="22">
        <v>6</v>
      </c>
      <c r="B17" s="23" t="s">
        <v>40</v>
      </c>
      <c r="C17" s="24" t="s">
        <v>112</v>
      </c>
      <c r="D17" s="25"/>
      <c r="E17" s="26">
        <v>0</v>
      </c>
      <c r="F17" s="37"/>
      <c r="G17" s="37"/>
      <c r="H17" s="24"/>
      <c r="I17" s="23"/>
    </row>
    <row r="18" spans="1:9" s="21" customFormat="1" ht="19.149999999999999" customHeight="1" x14ac:dyDescent="0.3">
      <c r="A18" s="22">
        <v>7</v>
      </c>
      <c r="B18" s="28" t="s">
        <v>41</v>
      </c>
      <c r="C18" s="24" t="s">
        <v>112</v>
      </c>
      <c r="D18" s="25"/>
      <c r="E18" s="26">
        <v>0</v>
      </c>
      <c r="F18" s="36"/>
      <c r="G18" s="36"/>
      <c r="H18" s="22"/>
      <c r="I18" s="28"/>
    </row>
    <row r="19" spans="1:9" s="21" customFormat="1" ht="19.149999999999999" customHeight="1" x14ac:dyDescent="0.3">
      <c r="A19" s="22">
        <v>8</v>
      </c>
      <c r="B19" s="23" t="s">
        <v>42</v>
      </c>
      <c r="C19" s="24" t="s">
        <v>112</v>
      </c>
      <c r="D19" s="25"/>
      <c r="E19" s="26">
        <v>0</v>
      </c>
      <c r="F19" s="37"/>
      <c r="G19" s="37"/>
      <c r="H19" s="24"/>
      <c r="I19" s="23"/>
    </row>
    <row r="20" spans="1:9" s="21" customFormat="1" ht="19.149999999999999" customHeight="1" x14ac:dyDescent="0.3">
      <c r="A20" s="22">
        <v>9</v>
      </c>
      <c r="B20" s="32" t="s">
        <v>43</v>
      </c>
      <c r="C20" s="24" t="s">
        <v>112</v>
      </c>
      <c r="D20" s="25"/>
      <c r="E20" s="26">
        <v>0</v>
      </c>
      <c r="F20" s="36"/>
      <c r="G20" s="36"/>
      <c r="H20" s="33"/>
      <c r="I20" s="32"/>
    </row>
    <row r="21" spans="1:9" s="21" customFormat="1" ht="19.149999999999999" customHeight="1" x14ac:dyDescent="0.3">
      <c r="A21" s="22">
        <v>10</v>
      </c>
      <c r="B21" s="23" t="s">
        <v>44</v>
      </c>
      <c r="C21" s="24" t="s">
        <v>112</v>
      </c>
      <c r="D21" s="25"/>
      <c r="E21" s="26">
        <v>0</v>
      </c>
      <c r="F21" s="37"/>
      <c r="G21" s="37"/>
      <c r="H21" s="24"/>
      <c r="I21" s="23"/>
    </row>
    <row r="22" spans="1:9" s="21" customFormat="1" ht="19.149999999999999" customHeight="1" x14ac:dyDescent="0.3">
      <c r="A22" s="22">
        <v>11</v>
      </c>
      <c r="B22" s="28" t="s">
        <v>45</v>
      </c>
      <c r="C22" s="24" t="s">
        <v>112</v>
      </c>
      <c r="D22" s="25"/>
      <c r="E22" s="26">
        <v>0</v>
      </c>
      <c r="F22" s="36"/>
      <c r="G22" s="36"/>
      <c r="H22" s="22"/>
      <c r="I22" s="28"/>
    </row>
    <row r="23" spans="1:9" s="21" customFormat="1" ht="19.149999999999999" customHeight="1" x14ac:dyDescent="0.3">
      <c r="A23" s="22">
        <v>12</v>
      </c>
      <c r="B23" s="23" t="s">
        <v>46</v>
      </c>
      <c r="C23" s="24" t="s">
        <v>112</v>
      </c>
      <c r="D23" s="25"/>
      <c r="E23" s="26">
        <v>0</v>
      </c>
      <c r="F23" s="37"/>
      <c r="G23" s="37"/>
      <c r="H23" s="24"/>
      <c r="I23" s="23"/>
    </row>
    <row r="24" spans="1:9" s="21" customFormat="1" ht="19.149999999999999" customHeight="1" x14ac:dyDescent="0.3">
      <c r="A24" s="22">
        <v>13</v>
      </c>
      <c r="B24" s="28" t="s">
        <v>47</v>
      </c>
      <c r="C24" s="24" t="s">
        <v>112</v>
      </c>
      <c r="D24" s="25"/>
      <c r="E24" s="26">
        <v>0</v>
      </c>
      <c r="F24" s="36"/>
      <c r="G24" s="36"/>
      <c r="H24" s="22"/>
      <c r="I24" s="28"/>
    </row>
    <row r="25" spans="1:9" s="21" customFormat="1" ht="19.149999999999999" customHeight="1" x14ac:dyDescent="0.3">
      <c r="A25" s="22">
        <v>14</v>
      </c>
      <c r="B25" s="23" t="s">
        <v>48</v>
      </c>
      <c r="C25" s="24" t="s">
        <v>112</v>
      </c>
      <c r="D25" s="25"/>
      <c r="E25" s="26">
        <v>0</v>
      </c>
      <c r="F25" s="37"/>
      <c r="G25" s="37"/>
      <c r="H25" s="24"/>
      <c r="I25" s="23"/>
    </row>
    <row r="26" spans="1:9" s="21" customFormat="1" ht="19.149999999999999" customHeight="1" x14ac:dyDescent="0.3">
      <c r="A26" s="22">
        <v>15</v>
      </c>
      <c r="B26" s="32" t="s">
        <v>49</v>
      </c>
      <c r="C26" s="24" t="s">
        <v>112</v>
      </c>
      <c r="D26" s="25"/>
      <c r="E26" s="26">
        <v>0</v>
      </c>
      <c r="F26" s="36"/>
      <c r="G26" s="36"/>
      <c r="H26" s="33"/>
      <c r="I26" s="32"/>
    </row>
    <row r="27" spans="1:9" s="21" customFormat="1" ht="19.149999999999999" customHeight="1" x14ac:dyDescent="0.3">
      <c r="A27" s="22">
        <v>16</v>
      </c>
      <c r="B27" s="23" t="s">
        <v>50</v>
      </c>
      <c r="C27" s="24" t="s">
        <v>112</v>
      </c>
      <c r="D27" s="25"/>
      <c r="E27" s="26">
        <v>0</v>
      </c>
      <c r="F27" s="36"/>
      <c r="G27" s="37"/>
      <c r="H27" s="24"/>
      <c r="I27" s="23"/>
    </row>
    <row r="28" spans="1:9" s="21" customFormat="1" ht="17.25" x14ac:dyDescent="0.3">
      <c r="A28" s="34" t="s">
        <v>51</v>
      </c>
      <c r="B28" s="35"/>
      <c r="C28" s="18"/>
      <c r="D28" s="18"/>
      <c r="E28" s="26">
        <v>0</v>
      </c>
      <c r="F28" s="47">
        <v>45565</v>
      </c>
      <c r="G28" s="47">
        <v>45569</v>
      </c>
      <c r="H28" s="20">
        <v>5</v>
      </c>
      <c r="I28" s="35"/>
    </row>
    <row r="29" spans="1:9" s="21" customFormat="1" ht="18" customHeight="1" x14ac:dyDescent="0.3">
      <c r="A29" s="22">
        <v>1</v>
      </c>
      <c r="B29" s="28" t="s">
        <v>52</v>
      </c>
      <c r="C29" s="24" t="s">
        <v>112</v>
      </c>
      <c r="D29" s="25"/>
      <c r="E29" s="26">
        <v>0</v>
      </c>
      <c r="F29" s="36"/>
      <c r="G29" s="37"/>
      <c r="H29" s="22"/>
      <c r="I29" s="28"/>
    </row>
    <row r="30" spans="1:9" s="21" customFormat="1" ht="18" customHeight="1" x14ac:dyDescent="0.3">
      <c r="A30" s="22">
        <v>2</v>
      </c>
      <c r="B30" s="30" t="s">
        <v>53</v>
      </c>
      <c r="C30" s="24" t="s">
        <v>112</v>
      </c>
      <c r="D30" s="25"/>
      <c r="E30" s="26">
        <v>0</v>
      </c>
      <c r="F30" s="37"/>
      <c r="G30" s="37"/>
      <c r="H30" s="31"/>
      <c r="I30" s="30"/>
    </row>
    <row r="31" spans="1:9" s="21" customFormat="1" ht="18" customHeight="1" x14ac:dyDescent="0.3">
      <c r="A31" s="22">
        <v>3</v>
      </c>
      <c r="B31" s="28" t="s">
        <v>54</v>
      </c>
      <c r="C31" s="24" t="s">
        <v>112</v>
      </c>
      <c r="D31" s="25"/>
      <c r="E31" s="26">
        <v>0</v>
      </c>
      <c r="F31" s="36"/>
      <c r="G31" s="37"/>
      <c r="H31" s="22"/>
      <c r="I31" s="28"/>
    </row>
    <row r="32" spans="1:9" s="21" customFormat="1" ht="17.25" x14ac:dyDescent="0.3">
      <c r="A32" s="34" t="s">
        <v>55</v>
      </c>
      <c r="B32" s="35"/>
      <c r="C32" s="18"/>
      <c r="D32" s="18"/>
      <c r="E32" s="26">
        <v>0</v>
      </c>
      <c r="F32" s="47">
        <v>45569</v>
      </c>
      <c r="G32" s="47">
        <v>45586</v>
      </c>
      <c r="H32" s="20">
        <v>20</v>
      </c>
      <c r="I32" s="35"/>
    </row>
    <row r="33" spans="1:9" s="21" customFormat="1" ht="21" customHeight="1" x14ac:dyDescent="0.3">
      <c r="A33" s="22">
        <v>1</v>
      </c>
      <c r="B33" s="32" t="s">
        <v>56</v>
      </c>
      <c r="C33" s="24" t="s">
        <v>112</v>
      </c>
      <c r="D33" s="25"/>
      <c r="E33" s="26">
        <v>0</v>
      </c>
      <c r="F33" s="36"/>
      <c r="G33" s="37"/>
      <c r="H33" s="33"/>
      <c r="I33" s="32"/>
    </row>
    <row r="34" spans="1:9" s="21" customFormat="1" ht="21" customHeight="1" x14ac:dyDescent="0.3">
      <c r="A34" s="22">
        <v>2</v>
      </c>
      <c r="B34" s="23" t="s">
        <v>57</v>
      </c>
      <c r="C34" s="24" t="s">
        <v>112</v>
      </c>
      <c r="D34" s="25"/>
      <c r="E34" s="26">
        <v>0</v>
      </c>
      <c r="F34" s="37"/>
      <c r="G34" s="37"/>
      <c r="H34" s="24"/>
      <c r="I34" s="23"/>
    </row>
    <row r="35" spans="1:9" s="21" customFormat="1" ht="21" customHeight="1" x14ac:dyDescent="0.3">
      <c r="A35" s="22">
        <v>3</v>
      </c>
      <c r="B35" s="32" t="s">
        <v>58</v>
      </c>
      <c r="C35" s="24" t="s">
        <v>112</v>
      </c>
      <c r="D35" s="25"/>
      <c r="E35" s="26">
        <v>0</v>
      </c>
      <c r="F35" s="36"/>
      <c r="G35" s="37"/>
      <c r="H35" s="33"/>
      <c r="I35" s="32"/>
    </row>
    <row r="36" spans="1:9" s="21" customFormat="1" ht="21" customHeight="1" x14ac:dyDescent="0.3">
      <c r="A36" s="22">
        <v>4</v>
      </c>
      <c r="B36" s="23" t="s">
        <v>59</v>
      </c>
      <c r="C36" s="24" t="s">
        <v>112</v>
      </c>
      <c r="D36" s="25"/>
      <c r="E36" s="26">
        <v>0</v>
      </c>
      <c r="F36" s="37"/>
      <c r="G36" s="37"/>
      <c r="H36" s="24"/>
      <c r="I36" s="23"/>
    </row>
    <row r="37" spans="1:9" s="21" customFormat="1" ht="21" customHeight="1" x14ac:dyDescent="0.3">
      <c r="A37" s="22">
        <v>5</v>
      </c>
      <c r="B37" s="32" t="s">
        <v>60</v>
      </c>
      <c r="C37" s="24" t="s">
        <v>112</v>
      </c>
      <c r="D37" s="25"/>
      <c r="E37" s="26">
        <v>0</v>
      </c>
      <c r="F37" s="36"/>
      <c r="G37" s="37"/>
      <c r="H37" s="33"/>
      <c r="I37" s="32"/>
    </row>
    <row r="38" spans="1:9" s="21" customFormat="1" ht="21" customHeight="1" x14ac:dyDescent="0.3">
      <c r="A38" s="22">
        <v>6</v>
      </c>
      <c r="B38" s="23" t="s">
        <v>61</v>
      </c>
      <c r="C38" s="24" t="s">
        <v>112</v>
      </c>
      <c r="D38" s="25"/>
      <c r="E38" s="26">
        <v>0</v>
      </c>
      <c r="F38" s="37"/>
      <c r="G38" s="37"/>
      <c r="H38" s="24"/>
      <c r="I38" s="23"/>
    </row>
    <row r="39" spans="1:9" s="21" customFormat="1" ht="21" customHeight="1" x14ac:dyDescent="0.3">
      <c r="A39" s="22">
        <v>7</v>
      </c>
      <c r="B39" s="32" t="s">
        <v>62</v>
      </c>
      <c r="C39" s="24" t="s">
        <v>112</v>
      </c>
      <c r="D39" s="25"/>
      <c r="E39" s="26">
        <v>0</v>
      </c>
      <c r="F39" s="36"/>
      <c r="G39" s="37"/>
      <c r="H39" s="33"/>
      <c r="I39" s="32"/>
    </row>
    <row r="40" spans="1:9" s="21" customFormat="1" ht="21" customHeight="1" x14ac:dyDescent="0.3">
      <c r="A40" s="22">
        <v>8</v>
      </c>
      <c r="B40" s="23" t="s">
        <v>63</v>
      </c>
      <c r="C40" s="24" t="s">
        <v>112</v>
      </c>
      <c r="D40" s="25"/>
      <c r="E40" s="26">
        <v>0</v>
      </c>
      <c r="F40" s="37"/>
      <c r="G40" s="37"/>
      <c r="H40" s="24"/>
      <c r="I40" s="23"/>
    </row>
    <row r="41" spans="1:9" s="21" customFormat="1" ht="21" customHeight="1" x14ac:dyDescent="0.3">
      <c r="A41" s="22">
        <v>9</v>
      </c>
      <c r="B41" s="32" t="s">
        <v>64</v>
      </c>
      <c r="C41" s="24" t="s">
        <v>112</v>
      </c>
      <c r="D41" s="25"/>
      <c r="E41" s="26">
        <v>0</v>
      </c>
      <c r="F41" s="36"/>
      <c r="G41" s="37"/>
      <c r="H41" s="33"/>
      <c r="I41" s="32"/>
    </row>
    <row r="42" spans="1:9" s="21" customFormat="1" ht="21" customHeight="1" x14ac:dyDescent="0.3">
      <c r="A42" s="22">
        <v>10</v>
      </c>
      <c r="B42" s="23" t="s">
        <v>65</v>
      </c>
      <c r="C42" s="24" t="s">
        <v>112</v>
      </c>
      <c r="D42" s="25"/>
      <c r="E42" s="26">
        <v>0</v>
      </c>
      <c r="F42" s="37"/>
      <c r="G42" s="37"/>
      <c r="H42" s="24"/>
      <c r="I42" s="23"/>
    </row>
    <row r="43" spans="1:9" s="21" customFormat="1" ht="21" customHeight="1" x14ac:dyDescent="0.3">
      <c r="A43" s="22">
        <v>11</v>
      </c>
      <c r="B43" s="32" t="s">
        <v>66</v>
      </c>
      <c r="C43" s="24" t="s">
        <v>112</v>
      </c>
      <c r="D43" s="25"/>
      <c r="E43" s="26">
        <v>0</v>
      </c>
      <c r="F43" s="36"/>
      <c r="G43" s="37"/>
      <c r="H43" s="33"/>
      <c r="I43" s="32"/>
    </row>
    <row r="44" spans="1:9" s="21" customFormat="1" ht="21" customHeight="1" x14ac:dyDescent="0.3">
      <c r="A44" s="22">
        <v>12</v>
      </c>
      <c r="B44" s="23" t="s">
        <v>67</v>
      </c>
      <c r="C44" s="24" t="s">
        <v>112</v>
      </c>
      <c r="D44" s="25"/>
      <c r="E44" s="26">
        <v>0</v>
      </c>
      <c r="F44" s="37"/>
      <c r="G44" s="37"/>
      <c r="H44" s="24"/>
      <c r="I44" s="23"/>
    </row>
    <row r="45" spans="1:9" s="21" customFormat="1" ht="21" customHeight="1" x14ac:dyDescent="0.3">
      <c r="A45" s="22">
        <v>13</v>
      </c>
      <c r="B45" s="32" t="s">
        <v>68</v>
      </c>
      <c r="C45" s="24" t="s">
        <v>112</v>
      </c>
      <c r="D45" s="25"/>
      <c r="E45" s="26">
        <v>0</v>
      </c>
      <c r="F45" s="37"/>
      <c r="G45" s="37"/>
      <c r="H45" s="33"/>
      <c r="I45" s="32"/>
    </row>
    <row r="46" spans="1:9" s="21" customFormat="1" ht="21" customHeight="1" x14ac:dyDescent="0.3">
      <c r="A46" s="22">
        <v>14</v>
      </c>
      <c r="B46" s="30" t="s">
        <v>69</v>
      </c>
      <c r="C46" s="24" t="s">
        <v>112</v>
      </c>
      <c r="D46" s="25"/>
      <c r="E46" s="26">
        <v>0</v>
      </c>
      <c r="F46" s="37"/>
      <c r="G46" s="37"/>
      <c r="H46" s="31"/>
      <c r="I46" s="30"/>
    </row>
    <row r="47" spans="1:9" s="21" customFormat="1" ht="21" customHeight="1" x14ac:dyDescent="0.3">
      <c r="A47" s="22">
        <v>15</v>
      </c>
      <c r="B47" s="28" t="s">
        <v>70</v>
      </c>
      <c r="C47" s="24" t="s">
        <v>112</v>
      </c>
      <c r="D47" s="25"/>
      <c r="E47" s="26">
        <v>0</v>
      </c>
      <c r="F47" s="37"/>
      <c r="G47" s="37"/>
      <c r="H47" s="22"/>
      <c r="I47" s="28"/>
    </row>
    <row r="48" spans="1:9" s="21" customFormat="1" ht="21" customHeight="1" x14ac:dyDescent="0.3">
      <c r="A48" s="22">
        <v>16</v>
      </c>
      <c r="B48" s="30" t="s">
        <v>71</v>
      </c>
      <c r="C48" s="24" t="s">
        <v>112</v>
      </c>
      <c r="D48" s="25"/>
      <c r="E48" s="26">
        <v>0</v>
      </c>
      <c r="F48" s="37"/>
      <c r="G48" s="37"/>
      <c r="H48" s="31"/>
      <c r="I48" s="30"/>
    </row>
    <row r="49" spans="1:9" s="21" customFormat="1" ht="21" customHeight="1" x14ac:dyDescent="0.3">
      <c r="A49" s="22">
        <v>17</v>
      </c>
      <c r="B49" s="32" t="s">
        <v>72</v>
      </c>
      <c r="C49" s="24" t="s">
        <v>112</v>
      </c>
      <c r="D49" s="25"/>
      <c r="E49" s="26">
        <v>0</v>
      </c>
      <c r="F49" s="37"/>
      <c r="G49" s="37"/>
      <c r="H49" s="33"/>
      <c r="I49" s="32"/>
    </row>
    <row r="50" spans="1:9" s="21" customFormat="1" ht="21" customHeight="1" x14ac:dyDescent="0.3">
      <c r="A50" s="22">
        <v>18</v>
      </c>
      <c r="B50" s="23" t="s">
        <v>73</v>
      </c>
      <c r="C50" s="24" t="s">
        <v>112</v>
      </c>
      <c r="D50" s="25"/>
      <c r="E50" s="26">
        <v>0</v>
      </c>
      <c r="F50" s="37"/>
      <c r="G50" s="37"/>
      <c r="H50" s="24"/>
      <c r="I50" s="23"/>
    </row>
    <row r="51" spans="1:9" s="21" customFormat="1" ht="34.5" x14ac:dyDescent="0.3">
      <c r="A51" s="22">
        <v>19</v>
      </c>
      <c r="B51" s="28" t="s">
        <v>74</v>
      </c>
      <c r="C51" s="24" t="s">
        <v>112</v>
      </c>
      <c r="D51" s="25"/>
      <c r="E51" s="26">
        <v>0</v>
      </c>
      <c r="F51" s="36"/>
      <c r="G51" s="37"/>
      <c r="H51" s="22"/>
      <c r="I51" s="28"/>
    </row>
    <row r="52" spans="1:9" s="21" customFormat="1" ht="34.5" x14ac:dyDescent="0.3">
      <c r="A52" s="22">
        <v>20</v>
      </c>
      <c r="B52" s="30" t="s">
        <v>75</v>
      </c>
      <c r="C52" s="24" t="s">
        <v>112</v>
      </c>
      <c r="D52" s="25"/>
      <c r="E52" s="26">
        <v>0</v>
      </c>
      <c r="F52" s="37"/>
      <c r="G52" s="37"/>
      <c r="H52" s="31"/>
      <c r="I52" s="30"/>
    </row>
    <row r="53" spans="1:9" s="21" customFormat="1" ht="21" customHeight="1" x14ac:dyDescent="0.3">
      <c r="A53" s="22">
        <v>21</v>
      </c>
      <c r="B53" s="32" t="s">
        <v>76</v>
      </c>
      <c r="C53" s="24" t="s">
        <v>112</v>
      </c>
      <c r="D53" s="25"/>
      <c r="E53" s="26">
        <v>0</v>
      </c>
      <c r="F53" s="36"/>
      <c r="G53" s="37"/>
      <c r="H53" s="33"/>
      <c r="I53" s="32"/>
    </row>
    <row r="54" spans="1:9" s="21" customFormat="1" ht="17.25" x14ac:dyDescent="0.3">
      <c r="A54" s="34" t="s">
        <v>77</v>
      </c>
      <c r="B54" s="35"/>
      <c r="C54" s="18"/>
      <c r="D54" s="18"/>
      <c r="E54" s="26">
        <v>0</v>
      </c>
      <c r="F54" s="47">
        <v>45587</v>
      </c>
      <c r="G54" s="47">
        <v>45603</v>
      </c>
      <c r="H54" s="20">
        <v>19</v>
      </c>
      <c r="I54" s="35"/>
    </row>
    <row r="55" spans="1:9" s="21" customFormat="1" ht="19.149999999999999" customHeight="1" x14ac:dyDescent="0.3">
      <c r="A55" s="22">
        <v>1</v>
      </c>
      <c r="B55" s="28" t="s">
        <v>78</v>
      </c>
      <c r="C55" s="24" t="s">
        <v>112</v>
      </c>
      <c r="D55" s="25"/>
      <c r="E55" s="26">
        <v>0</v>
      </c>
      <c r="F55" s="36"/>
      <c r="G55" s="37"/>
      <c r="H55" s="22"/>
      <c r="I55" s="28"/>
    </row>
    <row r="56" spans="1:9" s="21" customFormat="1" ht="19.149999999999999" customHeight="1" x14ac:dyDescent="0.3">
      <c r="A56" s="22">
        <v>2</v>
      </c>
      <c r="B56" s="23" t="s">
        <v>79</v>
      </c>
      <c r="C56" s="24" t="s">
        <v>112</v>
      </c>
      <c r="D56" s="25"/>
      <c r="E56" s="26">
        <v>0</v>
      </c>
      <c r="F56" s="37"/>
      <c r="G56" s="37"/>
      <c r="H56" s="24"/>
      <c r="I56" s="23"/>
    </row>
    <row r="57" spans="1:9" s="21" customFormat="1" ht="19.149999999999999" customHeight="1" x14ac:dyDescent="0.3">
      <c r="A57" s="22">
        <v>3</v>
      </c>
      <c r="B57" s="28" t="s">
        <v>80</v>
      </c>
      <c r="C57" s="24" t="s">
        <v>112</v>
      </c>
      <c r="D57" s="25"/>
      <c r="E57" s="26">
        <v>0</v>
      </c>
      <c r="F57" s="36"/>
      <c r="G57" s="37"/>
      <c r="H57" s="22"/>
      <c r="I57" s="28"/>
    </row>
    <row r="58" spans="1:9" s="21" customFormat="1" ht="19.149999999999999" customHeight="1" x14ac:dyDescent="0.3">
      <c r="A58" s="22">
        <v>4</v>
      </c>
      <c r="B58" s="23" t="s">
        <v>81</v>
      </c>
      <c r="C58" s="24" t="s">
        <v>112</v>
      </c>
      <c r="D58" s="25"/>
      <c r="E58" s="26">
        <v>0</v>
      </c>
      <c r="F58" s="37"/>
      <c r="G58" s="37"/>
      <c r="H58" s="24"/>
      <c r="I58" s="23"/>
    </row>
    <row r="59" spans="1:9" s="21" customFormat="1" ht="19.149999999999999" customHeight="1" x14ac:dyDescent="0.3">
      <c r="A59" s="22">
        <v>5</v>
      </c>
      <c r="B59" s="28" t="s">
        <v>82</v>
      </c>
      <c r="C59" s="24" t="s">
        <v>112</v>
      </c>
      <c r="D59" s="25"/>
      <c r="E59" s="26">
        <v>0</v>
      </c>
      <c r="F59" s="36"/>
      <c r="G59" s="37"/>
      <c r="H59" s="22"/>
      <c r="I59" s="28"/>
    </row>
    <row r="60" spans="1:9" s="21" customFormat="1" ht="19.149999999999999" customHeight="1" x14ac:dyDescent="0.3">
      <c r="A60" s="22">
        <v>6</v>
      </c>
      <c r="B60" s="30" t="s">
        <v>83</v>
      </c>
      <c r="C60" s="24" t="s">
        <v>112</v>
      </c>
      <c r="D60" s="25"/>
      <c r="E60" s="26">
        <v>0</v>
      </c>
      <c r="F60" s="37"/>
      <c r="G60" s="37"/>
      <c r="H60" s="31"/>
      <c r="I60" s="30"/>
    </row>
    <row r="61" spans="1:9" s="21" customFormat="1" ht="19.149999999999999" customHeight="1" x14ac:dyDescent="0.3">
      <c r="A61" s="22">
        <v>7</v>
      </c>
      <c r="B61" s="28" t="s">
        <v>84</v>
      </c>
      <c r="C61" s="24" t="s">
        <v>112</v>
      </c>
      <c r="D61" s="25"/>
      <c r="E61" s="26">
        <v>0</v>
      </c>
      <c r="F61" s="36"/>
      <c r="G61" s="37"/>
      <c r="H61" s="22"/>
      <c r="I61" s="28"/>
    </row>
    <row r="62" spans="1:9" s="21" customFormat="1" ht="19.149999999999999" customHeight="1" x14ac:dyDescent="0.3">
      <c r="A62" s="22">
        <v>8</v>
      </c>
      <c r="B62" s="30" t="s">
        <v>85</v>
      </c>
      <c r="C62" s="24" t="s">
        <v>112</v>
      </c>
      <c r="D62" s="25"/>
      <c r="E62" s="26">
        <v>0</v>
      </c>
      <c r="F62" s="37"/>
      <c r="G62" s="37"/>
      <c r="H62" s="31"/>
      <c r="I62" s="30"/>
    </row>
    <row r="63" spans="1:9" s="21" customFormat="1" ht="34.5" x14ac:dyDescent="0.3">
      <c r="A63" s="22">
        <v>9</v>
      </c>
      <c r="B63" s="28" t="s">
        <v>74</v>
      </c>
      <c r="C63" s="24" t="s">
        <v>112</v>
      </c>
      <c r="D63" s="25"/>
      <c r="E63" s="26">
        <v>0</v>
      </c>
      <c r="F63" s="36"/>
      <c r="G63" s="37"/>
      <c r="H63" s="22"/>
      <c r="I63" s="28"/>
    </row>
    <row r="64" spans="1:9" s="21" customFormat="1" ht="34.5" x14ac:dyDescent="0.3">
      <c r="A64" s="22">
        <v>10</v>
      </c>
      <c r="B64" s="30" t="s">
        <v>86</v>
      </c>
      <c r="C64" s="24" t="s">
        <v>112</v>
      </c>
      <c r="D64" s="25"/>
      <c r="E64" s="26">
        <v>0</v>
      </c>
      <c r="F64" s="37"/>
      <c r="G64" s="37"/>
      <c r="H64" s="31"/>
      <c r="I64" s="30"/>
    </row>
    <row r="65" spans="1:9" s="21" customFormat="1" ht="17.25" x14ac:dyDescent="0.3">
      <c r="A65" s="22">
        <v>11</v>
      </c>
      <c r="B65" s="28" t="s">
        <v>87</v>
      </c>
      <c r="C65" s="24" t="s">
        <v>112</v>
      </c>
      <c r="D65" s="25"/>
      <c r="E65" s="26">
        <v>0</v>
      </c>
      <c r="F65" s="36"/>
      <c r="G65" s="37"/>
      <c r="H65" s="22"/>
      <c r="I65" s="28"/>
    </row>
    <row r="66" spans="1:9" s="21" customFormat="1" ht="17.25" hidden="1" x14ac:dyDescent="0.3">
      <c r="A66" s="34" t="s">
        <v>88</v>
      </c>
      <c r="B66" s="35"/>
      <c r="C66" s="18"/>
      <c r="D66" s="18"/>
      <c r="E66" s="26">
        <v>0</v>
      </c>
      <c r="F66" s="47">
        <v>45575</v>
      </c>
      <c r="G66" s="47">
        <v>45577</v>
      </c>
      <c r="H66" s="20">
        <v>2</v>
      </c>
      <c r="I66" s="35"/>
    </row>
    <row r="67" spans="1:9" s="21" customFormat="1" ht="20.45" hidden="1" customHeight="1" x14ac:dyDescent="0.3">
      <c r="A67" s="22">
        <v>1</v>
      </c>
      <c r="B67" s="32" t="s">
        <v>89</v>
      </c>
      <c r="C67" s="33"/>
      <c r="D67" s="25"/>
      <c r="E67" s="26">
        <v>0</v>
      </c>
      <c r="F67" s="36"/>
      <c r="G67" s="37"/>
      <c r="H67" s="33"/>
      <c r="I67" s="32"/>
    </row>
    <row r="68" spans="1:9" s="21" customFormat="1" ht="20.45" hidden="1" customHeight="1" x14ac:dyDescent="0.3">
      <c r="A68" s="22">
        <v>2</v>
      </c>
      <c r="B68" s="30" t="s">
        <v>90</v>
      </c>
      <c r="C68" s="31"/>
      <c r="D68" s="25"/>
      <c r="E68" s="26">
        <v>0</v>
      </c>
      <c r="F68" s="37"/>
      <c r="G68" s="37"/>
      <c r="H68" s="31"/>
      <c r="I68" s="30"/>
    </row>
    <row r="69" spans="1:9" s="21" customFormat="1" ht="20.45" hidden="1" customHeight="1" x14ac:dyDescent="0.3">
      <c r="A69" s="22">
        <v>3</v>
      </c>
      <c r="B69" s="32" t="s">
        <v>91</v>
      </c>
      <c r="C69" s="33"/>
      <c r="D69" s="25"/>
      <c r="E69" s="26">
        <v>0</v>
      </c>
      <c r="F69" s="36"/>
      <c r="G69" s="37"/>
      <c r="H69" s="33"/>
      <c r="I69" s="32"/>
    </row>
    <row r="70" spans="1:9" s="21" customFormat="1" ht="20.45" hidden="1" customHeight="1" x14ac:dyDescent="0.3">
      <c r="A70" s="22">
        <v>4</v>
      </c>
      <c r="B70" s="23" t="s">
        <v>92</v>
      </c>
      <c r="C70" s="24"/>
      <c r="D70" s="25"/>
      <c r="E70" s="26">
        <v>0</v>
      </c>
      <c r="F70" s="37"/>
      <c r="G70" s="37"/>
      <c r="H70" s="24"/>
      <c r="I70" s="23"/>
    </row>
    <row r="71" spans="1:9" s="21" customFormat="1" ht="20.45" hidden="1" customHeight="1" x14ac:dyDescent="0.3">
      <c r="A71" s="22">
        <v>5</v>
      </c>
      <c r="B71" s="32" t="s">
        <v>93</v>
      </c>
      <c r="C71" s="33"/>
      <c r="D71" s="25"/>
      <c r="E71" s="26">
        <v>0</v>
      </c>
      <c r="F71" s="36"/>
      <c r="G71" s="37"/>
      <c r="H71" s="33"/>
      <c r="I71" s="32"/>
    </row>
    <row r="72" spans="1:9" s="21" customFormat="1" ht="20.45" hidden="1" customHeight="1" x14ac:dyDescent="0.3">
      <c r="A72" s="22">
        <v>6</v>
      </c>
      <c r="B72" s="23" t="s">
        <v>94</v>
      </c>
      <c r="C72" s="24"/>
      <c r="D72" s="25"/>
      <c r="E72" s="26">
        <v>0</v>
      </c>
      <c r="F72" s="37"/>
      <c r="G72" s="37"/>
      <c r="H72" s="24"/>
      <c r="I72" s="23"/>
    </row>
    <row r="73" spans="1:9" s="21" customFormat="1" ht="17.25" x14ac:dyDescent="0.3">
      <c r="A73" s="61" t="s">
        <v>116</v>
      </c>
      <c r="B73" s="61"/>
      <c r="C73" s="71"/>
      <c r="D73" s="71"/>
      <c r="E73" s="72">
        <v>0</v>
      </c>
      <c r="F73" s="47">
        <v>45604</v>
      </c>
      <c r="G73" s="47">
        <v>45618</v>
      </c>
      <c r="H73" s="71">
        <v>13</v>
      </c>
      <c r="I73" s="61"/>
    </row>
    <row r="74" spans="1:9" s="21" customFormat="1" ht="42" customHeight="1" x14ac:dyDescent="0.3">
      <c r="A74" s="73">
        <v>1</v>
      </c>
      <c r="B74" s="74" t="s">
        <v>117</v>
      </c>
      <c r="C74" s="75" t="s">
        <v>112</v>
      </c>
      <c r="D74" s="72"/>
      <c r="E74" s="72">
        <v>0</v>
      </c>
      <c r="F74" s="76"/>
      <c r="G74" s="76"/>
      <c r="H74" s="77"/>
      <c r="I74" s="78"/>
    </row>
    <row r="75" spans="1:9" s="21" customFormat="1" ht="17.25" x14ac:dyDescent="0.3">
      <c r="A75" s="34" t="s">
        <v>95</v>
      </c>
      <c r="B75" s="35"/>
      <c r="C75" s="18"/>
      <c r="D75" s="18"/>
      <c r="E75" s="26">
        <v>0</v>
      </c>
      <c r="F75" s="47">
        <v>45619</v>
      </c>
      <c r="G75" s="47">
        <v>45626</v>
      </c>
      <c r="H75" s="20">
        <v>6</v>
      </c>
      <c r="I75" s="35"/>
    </row>
    <row r="76" spans="1:9" s="21" customFormat="1" ht="20.45" customHeight="1" x14ac:dyDescent="0.3">
      <c r="A76" s="22">
        <v>1</v>
      </c>
      <c r="B76" s="32" t="s">
        <v>96</v>
      </c>
      <c r="C76" s="24" t="s">
        <v>112</v>
      </c>
      <c r="D76" s="25"/>
      <c r="E76" s="26">
        <v>0</v>
      </c>
      <c r="F76" s="37"/>
      <c r="G76" s="37"/>
      <c r="H76" s="33"/>
      <c r="I76" s="32"/>
    </row>
    <row r="77" spans="1:9" s="21" customFormat="1" ht="20.45" customHeight="1" x14ac:dyDescent="0.3">
      <c r="A77" s="22">
        <v>2</v>
      </c>
      <c r="B77" s="23" t="s">
        <v>97</v>
      </c>
      <c r="C77" s="24" t="s">
        <v>112</v>
      </c>
      <c r="D77" s="25"/>
      <c r="E77" s="26">
        <v>0</v>
      </c>
      <c r="F77" s="37"/>
      <c r="G77" s="37"/>
      <c r="H77" s="24"/>
      <c r="I77" s="23"/>
    </row>
    <row r="78" spans="1:9" s="21" customFormat="1" ht="20.45" customHeight="1" x14ac:dyDescent="0.3">
      <c r="A78" s="22">
        <v>3</v>
      </c>
      <c r="B78" s="32" t="s">
        <v>98</v>
      </c>
      <c r="C78" s="24" t="s">
        <v>112</v>
      </c>
      <c r="D78" s="25"/>
      <c r="E78" s="26">
        <v>0</v>
      </c>
      <c r="F78" s="37"/>
      <c r="G78" s="37"/>
      <c r="H78" s="33"/>
      <c r="I78" s="32"/>
    </row>
    <row r="79" spans="1:9" s="21" customFormat="1" ht="20.45" customHeight="1" x14ac:dyDescent="0.3">
      <c r="A79" s="22">
        <v>4</v>
      </c>
      <c r="B79" s="23" t="s">
        <v>99</v>
      </c>
      <c r="C79" s="24" t="s">
        <v>112</v>
      </c>
      <c r="D79" s="25"/>
      <c r="E79" s="26">
        <v>0</v>
      </c>
      <c r="F79" s="37"/>
      <c r="G79" s="37"/>
      <c r="H79" s="24"/>
      <c r="I79" s="23"/>
    </row>
    <row r="80" spans="1:9" s="21" customFormat="1" ht="20.45" customHeight="1" x14ac:dyDescent="0.3">
      <c r="A80" s="22">
        <v>5</v>
      </c>
      <c r="B80" s="32" t="s">
        <v>100</v>
      </c>
      <c r="C80" s="24" t="s">
        <v>112</v>
      </c>
      <c r="D80" s="25"/>
      <c r="E80" s="26">
        <v>0</v>
      </c>
      <c r="F80" s="37"/>
      <c r="G80" s="37"/>
      <c r="H80" s="33"/>
      <c r="I80" s="32"/>
    </row>
    <row r="81" spans="1:9" s="21" customFormat="1" ht="20.45" customHeight="1" x14ac:dyDescent="0.3">
      <c r="A81" s="22">
        <v>6</v>
      </c>
      <c r="B81" s="23" t="s">
        <v>101</v>
      </c>
      <c r="C81" s="24" t="s">
        <v>112</v>
      </c>
      <c r="D81" s="25"/>
      <c r="E81" s="26">
        <v>0</v>
      </c>
      <c r="F81" s="37"/>
      <c r="G81" s="37"/>
      <c r="H81" s="24"/>
      <c r="I81" s="23"/>
    </row>
    <row r="82" spans="1:9" s="21" customFormat="1" ht="20.45" customHeight="1" x14ac:dyDescent="0.3">
      <c r="A82" s="38">
        <v>7</v>
      </c>
      <c r="B82" s="39" t="s">
        <v>102</v>
      </c>
      <c r="C82" s="62" t="s">
        <v>112</v>
      </c>
      <c r="D82" s="63"/>
      <c r="E82" s="64">
        <v>0</v>
      </c>
      <c r="F82" s="41"/>
      <c r="G82" s="41"/>
      <c r="H82" s="40"/>
      <c r="I82" s="39"/>
    </row>
    <row r="83" spans="1:9" s="21" customFormat="1" ht="22.15" customHeight="1" x14ac:dyDescent="0.3">
      <c r="A83" s="65" t="s">
        <v>13</v>
      </c>
      <c r="B83" s="65"/>
      <c r="C83" s="65"/>
      <c r="D83" s="66"/>
      <c r="E83" s="67">
        <v>0</v>
      </c>
      <c r="F83" s="68">
        <v>45627</v>
      </c>
      <c r="G83" s="68">
        <v>46022</v>
      </c>
      <c r="H83" s="69">
        <v>30</v>
      </c>
      <c r="I83" s="70" t="s">
        <v>120</v>
      </c>
    </row>
    <row r="84" spans="1:9" s="21" customFormat="1" ht="22.15" customHeight="1" x14ac:dyDescent="0.3">
      <c r="A84" s="48" t="s">
        <v>103</v>
      </c>
      <c r="B84" s="48"/>
      <c r="C84" s="48"/>
      <c r="D84" s="49"/>
      <c r="E84" s="50">
        <v>0</v>
      </c>
      <c r="F84" s="53"/>
      <c r="G84" s="53"/>
      <c r="H84" s="51">
        <v>180</v>
      </c>
      <c r="I84" s="52" t="s">
        <v>110</v>
      </c>
    </row>
  </sheetData>
  <conditionalFormatting sqref="A4:A7">
    <cfRule type="expression" dxfId="20" priority="47" stopIfTrue="1">
      <formula>"I4=""Pending"""</formula>
    </cfRule>
  </conditionalFormatting>
  <conditionalFormatting sqref="A9:A10">
    <cfRule type="expression" dxfId="19" priority="5" stopIfTrue="1">
      <formula>"I4=""Pending"""</formula>
    </cfRule>
  </conditionalFormatting>
  <conditionalFormatting sqref="A12:A27">
    <cfRule type="expression" dxfId="18" priority="15" stopIfTrue="1">
      <formula>"I4=""Pending"""</formula>
    </cfRule>
  </conditionalFormatting>
  <conditionalFormatting sqref="A29:A31">
    <cfRule type="expression" dxfId="17" priority="13" stopIfTrue="1">
      <formula>"I4=""Pending"""</formula>
    </cfRule>
  </conditionalFormatting>
  <conditionalFormatting sqref="A33:A53">
    <cfRule type="expression" dxfId="16" priority="10" stopIfTrue="1">
      <formula>"I4=""Pending"""</formula>
    </cfRule>
  </conditionalFormatting>
  <conditionalFormatting sqref="A55:A65">
    <cfRule type="expression" dxfId="15" priority="50" stopIfTrue="1">
      <formula>"I4=""Pending"""</formula>
    </cfRule>
  </conditionalFormatting>
  <conditionalFormatting sqref="A67:A74 A76:A82">
    <cfRule type="expression" dxfId="14" priority="12" stopIfTrue="1">
      <formula>"I4=""Pending"""</formula>
    </cfRule>
  </conditionalFormatting>
  <conditionalFormatting sqref="B55 B57 B59 B61">
    <cfRule type="expression" dxfId="13" priority="51" stopIfTrue="1">
      <formula>"I4=""Pending"""</formula>
    </cfRule>
  </conditionalFormatting>
  <conditionalFormatting sqref="D9:D10 D74 D12:D27 D29:D31 D33:D53 D55:D65 D67:D72 D76:D82 D4:E7">
    <cfRule type="colorScale" priority="68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9:D10">
    <cfRule type="colorScale" priority="69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83">
    <cfRule type="colorScale" priority="70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84">
    <cfRule type="colorScale" priority="7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2">
    <cfRule type="colorScale" priority="6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8:E84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4:G4 F6:G6">
    <cfRule type="expression" dxfId="12" priority="48" stopIfTrue="1">
      <formula>"I4=""Pending"""</formula>
    </cfRule>
  </conditionalFormatting>
  <conditionalFormatting sqref="F10:G10">
    <cfRule type="expression" dxfId="11" priority="8" stopIfTrue="1">
      <formula>"I4=""Pending"""</formula>
    </cfRule>
  </conditionalFormatting>
  <conditionalFormatting sqref="F13:G13 F15:G15 F17:G17 F19:G19 F21:G21 F23:G23 F25:G25">
    <cfRule type="expression" dxfId="10" priority="43" stopIfTrue="1">
      <formula>"I4=""Pending"""</formula>
    </cfRule>
  </conditionalFormatting>
  <conditionalFormatting sqref="F30:G30 F34:G34 F36:G36 F38:G38 F40:G40 F42:G42">
    <cfRule type="expression" dxfId="9" priority="40" stopIfTrue="1">
      <formula>"I4=""Pending"""</formula>
    </cfRule>
  </conditionalFormatting>
  <conditionalFormatting sqref="F44:G50 F72:G74 F76:G82">
    <cfRule type="expression" dxfId="8" priority="3" stopIfTrue="1">
      <formula>"I4=""Pending"""</formula>
    </cfRule>
  </conditionalFormatting>
  <conditionalFormatting sqref="F52:G52">
    <cfRule type="expression" dxfId="7" priority="60" stopIfTrue="1">
      <formula>"I4=""Pending"""</formula>
    </cfRule>
  </conditionalFormatting>
  <conditionalFormatting sqref="F56:G56 F58:G58 F60:G60 F62:G62 F64:G64">
    <cfRule type="expression" dxfId="6" priority="62" stopIfTrue="1">
      <formula>"I4=""Pending"""</formula>
    </cfRule>
  </conditionalFormatting>
  <conditionalFormatting sqref="F68:G68 F70:G70">
    <cfRule type="expression" dxfId="5" priority="64" stopIfTrue="1">
      <formula>"I4=""Pending"""</formula>
    </cfRule>
  </conditionalFormatting>
  <conditionalFormatting sqref="G27">
    <cfRule type="expression" dxfId="4" priority="4" stopIfTrue="1">
      <formula>"I4=""Pending"""</formula>
    </cfRule>
  </conditionalFormatting>
  <conditionalFormatting sqref="G29 G31 G33 G35 G37 G39 G41 G43">
    <cfRule type="expression" dxfId="3" priority="39" stopIfTrue="1">
      <formula>"I4=""Pending"""</formula>
    </cfRule>
  </conditionalFormatting>
  <conditionalFormatting sqref="G51 G53">
    <cfRule type="expression" dxfId="2" priority="59" stopIfTrue="1">
      <formula>"I4=""Pending"""</formula>
    </cfRule>
  </conditionalFormatting>
  <conditionalFormatting sqref="G67 G69 G71">
    <cfRule type="expression" dxfId="1" priority="63" stopIfTrue="1">
      <formula>"I4=""Pending"""</formula>
    </cfRule>
  </conditionalFormatting>
  <conditionalFormatting sqref="G55:I55 G57:I57 G59:I59 G61:I61 G63 G65">
    <cfRule type="expression" dxfId="0" priority="61" stopIfTrue="1">
      <formula>"I4=""Pending"""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HR-Summarize</vt:lpstr>
      <vt:lpstr>HR-Details of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Nguyễn Ngọc Sơn</cp:lastModifiedBy>
  <dcterms:created xsi:type="dcterms:W3CDTF">2018-07-14T00:37:31Z</dcterms:created>
  <dcterms:modified xsi:type="dcterms:W3CDTF">2024-09-30T07:35:15Z</dcterms:modified>
</cp:coreProperties>
</file>