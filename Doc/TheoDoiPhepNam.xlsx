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839D4069-4612-497B-9B5B-0DE7BD66B57E}" xr6:coauthVersionLast="47" xr6:coauthVersionMax="47" xr10:uidLastSave="{00000000-0000-0000-0000-000000000000}"/>
  <bookViews>
    <workbookView xWindow="6740" yWindow="-90" windowWidth="19380" windowHeight="10380" xr2:uid="{00000000-000D-0000-FFFF-FFFF00000000}"/>
  </bookViews>
  <sheets>
    <sheet name="Sheet1" sheetId="22" r:id="rId1"/>
    <sheet name="Systerm" sheetId="23" r:id="rId2"/>
  </sheets>
  <definedNames>
    <definedName name="_xlnm._FilterDatabase" localSheetId="0" hidden="1">Sheet1!$B$6:$X$6</definedName>
    <definedName name="_xlnm._FilterDatabase" localSheetId="1" hidden="1">Systerm!$A$5:$O$104</definedName>
    <definedName name="ban_moi">Systerm!#REF!</definedName>
    <definedName name="du_lieu" localSheetId="1">Systerm!#REF!</definedName>
    <definedName name="du_lieu">#REF!</definedName>
    <definedName name="du_qua" localSheetId="1">Systerm!#REF!</definedName>
    <definedName name="du_qua">#REF!</definedName>
    <definedName name="_xlnm.Print_Area" localSheetId="0">Sheet1!$B$1:$X$7</definedName>
    <definedName name="_xlnm.Print_Area" localSheetId="1">Systerm!$A$1:$O$103</definedName>
    <definedName name="th_tin">Systerm!#REF!</definedName>
    <definedName name="thong_tin" localSheetId="1">Systerm!#REF!</definedName>
    <definedName name="thong_ti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3" i="22" l="1"/>
  <c r="V73" i="22"/>
  <c r="U73" i="22"/>
  <c r="T73" i="22"/>
  <c r="S73" i="22"/>
  <c r="R73" i="22"/>
  <c r="Q73" i="22"/>
  <c r="P73" i="22"/>
  <c r="O73" i="22"/>
  <c r="N73" i="22"/>
  <c r="M73" i="22"/>
  <c r="L73" i="22"/>
  <c r="K73" i="22"/>
  <c r="W72" i="22"/>
  <c r="W71" i="22"/>
  <c r="W70" i="22"/>
  <c r="W69" i="22"/>
  <c r="W68" i="22"/>
  <c r="W67" i="22"/>
  <c r="W66" i="22"/>
  <c r="W65" i="22"/>
  <c r="W64" i="22"/>
  <c r="W63" i="22"/>
  <c r="W62" i="22"/>
  <c r="W61" i="22"/>
  <c r="W60" i="22"/>
  <c r="W59" i="22"/>
  <c r="W58" i="22"/>
  <c r="W57" i="22"/>
  <c r="W56" i="22"/>
  <c r="W55" i="22"/>
  <c r="W54" i="22"/>
  <c r="W53" i="22"/>
  <c r="W52" i="22"/>
  <c r="W51" i="22"/>
  <c r="W50" i="22"/>
  <c r="W49" i="22"/>
  <c r="W48" i="22"/>
  <c r="W47" i="22"/>
  <c r="W46" i="22"/>
  <c r="W45" i="22"/>
  <c r="W44" i="22"/>
  <c r="W43" i="22"/>
  <c r="W42" i="22"/>
  <c r="W41" i="22"/>
  <c r="W40" i="22"/>
  <c r="W39" i="22"/>
  <c r="W38" i="22"/>
  <c r="W37" i="22"/>
  <c r="W36" i="22"/>
  <c r="W35" i="22"/>
  <c r="W34" i="22"/>
  <c r="W33" i="22"/>
  <c r="W32" i="22"/>
  <c r="W31" i="22"/>
  <c r="W30" i="22"/>
  <c r="W29" i="22"/>
  <c r="W28" i="22"/>
  <c r="W27" i="22"/>
  <c r="W26" i="22"/>
  <c r="W25" i="22"/>
  <c r="W24" i="22"/>
  <c r="W23" i="22"/>
  <c r="W22" i="22"/>
  <c r="W21" i="22"/>
  <c r="W20" i="22"/>
  <c r="W19" i="22"/>
  <c r="W18" i="22"/>
  <c r="W17" i="22"/>
  <c r="W16" i="22"/>
  <c r="W15" i="22"/>
  <c r="W14" i="22"/>
  <c r="W13" i="22"/>
  <c r="W12" i="22"/>
  <c r="W11" i="22"/>
  <c r="W10" i="22"/>
  <c r="W9" i="22"/>
  <c r="W8" i="22"/>
  <c r="W7" i="22"/>
  <c r="W73" i="22" s="1"/>
  <c r="Z5" i="22"/>
  <c r="Y5" i="22"/>
  <c r="H5" i="22"/>
  <c r="B1" i="22"/>
</calcChain>
</file>

<file path=xl/sharedStrings.xml><?xml version="1.0" encoding="utf-8"?>
<sst xmlns="http://schemas.openxmlformats.org/spreadsheetml/2006/main" count="259" uniqueCount="186">
  <si>
    <t>24/10/2024</t>
  </si>
  <si>
    <t>1</t>
  </si>
  <si>
    <t>VN</t>
  </si>
  <si>
    <t/>
  </si>
  <si>
    <t>No</t>
  </si>
  <si>
    <t>Employee_ID</t>
  </si>
  <si>
    <t>FullName</t>
  </si>
  <si>
    <t>FactoryName</t>
  </si>
  <si>
    <t>StartedDate</t>
  </si>
  <si>
    <t>ThangLamViec</t>
  </si>
  <si>
    <t>PhepNamDuocHuong</t>
  </si>
  <si>
    <t>PhepNamTonDauDauThang</t>
  </si>
  <si>
    <t>PhepNamDuocHuongDenHienTai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</si>
  <si>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</si>
  <si>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</si>
  <si>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</si>
  <si>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</si>
  <si>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</si>
  <si>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</si>
  <si>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</si>
  <si>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</si>
  <si>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</si>
  <si>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</si>
  <si>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</si>
  <si>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</si>
  <si>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PhepNamConLaiDenHienTai</t>
  </si>
  <si>
    <t>PhepNamNghiTrongThang</t>
  </si>
  <si>
    <t>PhepNamPhatSinh</t>
  </si>
  <si>
    <t>TT
No</t>
  </si>
  <si>
    <t>Mã nhân viên
Employee ID</t>
  </si>
  <si>
    <t>Họ Và Tên
Full Name</t>
  </si>
  <si>
    <t>Bộ phận
 parts</t>
  </si>
  <si>
    <t>Ngày vào
In date</t>
  </si>
  <si>
    <t>Số tháng làm việc
(Month working)</t>
  </si>
  <si>
    <t>Phép năm được hưởng đến cuối tháng trước</t>
  </si>
  <si>
    <t>Phép năm được hưởng đến hiện tại</t>
  </si>
  <si>
    <t>THÁNG (Months)</t>
  </si>
  <si>
    <t>Đã Nghỉ phép
Annual leave</t>
  </si>
  <si>
    <t>Số ngày phép còn lại
Number of vacation days remaining</t>
  </si>
  <si>
    <t>Số PN trong năm
Allowed in years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</si>
  <si>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</si>
  <si>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</si>
  <si>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</si>
  <si>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</si>
  <si>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</si>
  <si>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</si>
  <si>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</si>
  <si>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</si>
  <si>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</si>
  <si>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</si>
  <si>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</si>
  <si>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</si>
  <si>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SS000006</t>
  </si>
  <si>
    <t>Vũ Hồng Sơn</t>
  </si>
  <si>
    <t>Xưởng sản xuất</t>
  </si>
  <si>
    <t>SS200202</t>
  </si>
  <si>
    <t>Bùi Di Kết</t>
  </si>
  <si>
    <t>SS200406</t>
  </si>
  <si>
    <t>Đào Thị Thu Hằng</t>
  </si>
  <si>
    <t>Văn phòng</t>
  </si>
  <si>
    <t>SS201001</t>
  </si>
  <si>
    <t>Hoàng Việt Dũng</t>
  </si>
  <si>
    <t>SS201002</t>
  </si>
  <si>
    <t>Phạm Thị Chín</t>
  </si>
  <si>
    <t>SS201101</t>
  </si>
  <si>
    <t>Đinh Thị Hải</t>
  </si>
  <si>
    <t>SS201103</t>
  </si>
  <si>
    <t>Nguyễn Việt Hưng</t>
  </si>
  <si>
    <t>SS201104</t>
  </si>
  <si>
    <t>Nguyễn Khắc Linh</t>
  </si>
  <si>
    <t>SS201105</t>
  </si>
  <si>
    <t>Đinh Công Trường</t>
  </si>
  <si>
    <t>SS201201</t>
  </si>
  <si>
    <t>Quán Văn Công</t>
  </si>
  <si>
    <t>SS201202</t>
  </si>
  <si>
    <t>Bùi Xuân Huy</t>
  </si>
  <si>
    <t>SS210201</t>
  </si>
  <si>
    <t>Nguyễn Trang Điền</t>
  </si>
  <si>
    <t>SS210301</t>
  </si>
  <si>
    <t>Trần Đức Hậu</t>
  </si>
  <si>
    <t>SS210303</t>
  </si>
  <si>
    <t>Nguyễn Thị Hân</t>
  </si>
  <si>
    <t>SS210402</t>
  </si>
  <si>
    <t>Trần Mạnh Hùng</t>
  </si>
  <si>
    <t>SS210801</t>
  </si>
  <si>
    <t>Trần Đại Lượng</t>
  </si>
  <si>
    <t>SS211001</t>
  </si>
  <si>
    <t>Phan Đức Toàn</t>
  </si>
  <si>
    <t>SS211002</t>
  </si>
  <si>
    <t>Đỗ Huyền Chang</t>
  </si>
  <si>
    <t>SS211004</t>
  </si>
  <si>
    <t xml:space="preserve">Hoàng Thị Bích Thành </t>
  </si>
  <si>
    <t>SS211104</t>
  </si>
  <si>
    <t>Đinh Thị Thu Thảo</t>
  </si>
  <si>
    <t>SS211107</t>
  </si>
  <si>
    <t>Đinh Thị Hương</t>
  </si>
  <si>
    <t>SS220208</t>
  </si>
  <si>
    <t>Nguyễn Văn Đoàn</t>
  </si>
  <si>
    <t>SS220209</t>
  </si>
  <si>
    <t>Nguyễn Thị Định</t>
  </si>
  <si>
    <t>SS220303</t>
  </si>
  <si>
    <t>Đinh Ngọc Cương</t>
  </si>
  <si>
    <t>SS220403</t>
  </si>
  <si>
    <t>Hoàng Thị Huyền</t>
  </si>
  <si>
    <t>SS220502</t>
  </si>
  <si>
    <t>Nguyễn Hữu Lư</t>
  </si>
  <si>
    <t>SS220504</t>
  </si>
  <si>
    <t>Nguyễn Thị Kim Liên</t>
  </si>
  <si>
    <t>SS220505</t>
  </si>
  <si>
    <t>Trịnh Bá Vàng</t>
  </si>
  <si>
    <t>SS220506</t>
  </si>
  <si>
    <t>Trần Văn Đoàn</t>
  </si>
  <si>
    <t>SS220507</t>
  </si>
  <si>
    <t>Võ Thị Hồng Loan</t>
  </si>
  <si>
    <t>SS220604</t>
  </si>
  <si>
    <t>Lò Thị Xuân</t>
  </si>
  <si>
    <t>SS220610</t>
  </si>
  <si>
    <t>Mai Văn Sáng</t>
  </si>
  <si>
    <t>SS220613</t>
  </si>
  <si>
    <t>Đào Văn Mạnh</t>
  </si>
  <si>
    <t>SS220707</t>
  </si>
  <si>
    <t>Nguyễn Thị Khởi</t>
  </si>
  <si>
    <t>SS220801</t>
  </si>
  <si>
    <t>Nguyễn Thị Huyền</t>
  </si>
  <si>
    <t>SS220802</t>
  </si>
  <si>
    <t>Nguyễn Thị Thu</t>
  </si>
  <si>
    <t>SS221005</t>
  </si>
  <si>
    <t>Nghiêm Thị Ngọc Ánh</t>
  </si>
  <si>
    <t>SS221206</t>
  </si>
  <si>
    <t>Dương Thị Đoàn</t>
  </si>
  <si>
    <t>SS230201</t>
  </si>
  <si>
    <t>Lại Thị Huyền</t>
  </si>
  <si>
    <t>SS230301</t>
  </si>
  <si>
    <t>Trịnh Xuân Bồng</t>
  </si>
  <si>
    <t>SS230302</t>
  </si>
  <si>
    <t>Hoàng Lê Anh</t>
  </si>
  <si>
    <t>SS230303</t>
  </si>
  <si>
    <t>Hà Đức Thịnh</t>
  </si>
  <si>
    <t>SS230601</t>
  </si>
  <si>
    <t>Đỗ Thị Kim Liên</t>
  </si>
  <si>
    <t>SS230701</t>
  </si>
  <si>
    <t>Phan Thị Thanh Tâm</t>
  </si>
  <si>
    <t>SS230802</t>
  </si>
  <si>
    <t>Đinh Việt Anh</t>
  </si>
  <si>
    <t>SS230803</t>
  </si>
  <si>
    <t>Phạm Văn Sỹ</t>
  </si>
  <si>
    <t>SS230804</t>
  </si>
  <si>
    <t>Trần Thị Hoa</t>
  </si>
  <si>
    <t>SS230805</t>
  </si>
  <si>
    <t>Hoàng Thị Tuyết Nhung</t>
  </si>
  <si>
    <t>SS230808</t>
  </si>
  <si>
    <t>Hà Đăng Cao</t>
  </si>
  <si>
    <t>SS230809</t>
  </si>
  <si>
    <t>Nguyễn Hồng Quân</t>
  </si>
  <si>
    <t>SS230811</t>
  </si>
  <si>
    <t>Nguyễn Thanh Hải</t>
  </si>
  <si>
    <t>SS230818</t>
  </si>
  <si>
    <t>Vũ Thị Khánh Linh</t>
  </si>
  <si>
    <t>SS231201</t>
  </si>
  <si>
    <t>Đinh Thị Thơm</t>
  </si>
  <si>
    <t>SS231202</t>
  </si>
  <si>
    <t>Hoàng Thị Luân</t>
  </si>
  <si>
    <t>SS240203</t>
  </si>
  <si>
    <t>Nguyễn Mạnh Hùng</t>
  </si>
  <si>
    <t>SS240301</t>
  </si>
  <si>
    <t>Lê Duy Công</t>
  </si>
  <si>
    <t>SS240303</t>
  </si>
  <si>
    <t>Nguyễn Công Kiên</t>
  </si>
  <si>
    <t>SS240305</t>
  </si>
  <si>
    <t>Dương Thị Vân</t>
  </si>
  <si>
    <t>SS240306</t>
  </si>
  <si>
    <t>Hà Quang Nhất</t>
  </si>
  <si>
    <t>SS240307</t>
  </si>
  <si>
    <t>Hoàng Hương Hùng</t>
  </si>
  <si>
    <t>SS240401</t>
  </si>
  <si>
    <t>Nguyễn Văn Sơn</t>
  </si>
  <si>
    <t>SS240403</t>
  </si>
  <si>
    <t>Hán Thế Trọng</t>
  </si>
  <si>
    <t>SS240404</t>
  </si>
  <si>
    <t>Hoàng Văn Đinh</t>
  </si>
  <si>
    <t>SS240610</t>
  </si>
  <si>
    <t>Ngô Quang Nam</t>
  </si>
  <si>
    <t>SS240611</t>
  </si>
  <si>
    <t>Nguyễn Thị Lý</t>
  </si>
  <si>
    <t>SS240901</t>
  </si>
  <si>
    <t>Nguyễn Quang Huấn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</si>
</sst>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₫_-;\-* #,##0.00\ _₫_-;_-* &quot;-&quot;??\ _₫_-;_-@_-"/>
    <numFmt numFmtId="166" formatCode="[$-409]d\-mmm;@"/>
  </numFmts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8" tint="-0.249977111117893"/>
      <name val="Times New Roman"/>
      <family val="1"/>
    </font>
    <font>
      <sz val="10"/>
      <color theme="1"/>
      <name val="맑은 고딕"/>
      <family val="2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12"/>
      <name val="Times New Roman"/>
      <family val="1"/>
    </font>
    <font>
      <b/>
      <sz val="12"/>
      <color rgb="FF0000FF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5" fontId="4" fillId="0" borderId="0"/>
    <xf numFmtId="165" fontId="10" fillId="0" borderId="0"/>
    <xf numFmtId="164" fontId="9" fillId="0" borderId="0"/>
    <xf numFmtId="0" fontId="4" fillId="0" borderId="0"/>
    <xf numFmtId="166" fontId="4" fillId="0" borderId="0"/>
    <xf numFmtId="0" fontId="3" fillId="0" borderId="0">
      <alignment vertical="center"/>
    </xf>
    <xf numFmtId="0" fontId="10" fillId="0" borderId="0"/>
    <xf numFmtId="0" fontId="5" fillId="0" borderId="0">
      <alignment vertical="center"/>
    </xf>
    <xf numFmtId="0" fontId="9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1" fillId="3" borderId="1" xfId="7" applyNumberFormat="1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1" fillId="3" borderId="1" xfId="2" applyNumberFormat="1" applyFont="1" applyFill="1" applyBorder="1" applyAlignment="1">
      <alignment horizontal="center" vertical="center" wrapText="1"/>
    </xf>
    <xf numFmtId="0" fontId="11" fillId="3" borderId="1" xfId="1" applyNumberFormat="1" applyFont="1" applyFill="1" applyBorder="1" applyAlignment="1">
      <alignment horizontal="center" vertical="center" wrapText="1"/>
    </xf>
    <xf numFmtId="0" fontId="11" fillId="3" borderId="1" xfId="7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4" xfId="0" applyFont="1" applyBorder="1"/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3" borderId="2" xfId="2" applyNumberFormat="1" applyFont="1" applyFill="1" applyBorder="1" applyAlignment="1">
      <alignment horizontal="center" vertical="center" wrapText="1"/>
    </xf>
    <xf numFmtId="0" fontId="11" fillId="3" borderId="3" xfId="2" applyNumberFormat="1" applyFont="1" applyFill="1" applyBorder="1" applyAlignment="1">
      <alignment horizontal="center" vertical="center" wrapText="1"/>
    </xf>
    <xf numFmtId="0" fontId="11" fillId="3" borderId="2" xfId="7" applyFont="1" applyFill="1" applyBorder="1" applyAlignment="1">
      <alignment horizontal="center" vertical="center" wrapText="1"/>
    </xf>
    <xf numFmtId="0" fontId="11" fillId="3" borderId="3" xfId="7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2" fillId="3" borderId="2" xfId="1" applyNumberFormat="1" applyFont="1" applyFill="1" applyBorder="1" applyAlignment="1">
      <alignment horizontal="center" vertical="center" wrapText="1"/>
    </xf>
    <xf numFmtId="0" fontId="12" fillId="3" borderId="3" xfId="1" applyNumberFormat="1" applyFont="1" applyFill="1" applyBorder="1" applyAlignment="1">
      <alignment horizontal="center" vertical="center" wrapText="1"/>
    </xf>
    <xf numFmtId="0" fontId="11" fillId="3" borderId="1" xfId="7" applyFont="1" applyFill="1" applyBorder="1" applyAlignment="1">
      <alignment horizontal="center" vertical="center" wrapText="1"/>
    </xf>
    <xf numFmtId="14" fontId="11" fillId="3" borderId="2" xfId="7" applyNumberFormat="1" applyFont="1" applyFill="1" applyBorder="1" applyAlignment="1">
      <alignment horizontal="center" vertical="center" wrapText="1"/>
    </xf>
    <xf numFmtId="14" fontId="11" fillId="3" borderId="3" xfId="7" applyNumberFormat="1" applyFont="1" applyFill="1" applyBorder="1" applyAlignment="1">
      <alignment horizontal="center" vertical="center" wrapText="1"/>
    </xf>
  </cellXfs>
  <cellStyles count="10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Normal" xfId="0" builtinId="0"/>
    <cellStyle name="Normal 2" xfId="4" xr:uid="{00000000-0005-0000-0000-000004000000}"/>
    <cellStyle name="Normal 2 10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 4" xfId="9" xr:uid="{00000000-0005-0000-0000-000009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9966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73"/>
  <sheetViews>
    <sheetView showZeros="0" tabSelected="1" topLeftCell="B1" zoomScale="70" zoomScaleNormal="70" zoomScaleSheetLayoutView="100" workbookViewId="0">
      <pane xSplit="2" ySplit="6" topLeftCell="D28" activePane="bottomRight" state="frozen"/>
      <selection activeCell="B1" sqref="B1"/>
      <selection pane="topRight" activeCell="D1" sqref="D1"/>
      <selection pane="bottomLeft" activeCell="B7" sqref="B7"/>
      <selection pane="bottomRight" activeCell="B33" sqref="A33:XFD33"/>
    </sheetView>
  </sheetViews>
  <sheetFormatPr defaultColWidth="9.140625" defaultRowHeight="15"/>
  <cols>
    <col min="1" max="1" width="10.140625" style="1" hidden="1" customWidth="1"/>
    <col min="2" max="2" width="5" style="1" customWidth="1"/>
    <col min="3" max="3" width="14.5703125" style="1" customWidth="1"/>
    <col min="4" max="4" width="23.140625" style="1" customWidth="1"/>
    <col min="5" max="5" width="12.28515625" style="1" customWidth="1"/>
    <col min="6" max="6" width="16.7109375" style="5" customWidth="1"/>
    <col min="7" max="7" width="9.85546875" style="4" customWidth="1"/>
    <col min="8" max="10" width="12.140625" style="3" customWidth="1"/>
    <col min="11" max="21" width="8" style="3" customWidth="1"/>
    <col min="22" max="22" width="8" style="4" customWidth="1"/>
    <col min="23" max="23" width="10.5703125" style="1" customWidth="1"/>
    <col min="24" max="24" width="12.28515625" style="1" customWidth="1"/>
    <col min="25" max="30" width="9.140625" style="1" customWidth="1"/>
    <col min="31" max="16384" width="9.140625" style="1"/>
  </cols>
  <sheetData>
    <row r="1" spans="1:26" ht="31.5" customHeight="1">
      <c r="A1" s="1" t="s">
        <v>0</v>
      </c>
      <c r="B1" s="29" t="str">
        <f>"BẢNG THEO DÕI  PHÉP NĂM "&amp;A1&amp;"/유급 휴가"</f>
        <v>BẢNG THEO DÕI  PHÉP NĂM 24/10/2024/유급 휴가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6" ht="20.25">
      <c r="A2" s="1" t="s">
        <v>1</v>
      </c>
      <c r="B2" s="6"/>
      <c r="C2" s="6"/>
      <c r="D2" s="6"/>
      <c r="E2" s="6"/>
      <c r="F2" s="6"/>
      <c r="G2" s="6"/>
      <c r="H2" s="10"/>
      <c r="I2" s="10"/>
      <c r="J2" s="10"/>
      <c r="K2" s="10"/>
      <c r="L2" s="10"/>
      <c r="M2" s="10"/>
      <c r="N2" s="10"/>
      <c r="Q2" s="11"/>
    </row>
    <row r="3" spans="1:26" hidden="1">
      <c r="A3" s="1" t="s">
        <v>2</v>
      </c>
      <c r="B3" s="7">
        <v>2</v>
      </c>
      <c r="C3" s="7">
        <v>2</v>
      </c>
      <c r="D3" s="7">
        <v>2</v>
      </c>
      <c r="E3" s="7">
        <v>2</v>
      </c>
      <c r="F3" s="7">
        <v>2</v>
      </c>
      <c r="G3" s="7">
        <v>2</v>
      </c>
      <c r="H3" s="12">
        <v>2</v>
      </c>
      <c r="I3" s="12"/>
      <c r="J3" s="12">
        <v>2</v>
      </c>
      <c r="K3" s="12">
        <v>1</v>
      </c>
      <c r="L3" s="12">
        <v>1</v>
      </c>
      <c r="M3" s="12">
        <v>1</v>
      </c>
      <c r="N3" s="12">
        <v>1</v>
      </c>
      <c r="O3" s="3">
        <v>1</v>
      </c>
      <c r="P3" s="3">
        <v>1</v>
      </c>
      <c r="Q3" s="11">
        <v>1</v>
      </c>
      <c r="R3" s="3">
        <v>1</v>
      </c>
      <c r="S3" s="3">
        <v>1</v>
      </c>
      <c r="T3" s="3">
        <v>1</v>
      </c>
      <c r="U3" s="3">
        <v>1</v>
      </c>
      <c r="V3" s="4">
        <v>1</v>
      </c>
      <c r="W3" s="1">
        <v>1</v>
      </c>
      <c r="X3" s="1">
        <v>1</v>
      </c>
    </row>
    <row r="4" spans="1:26" ht="25.5" hidden="1" customHeight="1">
      <c r="A4" s="1" t="s">
        <v>3</v>
      </c>
      <c r="B4" s="4" t="s">
        <v>4</v>
      </c>
      <c r="C4" s="4" t="s">
        <v>5</v>
      </c>
      <c r="D4" s="9" t="s">
        <v>6</v>
      </c>
      <c r="E4" s="4" t="s">
        <v>7</v>
      </c>
      <c r="F4" s="4" t="s">
        <v>8</v>
      </c>
      <c r="G4" s="1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X4" s="1" t="s">
        <v>25</v>
      </c>
      <c r="Y4" s="1" t="s">
        <v>26</v>
      </c>
      <c r="Z4" s="1" t="s">
        <v>27</v>
      </c>
    </row>
    <row r="5" spans="1:26" s="2" customFormat="1" ht="66" customHeight="1">
      <c r="B5" s="25" t="s">
        <v>28</v>
      </c>
      <c r="C5" s="25" t="s">
        <v>29</v>
      </c>
      <c r="D5" s="27" t="s">
        <v>30</v>
      </c>
      <c r="E5" s="27" t="s">
        <v>31</v>
      </c>
      <c r="F5" s="27" t="s">
        <v>32</v>
      </c>
      <c r="G5" s="27" t="s">
        <v>33</v>
      </c>
      <c r="H5" s="13" t="e">
        <f>DATE($A$1,12,31)</f>
        <v>#NUM!</v>
      </c>
      <c r="I5" s="33" t="s">
        <v>34</v>
      </c>
      <c r="J5" s="33" t="s">
        <v>35</v>
      </c>
      <c r="K5" s="32" t="s">
        <v>36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25" t="s">
        <v>37</v>
      </c>
      <c r="X5" s="30" t="s">
        <v>38</v>
      </c>
      <c r="Y5" s="25" t="str">
        <f>"Phép năm nghỉ trong tháng "&amp;MONTH(A1)</f>
        <v>Phép năm nghỉ trong tháng 10</v>
      </c>
      <c r="Z5" s="25" t="str">
        <f>"Phép năm phát sinh trong tháng "&amp;MONTH(A1)</f>
        <v>Phép năm phát sinh trong tháng 10</v>
      </c>
    </row>
    <row r="6" spans="1:26" s="2" customFormat="1" ht="96" customHeight="1">
      <c r="B6" s="26"/>
      <c r="C6" s="26"/>
      <c r="D6" s="28"/>
      <c r="E6" s="28"/>
      <c r="F6" s="28"/>
      <c r="G6" s="28"/>
      <c r="H6" s="17" t="s">
        <v>39</v>
      </c>
      <c r="I6" s="34"/>
      <c r="J6" s="34"/>
      <c r="K6" s="17" t="s">
        <v>40</v>
      </c>
      <c r="L6" s="17" t="s">
        <v>41</v>
      </c>
      <c r="M6" s="17" t="s">
        <v>42</v>
      </c>
      <c r="N6" s="17" t="s">
        <v>43</v>
      </c>
      <c r="O6" s="18" t="s">
        <v>44</v>
      </c>
      <c r="P6" s="19" t="s">
        <v>45</v>
      </c>
      <c r="Q6" s="19" t="s">
        <v>46</v>
      </c>
      <c r="R6" s="19" t="s">
        <v>47</v>
      </c>
      <c r="S6" s="19" t="s">
        <v>48</v>
      </c>
      <c r="T6" s="19" t="s">
        <v>49</v>
      </c>
      <c r="U6" s="19" t="s">
        <v>50</v>
      </c>
      <c r="V6" s="19" t="s">
        <v>51</v>
      </c>
      <c r="W6" s="26"/>
      <c r="X6" s="31"/>
      <c r="Y6" s="26"/>
      <c r="Z6" s="26"/>
    </row>
    <row r="7" spans="1:26">
      <c r="B7" s="14">
        <v>1</v>
      </c>
      <c r="C7" s="14" t="s">
        <v>52</v>
      </c>
      <c r="D7" s="14" t="s">
        <v>53</v>
      </c>
      <c r="E7" s="14" t="s">
        <v>54</v>
      </c>
      <c r="F7" s="16">
        <v>44480</v>
      </c>
      <c r="G7" s="15"/>
      <c r="H7" s="8">
        <v>12</v>
      </c>
      <c r="I7" s="8"/>
      <c r="J7" s="8">
        <v>10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5"/>
      <c r="W7" s="14">
        <f t="shared" ref="W7:W38" si="0">SUM(K7:V7)</f>
        <v>0</v>
      </c>
      <c r="X7" s="14"/>
      <c r="Y7" s="14"/>
      <c r="Z7" s="14"/>
    </row>
    <row r="8" spans="1:26">
      <c r="B8" s="14">
        <v>2</v>
      </c>
      <c r="C8" s="14" t="s">
        <v>55</v>
      </c>
      <c r="D8" s="14" t="s">
        <v>56</v>
      </c>
      <c r="E8" s="14" t="s">
        <v>54</v>
      </c>
      <c r="F8" s="16">
        <v>44608</v>
      </c>
      <c r="G8" s="15"/>
      <c r="H8" s="8">
        <v>12</v>
      </c>
      <c r="I8" s="8"/>
      <c r="J8" s="8">
        <v>10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5"/>
      <c r="W8" s="14">
        <f t="shared" si="0"/>
        <v>0</v>
      </c>
      <c r="X8" s="14"/>
      <c r="Y8" s="14"/>
      <c r="Z8" s="14"/>
    </row>
    <row r="9" spans="1:26">
      <c r="B9" s="14">
        <v>3</v>
      </c>
      <c r="C9" s="14" t="s">
        <v>57</v>
      </c>
      <c r="D9" s="14" t="s">
        <v>58</v>
      </c>
      <c r="E9" s="14" t="s">
        <v>59</v>
      </c>
      <c r="F9" s="16">
        <v>44666</v>
      </c>
      <c r="G9" s="15"/>
      <c r="H9" s="8">
        <v>12</v>
      </c>
      <c r="I9" s="8"/>
      <c r="J9" s="8">
        <v>10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5"/>
      <c r="W9" s="14">
        <f t="shared" si="0"/>
        <v>0</v>
      </c>
      <c r="X9" s="14"/>
      <c r="Y9" s="14"/>
      <c r="Z9" s="14"/>
    </row>
    <row r="10" spans="1:26">
      <c r="B10" s="14">
        <v>4</v>
      </c>
      <c r="C10" s="14" t="s">
        <v>60</v>
      </c>
      <c r="D10" s="14" t="s">
        <v>61</v>
      </c>
      <c r="E10" s="14" t="s">
        <v>59</v>
      </c>
      <c r="F10" s="16">
        <v>44597</v>
      </c>
      <c r="G10" s="15"/>
      <c r="H10" s="8">
        <v>12</v>
      </c>
      <c r="I10" s="8"/>
      <c r="J10" s="8">
        <v>10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5"/>
      <c r="W10" s="14">
        <f t="shared" si="0"/>
        <v>0</v>
      </c>
      <c r="X10" s="14"/>
      <c r="Y10" s="14"/>
      <c r="Z10" s="14"/>
    </row>
    <row r="11" spans="1:26">
      <c r="B11" s="14">
        <v>5</v>
      </c>
      <c r="C11" s="14" t="s">
        <v>62</v>
      </c>
      <c r="D11" s="14" t="s">
        <v>63</v>
      </c>
      <c r="E11" s="14" t="s">
        <v>59</v>
      </c>
      <c r="F11" s="16">
        <v>44126</v>
      </c>
      <c r="G11" s="15"/>
      <c r="H11" s="8">
        <v>12</v>
      </c>
      <c r="I11" s="8"/>
      <c r="J11" s="8">
        <v>10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5"/>
      <c r="W11" s="14">
        <f t="shared" si="0"/>
        <v>0</v>
      </c>
      <c r="X11" s="14"/>
      <c r="Y11" s="14"/>
      <c r="Z11" s="14"/>
    </row>
    <row r="12" spans="1:26">
      <c r="B12" s="14">
        <v>6</v>
      </c>
      <c r="C12" s="14" t="s">
        <v>64</v>
      </c>
      <c r="D12" s="14" t="s">
        <v>65</v>
      </c>
      <c r="E12" s="14" t="s">
        <v>54</v>
      </c>
      <c r="F12" s="16">
        <v>44473</v>
      </c>
      <c r="G12" s="15"/>
      <c r="H12" s="8">
        <v>12</v>
      </c>
      <c r="I12" s="8"/>
      <c r="J12" s="8">
        <v>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5"/>
      <c r="W12" s="14">
        <f t="shared" si="0"/>
        <v>0</v>
      </c>
      <c r="X12" s="14"/>
      <c r="Y12" s="14"/>
      <c r="Z12" s="14"/>
    </row>
    <row r="13" spans="1:26">
      <c r="B13" s="14">
        <v>7</v>
      </c>
      <c r="C13" s="14" t="s">
        <v>66</v>
      </c>
      <c r="D13" s="14" t="s">
        <v>67</v>
      </c>
      <c r="E13" s="14" t="s">
        <v>54</v>
      </c>
      <c r="F13" s="16">
        <v>44136</v>
      </c>
      <c r="G13" s="15"/>
      <c r="H13" s="8">
        <v>12</v>
      </c>
      <c r="I13" s="8"/>
      <c r="J13" s="8">
        <v>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5"/>
      <c r="W13" s="14">
        <f t="shared" si="0"/>
        <v>0</v>
      </c>
      <c r="X13" s="14"/>
      <c r="Y13" s="14"/>
      <c r="Z13" s="14"/>
    </row>
    <row r="14" spans="1:26">
      <c r="B14" s="14">
        <v>8</v>
      </c>
      <c r="C14" s="14" t="s">
        <v>68</v>
      </c>
      <c r="D14" s="14" t="s">
        <v>69</v>
      </c>
      <c r="E14" s="14" t="s">
        <v>59</v>
      </c>
      <c r="F14" s="16">
        <v>44152</v>
      </c>
      <c r="G14" s="15"/>
      <c r="H14" s="8">
        <v>12</v>
      </c>
      <c r="I14" s="8"/>
      <c r="J14" s="8">
        <v>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5"/>
      <c r="W14" s="14">
        <f t="shared" si="0"/>
        <v>0</v>
      </c>
      <c r="X14" s="14"/>
      <c r="Y14" s="14"/>
      <c r="Z14" s="14"/>
    </row>
    <row r="15" spans="1:26">
      <c r="B15" s="14">
        <v>9</v>
      </c>
      <c r="C15" s="14" t="s">
        <v>70</v>
      </c>
      <c r="D15" s="14" t="s">
        <v>71</v>
      </c>
      <c r="E15" s="14" t="s">
        <v>54</v>
      </c>
      <c r="F15" s="16">
        <v>44136</v>
      </c>
      <c r="G15" s="15"/>
      <c r="H15" s="8">
        <v>12</v>
      </c>
      <c r="I15" s="8"/>
      <c r="J15" s="8">
        <v>10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5"/>
      <c r="W15" s="14">
        <f t="shared" si="0"/>
        <v>0</v>
      </c>
      <c r="X15" s="14"/>
      <c r="Y15" s="14"/>
      <c r="Z15" s="14"/>
    </row>
    <row r="16" spans="1:26">
      <c r="B16" s="14">
        <v>10</v>
      </c>
      <c r="C16" s="14" t="s">
        <v>72</v>
      </c>
      <c r="D16" s="14" t="s">
        <v>73</v>
      </c>
      <c r="E16" s="14" t="s">
        <v>54</v>
      </c>
      <c r="F16" s="16">
        <v>44172</v>
      </c>
      <c r="G16" s="15"/>
      <c r="H16" s="8">
        <v>12</v>
      </c>
      <c r="I16" s="8"/>
      <c r="J16" s="8">
        <v>10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5"/>
      <c r="W16" s="14">
        <f t="shared" si="0"/>
        <v>0</v>
      </c>
      <c r="X16" s="14"/>
      <c r="Y16" s="14"/>
      <c r="Z16" s="14"/>
    </row>
    <row r="17" spans="2:26">
      <c r="B17" s="14">
        <v>11</v>
      </c>
      <c r="C17" s="14" t="s">
        <v>74</v>
      </c>
      <c r="D17" s="14" t="s">
        <v>75</v>
      </c>
      <c r="E17" s="14" t="s">
        <v>54</v>
      </c>
      <c r="F17" s="16">
        <v>44182</v>
      </c>
      <c r="G17" s="15"/>
      <c r="H17" s="8">
        <v>12</v>
      </c>
      <c r="I17" s="8"/>
      <c r="J17" s="8">
        <v>10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5"/>
      <c r="W17" s="14">
        <f t="shared" si="0"/>
        <v>0</v>
      </c>
      <c r="X17" s="14"/>
      <c r="Y17" s="14"/>
      <c r="Z17" s="14"/>
    </row>
    <row r="18" spans="2:26">
      <c r="B18" s="14">
        <v>12</v>
      </c>
      <c r="C18" s="14" t="s">
        <v>76</v>
      </c>
      <c r="D18" s="14" t="s">
        <v>77</v>
      </c>
      <c r="E18" s="14" t="s">
        <v>54</v>
      </c>
      <c r="F18" s="16">
        <v>44332</v>
      </c>
      <c r="G18" s="15"/>
      <c r="H18" s="8">
        <v>12</v>
      </c>
      <c r="I18" s="8"/>
      <c r="J18" s="8">
        <v>10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5"/>
      <c r="W18" s="14">
        <f t="shared" si="0"/>
        <v>0</v>
      </c>
      <c r="X18" s="14"/>
      <c r="Y18" s="14"/>
      <c r="Z18" s="14"/>
    </row>
    <row r="19" spans="2:26">
      <c r="B19" s="14">
        <v>13</v>
      </c>
      <c r="C19" s="14" t="s">
        <v>78</v>
      </c>
      <c r="D19" s="14" t="s">
        <v>79</v>
      </c>
      <c r="E19" s="14" t="s">
        <v>54</v>
      </c>
      <c r="F19" s="16">
        <v>44258</v>
      </c>
      <c r="G19" s="15"/>
      <c r="H19" s="8">
        <v>12</v>
      </c>
      <c r="I19" s="8"/>
      <c r="J19" s="8">
        <v>10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5"/>
      <c r="W19" s="14">
        <f t="shared" si="0"/>
        <v>0</v>
      </c>
      <c r="X19" s="14"/>
      <c r="Y19" s="14"/>
      <c r="Z19" s="14"/>
    </row>
    <row r="20" spans="2:26">
      <c r="B20" s="14">
        <v>14</v>
      </c>
      <c r="C20" s="14" t="s">
        <v>80</v>
      </c>
      <c r="D20" s="14" t="s">
        <v>81</v>
      </c>
      <c r="E20" s="14" t="s">
        <v>54</v>
      </c>
      <c r="F20" s="16">
        <v>44641</v>
      </c>
      <c r="G20" s="15"/>
      <c r="H20" s="8">
        <v>12</v>
      </c>
      <c r="I20" s="8"/>
      <c r="J20" s="8">
        <v>10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5"/>
      <c r="W20" s="14">
        <f t="shared" si="0"/>
        <v>0</v>
      </c>
      <c r="X20" s="14"/>
      <c r="Y20" s="14"/>
      <c r="Z20" s="14"/>
    </row>
    <row r="21" spans="2:26">
      <c r="B21" s="14">
        <v>15</v>
      </c>
      <c r="C21" s="14" t="s">
        <v>82</v>
      </c>
      <c r="D21" s="14" t="s">
        <v>83</v>
      </c>
      <c r="E21" s="14" t="s">
        <v>54</v>
      </c>
      <c r="F21" s="16">
        <v>44310</v>
      </c>
      <c r="G21" s="15"/>
      <c r="H21" s="8">
        <v>12</v>
      </c>
      <c r="I21" s="8"/>
      <c r="J21" s="8">
        <v>10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5"/>
      <c r="W21" s="14">
        <f t="shared" si="0"/>
        <v>0</v>
      </c>
      <c r="X21" s="14"/>
      <c r="Y21" s="14"/>
      <c r="Z21" s="14"/>
    </row>
    <row r="22" spans="2:26">
      <c r="B22" s="14">
        <v>16</v>
      </c>
      <c r="C22" s="14" t="s">
        <v>84</v>
      </c>
      <c r="D22" s="14" t="s">
        <v>85</v>
      </c>
      <c r="E22" s="14" t="s">
        <v>54</v>
      </c>
      <c r="F22" s="16">
        <v>44390</v>
      </c>
      <c r="G22" s="15"/>
      <c r="H22" s="8">
        <v>12</v>
      </c>
      <c r="I22" s="8"/>
      <c r="J22" s="8">
        <v>10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5"/>
      <c r="W22" s="14">
        <f t="shared" si="0"/>
        <v>0</v>
      </c>
      <c r="X22" s="14"/>
      <c r="Y22" s="14"/>
      <c r="Z22" s="14"/>
    </row>
    <row r="23" spans="2:26">
      <c r="B23" s="14">
        <v>17</v>
      </c>
      <c r="C23" s="14" t="s">
        <v>86</v>
      </c>
      <c r="D23" s="14" t="s">
        <v>87</v>
      </c>
      <c r="E23" s="14" t="s">
        <v>54</v>
      </c>
      <c r="F23" s="16">
        <v>44487</v>
      </c>
      <c r="G23" s="15"/>
      <c r="H23" s="8">
        <v>12</v>
      </c>
      <c r="I23" s="8"/>
      <c r="J23" s="8">
        <v>10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5"/>
      <c r="W23" s="14">
        <f t="shared" si="0"/>
        <v>0</v>
      </c>
      <c r="X23" s="14"/>
      <c r="Y23" s="14"/>
      <c r="Z23" s="14"/>
    </row>
    <row r="24" spans="2:26">
      <c r="B24" s="14">
        <v>18</v>
      </c>
      <c r="C24" s="14" t="s">
        <v>88</v>
      </c>
      <c r="D24" s="14" t="s">
        <v>89</v>
      </c>
      <c r="E24" s="14" t="s">
        <v>54</v>
      </c>
      <c r="F24" s="16">
        <v>44490</v>
      </c>
      <c r="G24" s="15"/>
      <c r="H24" s="8">
        <v>12</v>
      </c>
      <c r="I24" s="8"/>
      <c r="J24" s="8">
        <v>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5"/>
      <c r="W24" s="14">
        <f t="shared" si="0"/>
        <v>0</v>
      </c>
      <c r="X24" s="14"/>
      <c r="Y24" s="14"/>
      <c r="Z24" s="14"/>
    </row>
    <row r="25" spans="2:26">
      <c r="B25" s="14">
        <v>19</v>
      </c>
      <c r="C25" s="14" t="s">
        <v>90</v>
      </c>
      <c r="D25" s="14" t="s">
        <v>91</v>
      </c>
      <c r="E25" s="14" t="s">
        <v>54</v>
      </c>
      <c r="F25" s="16">
        <v>44487</v>
      </c>
      <c r="G25" s="15"/>
      <c r="H25" s="8">
        <v>12</v>
      </c>
      <c r="I25" s="8"/>
      <c r="J25" s="8">
        <v>10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5"/>
      <c r="W25" s="14">
        <f t="shared" si="0"/>
        <v>0</v>
      </c>
      <c r="X25" s="14"/>
      <c r="Y25" s="14"/>
      <c r="Z25" s="14"/>
    </row>
    <row r="26" spans="2:26">
      <c r="B26" s="14">
        <v>20</v>
      </c>
      <c r="C26" s="14" t="s">
        <v>92</v>
      </c>
      <c r="D26" s="14" t="s">
        <v>93</v>
      </c>
      <c r="E26" s="14" t="s">
        <v>54</v>
      </c>
      <c r="F26" s="16">
        <v>44504</v>
      </c>
      <c r="G26" s="15"/>
      <c r="H26" s="8">
        <v>12</v>
      </c>
      <c r="I26" s="8"/>
      <c r="J26" s="8">
        <v>10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5"/>
      <c r="W26" s="14">
        <f t="shared" si="0"/>
        <v>0</v>
      </c>
      <c r="X26" s="14"/>
      <c r="Y26" s="14"/>
      <c r="Z26" s="14"/>
    </row>
    <row r="27" spans="2:26">
      <c r="B27" s="14">
        <v>21</v>
      </c>
      <c r="C27" s="14" t="s">
        <v>94</v>
      </c>
      <c r="D27" s="14" t="s">
        <v>95</v>
      </c>
      <c r="E27" s="14" t="s">
        <v>54</v>
      </c>
      <c r="F27" s="16">
        <v>44522</v>
      </c>
      <c r="G27" s="15"/>
      <c r="H27" s="8">
        <v>12</v>
      </c>
      <c r="I27" s="8"/>
      <c r="J27" s="8">
        <v>10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5"/>
      <c r="W27" s="14">
        <f t="shared" si="0"/>
        <v>0</v>
      </c>
      <c r="X27" s="14"/>
      <c r="Y27" s="14"/>
      <c r="Z27" s="14"/>
    </row>
    <row r="28" spans="2:26">
      <c r="B28" s="14">
        <v>22</v>
      </c>
      <c r="C28" s="14" t="s">
        <v>96</v>
      </c>
      <c r="D28" s="14" t="s">
        <v>97</v>
      </c>
      <c r="E28" s="14" t="s">
        <v>54</v>
      </c>
      <c r="F28" s="16">
        <v>44615</v>
      </c>
      <c r="G28" s="15"/>
      <c r="H28" s="8">
        <v>12</v>
      </c>
      <c r="I28" s="8"/>
      <c r="J28" s="8">
        <v>10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5"/>
      <c r="W28" s="14">
        <f t="shared" si="0"/>
        <v>0</v>
      </c>
      <c r="X28" s="14"/>
      <c r="Y28" s="14"/>
      <c r="Z28" s="14"/>
    </row>
    <row r="29" spans="2:26">
      <c r="B29" s="14">
        <v>23</v>
      </c>
      <c r="C29" s="14" t="s">
        <v>98</v>
      </c>
      <c r="D29" s="14" t="s">
        <v>99</v>
      </c>
      <c r="E29" s="14" t="s">
        <v>54</v>
      </c>
      <c r="F29" s="16">
        <v>44610</v>
      </c>
      <c r="G29" s="15"/>
      <c r="H29" s="8">
        <v>12</v>
      </c>
      <c r="I29" s="8"/>
      <c r="J29" s="8">
        <v>10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5"/>
      <c r="W29" s="14">
        <f t="shared" si="0"/>
        <v>0</v>
      </c>
      <c r="X29" s="14"/>
      <c r="Y29" s="14"/>
      <c r="Z29" s="14"/>
    </row>
    <row r="30" spans="2:26">
      <c r="B30" s="14">
        <v>24</v>
      </c>
      <c r="C30" s="14" t="s">
        <v>100</v>
      </c>
      <c r="D30" s="14" t="s">
        <v>101</v>
      </c>
      <c r="E30" s="14" t="s">
        <v>54</v>
      </c>
      <c r="F30" s="16">
        <v>44631</v>
      </c>
      <c r="G30" s="15"/>
      <c r="H30" s="8">
        <v>12</v>
      </c>
      <c r="I30" s="8"/>
      <c r="J30" s="8">
        <v>10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5"/>
      <c r="W30" s="14">
        <f t="shared" si="0"/>
        <v>0</v>
      </c>
      <c r="X30" s="14"/>
      <c r="Y30" s="14"/>
      <c r="Z30" s="14"/>
    </row>
    <row r="31" spans="2:26">
      <c r="B31" s="14">
        <v>25</v>
      </c>
      <c r="C31" s="14" t="s">
        <v>102</v>
      </c>
      <c r="D31" s="14" t="s">
        <v>103</v>
      </c>
      <c r="E31" s="14" t="s">
        <v>54</v>
      </c>
      <c r="F31" s="16">
        <v>44632</v>
      </c>
      <c r="G31" s="15"/>
      <c r="H31" s="8">
        <v>12</v>
      </c>
      <c r="I31" s="8"/>
      <c r="J31" s="8">
        <v>10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15"/>
      <c r="W31" s="14">
        <f t="shared" si="0"/>
        <v>0</v>
      </c>
      <c r="X31" s="14"/>
      <c r="Y31" s="14"/>
      <c r="Z31" s="14"/>
    </row>
    <row r="32" spans="2:26">
      <c r="B32" s="14">
        <v>26</v>
      </c>
      <c r="C32" s="14" t="s">
        <v>104</v>
      </c>
      <c r="D32" s="14" t="s">
        <v>105</v>
      </c>
      <c r="E32" s="14" t="s">
        <v>54</v>
      </c>
      <c r="F32" s="16">
        <v>44687</v>
      </c>
      <c r="G32" s="15"/>
      <c r="H32" s="8">
        <v>12</v>
      </c>
      <c r="I32" s="8"/>
      <c r="J32" s="8">
        <v>10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5"/>
      <c r="W32" s="14">
        <f t="shared" si="0"/>
        <v>0</v>
      </c>
      <c r="X32" s="14"/>
      <c r="Y32" s="14"/>
      <c r="Z32" s="14"/>
    </row>
    <row r="33" spans="2:26">
      <c r="B33" s="14">
        <v>27</v>
      </c>
      <c r="C33" s="14" t="s">
        <v>106</v>
      </c>
      <c r="D33" s="14" t="s">
        <v>107</v>
      </c>
      <c r="E33" s="14" t="s">
        <v>59</v>
      </c>
      <c r="F33" s="16">
        <v>44692</v>
      </c>
      <c r="G33" s="15"/>
      <c r="H33" s="8">
        <v>12</v>
      </c>
      <c r="I33" s="8"/>
      <c r="J33" s="8">
        <v>10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5"/>
      <c r="W33" s="14">
        <f t="shared" si="0"/>
        <v>0</v>
      </c>
      <c r="X33" s="14"/>
      <c r="Y33" s="14"/>
      <c r="Z33" s="14"/>
    </row>
    <row r="34" spans="2:26">
      <c r="B34" s="14">
        <v>28</v>
      </c>
      <c r="C34" s="14" t="s">
        <v>108</v>
      </c>
      <c r="D34" s="14" t="s">
        <v>109</v>
      </c>
      <c r="E34" s="14" t="s">
        <v>54</v>
      </c>
      <c r="F34" s="16">
        <v>44694</v>
      </c>
      <c r="G34" s="15"/>
      <c r="H34" s="8">
        <v>12</v>
      </c>
      <c r="I34" s="8"/>
      <c r="J34" s="8">
        <v>10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5"/>
      <c r="W34" s="14">
        <f t="shared" si="0"/>
        <v>0</v>
      </c>
      <c r="X34" s="14"/>
      <c r="Y34" s="14"/>
      <c r="Z34" s="14"/>
    </row>
    <row r="35" spans="2:26">
      <c r="B35" s="14">
        <v>29</v>
      </c>
      <c r="C35" s="14" t="s">
        <v>110</v>
      </c>
      <c r="D35" s="14" t="s">
        <v>111</v>
      </c>
      <c r="E35" s="14" t="s">
        <v>54</v>
      </c>
      <c r="F35" s="16">
        <v>44694</v>
      </c>
      <c r="G35" s="15"/>
      <c r="H35" s="8">
        <v>12</v>
      </c>
      <c r="I35" s="8"/>
      <c r="J35" s="8">
        <v>10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5"/>
      <c r="W35" s="14">
        <f t="shared" si="0"/>
        <v>0</v>
      </c>
      <c r="X35" s="14"/>
      <c r="Y35" s="14"/>
      <c r="Z35" s="14"/>
    </row>
    <row r="36" spans="2:26">
      <c r="B36" s="14">
        <v>30</v>
      </c>
      <c r="C36" s="14" t="s">
        <v>112</v>
      </c>
      <c r="D36" s="14" t="s">
        <v>113</v>
      </c>
      <c r="E36" s="14" t="s">
        <v>54</v>
      </c>
      <c r="F36" s="16">
        <v>44697</v>
      </c>
      <c r="G36" s="15"/>
      <c r="H36" s="8">
        <v>12</v>
      </c>
      <c r="I36" s="8"/>
      <c r="J36" s="8">
        <v>10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5"/>
      <c r="W36" s="14">
        <f t="shared" si="0"/>
        <v>0</v>
      </c>
      <c r="X36" s="14"/>
      <c r="Y36" s="14"/>
      <c r="Z36" s="14"/>
    </row>
    <row r="37" spans="2:26">
      <c r="B37" s="14">
        <v>31</v>
      </c>
      <c r="C37" s="14" t="s">
        <v>114</v>
      </c>
      <c r="D37" s="14" t="s">
        <v>115</v>
      </c>
      <c r="E37" s="14" t="s">
        <v>54</v>
      </c>
      <c r="F37" s="16">
        <v>44732</v>
      </c>
      <c r="G37" s="15"/>
      <c r="H37" s="8">
        <v>12</v>
      </c>
      <c r="I37" s="8"/>
      <c r="J37" s="8">
        <v>10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5"/>
      <c r="W37" s="14">
        <f t="shared" si="0"/>
        <v>0</v>
      </c>
      <c r="X37" s="14"/>
      <c r="Y37" s="14"/>
      <c r="Z37" s="14"/>
    </row>
    <row r="38" spans="2:26">
      <c r="B38" s="14">
        <v>32</v>
      </c>
      <c r="C38" s="14" t="s">
        <v>116</v>
      </c>
      <c r="D38" s="14" t="s">
        <v>117</v>
      </c>
      <c r="E38" s="14" t="s">
        <v>54</v>
      </c>
      <c r="F38" s="16">
        <v>44741</v>
      </c>
      <c r="G38" s="15"/>
      <c r="H38" s="8">
        <v>12</v>
      </c>
      <c r="I38" s="8"/>
      <c r="J38" s="8">
        <v>10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15"/>
      <c r="W38" s="14">
        <f t="shared" si="0"/>
        <v>0</v>
      </c>
      <c r="X38" s="14"/>
      <c r="Y38" s="14"/>
      <c r="Z38" s="14"/>
    </row>
    <row r="39" spans="2:26">
      <c r="B39" s="14">
        <v>33</v>
      </c>
      <c r="C39" s="14" t="s">
        <v>118</v>
      </c>
      <c r="D39" s="14" t="s">
        <v>119</v>
      </c>
      <c r="E39" s="14" t="s">
        <v>54</v>
      </c>
      <c r="F39" s="16">
        <v>44741</v>
      </c>
      <c r="G39" s="15"/>
      <c r="H39" s="8">
        <v>12</v>
      </c>
      <c r="I39" s="8"/>
      <c r="J39" s="8">
        <v>10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5"/>
      <c r="W39" s="14">
        <f t="shared" ref="W39:W70" si="1">SUM(K39:V39)</f>
        <v>0</v>
      </c>
      <c r="X39" s="14"/>
      <c r="Y39" s="14"/>
      <c r="Z39" s="14"/>
    </row>
    <row r="40" spans="2:26">
      <c r="B40" s="14">
        <v>34</v>
      </c>
      <c r="C40" s="14" t="s">
        <v>120</v>
      </c>
      <c r="D40" s="14" t="s">
        <v>121</v>
      </c>
      <c r="E40" s="14" t="s">
        <v>54</v>
      </c>
      <c r="F40" s="16">
        <v>44771</v>
      </c>
      <c r="G40" s="15"/>
      <c r="H40" s="8">
        <v>12</v>
      </c>
      <c r="I40" s="8"/>
      <c r="J40" s="8">
        <v>10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5"/>
      <c r="W40" s="14">
        <f t="shared" si="1"/>
        <v>0</v>
      </c>
      <c r="X40" s="14"/>
      <c r="Y40" s="14"/>
      <c r="Z40" s="14"/>
    </row>
    <row r="41" spans="2:26">
      <c r="B41" s="14">
        <v>35</v>
      </c>
      <c r="C41" s="14" t="s">
        <v>122</v>
      </c>
      <c r="D41" s="14" t="s">
        <v>123</v>
      </c>
      <c r="E41" s="14" t="s">
        <v>54</v>
      </c>
      <c r="F41" s="16">
        <v>44777</v>
      </c>
      <c r="G41" s="15"/>
      <c r="H41" s="8">
        <v>12</v>
      </c>
      <c r="I41" s="8"/>
      <c r="J41" s="8">
        <v>10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5"/>
      <c r="W41" s="14">
        <f t="shared" si="1"/>
        <v>0</v>
      </c>
      <c r="X41" s="14"/>
      <c r="Y41" s="14"/>
      <c r="Z41" s="14"/>
    </row>
    <row r="42" spans="2:26">
      <c r="B42" s="14">
        <v>36</v>
      </c>
      <c r="C42" s="14" t="s">
        <v>124</v>
      </c>
      <c r="D42" s="14" t="s">
        <v>125</v>
      </c>
      <c r="E42" s="14" t="s">
        <v>59</v>
      </c>
      <c r="F42" s="16">
        <v>44803</v>
      </c>
      <c r="G42" s="15"/>
      <c r="H42" s="8">
        <v>12</v>
      </c>
      <c r="I42" s="8"/>
      <c r="J42" s="8">
        <v>10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5"/>
      <c r="W42" s="14">
        <f t="shared" si="1"/>
        <v>0</v>
      </c>
      <c r="X42" s="14"/>
      <c r="Y42" s="14"/>
      <c r="Z42" s="14"/>
    </row>
    <row r="43" spans="2:26">
      <c r="B43" s="14">
        <v>37</v>
      </c>
      <c r="C43" s="14" t="s">
        <v>126</v>
      </c>
      <c r="D43" s="14" t="s">
        <v>127</v>
      </c>
      <c r="E43" s="14" t="s">
        <v>59</v>
      </c>
      <c r="F43" s="16">
        <v>44849</v>
      </c>
      <c r="G43" s="15"/>
      <c r="H43" s="8">
        <v>12</v>
      </c>
      <c r="I43" s="8"/>
      <c r="J43" s="8">
        <v>10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5"/>
      <c r="W43" s="14">
        <f t="shared" si="1"/>
        <v>0</v>
      </c>
      <c r="X43" s="14"/>
      <c r="Y43" s="14"/>
      <c r="Z43" s="14"/>
    </row>
    <row r="44" spans="2:26">
      <c r="B44" s="14">
        <v>38</v>
      </c>
      <c r="C44" s="14" t="s">
        <v>128</v>
      </c>
      <c r="D44" s="14" t="s">
        <v>129</v>
      </c>
      <c r="E44" s="14" t="s">
        <v>54</v>
      </c>
      <c r="F44" s="16">
        <v>44914</v>
      </c>
      <c r="G44" s="15"/>
      <c r="H44" s="8">
        <v>12</v>
      </c>
      <c r="I44" s="8"/>
      <c r="J44" s="8">
        <v>10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5"/>
      <c r="W44" s="14">
        <f t="shared" si="1"/>
        <v>0</v>
      </c>
      <c r="X44" s="14"/>
      <c r="Y44" s="14"/>
      <c r="Z44" s="14"/>
    </row>
    <row r="45" spans="2:26">
      <c r="B45" s="14">
        <v>39</v>
      </c>
      <c r="C45" s="14" t="s">
        <v>130</v>
      </c>
      <c r="D45" s="14" t="s">
        <v>131</v>
      </c>
      <c r="E45" s="14" t="s">
        <v>54</v>
      </c>
      <c r="F45" s="16">
        <v>44977</v>
      </c>
      <c r="G45" s="15"/>
      <c r="H45" s="8">
        <v>12</v>
      </c>
      <c r="I45" s="8"/>
      <c r="J45" s="8">
        <v>10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5"/>
      <c r="W45" s="14">
        <f t="shared" si="1"/>
        <v>0</v>
      </c>
      <c r="X45" s="14"/>
      <c r="Y45" s="14"/>
      <c r="Z45" s="14"/>
    </row>
    <row r="46" spans="2:26">
      <c r="B46" s="14">
        <v>40</v>
      </c>
      <c r="C46" s="14" t="s">
        <v>132</v>
      </c>
      <c r="D46" s="14" t="s">
        <v>133</v>
      </c>
      <c r="E46" s="14" t="s">
        <v>54</v>
      </c>
      <c r="F46" s="16">
        <v>44989</v>
      </c>
      <c r="G46" s="15"/>
      <c r="H46" s="8">
        <v>12</v>
      </c>
      <c r="I46" s="8"/>
      <c r="J46" s="8">
        <v>10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5"/>
      <c r="W46" s="14">
        <f t="shared" si="1"/>
        <v>0</v>
      </c>
      <c r="X46" s="14"/>
      <c r="Y46" s="14"/>
      <c r="Z46" s="14"/>
    </row>
    <row r="47" spans="2:26">
      <c r="B47" s="14">
        <v>41</v>
      </c>
      <c r="C47" s="14" t="s">
        <v>134</v>
      </c>
      <c r="D47" s="14" t="s">
        <v>135</v>
      </c>
      <c r="E47" s="14" t="s">
        <v>54</v>
      </c>
      <c r="F47" s="16">
        <v>45006</v>
      </c>
      <c r="G47" s="15"/>
      <c r="H47" s="8">
        <v>12</v>
      </c>
      <c r="I47" s="8"/>
      <c r="J47" s="8">
        <v>10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5"/>
      <c r="W47" s="14">
        <f t="shared" si="1"/>
        <v>0</v>
      </c>
      <c r="X47" s="14"/>
      <c r="Y47" s="14"/>
      <c r="Z47" s="14"/>
    </row>
    <row r="48" spans="2:26">
      <c r="B48" s="14">
        <v>42</v>
      </c>
      <c r="C48" s="14" t="s">
        <v>136</v>
      </c>
      <c r="D48" s="14" t="s">
        <v>137</v>
      </c>
      <c r="E48" s="14" t="s">
        <v>54</v>
      </c>
      <c r="F48" s="16">
        <v>45006</v>
      </c>
      <c r="G48" s="15"/>
      <c r="H48" s="8">
        <v>12</v>
      </c>
      <c r="I48" s="8"/>
      <c r="J48" s="8">
        <v>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5"/>
      <c r="W48" s="14">
        <f t="shared" si="1"/>
        <v>0</v>
      </c>
      <c r="X48" s="14"/>
      <c r="Y48" s="14"/>
      <c r="Z48" s="14"/>
    </row>
    <row r="49" spans="2:26">
      <c r="B49" s="14">
        <v>43</v>
      </c>
      <c r="C49" s="14" t="s">
        <v>138</v>
      </c>
      <c r="D49" s="14" t="s">
        <v>139</v>
      </c>
      <c r="E49" s="14" t="s">
        <v>54</v>
      </c>
      <c r="F49" s="16">
        <v>45082</v>
      </c>
      <c r="G49" s="15"/>
      <c r="H49" s="8">
        <v>12</v>
      </c>
      <c r="I49" s="8"/>
      <c r="J49" s="8">
        <v>10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5"/>
      <c r="W49" s="14">
        <f t="shared" si="1"/>
        <v>0</v>
      </c>
      <c r="X49" s="14"/>
      <c r="Y49" s="14"/>
      <c r="Z49" s="14"/>
    </row>
    <row r="50" spans="2:26">
      <c r="B50" s="14">
        <v>44</v>
      </c>
      <c r="C50" s="14" t="s">
        <v>140</v>
      </c>
      <c r="D50" s="14" t="s">
        <v>141</v>
      </c>
      <c r="E50" s="14" t="s">
        <v>59</v>
      </c>
      <c r="F50" s="16">
        <v>45124</v>
      </c>
      <c r="G50" s="15"/>
      <c r="H50" s="8">
        <v>12</v>
      </c>
      <c r="I50" s="8"/>
      <c r="J50" s="8">
        <v>10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5"/>
      <c r="W50" s="14">
        <f t="shared" si="1"/>
        <v>0</v>
      </c>
      <c r="X50" s="14"/>
      <c r="Y50" s="14"/>
      <c r="Z50" s="14"/>
    </row>
    <row r="51" spans="2:26">
      <c r="B51" s="14">
        <v>45</v>
      </c>
      <c r="C51" s="14" t="s">
        <v>142</v>
      </c>
      <c r="D51" s="14" t="s">
        <v>143</v>
      </c>
      <c r="E51" s="14" t="s">
        <v>54</v>
      </c>
      <c r="F51" s="16">
        <v>45141</v>
      </c>
      <c r="G51" s="15"/>
      <c r="H51" s="8">
        <v>12</v>
      </c>
      <c r="I51" s="8"/>
      <c r="J51" s="8">
        <v>10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5"/>
      <c r="W51" s="14">
        <f t="shared" si="1"/>
        <v>0</v>
      </c>
      <c r="X51" s="14"/>
      <c r="Y51" s="14"/>
      <c r="Z51" s="14"/>
    </row>
    <row r="52" spans="2:26">
      <c r="B52" s="14">
        <v>46</v>
      </c>
      <c r="C52" s="14" t="s">
        <v>144</v>
      </c>
      <c r="D52" s="14" t="s">
        <v>145</v>
      </c>
      <c r="E52" s="14" t="s">
        <v>54</v>
      </c>
      <c r="F52" s="16">
        <v>45146</v>
      </c>
      <c r="G52" s="15"/>
      <c r="H52" s="8">
        <v>12</v>
      </c>
      <c r="I52" s="8"/>
      <c r="J52" s="8">
        <v>10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5"/>
      <c r="W52" s="14">
        <f t="shared" si="1"/>
        <v>0</v>
      </c>
      <c r="X52" s="14"/>
      <c r="Y52" s="14"/>
      <c r="Z52" s="14"/>
    </row>
    <row r="53" spans="2:26">
      <c r="B53" s="14">
        <v>47</v>
      </c>
      <c r="C53" s="14" t="s">
        <v>146</v>
      </c>
      <c r="D53" s="14" t="s">
        <v>147</v>
      </c>
      <c r="E53" s="14" t="s">
        <v>54</v>
      </c>
      <c r="F53" s="16">
        <v>45161</v>
      </c>
      <c r="G53" s="15"/>
      <c r="H53" s="8">
        <v>12</v>
      </c>
      <c r="I53" s="8"/>
      <c r="J53" s="8">
        <v>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15"/>
      <c r="W53" s="14">
        <f t="shared" si="1"/>
        <v>0</v>
      </c>
      <c r="X53" s="14"/>
      <c r="Y53" s="14"/>
      <c r="Z53" s="14"/>
    </row>
    <row r="54" spans="2:26">
      <c r="B54" s="14">
        <v>48</v>
      </c>
      <c r="C54" s="14" t="s">
        <v>148</v>
      </c>
      <c r="D54" s="14" t="s">
        <v>149</v>
      </c>
      <c r="E54" s="14" t="s">
        <v>54</v>
      </c>
      <c r="F54" s="16">
        <v>45161</v>
      </c>
      <c r="G54" s="15"/>
      <c r="H54" s="8">
        <v>12</v>
      </c>
      <c r="I54" s="8"/>
      <c r="J54" s="8">
        <v>10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15"/>
      <c r="W54" s="14">
        <f t="shared" si="1"/>
        <v>0</v>
      </c>
      <c r="X54" s="14"/>
      <c r="Y54" s="14"/>
      <c r="Z54" s="14"/>
    </row>
    <row r="55" spans="2:26">
      <c r="B55" s="14">
        <v>49</v>
      </c>
      <c r="C55" s="14" t="s">
        <v>150</v>
      </c>
      <c r="D55" s="14" t="s">
        <v>151</v>
      </c>
      <c r="E55" s="14" t="s">
        <v>54</v>
      </c>
      <c r="F55" s="16">
        <v>45163</v>
      </c>
      <c r="G55" s="15"/>
      <c r="H55" s="8">
        <v>12</v>
      </c>
      <c r="I55" s="8"/>
      <c r="J55" s="8">
        <v>10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5"/>
      <c r="W55" s="14">
        <f t="shared" si="1"/>
        <v>0</v>
      </c>
      <c r="X55" s="14"/>
      <c r="Y55" s="14"/>
      <c r="Z55" s="14"/>
    </row>
    <row r="56" spans="2:26">
      <c r="B56" s="14">
        <v>50</v>
      </c>
      <c r="C56" s="14" t="s">
        <v>152</v>
      </c>
      <c r="D56" s="14" t="s">
        <v>153</v>
      </c>
      <c r="E56" s="14" t="s">
        <v>54</v>
      </c>
      <c r="F56" s="16">
        <v>45163</v>
      </c>
      <c r="G56" s="15"/>
      <c r="H56" s="8">
        <v>12</v>
      </c>
      <c r="I56" s="8"/>
      <c r="J56" s="8">
        <v>10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5"/>
      <c r="W56" s="14">
        <f t="shared" si="1"/>
        <v>0</v>
      </c>
      <c r="X56" s="14"/>
      <c r="Y56" s="14"/>
      <c r="Z56" s="14"/>
    </row>
    <row r="57" spans="2:26">
      <c r="B57" s="14">
        <v>51</v>
      </c>
      <c r="C57" s="14" t="s">
        <v>154</v>
      </c>
      <c r="D57" s="14" t="s">
        <v>155</v>
      </c>
      <c r="E57" s="14" t="s">
        <v>54</v>
      </c>
      <c r="F57" s="16">
        <v>45176</v>
      </c>
      <c r="G57" s="15"/>
      <c r="H57" s="8">
        <v>12</v>
      </c>
      <c r="I57" s="8"/>
      <c r="J57" s="8">
        <v>10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5"/>
      <c r="W57" s="14">
        <f t="shared" si="1"/>
        <v>0</v>
      </c>
      <c r="X57" s="14"/>
      <c r="Y57" s="14"/>
      <c r="Z57" s="14"/>
    </row>
    <row r="58" spans="2:26">
      <c r="B58" s="14">
        <v>52</v>
      </c>
      <c r="C58" s="14" t="s">
        <v>156</v>
      </c>
      <c r="D58" s="14" t="s">
        <v>157</v>
      </c>
      <c r="E58" s="14" t="s">
        <v>59</v>
      </c>
      <c r="F58" s="16">
        <v>45201</v>
      </c>
      <c r="G58" s="15"/>
      <c r="H58" s="8">
        <v>12</v>
      </c>
      <c r="I58" s="8"/>
      <c r="J58" s="8">
        <v>10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5"/>
      <c r="W58" s="14">
        <f t="shared" si="1"/>
        <v>0</v>
      </c>
      <c r="X58" s="14"/>
      <c r="Y58" s="14"/>
      <c r="Z58" s="14"/>
    </row>
    <row r="59" spans="2:26">
      <c r="B59" s="14">
        <v>53</v>
      </c>
      <c r="C59" s="14" t="s">
        <v>158</v>
      </c>
      <c r="D59" s="14" t="s">
        <v>159</v>
      </c>
      <c r="E59" s="14" t="s">
        <v>54</v>
      </c>
      <c r="F59" s="16">
        <v>45262</v>
      </c>
      <c r="G59" s="15"/>
      <c r="H59" s="8">
        <v>12</v>
      </c>
      <c r="I59" s="8"/>
      <c r="J59" s="8">
        <v>10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5"/>
      <c r="W59" s="14">
        <f t="shared" si="1"/>
        <v>0</v>
      </c>
      <c r="X59" s="14"/>
      <c r="Y59" s="14"/>
      <c r="Z59" s="14"/>
    </row>
    <row r="60" spans="2:26">
      <c r="B60" s="14">
        <v>54</v>
      </c>
      <c r="C60" s="14" t="s">
        <v>160</v>
      </c>
      <c r="D60" s="14" t="s">
        <v>161</v>
      </c>
      <c r="E60" s="14" t="s">
        <v>54</v>
      </c>
      <c r="F60" s="16">
        <v>45275</v>
      </c>
      <c r="G60" s="15"/>
      <c r="H60" s="8">
        <v>12</v>
      </c>
      <c r="I60" s="8"/>
      <c r="J60" s="8">
        <v>10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5"/>
      <c r="W60" s="14">
        <f t="shared" si="1"/>
        <v>0</v>
      </c>
      <c r="X60" s="14"/>
      <c r="Y60" s="14"/>
      <c r="Z60" s="14"/>
    </row>
    <row r="61" spans="2:26">
      <c r="B61" s="14">
        <v>55</v>
      </c>
      <c r="C61" s="14" t="s">
        <v>162</v>
      </c>
      <c r="D61" s="14" t="s">
        <v>163</v>
      </c>
      <c r="E61" s="14" t="s">
        <v>54</v>
      </c>
      <c r="F61" s="16">
        <v>45343</v>
      </c>
      <c r="G61" s="15"/>
      <c r="H61" s="8">
        <v>10</v>
      </c>
      <c r="I61" s="8"/>
      <c r="J61" s="8">
        <v>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5"/>
      <c r="W61" s="14">
        <f t="shared" si="1"/>
        <v>0</v>
      </c>
      <c r="X61" s="14"/>
      <c r="Y61" s="14"/>
      <c r="Z61" s="14"/>
    </row>
    <row r="62" spans="2:26">
      <c r="B62" s="14">
        <v>56</v>
      </c>
      <c r="C62" s="14" t="s">
        <v>164</v>
      </c>
      <c r="D62" s="14" t="s">
        <v>165</v>
      </c>
      <c r="E62" s="14" t="s">
        <v>54</v>
      </c>
      <c r="F62" s="16">
        <v>45366</v>
      </c>
      <c r="G62" s="15"/>
      <c r="H62" s="8">
        <v>10</v>
      </c>
      <c r="I62" s="8"/>
      <c r="J62" s="8">
        <v>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5"/>
      <c r="W62" s="14">
        <f t="shared" si="1"/>
        <v>0</v>
      </c>
      <c r="X62" s="14"/>
      <c r="Y62" s="14"/>
      <c r="Z62" s="14"/>
    </row>
    <row r="63" spans="2:26">
      <c r="B63" s="14">
        <v>57</v>
      </c>
      <c r="C63" s="14" t="s">
        <v>166</v>
      </c>
      <c r="D63" s="14" t="s">
        <v>167</v>
      </c>
      <c r="E63" s="14" t="s">
        <v>54</v>
      </c>
      <c r="F63" s="16">
        <v>45369</v>
      </c>
      <c r="G63" s="15"/>
      <c r="H63" s="8">
        <v>9</v>
      </c>
      <c r="I63" s="8"/>
      <c r="J63" s="8">
        <v>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5"/>
      <c r="W63" s="14">
        <f t="shared" si="1"/>
        <v>0</v>
      </c>
      <c r="X63" s="14"/>
      <c r="Y63" s="14"/>
      <c r="Z63" s="14"/>
    </row>
    <row r="64" spans="2:26">
      <c r="B64" s="14">
        <v>58</v>
      </c>
      <c r="C64" s="14" t="s">
        <v>168</v>
      </c>
      <c r="D64" s="14" t="s">
        <v>169</v>
      </c>
      <c r="E64" s="14" t="s">
        <v>59</v>
      </c>
      <c r="F64" s="16">
        <v>45369</v>
      </c>
      <c r="G64" s="15"/>
      <c r="H64" s="8">
        <v>9</v>
      </c>
      <c r="I64" s="8"/>
      <c r="J64" s="8">
        <v>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5"/>
      <c r="W64" s="14">
        <f t="shared" si="1"/>
        <v>0</v>
      </c>
      <c r="X64" s="14"/>
      <c r="Y64" s="14"/>
      <c r="Z64" s="14"/>
    </row>
    <row r="65" spans="1:26">
      <c r="B65" s="14">
        <v>59</v>
      </c>
      <c r="C65" s="14" t="s">
        <v>170</v>
      </c>
      <c r="D65" s="14" t="s">
        <v>171</v>
      </c>
      <c r="E65" s="14" t="s">
        <v>54</v>
      </c>
      <c r="F65" s="16">
        <v>45377</v>
      </c>
      <c r="G65" s="15"/>
      <c r="H65" s="8">
        <v>9</v>
      </c>
      <c r="I65" s="8"/>
      <c r="J65" s="8">
        <v>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15"/>
      <c r="W65" s="14">
        <f t="shared" si="1"/>
        <v>0</v>
      </c>
      <c r="X65" s="14"/>
      <c r="Y65" s="14"/>
      <c r="Z65" s="14"/>
    </row>
    <row r="66" spans="1:26">
      <c r="B66" s="14">
        <v>60</v>
      </c>
      <c r="C66" s="14" t="s">
        <v>172</v>
      </c>
      <c r="D66" s="14" t="s">
        <v>173</v>
      </c>
      <c r="E66" s="14" t="s">
        <v>54</v>
      </c>
      <c r="F66" s="16">
        <v>45377</v>
      </c>
      <c r="G66" s="15"/>
      <c r="H66" s="8">
        <v>9</v>
      </c>
      <c r="I66" s="8"/>
      <c r="J66" s="8">
        <v>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5"/>
      <c r="W66" s="14">
        <f t="shared" si="1"/>
        <v>0</v>
      </c>
      <c r="X66" s="14"/>
      <c r="Y66" s="14"/>
      <c r="Z66" s="14"/>
    </row>
    <row r="67" spans="1:26">
      <c r="B67" s="14">
        <v>61</v>
      </c>
      <c r="C67" s="14" t="s">
        <v>174</v>
      </c>
      <c r="D67" s="14" t="s">
        <v>175</v>
      </c>
      <c r="E67" s="14" t="s">
        <v>54</v>
      </c>
      <c r="F67" s="16">
        <v>45392</v>
      </c>
      <c r="G67" s="15"/>
      <c r="H67" s="8">
        <v>9</v>
      </c>
      <c r="I67" s="8"/>
      <c r="J67" s="8">
        <v>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5"/>
      <c r="W67" s="14">
        <f t="shared" si="1"/>
        <v>0</v>
      </c>
      <c r="X67" s="14"/>
      <c r="Y67" s="14"/>
      <c r="Z67" s="14"/>
    </row>
    <row r="68" spans="1:26">
      <c r="B68" s="14">
        <v>62</v>
      </c>
      <c r="C68" s="14" t="s">
        <v>176</v>
      </c>
      <c r="D68" s="14" t="s">
        <v>177</v>
      </c>
      <c r="E68" s="14" t="s">
        <v>54</v>
      </c>
      <c r="F68" s="16">
        <v>45398</v>
      </c>
      <c r="G68" s="15"/>
      <c r="H68" s="8">
        <v>9</v>
      </c>
      <c r="I68" s="8"/>
      <c r="J68" s="8">
        <v>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5"/>
      <c r="W68" s="14">
        <f t="shared" si="1"/>
        <v>0</v>
      </c>
      <c r="X68" s="14"/>
      <c r="Y68" s="14"/>
      <c r="Z68" s="14"/>
    </row>
    <row r="69" spans="1:26">
      <c r="B69" s="14">
        <v>63</v>
      </c>
      <c r="C69" s="14" t="s">
        <v>178</v>
      </c>
      <c r="D69" s="14" t="s">
        <v>179</v>
      </c>
      <c r="E69" s="14" t="s">
        <v>54</v>
      </c>
      <c r="F69" s="16">
        <v>45404</v>
      </c>
      <c r="G69" s="15"/>
      <c r="H69" s="8">
        <v>8</v>
      </c>
      <c r="I69" s="8"/>
      <c r="J69" s="8">
        <v>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5"/>
      <c r="W69" s="14">
        <f t="shared" si="1"/>
        <v>0</v>
      </c>
      <c r="X69" s="14"/>
      <c r="Y69" s="14"/>
      <c r="Z69" s="14"/>
    </row>
    <row r="70" spans="1:26">
      <c r="B70" s="14">
        <v>64</v>
      </c>
      <c r="C70" s="14" t="s">
        <v>180</v>
      </c>
      <c r="D70" s="14" t="s">
        <v>181</v>
      </c>
      <c r="E70" s="14" t="s">
        <v>54</v>
      </c>
      <c r="F70" s="16">
        <v>45462</v>
      </c>
      <c r="G70" s="15"/>
      <c r="H70" s="8">
        <v>6</v>
      </c>
      <c r="I70" s="8"/>
      <c r="J70" s="8">
        <v>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5"/>
      <c r="W70" s="14">
        <f t="shared" si="1"/>
        <v>0</v>
      </c>
      <c r="X70" s="14"/>
      <c r="Y70" s="14"/>
      <c r="Z70" s="14"/>
    </row>
    <row r="71" spans="1:26">
      <c r="B71" s="14">
        <v>65</v>
      </c>
      <c r="C71" s="14" t="s">
        <v>182</v>
      </c>
      <c r="D71" s="14" t="s">
        <v>183</v>
      </c>
      <c r="E71" s="14" t="s">
        <v>59</v>
      </c>
      <c r="F71" s="16">
        <v>45468</v>
      </c>
      <c r="G71" s="15"/>
      <c r="H71" s="8">
        <v>6</v>
      </c>
      <c r="I71" s="8"/>
      <c r="J71" s="8">
        <v>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5"/>
      <c r="W71" s="14">
        <f t="shared" ref="W71:W102" si="2">SUM(K71:V71)</f>
        <v>0</v>
      </c>
      <c r="X71" s="14"/>
      <c r="Y71" s="14"/>
      <c r="Z71" s="14"/>
    </row>
    <row r="72" spans="1:26">
      <c r="B72" s="14">
        <v>66</v>
      </c>
      <c r="C72" s="14" t="s">
        <v>184</v>
      </c>
      <c r="D72" s="14" t="s">
        <v>185</v>
      </c>
      <c r="E72" s="14" t="s">
        <v>54</v>
      </c>
      <c r="F72" s="16">
        <v>45539</v>
      </c>
      <c r="G72" s="15"/>
      <c r="H72" s="8">
        <v>4</v>
      </c>
      <c r="I72" s="8"/>
      <c r="J72" s="8">
        <v>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5"/>
      <c r="W72" s="14">
        <f t="shared" si="2"/>
        <v>0</v>
      </c>
      <c r="X72" s="14"/>
      <c r="Y72" s="14"/>
      <c r="Z72" s="14"/>
    </row>
    <row r="73" spans="1:26">
      <c r="A73" s="21" t="s">
        <v>3</v>
      </c>
      <c r="B73" s="20" t="s">
        <v>3</v>
      </c>
      <c r="C73" s="20" t="s">
        <v>3</v>
      </c>
      <c r="D73" s="20" t="s">
        <v>3</v>
      </c>
      <c r="E73" s="20" t="s">
        <v>3</v>
      </c>
      <c r="F73" s="22" t="s">
        <v>3</v>
      </c>
      <c r="G73" s="23" t="s">
        <v>3</v>
      </c>
      <c r="H73" s="24" t="s">
        <v>3</v>
      </c>
      <c r="I73" s="8"/>
      <c r="J73" s="24" t="s">
        <v>3</v>
      </c>
      <c r="K73" s="24">
        <f t="shared" ref="K73:X73" si="3">SUBTOTAL(9,K7:K72)</f>
        <v>0</v>
      </c>
      <c r="L73" s="24">
        <f t="shared" si="3"/>
        <v>0</v>
      </c>
      <c r="M73" s="24">
        <f t="shared" si="3"/>
        <v>0</v>
      </c>
      <c r="N73" s="24">
        <f t="shared" si="3"/>
        <v>0</v>
      </c>
      <c r="O73" s="24">
        <f t="shared" si="3"/>
        <v>0</v>
      </c>
      <c r="P73" s="24">
        <f t="shared" si="3"/>
        <v>0</v>
      </c>
      <c r="Q73" s="24">
        <f t="shared" si="3"/>
        <v>0</v>
      </c>
      <c r="R73" s="24">
        <f t="shared" si="3"/>
        <v>0</v>
      </c>
      <c r="S73" s="24">
        <f t="shared" si="3"/>
        <v>0</v>
      </c>
      <c r="T73" s="24">
        <f t="shared" si="3"/>
        <v>0</v>
      </c>
      <c r="U73" s="24">
        <f t="shared" si="3"/>
        <v>0</v>
      </c>
      <c r="V73" s="23">
        <f t="shared" si="3"/>
        <v>0</v>
      </c>
      <c r="W73" s="20">
        <f t="shared" si="3"/>
        <v>0</v>
      </c>
      <c r="X73" s="20">
        <f t="shared" si="3"/>
        <v>0</v>
      </c>
      <c r="Y73" s="14"/>
      <c r="Z73" s="14"/>
    </row>
  </sheetData>
  <autoFilter ref="B6:X6" xr:uid="{00000000-0001-0000-0000-000000000000}"/>
  <mergeCells count="14">
    <mergeCell ref="B1:X1"/>
    <mergeCell ref="W5:W6"/>
    <mergeCell ref="X5:X6"/>
    <mergeCell ref="F5:F6"/>
    <mergeCell ref="G5:G6"/>
    <mergeCell ref="K5:V5"/>
    <mergeCell ref="J5:J6"/>
    <mergeCell ref="I5:I6"/>
    <mergeCell ref="Y5:Y6"/>
    <mergeCell ref="Z5:Z6"/>
    <mergeCell ref="B5:B6"/>
    <mergeCell ref="D5:D6"/>
    <mergeCell ref="E5:E6"/>
    <mergeCell ref="C5:C6"/>
  </mergeCells>
  <phoneticPr fontId="3" type="noConversion"/>
  <conditionalFormatting sqref="L5 L6:M6">
    <cfRule type="containsText" dxfId="0" priority="10" operator="containsText" text="no work">
      <formula>NOT(ISERROR(SEARCH("no work",L5)))</formula>
    </cfRule>
  </conditionalFormatting>
  <pageMargins left="0.43307086614173201" right="0.35433070866141703" top="0.31496062992126" bottom="0.27559055118110198" header="0.31496062992126" footer="0.31496062992126"/>
  <pageSetup paperSize="9" scale="4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"/>
  <sheetViews>
    <sheetView zoomScaleNormal="100" zoomScaleSheetLayoutView="100" workbookViewId="0">
      <pane xSplit="2" ySplit="5" topLeftCell="C39" activePane="bottomRight" state="frozen"/>
      <selection pane="topRight" activeCell="C1" sqref="C1"/>
      <selection pane="bottomLeft" activeCell="A6" sqref="A6"/>
      <selection pane="bottomRight" activeCell="E4" sqref="E4"/>
    </sheetView>
  </sheetViews>
  <sheetFormatPr defaultColWidth="9.140625" defaultRowHeight="15"/>
  <cols>
    <col min="1" max="1" width="6.85546875" customWidth="1"/>
    <col min="2" max="2" width="20.5703125" customWidth="1"/>
    <col min="3" max="3" width="10.7109375" customWidth="1"/>
    <col min="4" max="4" width="9.140625" customWidth="1"/>
    <col min="5" max="5" width="8.5703125" customWidth="1"/>
    <col min="6" max="6" width="7.5703125" customWidth="1"/>
    <col min="9" max="10" width="9.42578125" customWidth="1"/>
    <col min="11" max="11" width="12.5703125" customWidth="1"/>
    <col min="12" max="12" width="9.42578125" customWidth="1"/>
    <col min="13" max="13" width="16.5703125" bestFit="1" customWidth="1"/>
    <col min="14" max="14" width="13" customWidth="1"/>
    <col min="15" max="15" width="9" customWidth="1"/>
  </cols>
  <sheetData/>
  <phoneticPr fontId="3" type="noConversion"/>
  <pageMargins left="0.15748031496062992" right="0.15748031496062992" top="0.27559055118110237" bottom="0.39370078740157483" header="0.31496062992125984" footer="0.31496062992125984"/>
  <pageSetup paperSize="9" scale="4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Systerm</vt:lpstr>
      <vt:lpstr>Sheet1!Print_Area</vt:lpstr>
      <vt:lpstr>Systerm!Print_Area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Ngọc Sơn</cp:lastModifiedBy>
  <cp:lastPrinted>2022-01-26T08:07:36Z</cp:lastPrinted>
  <dcterms:created xsi:type="dcterms:W3CDTF">2018-08-11T04:09:36Z</dcterms:created>
  <dcterms:modified xsi:type="dcterms:W3CDTF">2024-10-24T08:41:40Z</dcterms:modified>
</cp:coreProperties>
</file>