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Shinsung\Doc\"/>
    </mc:Choice>
  </mc:AlternateContent>
  <xr:revisionPtr revIDLastSave="0" documentId="13_ncr:1_{169FDBB1-619A-4138-B309-7CB8D23448E0}" xr6:coauthVersionLast="47" xr6:coauthVersionMax="47" xr10:uidLastSave="{00000000-0000-0000-0000-000000000000}"/>
  <bookViews>
    <workbookView xWindow="20370" yWindow="-120" windowWidth="29040" windowHeight="15840" xr2:uid="{20FF6955-4FA5-441A-A5D0-41A8F803619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Sheet1!$A$7:$WXH$71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</calcChain>
</file>

<file path=xl/sharedStrings.xml><?xml version="1.0" encoding="utf-8"?>
<sst xmlns="http://schemas.openxmlformats.org/spreadsheetml/2006/main" count="89" uniqueCount="89">
  <si>
    <t>NHẬP LƯƠNG</t>
  </si>
  <si>
    <t>LCB</t>
  </si>
  <si>
    <t>TN</t>
  </si>
  <si>
    <t>ThamNien</t>
  </si>
  <si>
    <t>NN</t>
  </si>
  <si>
    <t>KT</t>
  </si>
  <si>
    <t>Pel</t>
  </si>
  <si>
    <t>NHAO</t>
  </si>
  <si>
    <t>DT</t>
  </si>
  <si>
    <t>HTXX</t>
  </si>
  <si>
    <t>HTDL</t>
  </si>
  <si>
    <t>Mã nhân viên</t>
  </si>
  <si>
    <t>Từ ngày</t>
  </si>
  <si>
    <t>Đến ngày</t>
  </si>
  <si>
    <t>Ghi chú</t>
  </si>
  <si>
    <t>Lương cơ bản</t>
  </si>
  <si>
    <t>Phụ cấp trách nhiệm</t>
  </si>
  <si>
    <t>Phụ cấp thâm niên</t>
  </si>
  <si>
    <t>Phụ cấp Ngoại ngữ</t>
  </si>
  <si>
    <t>Phụ cấp Kỹ thuật</t>
  </si>
  <si>
    <t>Xăng xe</t>
  </si>
  <si>
    <t>Hỗ trợ nhà ở</t>
  </si>
  <si>
    <t>Trợ cấp điện thoại</t>
  </si>
  <si>
    <t>Hỗ trợ xăng xe</t>
  </si>
  <si>
    <t>Hỗ trợ đi lại</t>
  </si>
  <si>
    <t>Nguyễn Thị Thu</t>
  </si>
  <si>
    <t>Nguyễn Thị Kim Liên</t>
  </si>
  <si>
    <t>Dương Thị Vân</t>
  </si>
  <si>
    <t>Nguyễn Thị Lý</t>
  </si>
  <si>
    <t>Phạm Thị Chín</t>
  </si>
  <si>
    <t>Nguyễn Khắc Linh</t>
  </si>
  <si>
    <t>Hoàng Việt Dũng</t>
  </si>
  <si>
    <t>Đào Thị Thu Hằng</t>
  </si>
  <si>
    <t>Vũ Thị Khánh Linh</t>
  </si>
  <si>
    <t>Nghiêm Thị Ngọc Ánh</t>
  </si>
  <si>
    <t>Nguyễn Thị Hân</t>
  </si>
  <si>
    <t xml:space="preserve"> Đỗ Thị Kim Liên</t>
  </si>
  <si>
    <t>Trần Đại Lượng</t>
  </si>
  <si>
    <t>Nguyễn Thị Khởi</t>
  </si>
  <si>
    <t>Hoàng Thị Bích Thành</t>
  </si>
  <si>
    <t>Nguyễn Thị Định</t>
  </si>
  <si>
    <t>Dương Thị Đoàn</t>
  </si>
  <si>
    <t>Lại Thị Huyền</t>
  </si>
  <si>
    <t xml:space="preserve">Đinh Thị Thu Thảo </t>
  </si>
  <si>
    <t>Đào Văn Mạnh</t>
  </si>
  <si>
    <t>Hà Đức Thịnh</t>
  </si>
  <si>
    <t>Đỗ Quang Huấn</t>
  </si>
  <si>
    <t>Đinh Công Trường</t>
  </si>
  <si>
    <t>Nguyễn Trang Điền</t>
  </si>
  <si>
    <t>Quán Văn Công</t>
  </si>
  <si>
    <t>Bùi Xuân Huy</t>
  </si>
  <si>
    <t>Trần Đức Hậu</t>
  </si>
  <si>
    <t>Đinh Ngọc Cương</t>
  </si>
  <si>
    <t>Trần Mạnh Hùng</t>
  </si>
  <si>
    <t>Bùi Di Kết</t>
  </si>
  <si>
    <t>Nguyễn Văn Đoàn</t>
  </si>
  <si>
    <t>Trịnh Bá Vàng</t>
  </si>
  <si>
    <t>Trần Văn Đoàn</t>
  </si>
  <si>
    <t>Trịnh Xuân Bồng</t>
  </si>
  <si>
    <t>Hán Thế Trọng</t>
  </si>
  <si>
    <t>Phan Thị Thanh Tâm</t>
  </si>
  <si>
    <t>Đinh Thị Hải</t>
  </si>
  <si>
    <t>Hoàng Thị Huyền</t>
  </si>
  <si>
    <t xml:space="preserve">Phan Đức Toàn </t>
  </si>
  <si>
    <t>Vũ Hồng Sơn</t>
  </si>
  <si>
    <t>Võ Thị Hồng Loan</t>
  </si>
  <si>
    <t>Mai Văn Sáng</t>
  </si>
  <si>
    <t>Hoàng Lê Anh</t>
  </si>
  <si>
    <t>Đinh Thị Hương</t>
  </si>
  <si>
    <t>Đinh Thị Thơm</t>
  </si>
  <si>
    <t>Hoàng Thị Luân</t>
  </si>
  <si>
    <t>Nguyễn Mạnh Hùng</t>
  </si>
  <si>
    <t>Lê Duy Công</t>
  </si>
  <si>
    <t>Nguyễn Công Kiên</t>
  </si>
  <si>
    <t>Hà Quang Nhất</t>
  </si>
  <si>
    <t>Hoàng Hương Hùng</t>
  </si>
  <si>
    <t>Hoàng Văn Đinh</t>
  </si>
  <si>
    <t>Nguyễn Văn Sơn</t>
  </si>
  <si>
    <t>Ngô Quang Nam</t>
  </si>
  <si>
    <t>Nguyễn Việt Hưng</t>
  </si>
  <si>
    <t>Nguyễn Hữu Lư</t>
  </si>
  <si>
    <t>Nguyễn Thanh Hải</t>
  </si>
  <si>
    <t>Nguyễn Thị Huyền</t>
  </si>
  <si>
    <t>Đinh Việt Anh</t>
  </si>
  <si>
    <t>Phạm Văn Sỹ</t>
  </si>
  <si>
    <t>Trần Thị Hoa</t>
  </si>
  <si>
    <t>Hoàng Thị Tuyết Nhung</t>
  </si>
  <si>
    <t>Hà Đăng Cao</t>
  </si>
  <si>
    <t>Nguyễn Hồng Quân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</si>
</sst>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38">
    <xf numFmtId="0" fontId="0" fillId="0" borderId="0" xfId="0"/>
    <xf numFmtId="49" fontId="0" fillId="0" borderId="0" xfId="0" applyNumberFormat="1"/>
    <xf numFmtId="164" fontId="3" fillId="0" borderId="0" xfId="1" applyNumberFormat="1" applyFont="1" applyAlignment="1">
      <alignment vertical="center"/>
    </xf>
    <xf numFmtId="164" fontId="1" fillId="0" borderId="0" xfId="1" applyNumberFormat="1"/>
    <xf numFmtId="14" fontId="0" fillId="0" borderId="0" xfId="0" applyNumberFormat="1"/>
    <xf numFmtId="14" fontId="1" fillId="0" borderId="0" xfId="1" applyNumberFormat="1"/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164" fontId="4" fillId="0" borderId="1" xfId="1" applyNumberFormat="1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vertical="center"/>
    </xf>
    <xf numFmtId="4" fontId="5" fillId="2" borderId="1" xfId="0" applyNumberFormat="1" applyFont="1" applyFill="1" applyBorder="1" applyAlignment="1">
      <alignment horizontal="left"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2" borderId="1" xfId="0" applyNumberFormat="1" applyFont="1" applyFill="1" applyBorder="1" applyAlignment="1">
      <alignment vertical="center"/>
    </xf>
    <xf numFmtId="4" fontId="4" fillId="0" borderId="1" xfId="0" applyNumberFormat="1" applyFont="1" applyBorder="1" applyAlignment="1">
      <alignment vertical="center" wrapText="1"/>
    </xf>
    <xf numFmtId="4" fontId="4" fillId="0" borderId="1" xfId="0" applyNumberFormat="1" applyFont="1" applyBorder="1" applyAlignment="1">
      <alignment horizontal="left" vertical="center" wrapText="1"/>
    </xf>
    <xf numFmtId="4" fontId="4" fillId="0" borderId="2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4" fontId="4" fillId="0" borderId="3" xfId="0" applyNumberFormat="1" applyFont="1" applyBorder="1" applyAlignment="1">
      <alignment vertical="center" wrapText="1"/>
    </xf>
    <xf numFmtId="0" fontId="0" fillId="0" borderId="0" xfId="0" applyNumberFormat="1"/>
    <xf numFmtId="0" fontId="2" fillId="0" borderId="1" xfId="0" applyNumberFormat="1" applyFont="1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right" vertical="center" wrapText="1"/>
    </xf>
    <xf numFmtId="3" fontId="4" fillId="0" borderId="1" xfId="1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4" fillId="0" borderId="1" xfId="1" applyNumberFormat="1" applyFont="1" applyBorder="1" applyAlignment="1">
      <alignment horizontal="center" vertical="center"/>
    </xf>
    <xf numFmtId="3" fontId="4" fillId="0" borderId="2" xfId="1" applyNumberFormat="1" applyFont="1" applyBorder="1" applyAlignment="1">
      <alignment horizontal="right" vertical="center"/>
    </xf>
    <xf numFmtId="3" fontId="4" fillId="0" borderId="2" xfId="1" applyNumberFormat="1" applyFont="1" applyBorder="1" applyAlignment="1">
      <alignment horizontal="center" vertical="center"/>
    </xf>
    <xf numFmtId="3" fontId="4" fillId="0" borderId="3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right" vertical="center" wrapText="1"/>
    </xf>
    <xf numFmtId="3" fontId="4" fillId="3" borderId="1" xfId="1" applyNumberFormat="1" applyFont="1" applyFill="1" applyBorder="1" applyAlignment="1">
      <alignment horizontal="right" vertical="center" wrapText="1"/>
    </xf>
    <xf numFmtId="3" fontId="6" fillId="0" borderId="2" xfId="1" applyNumberFormat="1" applyFont="1" applyBorder="1" applyAlignment="1">
      <alignment horizontal="right" vertical="center"/>
    </xf>
    <xf numFmtId="3" fontId="4" fillId="3" borderId="1" xfId="1" applyNumberFormat="1" applyFont="1" applyFill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Shinsung_EmployeeInfoView.xlsx" TargetMode="External"/><Relationship Id="rId1" Type="http://schemas.openxmlformats.org/officeDocument/2006/relationships/externalLinkPath" Target="/work/Shinsung_EmployeeInfo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  <sheetName val="Sheet2"/>
    </sheetNames>
    <sheetDataSet>
      <sheetData sheetId="0">
        <row r="2">
          <cell r="C2" t="str">
            <v>Vũ Hồng Sơn</v>
          </cell>
          <cell r="D2" t="str">
            <v/>
          </cell>
          <cell r="E2" t="str">
            <v>SS000006</v>
          </cell>
        </row>
        <row r="3">
          <cell r="C3" t="str">
            <v>Bùi Di Kết</v>
          </cell>
          <cell r="D3" t="str">
            <v/>
          </cell>
          <cell r="E3" t="str">
            <v>SS200202</v>
          </cell>
        </row>
        <row r="4">
          <cell r="C4" t="str">
            <v>Đào Thị Thu Hằng</v>
          </cell>
          <cell r="D4" t="str">
            <v/>
          </cell>
          <cell r="E4" t="str">
            <v>SS200406</v>
          </cell>
        </row>
        <row r="5">
          <cell r="C5" t="str">
            <v>Hoàng Việt Dũng</v>
          </cell>
          <cell r="D5" t="str">
            <v/>
          </cell>
          <cell r="E5" t="str">
            <v>SS201001</v>
          </cell>
        </row>
        <row r="6">
          <cell r="C6" t="str">
            <v>Phạm Thị Chín</v>
          </cell>
          <cell r="D6" t="str">
            <v/>
          </cell>
          <cell r="E6" t="str">
            <v>SS201002</v>
          </cell>
        </row>
        <row r="7">
          <cell r="C7" t="str">
            <v>Đinh Thị Hải</v>
          </cell>
          <cell r="D7" t="str">
            <v/>
          </cell>
          <cell r="E7" t="str">
            <v>SS201101</v>
          </cell>
        </row>
        <row r="8">
          <cell r="C8" t="str">
            <v>Nguyễn Việt Hưng</v>
          </cell>
          <cell r="D8" t="str">
            <v/>
          </cell>
          <cell r="E8" t="str">
            <v>SS201103</v>
          </cell>
        </row>
        <row r="9">
          <cell r="C9" t="str">
            <v>Nguyễn Khắc Linh</v>
          </cell>
          <cell r="D9" t="str">
            <v/>
          </cell>
          <cell r="E9" t="str">
            <v>SS201104</v>
          </cell>
        </row>
        <row r="10">
          <cell r="C10" t="str">
            <v>Đinh Công Trường</v>
          </cell>
          <cell r="D10" t="str">
            <v/>
          </cell>
          <cell r="E10" t="str">
            <v>SS201105</v>
          </cell>
        </row>
        <row r="11">
          <cell r="C11" t="str">
            <v>Quán Văn Công</v>
          </cell>
          <cell r="D11" t="str">
            <v/>
          </cell>
          <cell r="E11" t="str">
            <v>SS201201</v>
          </cell>
        </row>
        <row r="12">
          <cell r="C12" t="str">
            <v>Bùi Xuân Huy</v>
          </cell>
          <cell r="D12" t="str">
            <v/>
          </cell>
          <cell r="E12" t="str">
            <v>SS201202</v>
          </cell>
        </row>
        <row r="13">
          <cell r="C13" t="str">
            <v>Nguyễn Trang Điền</v>
          </cell>
          <cell r="D13" t="str">
            <v/>
          </cell>
          <cell r="E13" t="str">
            <v>SS210201</v>
          </cell>
        </row>
        <row r="14">
          <cell r="C14" t="str">
            <v>Trần Đức Hậu</v>
          </cell>
          <cell r="D14" t="str">
            <v/>
          </cell>
          <cell r="E14" t="str">
            <v>SS210301</v>
          </cell>
        </row>
        <row r="15">
          <cell r="C15" t="str">
            <v>Nguyễn Thị Hân</v>
          </cell>
          <cell r="D15" t="str">
            <v/>
          </cell>
          <cell r="E15" t="str">
            <v>SS210303</v>
          </cell>
        </row>
        <row r="16">
          <cell r="C16" t="str">
            <v>Trần Mạnh Hùng</v>
          </cell>
          <cell r="D16" t="str">
            <v/>
          </cell>
          <cell r="E16" t="str">
            <v>SS210402</v>
          </cell>
        </row>
        <row r="17">
          <cell r="C17" t="str">
            <v>Trần Đại Lượng</v>
          </cell>
          <cell r="D17" t="str">
            <v/>
          </cell>
          <cell r="E17" t="str">
            <v>SS210801</v>
          </cell>
        </row>
        <row r="18">
          <cell r="C18" t="str">
            <v xml:space="preserve">Phan Đức Toàn </v>
          </cell>
          <cell r="D18" t="str">
            <v/>
          </cell>
          <cell r="E18" t="str">
            <v>SS211001</v>
          </cell>
        </row>
        <row r="19">
          <cell r="C19" t="str">
            <v>Đỗ Huyền Chang</v>
          </cell>
          <cell r="D19" t="str">
            <v/>
          </cell>
          <cell r="E19" t="str">
            <v>SS211002</v>
          </cell>
        </row>
        <row r="20">
          <cell r="C20" t="str">
            <v>Hoàng Thị Bích Thành</v>
          </cell>
          <cell r="D20" t="str">
            <v/>
          </cell>
          <cell r="E20" t="str">
            <v>SS211004</v>
          </cell>
        </row>
        <row r="21">
          <cell r="C21" t="str">
            <v xml:space="preserve">Đinh Thị Thu Thảo </v>
          </cell>
          <cell r="D21" t="str">
            <v/>
          </cell>
          <cell r="E21" t="str">
            <v>SS211104</v>
          </cell>
        </row>
        <row r="22">
          <cell r="C22" t="str">
            <v>Đinh Thị Hương</v>
          </cell>
          <cell r="D22" t="str">
            <v/>
          </cell>
          <cell r="E22" t="str">
            <v>SS211107</v>
          </cell>
        </row>
        <row r="23">
          <cell r="C23" t="str">
            <v>Nguyễn Văn Đoàn</v>
          </cell>
          <cell r="D23" t="str">
            <v/>
          </cell>
          <cell r="E23" t="str">
            <v>SS220208</v>
          </cell>
        </row>
        <row r="24">
          <cell r="C24" t="str">
            <v>Nguyễn Thị Định</v>
          </cell>
          <cell r="D24" t="str">
            <v/>
          </cell>
          <cell r="E24" t="str">
            <v>SS220209</v>
          </cell>
        </row>
        <row r="25">
          <cell r="C25" t="str">
            <v>Đinh Ngọc Cương</v>
          </cell>
          <cell r="D25" t="str">
            <v/>
          </cell>
          <cell r="E25" t="str">
            <v>SS220303</v>
          </cell>
        </row>
        <row r="26">
          <cell r="C26" t="str">
            <v>Hoàng Thị Huyền</v>
          </cell>
          <cell r="D26" t="str">
            <v/>
          </cell>
          <cell r="E26" t="str">
            <v>SS220403</v>
          </cell>
        </row>
        <row r="27">
          <cell r="C27" t="str">
            <v>Nguyễn Hữu Lư</v>
          </cell>
          <cell r="D27" t="str">
            <v/>
          </cell>
          <cell r="E27" t="str">
            <v>SS220502</v>
          </cell>
        </row>
        <row r="28">
          <cell r="C28" t="str">
            <v>Nguyễn Thị Kim Liên</v>
          </cell>
          <cell r="D28" t="str">
            <v/>
          </cell>
          <cell r="E28" t="str">
            <v>SS220504</v>
          </cell>
        </row>
        <row r="29">
          <cell r="C29" t="str">
            <v>Trịnh Bá Vàng</v>
          </cell>
          <cell r="D29" t="str">
            <v/>
          </cell>
          <cell r="E29" t="str">
            <v>SS220505</v>
          </cell>
        </row>
        <row r="30">
          <cell r="C30" t="str">
            <v>Trần Văn Đoàn</v>
          </cell>
          <cell r="D30" t="str">
            <v/>
          </cell>
          <cell r="E30" t="str">
            <v>SS220506</v>
          </cell>
        </row>
        <row r="31">
          <cell r="C31" t="str">
            <v>Võ Thị Hồng Loan</v>
          </cell>
          <cell r="D31" t="str">
            <v/>
          </cell>
          <cell r="E31" t="str">
            <v>SS220507</v>
          </cell>
        </row>
        <row r="32">
          <cell r="C32" t="str">
            <v>Lò Thị Xuân</v>
          </cell>
          <cell r="D32" t="str">
            <v/>
          </cell>
          <cell r="E32" t="str">
            <v>SS220604</v>
          </cell>
        </row>
        <row r="33">
          <cell r="C33" t="str">
            <v>Mai Văn Sáng</v>
          </cell>
          <cell r="D33" t="str">
            <v/>
          </cell>
          <cell r="E33" t="str">
            <v>SS220610</v>
          </cell>
        </row>
        <row r="34">
          <cell r="C34" t="str">
            <v>Đào Văn Mạnh</v>
          </cell>
          <cell r="D34" t="str">
            <v/>
          </cell>
          <cell r="E34" t="str">
            <v>SS220613</v>
          </cell>
        </row>
        <row r="35">
          <cell r="C35" t="str">
            <v>Nguyễn Thị Khởi</v>
          </cell>
          <cell r="D35" t="str">
            <v/>
          </cell>
          <cell r="E35" t="str">
            <v>SS220707</v>
          </cell>
        </row>
        <row r="36">
          <cell r="C36" t="str">
            <v>Nguyễn Thị Huyền</v>
          </cell>
          <cell r="D36" t="str">
            <v/>
          </cell>
          <cell r="E36" t="str">
            <v>SS220801</v>
          </cell>
        </row>
        <row r="37">
          <cell r="C37" t="str">
            <v>Nguyễn Thị Thu</v>
          </cell>
          <cell r="D37" t="str">
            <v/>
          </cell>
          <cell r="E37" t="str">
            <v>SS220802</v>
          </cell>
        </row>
        <row r="38">
          <cell r="C38" t="str">
            <v>Nghiêm Thị Ngọc Ánh</v>
          </cell>
          <cell r="D38" t="str">
            <v/>
          </cell>
          <cell r="E38" t="str">
            <v>SS221005</v>
          </cell>
        </row>
        <row r="39">
          <cell r="C39" t="str">
            <v>Dương Thị Đoàn</v>
          </cell>
          <cell r="D39" t="str">
            <v/>
          </cell>
          <cell r="E39" t="str">
            <v>SS221206</v>
          </cell>
        </row>
        <row r="40">
          <cell r="C40" t="str">
            <v>Lại Thị Huyền</v>
          </cell>
          <cell r="D40" t="str">
            <v/>
          </cell>
          <cell r="E40" t="str">
            <v>SS230201</v>
          </cell>
        </row>
        <row r="41">
          <cell r="C41" t="str">
            <v>Trịnh Xuân Bồng</v>
          </cell>
          <cell r="D41" t="str">
            <v/>
          </cell>
          <cell r="E41" t="str">
            <v>SS230301</v>
          </cell>
        </row>
        <row r="42">
          <cell r="C42" t="str">
            <v>Hoàng Lê Anh</v>
          </cell>
          <cell r="D42" t="str">
            <v/>
          </cell>
          <cell r="E42" t="str">
            <v>SS230302</v>
          </cell>
        </row>
        <row r="43">
          <cell r="C43" t="str">
            <v>Hà Đức Thịnh</v>
          </cell>
          <cell r="D43" t="str">
            <v/>
          </cell>
          <cell r="E43" t="str">
            <v>SS230303</v>
          </cell>
        </row>
        <row r="44">
          <cell r="C44" t="str">
            <v xml:space="preserve"> Đỗ Thị Kim Liên</v>
          </cell>
          <cell r="D44" t="str">
            <v/>
          </cell>
          <cell r="E44" t="str">
            <v>SS230601</v>
          </cell>
        </row>
        <row r="45">
          <cell r="C45" t="str">
            <v>Phan Thị Thanh Tâm</v>
          </cell>
          <cell r="D45" t="str">
            <v/>
          </cell>
          <cell r="E45" t="str">
            <v>SS230701</v>
          </cell>
        </row>
        <row r="46">
          <cell r="C46" t="str">
            <v>Đinh Việt Anh</v>
          </cell>
          <cell r="D46" t="str">
            <v/>
          </cell>
          <cell r="E46" t="str">
            <v>SS230802</v>
          </cell>
        </row>
        <row r="47">
          <cell r="C47" t="str">
            <v>Phạm Văn Sỹ</v>
          </cell>
          <cell r="D47" t="str">
            <v/>
          </cell>
          <cell r="E47" t="str">
            <v>SS230803</v>
          </cell>
        </row>
        <row r="48">
          <cell r="C48" t="str">
            <v>Trần Thị Hoa</v>
          </cell>
          <cell r="D48" t="str">
            <v/>
          </cell>
          <cell r="E48" t="str">
            <v>SS230804</v>
          </cell>
        </row>
        <row r="49">
          <cell r="C49" t="str">
            <v>Hoàng Thị Tuyết Nhung</v>
          </cell>
          <cell r="D49" t="str">
            <v/>
          </cell>
          <cell r="E49" t="str">
            <v>SS230805</v>
          </cell>
        </row>
        <row r="50">
          <cell r="C50" t="str">
            <v>Hà Đăng Cao</v>
          </cell>
          <cell r="D50" t="str">
            <v/>
          </cell>
          <cell r="E50" t="str">
            <v>SS230808</v>
          </cell>
        </row>
        <row r="51">
          <cell r="C51" t="str">
            <v>Nguyễn Hồng Quân</v>
          </cell>
          <cell r="D51" t="str">
            <v/>
          </cell>
          <cell r="E51" t="str">
            <v>SS230809</v>
          </cell>
        </row>
        <row r="52">
          <cell r="C52" t="str">
            <v>Nguyễn Thanh Hải</v>
          </cell>
          <cell r="D52" t="str">
            <v/>
          </cell>
          <cell r="E52" t="str">
            <v>SS230811</v>
          </cell>
        </row>
        <row r="53">
          <cell r="C53" t="str">
            <v>Vũ Thị Khánh Linh</v>
          </cell>
          <cell r="D53" t="str">
            <v/>
          </cell>
          <cell r="E53" t="str">
            <v>SS230818</v>
          </cell>
        </row>
        <row r="54">
          <cell r="C54" t="str">
            <v>Đinh Thị Thơm</v>
          </cell>
          <cell r="D54" t="str">
            <v/>
          </cell>
          <cell r="E54" t="str">
            <v>SS231201</v>
          </cell>
        </row>
        <row r="55">
          <cell r="C55" t="str">
            <v>Hoàng Thị Luân</v>
          </cell>
          <cell r="D55" t="str">
            <v/>
          </cell>
          <cell r="E55" t="str">
            <v>SS231202</v>
          </cell>
        </row>
        <row r="56">
          <cell r="C56" t="str">
            <v>Nguyễn Mạnh Hùng</v>
          </cell>
          <cell r="D56" t="str">
            <v/>
          </cell>
          <cell r="E56" t="str">
            <v>SS240203</v>
          </cell>
        </row>
        <row r="57">
          <cell r="C57" t="str">
            <v>Lê Duy Công</v>
          </cell>
          <cell r="D57" t="str">
            <v/>
          </cell>
          <cell r="E57" t="str">
            <v>SS240301</v>
          </cell>
        </row>
        <row r="58">
          <cell r="C58" t="str">
            <v>Nguyễn Công Kiên</v>
          </cell>
          <cell r="D58" t="str">
            <v/>
          </cell>
          <cell r="E58" t="str">
            <v>SS240303</v>
          </cell>
        </row>
        <row r="59">
          <cell r="C59" t="str">
            <v>Dương Thị Vân</v>
          </cell>
          <cell r="D59" t="str">
            <v/>
          </cell>
          <cell r="E59" t="str">
            <v>SS240305</v>
          </cell>
        </row>
        <row r="60">
          <cell r="C60" t="str">
            <v>Hà Quang Nhất</v>
          </cell>
          <cell r="D60" t="str">
            <v/>
          </cell>
          <cell r="E60" t="str">
            <v>SS240306</v>
          </cell>
        </row>
        <row r="61">
          <cell r="C61" t="str">
            <v>Hoàng Hương Hùng</v>
          </cell>
          <cell r="D61" t="str">
            <v/>
          </cell>
          <cell r="E61" t="str">
            <v>SS240307</v>
          </cell>
        </row>
        <row r="62">
          <cell r="C62" t="str">
            <v>Nguyễn Văn Sơn</v>
          </cell>
          <cell r="D62" t="str">
            <v/>
          </cell>
          <cell r="E62" t="str">
            <v>SS240401</v>
          </cell>
        </row>
        <row r="63">
          <cell r="C63" t="str">
            <v>Hán Thế Trọng</v>
          </cell>
          <cell r="D63" t="str">
            <v/>
          </cell>
          <cell r="E63" t="str">
            <v>SS240403</v>
          </cell>
        </row>
        <row r="64">
          <cell r="C64" t="str">
            <v>Hoàng Văn Đinh</v>
          </cell>
          <cell r="D64" t="str">
            <v/>
          </cell>
          <cell r="E64" t="str">
            <v>SS240404</v>
          </cell>
        </row>
        <row r="65">
          <cell r="C65" t="str">
            <v>Ngô Quang Nam</v>
          </cell>
          <cell r="D65" t="str">
            <v/>
          </cell>
          <cell r="E65" t="str">
            <v>SS240610</v>
          </cell>
        </row>
        <row r="66">
          <cell r="C66" t="str">
            <v>Nguyễn Thị Lý</v>
          </cell>
          <cell r="D66" t="str">
            <v/>
          </cell>
          <cell r="E66" t="str">
            <v>SS240611</v>
          </cell>
        </row>
        <row r="67">
          <cell r="C67" t="str">
            <v>Đỗ Quang Huấn</v>
          </cell>
          <cell r="D67" t="str">
            <v/>
          </cell>
          <cell r="E67" t="str">
            <v>SS240901</v>
          </cell>
        </row>
        <row r="68">
          <cell r="C68" t="str">
            <v>Trần Thị Hiền</v>
          </cell>
          <cell r="D68" t="str">
            <v/>
          </cell>
          <cell r="E68" t="str">
            <v>SS241001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0628-C2AF-45B9-9164-9D20170AAEF5}">
  <dimension ref="A3:S71"/>
  <sheetViews>
    <sheetView tabSelected="1" workbookViewId="0">
      <selection activeCell="C33" sqref="C33"/>
    </sheetView>
  </sheetViews>
  <sheetFormatPr defaultColWidth="20.28515625" defaultRowHeight="15" x14ac:dyDescent="0.25"/>
  <cols>
    <col min="1" max="1" width="13.28515625" style="22" customWidth="1"/>
    <col min="2" max="2" width="11.5703125" style="4" customWidth="1"/>
    <col min="3" max="3" width="14.5703125" style="5" customWidth="1"/>
    <col min="4" max="4" width="11.5703125" style="4" customWidth="1"/>
    <col min="5" max="18" width="14.42578125" style="3" customWidth="1"/>
    <col min="19" max="19" width="41" style="1" customWidth="1"/>
    <col min="20" max="52" width="11.5703125" style="1" customWidth="1"/>
    <col min="53" max="256" width="20.28515625" style="1" customWidth="1"/>
    <col min="257" max="257" width="13.28515625" style="1" customWidth="1"/>
    <col min="258" max="258" width="11.5703125" style="1" customWidth="1"/>
    <col min="259" max="259" width="14.5703125" style="1" customWidth="1"/>
    <col min="260" max="260" width="11.5703125" style="1" customWidth="1"/>
    <col min="261" max="274" width="14.42578125" style="1" customWidth="1"/>
    <col min="275" max="308" width="11.5703125" style="1" customWidth="1"/>
    <col min="309" max="512" width="20.28515625" style="1" customWidth="1"/>
    <col min="513" max="513" width="13.28515625" style="1" customWidth="1"/>
    <col min="514" max="514" width="11.5703125" style="1" customWidth="1"/>
    <col min="515" max="515" width="14.5703125" style="1" customWidth="1"/>
    <col min="516" max="516" width="11.5703125" style="1" customWidth="1"/>
    <col min="517" max="530" width="14.42578125" style="1" customWidth="1"/>
    <col min="531" max="564" width="11.5703125" style="1" customWidth="1"/>
    <col min="565" max="768" width="20.28515625" style="1" customWidth="1"/>
    <col min="769" max="769" width="13.28515625" style="1" customWidth="1"/>
    <col min="770" max="770" width="11.5703125" style="1" customWidth="1"/>
    <col min="771" max="771" width="14.5703125" style="1" customWidth="1"/>
    <col min="772" max="772" width="11.5703125" style="1" customWidth="1"/>
    <col min="773" max="786" width="14.42578125" style="1" customWidth="1"/>
    <col min="787" max="820" width="11.5703125" style="1" customWidth="1"/>
    <col min="821" max="1024" width="20.28515625" style="1" customWidth="1"/>
    <col min="1025" max="1025" width="13.28515625" style="1" customWidth="1"/>
    <col min="1026" max="1026" width="11.5703125" style="1" customWidth="1"/>
    <col min="1027" max="1027" width="14.5703125" style="1" customWidth="1"/>
    <col min="1028" max="1028" width="11.5703125" style="1" customWidth="1"/>
    <col min="1029" max="1042" width="14.42578125" style="1" customWidth="1"/>
    <col min="1043" max="1076" width="11.5703125" style="1" customWidth="1"/>
    <col min="1077" max="1280" width="20.28515625" style="1" customWidth="1"/>
    <col min="1281" max="1281" width="13.28515625" style="1" customWidth="1"/>
    <col min="1282" max="1282" width="11.5703125" style="1" customWidth="1"/>
    <col min="1283" max="1283" width="14.5703125" style="1" customWidth="1"/>
    <col min="1284" max="1284" width="11.5703125" style="1" customWidth="1"/>
    <col min="1285" max="1298" width="14.42578125" style="1" customWidth="1"/>
    <col min="1299" max="1332" width="11.5703125" style="1" customWidth="1"/>
    <col min="1333" max="1536" width="20.28515625" style="1" customWidth="1"/>
    <col min="1537" max="1537" width="13.28515625" style="1" customWidth="1"/>
    <col min="1538" max="1538" width="11.5703125" style="1" customWidth="1"/>
    <col min="1539" max="1539" width="14.5703125" style="1" customWidth="1"/>
    <col min="1540" max="1540" width="11.5703125" style="1" customWidth="1"/>
    <col min="1541" max="1554" width="14.42578125" style="1" customWidth="1"/>
    <col min="1555" max="1588" width="11.5703125" style="1" customWidth="1"/>
    <col min="1589" max="1792" width="20.28515625" style="1" customWidth="1"/>
    <col min="1793" max="1793" width="13.28515625" style="1" customWidth="1"/>
    <col min="1794" max="1794" width="11.5703125" style="1" customWidth="1"/>
    <col min="1795" max="1795" width="14.5703125" style="1" customWidth="1"/>
    <col min="1796" max="1796" width="11.5703125" style="1" customWidth="1"/>
    <col min="1797" max="1810" width="14.42578125" style="1" customWidth="1"/>
    <col min="1811" max="1844" width="11.5703125" style="1" customWidth="1"/>
    <col min="1845" max="2048" width="20.28515625" style="1" customWidth="1"/>
    <col min="2049" max="2049" width="13.28515625" style="1" customWidth="1"/>
    <col min="2050" max="2050" width="11.5703125" style="1" customWidth="1"/>
    <col min="2051" max="2051" width="14.5703125" style="1" customWidth="1"/>
    <col min="2052" max="2052" width="11.5703125" style="1" customWidth="1"/>
    <col min="2053" max="2066" width="14.42578125" style="1" customWidth="1"/>
    <col min="2067" max="2100" width="11.5703125" style="1" customWidth="1"/>
    <col min="2101" max="2304" width="20.28515625" style="1" customWidth="1"/>
    <col min="2305" max="2305" width="13.28515625" style="1" customWidth="1"/>
    <col min="2306" max="2306" width="11.5703125" style="1" customWidth="1"/>
    <col min="2307" max="2307" width="14.5703125" style="1" customWidth="1"/>
    <col min="2308" max="2308" width="11.5703125" style="1" customWidth="1"/>
    <col min="2309" max="2322" width="14.42578125" style="1" customWidth="1"/>
    <col min="2323" max="2356" width="11.5703125" style="1" customWidth="1"/>
    <col min="2357" max="2560" width="20.28515625" style="1" customWidth="1"/>
    <col min="2561" max="2561" width="13.28515625" style="1" customWidth="1"/>
    <col min="2562" max="2562" width="11.5703125" style="1" customWidth="1"/>
    <col min="2563" max="2563" width="14.5703125" style="1" customWidth="1"/>
    <col min="2564" max="2564" width="11.5703125" style="1" customWidth="1"/>
    <col min="2565" max="2578" width="14.42578125" style="1" customWidth="1"/>
    <col min="2579" max="2612" width="11.5703125" style="1" customWidth="1"/>
    <col min="2613" max="2816" width="20.28515625" style="1" customWidth="1"/>
    <col min="2817" max="2817" width="13.28515625" style="1" customWidth="1"/>
    <col min="2818" max="2818" width="11.5703125" style="1" customWidth="1"/>
    <col min="2819" max="2819" width="14.5703125" style="1" customWidth="1"/>
    <col min="2820" max="2820" width="11.5703125" style="1" customWidth="1"/>
    <col min="2821" max="2834" width="14.42578125" style="1" customWidth="1"/>
    <col min="2835" max="2868" width="11.5703125" style="1" customWidth="1"/>
    <col min="2869" max="3072" width="20.28515625" style="1" customWidth="1"/>
    <col min="3073" max="3073" width="13.28515625" style="1" customWidth="1"/>
    <col min="3074" max="3074" width="11.5703125" style="1" customWidth="1"/>
    <col min="3075" max="3075" width="14.5703125" style="1" customWidth="1"/>
    <col min="3076" max="3076" width="11.5703125" style="1" customWidth="1"/>
    <col min="3077" max="3090" width="14.42578125" style="1" customWidth="1"/>
    <col min="3091" max="3124" width="11.5703125" style="1" customWidth="1"/>
    <col min="3125" max="3328" width="20.28515625" style="1" customWidth="1"/>
    <col min="3329" max="3329" width="13.28515625" style="1" customWidth="1"/>
    <col min="3330" max="3330" width="11.5703125" style="1" customWidth="1"/>
    <col min="3331" max="3331" width="14.5703125" style="1" customWidth="1"/>
    <col min="3332" max="3332" width="11.5703125" style="1" customWidth="1"/>
    <col min="3333" max="3346" width="14.42578125" style="1" customWidth="1"/>
    <col min="3347" max="3380" width="11.5703125" style="1" customWidth="1"/>
    <col min="3381" max="3584" width="20.28515625" style="1" customWidth="1"/>
    <col min="3585" max="3585" width="13.28515625" style="1" customWidth="1"/>
    <col min="3586" max="3586" width="11.5703125" style="1" customWidth="1"/>
    <col min="3587" max="3587" width="14.5703125" style="1" customWidth="1"/>
    <col min="3588" max="3588" width="11.5703125" style="1" customWidth="1"/>
    <col min="3589" max="3602" width="14.42578125" style="1" customWidth="1"/>
    <col min="3603" max="3636" width="11.5703125" style="1" customWidth="1"/>
    <col min="3637" max="3840" width="20.28515625" style="1" customWidth="1"/>
    <col min="3841" max="3841" width="13.28515625" style="1" customWidth="1"/>
    <col min="3842" max="3842" width="11.5703125" style="1" customWidth="1"/>
    <col min="3843" max="3843" width="14.5703125" style="1" customWidth="1"/>
    <col min="3844" max="3844" width="11.5703125" style="1" customWidth="1"/>
    <col min="3845" max="3858" width="14.42578125" style="1" customWidth="1"/>
    <col min="3859" max="3892" width="11.5703125" style="1" customWidth="1"/>
    <col min="3893" max="4096" width="20.28515625" style="1" customWidth="1"/>
    <col min="4097" max="4097" width="13.28515625" style="1" customWidth="1"/>
    <col min="4098" max="4098" width="11.5703125" style="1" customWidth="1"/>
    <col min="4099" max="4099" width="14.5703125" style="1" customWidth="1"/>
    <col min="4100" max="4100" width="11.5703125" style="1" customWidth="1"/>
    <col min="4101" max="4114" width="14.42578125" style="1" customWidth="1"/>
    <col min="4115" max="4148" width="11.5703125" style="1" customWidth="1"/>
    <col min="4149" max="4352" width="20.28515625" style="1" customWidth="1"/>
    <col min="4353" max="4353" width="13.28515625" style="1" customWidth="1"/>
    <col min="4354" max="4354" width="11.5703125" style="1" customWidth="1"/>
    <col min="4355" max="4355" width="14.5703125" style="1" customWidth="1"/>
    <col min="4356" max="4356" width="11.5703125" style="1" customWidth="1"/>
    <col min="4357" max="4370" width="14.42578125" style="1" customWidth="1"/>
    <col min="4371" max="4404" width="11.5703125" style="1" customWidth="1"/>
    <col min="4405" max="4608" width="20.28515625" style="1" customWidth="1"/>
    <col min="4609" max="4609" width="13.28515625" style="1" customWidth="1"/>
    <col min="4610" max="4610" width="11.5703125" style="1" customWidth="1"/>
    <col min="4611" max="4611" width="14.5703125" style="1" customWidth="1"/>
    <col min="4612" max="4612" width="11.5703125" style="1" customWidth="1"/>
    <col min="4613" max="4626" width="14.42578125" style="1" customWidth="1"/>
    <col min="4627" max="4660" width="11.5703125" style="1" customWidth="1"/>
    <col min="4661" max="4864" width="20.28515625" style="1" customWidth="1"/>
    <col min="4865" max="4865" width="13.28515625" style="1" customWidth="1"/>
    <col min="4866" max="4866" width="11.5703125" style="1" customWidth="1"/>
    <col min="4867" max="4867" width="14.5703125" style="1" customWidth="1"/>
    <col min="4868" max="4868" width="11.5703125" style="1" customWidth="1"/>
    <col min="4869" max="4882" width="14.42578125" style="1" customWidth="1"/>
    <col min="4883" max="4916" width="11.5703125" style="1" customWidth="1"/>
    <col min="4917" max="5120" width="20.28515625" style="1" customWidth="1"/>
    <col min="5121" max="5121" width="13.28515625" style="1" customWidth="1"/>
    <col min="5122" max="5122" width="11.5703125" style="1" customWidth="1"/>
    <col min="5123" max="5123" width="14.5703125" style="1" customWidth="1"/>
    <col min="5124" max="5124" width="11.5703125" style="1" customWidth="1"/>
    <col min="5125" max="5138" width="14.42578125" style="1" customWidth="1"/>
    <col min="5139" max="5172" width="11.5703125" style="1" customWidth="1"/>
    <col min="5173" max="5376" width="20.28515625" style="1" customWidth="1"/>
    <col min="5377" max="5377" width="13.28515625" style="1" customWidth="1"/>
    <col min="5378" max="5378" width="11.5703125" style="1" customWidth="1"/>
    <col min="5379" max="5379" width="14.5703125" style="1" customWidth="1"/>
    <col min="5380" max="5380" width="11.5703125" style="1" customWidth="1"/>
    <col min="5381" max="5394" width="14.42578125" style="1" customWidth="1"/>
    <col min="5395" max="5428" width="11.5703125" style="1" customWidth="1"/>
    <col min="5429" max="5632" width="20.28515625" style="1" customWidth="1"/>
    <col min="5633" max="5633" width="13.28515625" style="1" customWidth="1"/>
    <col min="5634" max="5634" width="11.5703125" style="1" customWidth="1"/>
    <col min="5635" max="5635" width="14.5703125" style="1" customWidth="1"/>
    <col min="5636" max="5636" width="11.5703125" style="1" customWidth="1"/>
    <col min="5637" max="5650" width="14.42578125" style="1" customWidth="1"/>
    <col min="5651" max="5684" width="11.5703125" style="1" customWidth="1"/>
    <col min="5685" max="5888" width="20.28515625" style="1" customWidth="1"/>
    <col min="5889" max="5889" width="13.28515625" style="1" customWidth="1"/>
    <col min="5890" max="5890" width="11.5703125" style="1" customWidth="1"/>
    <col min="5891" max="5891" width="14.5703125" style="1" customWidth="1"/>
    <col min="5892" max="5892" width="11.5703125" style="1" customWidth="1"/>
    <col min="5893" max="5906" width="14.42578125" style="1" customWidth="1"/>
    <col min="5907" max="5940" width="11.5703125" style="1" customWidth="1"/>
    <col min="5941" max="6144" width="20.28515625" style="1" customWidth="1"/>
    <col min="6145" max="6145" width="13.28515625" style="1" customWidth="1"/>
    <col min="6146" max="6146" width="11.5703125" style="1" customWidth="1"/>
    <col min="6147" max="6147" width="14.5703125" style="1" customWidth="1"/>
    <col min="6148" max="6148" width="11.5703125" style="1" customWidth="1"/>
    <col min="6149" max="6162" width="14.42578125" style="1" customWidth="1"/>
    <col min="6163" max="6196" width="11.5703125" style="1" customWidth="1"/>
    <col min="6197" max="6400" width="20.28515625" style="1" customWidth="1"/>
    <col min="6401" max="6401" width="13.28515625" style="1" customWidth="1"/>
    <col min="6402" max="6402" width="11.5703125" style="1" customWidth="1"/>
    <col min="6403" max="6403" width="14.5703125" style="1" customWidth="1"/>
    <col min="6404" max="6404" width="11.5703125" style="1" customWidth="1"/>
    <col min="6405" max="6418" width="14.42578125" style="1" customWidth="1"/>
    <col min="6419" max="6452" width="11.5703125" style="1" customWidth="1"/>
    <col min="6453" max="6656" width="20.28515625" style="1" customWidth="1"/>
    <col min="6657" max="6657" width="13.28515625" style="1" customWidth="1"/>
    <col min="6658" max="6658" width="11.5703125" style="1" customWidth="1"/>
    <col min="6659" max="6659" width="14.5703125" style="1" customWidth="1"/>
    <col min="6660" max="6660" width="11.5703125" style="1" customWidth="1"/>
    <col min="6661" max="6674" width="14.42578125" style="1" customWidth="1"/>
    <col min="6675" max="6708" width="11.5703125" style="1" customWidth="1"/>
    <col min="6709" max="6912" width="20.28515625" style="1" customWidth="1"/>
    <col min="6913" max="6913" width="13.28515625" style="1" customWidth="1"/>
    <col min="6914" max="6914" width="11.5703125" style="1" customWidth="1"/>
    <col min="6915" max="6915" width="14.5703125" style="1" customWidth="1"/>
    <col min="6916" max="6916" width="11.5703125" style="1" customWidth="1"/>
    <col min="6917" max="6930" width="14.42578125" style="1" customWidth="1"/>
    <col min="6931" max="6964" width="11.5703125" style="1" customWidth="1"/>
    <col min="6965" max="7168" width="20.28515625" style="1" customWidth="1"/>
    <col min="7169" max="7169" width="13.28515625" style="1" customWidth="1"/>
    <col min="7170" max="7170" width="11.5703125" style="1" customWidth="1"/>
    <col min="7171" max="7171" width="14.5703125" style="1" customWidth="1"/>
    <col min="7172" max="7172" width="11.5703125" style="1" customWidth="1"/>
    <col min="7173" max="7186" width="14.42578125" style="1" customWidth="1"/>
    <col min="7187" max="7220" width="11.5703125" style="1" customWidth="1"/>
    <col min="7221" max="7424" width="20.28515625" style="1" customWidth="1"/>
    <col min="7425" max="7425" width="13.28515625" style="1" customWidth="1"/>
    <col min="7426" max="7426" width="11.5703125" style="1" customWidth="1"/>
    <col min="7427" max="7427" width="14.5703125" style="1" customWidth="1"/>
    <col min="7428" max="7428" width="11.5703125" style="1" customWidth="1"/>
    <col min="7429" max="7442" width="14.42578125" style="1" customWidth="1"/>
    <col min="7443" max="7476" width="11.5703125" style="1" customWidth="1"/>
    <col min="7477" max="7680" width="20.28515625" style="1" customWidth="1"/>
    <col min="7681" max="7681" width="13.28515625" style="1" customWidth="1"/>
    <col min="7682" max="7682" width="11.5703125" style="1" customWidth="1"/>
    <col min="7683" max="7683" width="14.5703125" style="1" customWidth="1"/>
    <col min="7684" max="7684" width="11.5703125" style="1" customWidth="1"/>
    <col min="7685" max="7698" width="14.42578125" style="1" customWidth="1"/>
    <col min="7699" max="7732" width="11.5703125" style="1" customWidth="1"/>
    <col min="7733" max="7936" width="20.28515625" style="1" customWidth="1"/>
    <col min="7937" max="7937" width="13.28515625" style="1" customWidth="1"/>
    <col min="7938" max="7938" width="11.5703125" style="1" customWidth="1"/>
    <col min="7939" max="7939" width="14.5703125" style="1" customWidth="1"/>
    <col min="7940" max="7940" width="11.5703125" style="1" customWidth="1"/>
    <col min="7941" max="7954" width="14.42578125" style="1" customWidth="1"/>
    <col min="7955" max="7988" width="11.5703125" style="1" customWidth="1"/>
    <col min="7989" max="8192" width="20.28515625" style="1" customWidth="1"/>
    <col min="8193" max="8193" width="13.28515625" style="1" customWidth="1"/>
    <col min="8194" max="8194" width="11.5703125" style="1" customWidth="1"/>
    <col min="8195" max="8195" width="14.5703125" style="1" customWidth="1"/>
    <col min="8196" max="8196" width="11.5703125" style="1" customWidth="1"/>
    <col min="8197" max="8210" width="14.42578125" style="1" customWidth="1"/>
    <col min="8211" max="8244" width="11.5703125" style="1" customWidth="1"/>
    <col min="8245" max="8448" width="20.28515625" style="1" customWidth="1"/>
    <col min="8449" max="8449" width="13.28515625" style="1" customWidth="1"/>
    <col min="8450" max="8450" width="11.5703125" style="1" customWidth="1"/>
    <col min="8451" max="8451" width="14.5703125" style="1" customWidth="1"/>
    <col min="8452" max="8452" width="11.5703125" style="1" customWidth="1"/>
    <col min="8453" max="8466" width="14.42578125" style="1" customWidth="1"/>
    <col min="8467" max="8500" width="11.5703125" style="1" customWidth="1"/>
    <col min="8501" max="8704" width="20.28515625" style="1" customWidth="1"/>
    <col min="8705" max="8705" width="13.28515625" style="1" customWidth="1"/>
    <col min="8706" max="8706" width="11.5703125" style="1" customWidth="1"/>
    <col min="8707" max="8707" width="14.5703125" style="1" customWidth="1"/>
    <col min="8708" max="8708" width="11.5703125" style="1" customWidth="1"/>
    <col min="8709" max="8722" width="14.42578125" style="1" customWidth="1"/>
    <col min="8723" max="8756" width="11.5703125" style="1" customWidth="1"/>
    <col min="8757" max="8960" width="20.28515625" style="1" customWidth="1"/>
    <col min="8961" max="8961" width="13.28515625" style="1" customWidth="1"/>
    <col min="8962" max="8962" width="11.5703125" style="1" customWidth="1"/>
    <col min="8963" max="8963" width="14.5703125" style="1" customWidth="1"/>
    <col min="8964" max="8964" width="11.5703125" style="1" customWidth="1"/>
    <col min="8965" max="8978" width="14.42578125" style="1" customWidth="1"/>
    <col min="8979" max="9012" width="11.5703125" style="1" customWidth="1"/>
    <col min="9013" max="9216" width="20.28515625" style="1" customWidth="1"/>
    <col min="9217" max="9217" width="13.28515625" style="1" customWidth="1"/>
    <col min="9218" max="9218" width="11.5703125" style="1" customWidth="1"/>
    <col min="9219" max="9219" width="14.5703125" style="1" customWidth="1"/>
    <col min="9220" max="9220" width="11.5703125" style="1" customWidth="1"/>
    <col min="9221" max="9234" width="14.42578125" style="1" customWidth="1"/>
    <col min="9235" max="9268" width="11.5703125" style="1" customWidth="1"/>
    <col min="9269" max="9472" width="20.28515625" style="1" customWidth="1"/>
    <col min="9473" max="9473" width="13.28515625" style="1" customWidth="1"/>
    <col min="9474" max="9474" width="11.5703125" style="1" customWidth="1"/>
    <col min="9475" max="9475" width="14.5703125" style="1" customWidth="1"/>
    <col min="9476" max="9476" width="11.5703125" style="1" customWidth="1"/>
    <col min="9477" max="9490" width="14.42578125" style="1" customWidth="1"/>
    <col min="9491" max="9524" width="11.5703125" style="1" customWidth="1"/>
    <col min="9525" max="9728" width="20.28515625" style="1" customWidth="1"/>
    <col min="9729" max="9729" width="13.28515625" style="1" customWidth="1"/>
    <col min="9730" max="9730" width="11.5703125" style="1" customWidth="1"/>
    <col min="9731" max="9731" width="14.5703125" style="1" customWidth="1"/>
    <col min="9732" max="9732" width="11.5703125" style="1" customWidth="1"/>
    <col min="9733" max="9746" width="14.42578125" style="1" customWidth="1"/>
    <col min="9747" max="9780" width="11.5703125" style="1" customWidth="1"/>
    <col min="9781" max="9984" width="20.28515625" style="1" customWidth="1"/>
    <col min="9985" max="9985" width="13.28515625" style="1" customWidth="1"/>
    <col min="9986" max="9986" width="11.5703125" style="1" customWidth="1"/>
    <col min="9987" max="9987" width="14.5703125" style="1" customWidth="1"/>
    <col min="9988" max="9988" width="11.5703125" style="1" customWidth="1"/>
    <col min="9989" max="10002" width="14.42578125" style="1" customWidth="1"/>
    <col min="10003" max="10036" width="11.5703125" style="1" customWidth="1"/>
    <col min="10037" max="10240" width="20.28515625" style="1" customWidth="1"/>
    <col min="10241" max="10241" width="13.28515625" style="1" customWidth="1"/>
    <col min="10242" max="10242" width="11.5703125" style="1" customWidth="1"/>
    <col min="10243" max="10243" width="14.5703125" style="1" customWidth="1"/>
    <col min="10244" max="10244" width="11.5703125" style="1" customWidth="1"/>
    <col min="10245" max="10258" width="14.42578125" style="1" customWidth="1"/>
    <col min="10259" max="10292" width="11.5703125" style="1" customWidth="1"/>
    <col min="10293" max="10496" width="20.28515625" style="1" customWidth="1"/>
    <col min="10497" max="10497" width="13.28515625" style="1" customWidth="1"/>
    <col min="10498" max="10498" width="11.5703125" style="1" customWidth="1"/>
    <col min="10499" max="10499" width="14.5703125" style="1" customWidth="1"/>
    <col min="10500" max="10500" width="11.5703125" style="1" customWidth="1"/>
    <col min="10501" max="10514" width="14.42578125" style="1" customWidth="1"/>
    <col min="10515" max="10548" width="11.5703125" style="1" customWidth="1"/>
    <col min="10549" max="10752" width="20.28515625" style="1" customWidth="1"/>
    <col min="10753" max="10753" width="13.28515625" style="1" customWidth="1"/>
    <col min="10754" max="10754" width="11.5703125" style="1" customWidth="1"/>
    <col min="10755" max="10755" width="14.5703125" style="1" customWidth="1"/>
    <col min="10756" max="10756" width="11.5703125" style="1" customWidth="1"/>
    <col min="10757" max="10770" width="14.42578125" style="1" customWidth="1"/>
    <col min="10771" max="10804" width="11.5703125" style="1" customWidth="1"/>
    <col min="10805" max="11008" width="20.28515625" style="1" customWidth="1"/>
    <col min="11009" max="11009" width="13.28515625" style="1" customWidth="1"/>
    <col min="11010" max="11010" width="11.5703125" style="1" customWidth="1"/>
    <col min="11011" max="11011" width="14.5703125" style="1" customWidth="1"/>
    <col min="11012" max="11012" width="11.5703125" style="1" customWidth="1"/>
    <col min="11013" max="11026" width="14.42578125" style="1" customWidth="1"/>
    <col min="11027" max="11060" width="11.5703125" style="1" customWidth="1"/>
    <col min="11061" max="11264" width="20.28515625" style="1" customWidth="1"/>
    <col min="11265" max="11265" width="13.28515625" style="1" customWidth="1"/>
    <col min="11266" max="11266" width="11.5703125" style="1" customWidth="1"/>
    <col min="11267" max="11267" width="14.5703125" style="1" customWidth="1"/>
    <col min="11268" max="11268" width="11.5703125" style="1" customWidth="1"/>
    <col min="11269" max="11282" width="14.42578125" style="1" customWidth="1"/>
    <col min="11283" max="11316" width="11.5703125" style="1" customWidth="1"/>
    <col min="11317" max="11520" width="20.28515625" style="1" customWidth="1"/>
    <col min="11521" max="11521" width="13.28515625" style="1" customWidth="1"/>
    <col min="11522" max="11522" width="11.5703125" style="1" customWidth="1"/>
    <col min="11523" max="11523" width="14.5703125" style="1" customWidth="1"/>
    <col min="11524" max="11524" width="11.5703125" style="1" customWidth="1"/>
    <col min="11525" max="11538" width="14.42578125" style="1" customWidth="1"/>
    <col min="11539" max="11572" width="11.5703125" style="1" customWidth="1"/>
    <col min="11573" max="11776" width="20.28515625" style="1" customWidth="1"/>
    <col min="11777" max="11777" width="13.28515625" style="1" customWidth="1"/>
    <col min="11778" max="11778" width="11.5703125" style="1" customWidth="1"/>
    <col min="11779" max="11779" width="14.5703125" style="1" customWidth="1"/>
    <col min="11780" max="11780" width="11.5703125" style="1" customWidth="1"/>
    <col min="11781" max="11794" width="14.42578125" style="1" customWidth="1"/>
    <col min="11795" max="11828" width="11.5703125" style="1" customWidth="1"/>
    <col min="11829" max="12032" width="20.28515625" style="1" customWidth="1"/>
    <col min="12033" max="12033" width="13.28515625" style="1" customWidth="1"/>
    <col min="12034" max="12034" width="11.5703125" style="1" customWidth="1"/>
    <col min="12035" max="12035" width="14.5703125" style="1" customWidth="1"/>
    <col min="12036" max="12036" width="11.5703125" style="1" customWidth="1"/>
    <col min="12037" max="12050" width="14.42578125" style="1" customWidth="1"/>
    <col min="12051" max="12084" width="11.5703125" style="1" customWidth="1"/>
    <col min="12085" max="12288" width="20.28515625" style="1" customWidth="1"/>
    <col min="12289" max="12289" width="13.28515625" style="1" customWidth="1"/>
    <col min="12290" max="12290" width="11.5703125" style="1" customWidth="1"/>
    <col min="12291" max="12291" width="14.5703125" style="1" customWidth="1"/>
    <col min="12292" max="12292" width="11.5703125" style="1" customWidth="1"/>
    <col min="12293" max="12306" width="14.42578125" style="1" customWidth="1"/>
    <col min="12307" max="12340" width="11.5703125" style="1" customWidth="1"/>
    <col min="12341" max="12544" width="20.28515625" style="1" customWidth="1"/>
    <col min="12545" max="12545" width="13.28515625" style="1" customWidth="1"/>
    <col min="12546" max="12546" width="11.5703125" style="1" customWidth="1"/>
    <col min="12547" max="12547" width="14.5703125" style="1" customWidth="1"/>
    <col min="12548" max="12548" width="11.5703125" style="1" customWidth="1"/>
    <col min="12549" max="12562" width="14.42578125" style="1" customWidth="1"/>
    <col min="12563" max="12596" width="11.5703125" style="1" customWidth="1"/>
    <col min="12597" max="12800" width="20.28515625" style="1" customWidth="1"/>
    <col min="12801" max="12801" width="13.28515625" style="1" customWidth="1"/>
    <col min="12802" max="12802" width="11.5703125" style="1" customWidth="1"/>
    <col min="12803" max="12803" width="14.5703125" style="1" customWidth="1"/>
    <col min="12804" max="12804" width="11.5703125" style="1" customWidth="1"/>
    <col min="12805" max="12818" width="14.42578125" style="1" customWidth="1"/>
    <col min="12819" max="12852" width="11.5703125" style="1" customWidth="1"/>
    <col min="12853" max="13056" width="20.28515625" style="1" customWidth="1"/>
    <col min="13057" max="13057" width="13.28515625" style="1" customWidth="1"/>
    <col min="13058" max="13058" width="11.5703125" style="1" customWidth="1"/>
    <col min="13059" max="13059" width="14.5703125" style="1" customWidth="1"/>
    <col min="13060" max="13060" width="11.5703125" style="1" customWidth="1"/>
    <col min="13061" max="13074" width="14.42578125" style="1" customWidth="1"/>
    <col min="13075" max="13108" width="11.5703125" style="1" customWidth="1"/>
    <col min="13109" max="13312" width="20.28515625" style="1" customWidth="1"/>
    <col min="13313" max="13313" width="13.28515625" style="1" customWidth="1"/>
    <col min="13314" max="13314" width="11.5703125" style="1" customWidth="1"/>
    <col min="13315" max="13315" width="14.5703125" style="1" customWidth="1"/>
    <col min="13316" max="13316" width="11.5703125" style="1" customWidth="1"/>
    <col min="13317" max="13330" width="14.42578125" style="1" customWidth="1"/>
    <col min="13331" max="13364" width="11.5703125" style="1" customWidth="1"/>
    <col min="13365" max="13568" width="20.28515625" style="1" customWidth="1"/>
    <col min="13569" max="13569" width="13.28515625" style="1" customWidth="1"/>
    <col min="13570" max="13570" width="11.5703125" style="1" customWidth="1"/>
    <col min="13571" max="13571" width="14.5703125" style="1" customWidth="1"/>
    <col min="13572" max="13572" width="11.5703125" style="1" customWidth="1"/>
    <col min="13573" max="13586" width="14.42578125" style="1" customWidth="1"/>
    <col min="13587" max="13620" width="11.5703125" style="1" customWidth="1"/>
    <col min="13621" max="13824" width="20.28515625" style="1" customWidth="1"/>
    <col min="13825" max="13825" width="13.28515625" style="1" customWidth="1"/>
    <col min="13826" max="13826" width="11.5703125" style="1" customWidth="1"/>
    <col min="13827" max="13827" width="14.5703125" style="1" customWidth="1"/>
    <col min="13828" max="13828" width="11.5703125" style="1" customWidth="1"/>
    <col min="13829" max="13842" width="14.42578125" style="1" customWidth="1"/>
    <col min="13843" max="13876" width="11.5703125" style="1" customWidth="1"/>
    <col min="13877" max="14080" width="20.28515625" style="1" customWidth="1"/>
    <col min="14081" max="14081" width="13.28515625" style="1" customWidth="1"/>
    <col min="14082" max="14082" width="11.5703125" style="1" customWidth="1"/>
    <col min="14083" max="14083" width="14.5703125" style="1" customWidth="1"/>
    <col min="14084" max="14084" width="11.5703125" style="1" customWidth="1"/>
    <col min="14085" max="14098" width="14.42578125" style="1" customWidth="1"/>
    <col min="14099" max="14132" width="11.5703125" style="1" customWidth="1"/>
    <col min="14133" max="14336" width="20.28515625" style="1" customWidth="1"/>
    <col min="14337" max="14337" width="13.28515625" style="1" customWidth="1"/>
    <col min="14338" max="14338" width="11.5703125" style="1" customWidth="1"/>
    <col min="14339" max="14339" width="14.5703125" style="1" customWidth="1"/>
    <col min="14340" max="14340" width="11.5703125" style="1" customWidth="1"/>
    <col min="14341" max="14354" width="14.42578125" style="1" customWidth="1"/>
    <col min="14355" max="14388" width="11.5703125" style="1" customWidth="1"/>
    <col min="14389" max="14592" width="20.28515625" style="1" customWidth="1"/>
    <col min="14593" max="14593" width="13.28515625" style="1" customWidth="1"/>
    <col min="14594" max="14594" width="11.5703125" style="1" customWidth="1"/>
    <col min="14595" max="14595" width="14.5703125" style="1" customWidth="1"/>
    <col min="14596" max="14596" width="11.5703125" style="1" customWidth="1"/>
    <col min="14597" max="14610" width="14.42578125" style="1" customWidth="1"/>
    <col min="14611" max="14644" width="11.5703125" style="1" customWidth="1"/>
    <col min="14645" max="14848" width="20.28515625" style="1" customWidth="1"/>
    <col min="14849" max="14849" width="13.28515625" style="1" customWidth="1"/>
    <col min="14850" max="14850" width="11.5703125" style="1" customWidth="1"/>
    <col min="14851" max="14851" width="14.5703125" style="1" customWidth="1"/>
    <col min="14852" max="14852" width="11.5703125" style="1" customWidth="1"/>
    <col min="14853" max="14866" width="14.42578125" style="1" customWidth="1"/>
    <col min="14867" max="14900" width="11.5703125" style="1" customWidth="1"/>
    <col min="14901" max="15104" width="20.28515625" style="1" customWidth="1"/>
    <col min="15105" max="15105" width="13.28515625" style="1" customWidth="1"/>
    <col min="15106" max="15106" width="11.5703125" style="1" customWidth="1"/>
    <col min="15107" max="15107" width="14.5703125" style="1" customWidth="1"/>
    <col min="15108" max="15108" width="11.5703125" style="1" customWidth="1"/>
    <col min="15109" max="15122" width="14.42578125" style="1" customWidth="1"/>
    <col min="15123" max="15156" width="11.5703125" style="1" customWidth="1"/>
    <col min="15157" max="15360" width="20.28515625" style="1" customWidth="1"/>
    <col min="15361" max="15361" width="13.28515625" style="1" customWidth="1"/>
    <col min="15362" max="15362" width="11.5703125" style="1" customWidth="1"/>
    <col min="15363" max="15363" width="14.5703125" style="1" customWidth="1"/>
    <col min="15364" max="15364" width="11.5703125" style="1" customWidth="1"/>
    <col min="15365" max="15378" width="14.42578125" style="1" customWidth="1"/>
    <col min="15379" max="15412" width="11.5703125" style="1" customWidth="1"/>
    <col min="15413" max="15616" width="20.28515625" style="1" customWidth="1"/>
    <col min="15617" max="15617" width="13.28515625" style="1" customWidth="1"/>
    <col min="15618" max="15618" width="11.5703125" style="1" customWidth="1"/>
    <col min="15619" max="15619" width="14.5703125" style="1" customWidth="1"/>
    <col min="15620" max="15620" width="11.5703125" style="1" customWidth="1"/>
    <col min="15621" max="15634" width="14.42578125" style="1" customWidth="1"/>
    <col min="15635" max="15668" width="11.5703125" style="1" customWidth="1"/>
    <col min="15669" max="15872" width="20.28515625" style="1" customWidth="1"/>
    <col min="15873" max="15873" width="13.28515625" style="1" customWidth="1"/>
    <col min="15874" max="15874" width="11.5703125" style="1" customWidth="1"/>
    <col min="15875" max="15875" width="14.5703125" style="1" customWidth="1"/>
    <col min="15876" max="15876" width="11.5703125" style="1" customWidth="1"/>
    <col min="15877" max="15890" width="14.42578125" style="1" customWidth="1"/>
    <col min="15891" max="15924" width="11.5703125" style="1" customWidth="1"/>
    <col min="15925" max="16128" width="20.28515625" style="1" customWidth="1"/>
    <col min="16129" max="16129" width="13.28515625" style="1" customWidth="1"/>
    <col min="16130" max="16130" width="11.5703125" style="1" customWidth="1"/>
    <col min="16131" max="16131" width="14.5703125" style="1" customWidth="1"/>
    <col min="16132" max="16132" width="11.5703125" style="1" customWidth="1"/>
    <col min="16133" max="16146" width="14.42578125" style="1" customWidth="1"/>
    <col min="16147" max="16180" width="11.5703125" style="1" customWidth="1"/>
    <col min="16181" max="16384" width="20.28515625" style="1" customWidth="1"/>
  </cols>
  <sheetData>
    <row r="3" spans="1:19" ht="21" x14ac:dyDescent="0.25">
      <c r="B3" s="10" t="s">
        <v>0</v>
      </c>
      <c r="C3" s="10"/>
      <c r="D3" s="10"/>
      <c r="E3" s="2"/>
    </row>
    <row r="4" spans="1:19" ht="21" x14ac:dyDescent="0.25">
      <c r="B4" s="10"/>
      <c r="C4" s="10"/>
      <c r="D4" s="10"/>
      <c r="E4" s="2"/>
    </row>
    <row r="6" spans="1:19" hidden="1" x14ac:dyDescent="0.25">
      <c r="E6" s="3" t="s">
        <v>1</v>
      </c>
      <c r="F6" s="3" t="s">
        <v>2</v>
      </c>
      <c r="G6" s="3" t="s">
        <v>3</v>
      </c>
      <c r="H6" s="3" t="s">
        <v>4</v>
      </c>
      <c r="I6" s="3" t="s">
        <v>5</v>
      </c>
      <c r="J6" s="3" t="s">
        <v>6</v>
      </c>
      <c r="K6" s="3" t="s">
        <v>7</v>
      </c>
      <c r="L6" s="3" t="s">
        <v>8</v>
      </c>
      <c r="M6" s="3" t="s">
        <v>9</v>
      </c>
      <c r="N6" s="3" t="s">
        <v>10</v>
      </c>
    </row>
    <row r="7" spans="1:19" s="9" customFormat="1" ht="42" customHeight="1" x14ac:dyDescent="0.25">
      <c r="A7" s="23" t="s">
        <v>11</v>
      </c>
      <c r="B7" s="6" t="s">
        <v>12</v>
      </c>
      <c r="C7" s="7" t="s">
        <v>13</v>
      </c>
      <c r="D7" s="6" t="s">
        <v>14</v>
      </c>
      <c r="E7" s="8" t="s">
        <v>15</v>
      </c>
      <c r="F7" s="8" t="s">
        <v>16</v>
      </c>
      <c r="G7" s="8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/>
      <c r="P7" s="8"/>
      <c r="Q7" s="8"/>
      <c r="R7" s="8"/>
    </row>
    <row r="8" spans="1:19" ht="15.75" x14ac:dyDescent="0.25">
      <c r="A8" s="22" t="str">
        <f>VLOOKUP(S8,[1]Sheet!$C$2:$E$68,3,0)</f>
        <v>SS220802</v>
      </c>
      <c r="B8" s="4">
        <v>45536</v>
      </c>
      <c r="E8" s="24">
        <v>5450000</v>
      </c>
      <c r="F8" s="24">
        <v>5000000</v>
      </c>
      <c r="G8" s="24">
        <v>300000</v>
      </c>
      <c r="H8" s="24"/>
      <c r="J8" s="33">
        <v>1400000</v>
      </c>
      <c r="K8" s="33">
        <v>1400000</v>
      </c>
      <c r="L8" s="33">
        <v>1200000</v>
      </c>
      <c r="M8" s="33">
        <v>1400000</v>
      </c>
      <c r="S8" s="11" t="s">
        <v>25</v>
      </c>
    </row>
    <row r="9" spans="1:19" ht="15.75" x14ac:dyDescent="0.25">
      <c r="A9" s="22" t="str">
        <f>VLOOKUP(S9,[1]Sheet!$C$2:$E$68,3,0)</f>
        <v>SS220504</v>
      </c>
      <c r="B9" s="4">
        <v>45536</v>
      </c>
      <c r="E9" s="24">
        <v>5450000</v>
      </c>
      <c r="F9" s="24">
        <v>2000000</v>
      </c>
      <c r="G9" s="24">
        <v>600000</v>
      </c>
      <c r="H9" s="24"/>
      <c r="J9" s="34">
        <v>700000</v>
      </c>
      <c r="K9" s="34">
        <v>700000</v>
      </c>
      <c r="L9" s="34">
        <v>800000</v>
      </c>
      <c r="M9" s="34">
        <v>700000</v>
      </c>
      <c r="S9" s="11" t="s">
        <v>26</v>
      </c>
    </row>
    <row r="10" spans="1:19" ht="15.75" x14ac:dyDescent="0.25">
      <c r="A10" s="22" t="str">
        <f>VLOOKUP(S10,[1]Sheet!$C$2:$E$68,3,0)</f>
        <v>SS240305</v>
      </c>
      <c r="B10" s="4">
        <v>45536</v>
      </c>
      <c r="E10" s="24">
        <v>5190000</v>
      </c>
      <c r="F10" s="24">
        <v>500000</v>
      </c>
      <c r="G10" s="24"/>
      <c r="H10" s="24"/>
      <c r="J10" s="24">
        <v>700000</v>
      </c>
      <c r="K10" s="24">
        <v>700000</v>
      </c>
      <c r="L10" s="24">
        <v>700000</v>
      </c>
      <c r="M10" s="24">
        <v>700000</v>
      </c>
      <c r="S10" s="11" t="s">
        <v>27</v>
      </c>
    </row>
    <row r="11" spans="1:19" ht="15.75" x14ac:dyDescent="0.25">
      <c r="A11" s="22" t="str">
        <f>VLOOKUP(S11,[1]Sheet!$C$2:$E$68,3,0)</f>
        <v>SS240611</v>
      </c>
      <c r="B11" s="4">
        <v>45536</v>
      </c>
      <c r="E11" s="24">
        <v>4706000</v>
      </c>
      <c r="F11" s="24">
        <v>300000</v>
      </c>
      <c r="G11" s="24"/>
      <c r="H11" s="24"/>
      <c r="J11" s="24">
        <v>1000000</v>
      </c>
      <c r="K11" s="24">
        <v>1000000</v>
      </c>
      <c r="L11" s="24">
        <v>700000</v>
      </c>
      <c r="M11" s="24">
        <v>1000000</v>
      </c>
      <c r="S11" s="11" t="s">
        <v>28</v>
      </c>
    </row>
    <row r="12" spans="1:19" ht="15.75" x14ac:dyDescent="0.25">
      <c r="A12" s="22" t="str">
        <f>VLOOKUP(S12,[1]Sheet!$C$2:$E$68,3,0)</f>
        <v>SS201002</v>
      </c>
      <c r="B12" s="4">
        <v>45536</v>
      </c>
      <c r="E12" s="24">
        <v>4064000</v>
      </c>
      <c r="F12" s="24">
        <v>1000000</v>
      </c>
      <c r="G12" s="24">
        <v>900000</v>
      </c>
      <c r="H12" s="24"/>
      <c r="J12" s="24">
        <v>600000</v>
      </c>
      <c r="K12" s="24">
        <v>600000</v>
      </c>
      <c r="L12" s="24">
        <v>600000</v>
      </c>
      <c r="M12" s="24">
        <v>600000</v>
      </c>
      <c r="S12" s="11" t="s">
        <v>29</v>
      </c>
    </row>
    <row r="13" spans="1:19" ht="15.75" x14ac:dyDescent="0.25">
      <c r="A13" s="22" t="str">
        <f>VLOOKUP(S13,[1]Sheet!$C$2:$E$68,3,0)</f>
        <v>SS201104</v>
      </c>
      <c r="B13" s="4">
        <v>45536</v>
      </c>
      <c r="E13" s="24">
        <v>4706000</v>
      </c>
      <c r="F13" s="24">
        <v>1200000</v>
      </c>
      <c r="G13" s="24">
        <v>900000</v>
      </c>
      <c r="H13" s="24"/>
      <c r="J13" s="24">
        <v>400000</v>
      </c>
      <c r="K13" s="24">
        <v>400000</v>
      </c>
      <c r="L13" s="24">
        <v>400000</v>
      </c>
      <c r="M13" s="24">
        <v>400000</v>
      </c>
      <c r="S13" s="11" t="s">
        <v>30</v>
      </c>
    </row>
    <row r="14" spans="1:19" ht="15.75" x14ac:dyDescent="0.25">
      <c r="A14" s="22" t="str">
        <f>VLOOKUP(S14,[1]Sheet!$C$2:$E$68,3,0)</f>
        <v>SS201001</v>
      </c>
      <c r="B14" s="4">
        <v>45536</v>
      </c>
      <c r="E14" s="24">
        <v>4480000</v>
      </c>
      <c r="F14" s="24">
        <v>1200000</v>
      </c>
      <c r="G14" s="24">
        <v>600000</v>
      </c>
      <c r="H14" s="24">
        <v>400000</v>
      </c>
      <c r="J14" s="24">
        <v>600000</v>
      </c>
      <c r="K14" s="24">
        <v>600000</v>
      </c>
      <c r="L14" s="24">
        <v>300000</v>
      </c>
      <c r="M14" s="24">
        <v>600000</v>
      </c>
      <c r="S14" s="11" t="s">
        <v>31</v>
      </c>
    </row>
    <row r="15" spans="1:19" ht="15.75" x14ac:dyDescent="0.25">
      <c r="A15" s="22" t="str">
        <f>VLOOKUP(S15,[1]Sheet!$C$2:$E$68,3,0)</f>
        <v>SS200406</v>
      </c>
      <c r="B15" s="4">
        <v>45536</v>
      </c>
      <c r="E15" s="24">
        <v>10600000</v>
      </c>
      <c r="F15" s="24">
        <v>4000000</v>
      </c>
      <c r="G15" s="24">
        <v>600000</v>
      </c>
      <c r="H15" s="24">
        <v>2000000</v>
      </c>
      <c r="J15" s="24">
        <v>1600000</v>
      </c>
      <c r="K15" s="24">
        <v>3000000</v>
      </c>
      <c r="L15" s="24">
        <v>3000000</v>
      </c>
      <c r="M15" s="24">
        <v>1600000</v>
      </c>
      <c r="S15" s="11" t="s">
        <v>32</v>
      </c>
    </row>
    <row r="16" spans="1:19" ht="15.75" x14ac:dyDescent="0.25">
      <c r="A16" s="22" t="str">
        <f>VLOOKUP(S16,[1]Sheet!$C$2:$E$68,3,0)</f>
        <v>SS230818</v>
      </c>
      <c r="B16" s="4">
        <v>45536</v>
      </c>
      <c r="E16" s="25">
        <v>5190000</v>
      </c>
      <c r="F16" s="30"/>
      <c r="G16" s="30"/>
      <c r="H16" s="30"/>
      <c r="J16" s="35">
        <v>1000000</v>
      </c>
      <c r="K16" s="35">
        <v>1000000</v>
      </c>
      <c r="L16" s="35">
        <v>300000</v>
      </c>
      <c r="M16" s="35">
        <v>1000000</v>
      </c>
      <c r="S16" s="11" t="s">
        <v>33</v>
      </c>
    </row>
    <row r="17" spans="1:19" ht="15.75" x14ac:dyDescent="0.25">
      <c r="A17" s="22" t="str">
        <f>VLOOKUP(S17,[1]Sheet!$C$2:$E$68,3,0)</f>
        <v>SS221005</v>
      </c>
      <c r="B17" s="4">
        <v>45536</v>
      </c>
      <c r="E17" s="24">
        <v>5450000</v>
      </c>
      <c r="F17" s="24">
        <v>500000</v>
      </c>
      <c r="G17" s="24">
        <v>300000</v>
      </c>
      <c r="H17" s="24"/>
      <c r="J17" s="33">
        <v>800000</v>
      </c>
      <c r="K17" s="33">
        <v>700000</v>
      </c>
      <c r="L17" s="33">
        <v>700000</v>
      </c>
      <c r="M17" s="33">
        <v>800000</v>
      </c>
      <c r="N17" s="3">
        <v>2116000</v>
      </c>
      <c r="S17" s="11" t="s">
        <v>34</v>
      </c>
    </row>
    <row r="18" spans="1:19" ht="15.75" x14ac:dyDescent="0.25">
      <c r="A18" s="22" t="str">
        <f>VLOOKUP(S18,[1]Sheet!$C$2:$E$68,3,0)</f>
        <v>SS230701</v>
      </c>
      <c r="B18" s="4">
        <v>45536</v>
      </c>
      <c r="E18" s="25">
        <v>5450000</v>
      </c>
      <c r="F18" s="30">
        <v>500000</v>
      </c>
      <c r="G18" s="30">
        <v>300000</v>
      </c>
      <c r="H18" s="30"/>
      <c r="J18" s="30">
        <v>1600000</v>
      </c>
      <c r="K18" s="30">
        <v>1600000</v>
      </c>
      <c r="L18" s="30"/>
      <c r="M18" s="30">
        <v>1600000</v>
      </c>
      <c r="N18" s="3">
        <v>230000</v>
      </c>
      <c r="S18" s="11" t="s">
        <v>60</v>
      </c>
    </row>
    <row r="19" spans="1:19" x14ac:dyDescent="0.25">
      <c r="A19" s="22" t="str">
        <f>VLOOKUP(S19,[1]Sheet!$C$2:$E$68,3,0)</f>
        <v>SS210303</v>
      </c>
      <c r="B19" s="4">
        <v>45536</v>
      </c>
      <c r="E19" s="26">
        <v>5141000</v>
      </c>
      <c r="F19" s="26">
        <v>1300000</v>
      </c>
      <c r="G19" s="26">
        <v>600000</v>
      </c>
      <c r="H19" s="26"/>
      <c r="J19" s="26">
        <v>1000000</v>
      </c>
      <c r="K19" s="26">
        <v>1000000</v>
      </c>
      <c r="L19" s="26">
        <v>1000000</v>
      </c>
      <c r="M19" s="26">
        <v>1000000</v>
      </c>
      <c r="N19" s="26">
        <v>0</v>
      </c>
      <c r="S19" s="12" t="s">
        <v>35</v>
      </c>
    </row>
    <row r="20" spans="1:19" x14ac:dyDescent="0.25">
      <c r="A20" s="22" t="str">
        <f>VLOOKUP(S20,[1]Sheet!$C$2:$E$68,3,0)</f>
        <v>SS230601</v>
      </c>
      <c r="B20" s="4">
        <v>45536</v>
      </c>
      <c r="E20" s="27">
        <v>5450000</v>
      </c>
      <c r="F20" s="27">
        <v>0</v>
      </c>
      <c r="G20" s="27">
        <v>300000</v>
      </c>
      <c r="H20" s="27">
        <v>0</v>
      </c>
      <c r="J20" s="27">
        <v>1200000</v>
      </c>
      <c r="K20" s="27">
        <v>1300000</v>
      </c>
      <c r="L20" s="27">
        <v>0</v>
      </c>
      <c r="M20" s="27">
        <v>1200000</v>
      </c>
      <c r="N20" s="27">
        <v>0</v>
      </c>
      <c r="S20" s="13" t="s">
        <v>36</v>
      </c>
    </row>
    <row r="21" spans="1:19" x14ac:dyDescent="0.25">
      <c r="A21" s="22" t="str">
        <f>VLOOKUP(S21,[1]Sheet!$C$2:$E$68,3,0)</f>
        <v>SS210801</v>
      </c>
      <c r="B21" s="4">
        <v>45536</v>
      </c>
      <c r="E21" s="26">
        <v>4267000</v>
      </c>
      <c r="F21" s="26">
        <v>947000</v>
      </c>
      <c r="G21" s="26">
        <v>900000</v>
      </c>
      <c r="H21" s="26"/>
      <c r="J21" s="26">
        <v>700000</v>
      </c>
      <c r="K21" s="26">
        <v>700000</v>
      </c>
      <c r="L21" s="26">
        <v>700000</v>
      </c>
      <c r="M21" s="26">
        <v>700000</v>
      </c>
      <c r="N21" s="26">
        <v>0</v>
      </c>
      <c r="S21" s="14" t="s">
        <v>37</v>
      </c>
    </row>
    <row r="22" spans="1:19" x14ac:dyDescent="0.25">
      <c r="A22" s="22" t="str">
        <f>VLOOKUP(S22,[1]Sheet!$C$2:$E$68,3,0)</f>
        <v>SS220707</v>
      </c>
      <c r="B22" s="4">
        <v>45536</v>
      </c>
      <c r="E22" s="26">
        <v>4064000</v>
      </c>
      <c r="F22" s="26">
        <v>0</v>
      </c>
      <c r="G22" s="26">
        <v>600000</v>
      </c>
      <c r="H22" s="26"/>
      <c r="J22" s="26">
        <v>300000</v>
      </c>
      <c r="K22" s="26">
        <v>0</v>
      </c>
      <c r="L22" s="26">
        <v>300000</v>
      </c>
      <c r="M22" s="26">
        <v>300000</v>
      </c>
      <c r="N22" s="26">
        <v>0</v>
      </c>
      <c r="S22" s="12" t="s">
        <v>38</v>
      </c>
    </row>
    <row r="23" spans="1:19" x14ac:dyDescent="0.25">
      <c r="A23" s="22" t="str">
        <f>VLOOKUP(S23,[1]Sheet!$C$2:$E$68,3,0)</f>
        <v>SS211004</v>
      </c>
      <c r="B23" s="4">
        <v>45536</v>
      </c>
      <c r="E23" s="26">
        <v>5450000</v>
      </c>
      <c r="F23" s="26">
        <v>1300000</v>
      </c>
      <c r="G23" s="26">
        <v>600000</v>
      </c>
      <c r="H23" s="26"/>
      <c r="J23" s="26">
        <v>1400000</v>
      </c>
      <c r="K23" s="26">
        <v>1400000</v>
      </c>
      <c r="L23" s="26">
        <v>1400000</v>
      </c>
      <c r="M23" s="26">
        <v>1400000</v>
      </c>
      <c r="N23" s="26">
        <v>0</v>
      </c>
      <c r="S23" s="14" t="s">
        <v>39</v>
      </c>
    </row>
    <row r="24" spans="1:19" x14ac:dyDescent="0.25">
      <c r="A24" s="22" t="str">
        <f>VLOOKUP(S24,[1]Sheet!$C$2:$E$68,3,0)</f>
        <v>SS220209</v>
      </c>
      <c r="B24" s="4">
        <v>45536</v>
      </c>
      <c r="E24" s="26">
        <v>4940000</v>
      </c>
      <c r="F24" s="26">
        <v>1000000</v>
      </c>
      <c r="G24" s="26">
        <v>600000</v>
      </c>
      <c r="H24" s="26"/>
      <c r="J24" s="26">
        <v>600000</v>
      </c>
      <c r="K24" s="26">
        <v>600000</v>
      </c>
      <c r="L24" s="26">
        <v>0</v>
      </c>
      <c r="M24" s="26">
        <v>600000</v>
      </c>
      <c r="N24" s="26">
        <v>0</v>
      </c>
      <c r="S24" s="14" t="s">
        <v>40</v>
      </c>
    </row>
    <row r="25" spans="1:19" x14ac:dyDescent="0.25">
      <c r="A25" s="22" t="str">
        <f>VLOOKUP(S25,[1]Sheet!$C$2:$E$68,3,0)</f>
        <v>SS221206</v>
      </c>
      <c r="B25" s="4">
        <v>45536</v>
      </c>
      <c r="E25" s="26">
        <v>5450000</v>
      </c>
      <c r="F25" s="26">
        <v>0</v>
      </c>
      <c r="G25" s="26">
        <v>300000</v>
      </c>
      <c r="H25" s="26"/>
      <c r="J25" s="26">
        <v>600000</v>
      </c>
      <c r="K25" s="26">
        <v>600000</v>
      </c>
      <c r="L25" s="26">
        <v>800000</v>
      </c>
      <c r="M25" s="26">
        <v>600000</v>
      </c>
      <c r="N25" s="26">
        <v>0</v>
      </c>
      <c r="S25" s="14" t="s">
        <v>41</v>
      </c>
    </row>
    <row r="26" spans="1:19" x14ac:dyDescent="0.25">
      <c r="A26" s="22" t="str">
        <f>VLOOKUP(S26,[1]Sheet!$C$2:$E$68,3,0)</f>
        <v>SS230201</v>
      </c>
      <c r="B26" s="4">
        <v>45536</v>
      </c>
      <c r="E26" s="26">
        <v>5450000</v>
      </c>
      <c r="F26" s="26">
        <v>0</v>
      </c>
      <c r="G26" s="26">
        <v>300000</v>
      </c>
      <c r="H26" s="26"/>
      <c r="J26" s="26">
        <v>800000</v>
      </c>
      <c r="K26" s="26">
        <v>1000000</v>
      </c>
      <c r="L26" s="26">
        <v>300000</v>
      </c>
      <c r="M26" s="26">
        <v>800000</v>
      </c>
      <c r="N26" s="26">
        <v>0</v>
      </c>
      <c r="S26" s="14" t="s">
        <v>42</v>
      </c>
    </row>
    <row r="27" spans="1:19" x14ac:dyDescent="0.25">
      <c r="A27" s="22" t="str">
        <f>VLOOKUP(S27,[1]Sheet!$C$2:$E$68,3,0)</f>
        <v>SS211104</v>
      </c>
      <c r="B27" s="4">
        <v>45536</v>
      </c>
      <c r="E27" s="26">
        <v>4064000</v>
      </c>
      <c r="F27" s="26">
        <v>0</v>
      </c>
      <c r="G27" s="26">
        <v>600000</v>
      </c>
      <c r="H27" s="26"/>
      <c r="J27" s="26">
        <v>300000</v>
      </c>
      <c r="K27" s="26">
        <v>300000</v>
      </c>
      <c r="L27" s="26">
        <v>400000</v>
      </c>
      <c r="M27" s="26">
        <v>300000</v>
      </c>
      <c r="N27" s="26">
        <v>0</v>
      </c>
      <c r="S27" s="14" t="s">
        <v>43</v>
      </c>
    </row>
    <row r="28" spans="1:19" x14ac:dyDescent="0.25">
      <c r="A28" s="22" t="str">
        <f>VLOOKUP(S28,[1]Sheet!$C$2:$E$68,3,0)</f>
        <v>SS220613</v>
      </c>
      <c r="B28" s="4">
        <v>45536</v>
      </c>
      <c r="E28" s="27">
        <v>4480000</v>
      </c>
      <c r="F28" s="27">
        <v>800000</v>
      </c>
      <c r="G28" s="27">
        <v>600000</v>
      </c>
      <c r="H28" s="27"/>
      <c r="J28" s="27">
        <v>1000000</v>
      </c>
      <c r="K28" s="27">
        <v>1000000</v>
      </c>
      <c r="L28" s="27">
        <v>900000</v>
      </c>
      <c r="M28" s="27">
        <v>1000000</v>
      </c>
      <c r="N28" s="27">
        <v>0</v>
      </c>
      <c r="S28" s="15" t="s">
        <v>44</v>
      </c>
    </row>
    <row r="29" spans="1:19" x14ac:dyDescent="0.25">
      <c r="A29" s="22" t="str">
        <f>VLOOKUP(S29,[1]Sheet!$C$2:$E$68,3,0)</f>
        <v>SS230303</v>
      </c>
      <c r="B29" s="4">
        <v>45536</v>
      </c>
      <c r="E29" s="26">
        <v>4940000</v>
      </c>
      <c r="F29" s="26">
        <v>0</v>
      </c>
      <c r="G29" s="26">
        <v>300000</v>
      </c>
      <c r="H29" s="26"/>
      <c r="J29" s="26">
        <v>800000</v>
      </c>
      <c r="K29" s="26">
        <v>800000</v>
      </c>
      <c r="L29" s="26">
        <v>600000</v>
      </c>
      <c r="M29" s="26">
        <v>800000</v>
      </c>
      <c r="N29" s="26">
        <v>0</v>
      </c>
      <c r="S29" s="12" t="s">
        <v>45</v>
      </c>
    </row>
    <row r="30" spans="1:19" x14ac:dyDescent="0.25">
      <c r="A30" s="22" t="str">
        <f>VLOOKUP(S30,[1]Sheet!$C$2:$E$68,3,0)</f>
        <v>SS240901</v>
      </c>
      <c r="B30" s="4">
        <v>45539</v>
      </c>
      <c r="E30" s="28">
        <v>8050000</v>
      </c>
      <c r="F30" s="28">
        <v>2000000</v>
      </c>
      <c r="G30" s="28"/>
      <c r="H30" s="28"/>
      <c r="J30" s="28">
        <v>5950000</v>
      </c>
      <c r="K30" s="28">
        <v>6500000</v>
      </c>
      <c r="L30" s="28">
        <v>2000000</v>
      </c>
      <c r="M30" s="28">
        <v>5950000</v>
      </c>
      <c r="N30" s="28"/>
      <c r="S30" s="12" t="s">
        <v>46</v>
      </c>
    </row>
    <row r="31" spans="1:19" ht="15.75" x14ac:dyDescent="0.25">
      <c r="A31" s="22" t="str">
        <f>VLOOKUP(S31,[1]Sheet!$C$2:$E$68,3,0)</f>
        <v>SS201105</v>
      </c>
      <c r="B31" s="4">
        <v>45536</v>
      </c>
      <c r="E31" s="29">
        <v>4267000</v>
      </c>
      <c r="F31" s="29">
        <v>1500000</v>
      </c>
      <c r="G31" s="29">
        <v>900000</v>
      </c>
      <c r="J31" s="29">
        <v>700000</v>
      </c>
      <c r="K31" s="29">
        <v>700000</v>
      </c>
      <c r="L31" s="29">
        <v>0</v>
      </c>
      <c r="M31" s="29">
        <v>700000</v>
      </c>
      <c r="N31" s="29">
        <v>0</v>
      </c>
      <c r="S31" s="16" t="s">
        <v>47</v>
      </c>
    </row>
    <row r="32" spans="1:19" ht="15.75" x14ac:dyDescent="0.25">
      <c r="A32" s="22" t="str">
        <f>VLOOKUP(S32,[1]Sheet!$C$2:$E$68,3,0)</f>
        <v>SS210201</v>
      </c>
      <c r="B32" s="4">
        <v>45536</v>
      </c>
      <c r="E32" s="29">
        <v>4267000</v>
      </c>
      <c r="F32" s="29">
        <v>1300000</v>
      </c>
      <c r="G32" s="29">
        <v>900000</v>
      </c>
      <c r="J32" s="37">
        <v>300000</v>
      </c>
      <c r="K32" s="37">
        <v>300000</v>
      </c>
      <c r="L32" s="29">
        <v>0</v>
      </c>
      <c r="M32" s="37">
        <v>300000</v>
      </c>
      <c r="N32" s="37">
        <v>0</v>
      </c>
      <c r="S32" s="16" t="s">
        <v>48</v>
      </c>
    </row>
    <row r="33" spans="1:19" ht="15.75" x14ac:dyDescent="0.25">
      <c r="A33" s="22" t="str">
        <f>VLOOKUP(S33,[1]Sheet!$C$2:$E$68,3,0)</f>
        <v>SS201201</v>
      </c>
      <c r="B33" s="4">
        <v>45536</v>
      </c>
      <c r="E33" s="29">
        <v>4267000</v>
      </c>
      <c r="F33" s="29">
        <v>1300000</v>
      </c>
      <c r="G33" s="29">
        <v>900000</v>
      </c>
      <c r="J33" s="37">
        <v>300000</v>
      </c>
      <c r="K33" s="37">
        <v>300000</v>
      </c>
      <c r="L33" s="29">
        <v>0</v>
      </c>
      <c r="M33" s="37">
        <v>300000</v>
      </c>
      <c r="N33" s="37">
        <v>0</v>
      </c>
      <c r="S33" s="16" t="s">
        <v>49</v>
      </c>
    </row>
    <row r="34" spans="1:19" ht="15.75" x14ac:dyDescent="0.25">
      <c r="A34" s="22" t="str">
        <f>VLOOKUP(S34,[1]Sheet!$C$2:$E$68,3,0)</f>
        <v>SS201202</v>
      </c>
      <c r="B34" s="4">
        <v>45536</v>
      </c>
      <c r="E34" s="29">
        <v>4267000</v>
      </c>
      <c r="F34" s="29">
        <v>1300000</v>
      </c>
      <c r="G34" s="29">
        <v>900000</v>
      </c>
      <c r="J34" s="37">
        <v>300000</v>
      </c>
      <c r="K34" s="37">
        <v>300000</v>
      </c>
      <c r="L34" s="29">
        <v>0</v>
      </c>
      <c r="M34" s="37">
        <v>300000</v>
      </c>
      <c r="N34" s="37">
        <v>0</v>
      </c>
      <c r="S34" s="17" t="s">
        <v>50</v>
      </c>
    </row>
    <row r="35" spans="1:19" ht="15.75" x14ac:dyDescent="0.25">
      <c r="A35" s="22" t="str">
        <f>VLOOKUP(S35,[1]Sheet!$C$2:$E$68,3,0)</f>
        <v>SS210301</v>
      </c>
      <c r="B35" s="4">
        <v>45536</v>
      </c>
      <c r="E35" s="29">
        <v>4267000</v>
      </c>
      <c r="F35" s="29">
        <v>800000</v>
      </c>
      <c r="G35" s="29">
        <v>900000</v>
      </c>
      <c r="J35" s="37">
        <v>300000</v>
      </c>
      <c r="K35" s="37">
        <v>300000</v>
      </c>
      <c r="L35" s="29">
        <v>0</v>
      </c>
      <c r="M35" s="37">
        <v>300000</v>
      </c>
      <c r="N35" s="37">
        <v>0</v>
      </c>
      <c r="S35" s="16" t="s">
        <v>51</v>
      </c>
    </row>
    <row r="36" spans="1:19" ht="15.75" x14ac:dyDescent="0.25">
      <c r="A36" s="22" t="str">
        <f>VLOOKUP(S36,[1]Sheet!$C$2:$E$68,3,0)</f>
        <v>SS220303</v>
      </c>
      <c r="B36" s="4">
        <v>45536</v>
      </c>
      <c r="E36" s="29">
        <v>4267000</v>
      </c>
      <c r="F36" s="29">
        <v>300000</v>
      </c>
      <c r="G36" s="29">
        <v>600000</v>
      </c>
      <c r="J36" s="37">
        <v>300000</v>
      </c>
      <c r="K36" s="37">
        <v>300000</v>
      </c>
      <c r="L36" s="29">
        <v>0</v>
      </c>
      <c r="M36" s="37">
        <v>300000</v>
      </c>
      <c r="N36" s="37">
        <v>0</v>
      </c>
      <c r="S36" s="17" t="s">
        <v>52</v>
      </c>
    </row>
    <row r="37" spans="1:19" ht="15.75" x14ac:dyDescent="0.25">
      <c r="A37" s="22" t="str">
        <f>VLOOKUP(S37,[1]Sheet!$C$2:$E$68,3,0)</f>
        <v>SS210402</v>
      </c>
      <c r="B37" s="4">
        <v>45536</v>
      </c>
      <c r="E37" s="29">
        <v>4267000</v>
      </c>
      <c r="F37" s="29"/>
      <c r="G37" s="29">
        <v>900000</v>
      </c>
      <c r="J37" s="37">
        <v>300000</v>
      </c>
      <c r="K37" s="37">
        <v>300000</v>
      </c>
      <c r="L37" s="29">
        <v>0</v>
      </c>
      <c r="M37" s="37">
        <v>300000</v>
      </c>
      <c r="N37" s="37">
        <v>0</v>
      </c>
      <c r="S37" s="17" t="s">
        <v>53</v>
      </c>
    </row>
    <row r="38" spans="1:19" ht="15.75" x14ac:dyDescent="0.25">
      <c r="A38" s="22" t="str">
        <f>VLOOKUP(S38,[1]Sheet!$C$2:$E$68,3,0)</f>
        <v>SS200202</v>
      </c>
      <c r="B38" s="4">
        <v>45536</v>
      </c>
      <c r="E38" s="29">
        <v>4267000</v>
      </c>
      <c r="F38" s="29">
        <v>300000</v>
      </c>
      <c r="G38" s="31">
        <v>600000</v>
      </c>
      <c r="J38" s="37">
        <v>300000</v>
      </c>
      <c r="K38" s="37">
        <v>300000</v>
      </c>
      <c r="L38" s="29">
        <v>0</v>
      </c>
      <c r="M38" s="37">
        <v>300000</v>
      </c>
      <c r="N38" s="37">
        <v>0</v>
      </c>
      <c r="S38" s="16" t="s">
        <v>54</v>
      </c>
    </row>
    <row r="39" spans="1:19" ht="15.75" x14ac:dyDescent="0.25">
      <c r="A39" s="22" t="str">
        <f>VLOOKUP(S39,[1]Sheet!$C$2:$E$68,3,0)</f>
        <v>SS220208</v>
      </c>
      <c r="B39" s="4">
        <v>45536</v>
      </c>
      <c r="E39" s="29">
        <v>4267000</v>
      </c>
      <c r="F39" s="31"/>
      <c r="G39" s="31">
        <v>600000</v>
      </c>
      <c r="J39" s="37">
        <v>300000</v>
      </c>
      <c r="K39" s="37">
        <v>300000</v>
      </c>
      <c r="L39" s="29">
        <v>0</v>
      </c>
      <c r="M39" s="37">
        <v>300000</v>
      </c>
      <c r="N39" s="37">
        <v>0</v>
      </c>
      <c r="S39" s="18" t="s">
        <v>55</v>
      </c>
    </row>
    <row r="40" spans="1:19" ht="15.75" x14ac:dyDescent="0.25">
      <c r="A40" s="22" t="str">
        <f>VLOOKUP(S40,[1]Sheet!$C$2:$E$68,3,0)</f>
        <v>SS220505</v>
      </c>
      <c r="B40" s="4">
        <v>45536</v>
      </c>
      <c r="E40" s="29">
        <v>4267000</v>
      </c>
      <c r="F40" s="29">
        <v>300000</v>
      </c>
      <c r="G40" s="29">
        <v>600000</v>
      </c>
      <c r="J40" s="37">
        <v>300000</v>
      </c>
      <c r="K40" s="37">
        <v>300000</v>
      </c>
      <c r="L40" s="29">
        <v>0</v>
      </c>
      <c r="M40" s="37">
        <v>300000</v>
      </c>
      <c r="N40" s="37">
        <v>0</v>
      </c>
      <c r="S40" s="19" t="s">
        <v>56</v>
      </c>
    </row>
    <row r="41" spans="1:19" ht="15.75" x14ac:dyDescent="0.25">
      <c r="A41" s="22" t="str">
        <f>VLOOKUP(S41,[1]Sheet!$C$2:$E$68,3,0)</f>
        <v>SS220506</v>
      </c>
      <c r="B41" s="4">
        <v>45536</v>
      </c>
      <c r="E41" s="29">
        <v>4267000</v>
      </c>
      <c r="F41" s="32"/>
      <c r="G41" s="29">
        <v>600000</v>
      </c>
      <c r="J41" s="29">
        <v>300000</v>
      </c>
      <c r="K41" s="29">
        <v>300000</v>
      </c>
      <c r="L41" s="29">
        <v>0</v>
      </c>
      <c r="M41" s="29">
        <v>300000</v>
      </c>
      <c r="N41" s="29">
        <v>0</v>
      </c>
      <c r="S41" s="20" t="s">
        <v>57</v>
      </c>
    </row>
    <row r="42" spans="1:19" ht="15.75" x14ac:dyDescent="0.25">
      <c r="A42" s="22" t="str">
        <f>VLOOKUP(S42,[1]Sheet!$C$2:$E$68,3,0)</f>
        <v>SS230301</v>
      </c>
      <c r="B42" s="4">
        <v>45536</v>
      </c>
      <c r="E42" s="29">
        <v>4267000</v>
      </c>
      <c r="F42" s="32"/>
      <c r="G42" s="29">
        <v>300000</v>
      </c>
      <c r="J42" s="37">
        <v>300000</v>
      </c>
      <c r="K42" s="37">
        <v>300000</v>
      </c>
      <c r="L42" s="29">
        <v>0</v>
      </c>
      <c r="M42" s="37">
        <v>300000</v>
      </c>
      <c r="N42" s="37">
        <v>0</v>
      </c>
      <c r="S42" s="20" t="s">
        <v>58</v>
      </c>
    </row>
    <row r="43" spans="1:19" ht="15.75" x14ac:dyDescent="0.25">
      <c r="A43" s="22" t="str">
        <f>VLOOKUP(S43,[1]Sheet!$C$2:$E$68,3,0)</f>
        <v>SS240403</v>
      </c>
      <c r="B43" s="4">
        <v>45536</v>
      </c>
      <c r="E43" s="29">
        <v>4064000</v>
      </c>
      <c r="F43" s="32"/>
      <c r="G43" s="29"/>
      <c r="J43" s="37">
        <v>300000</v>
      </c>
      <c r="K43" s="37">
        <v>300000</v>
      </c>
      <c r="L43" s="29">
        <v>0</v>
      </c>
      <c r="M43" s="37">
        <v>300000</v>
      </c>
      <c r="N43" s="37">
        <v>0</v>
      </c>
      <c r="S43" s="20" t="s">
        <v>59</v>
      </c>
    </row>
    <row r="44" spans="1:19" ht="15.75" x14ac:dyDescent="0.25">
      <c r="A44" s="22" t="str">
        <f>VLOOKUP(S44,[1]Sheet!$C$2:$E$68,3,0)</f>
        <v>SS201101</v>
      </c>
      <c r="B44" s="4">
        <v>45536</v>
      </c>
      <c r="E44" s="29">
        <v>4267000</v>
      </c>
      <c r="F44" s="29">
        <v>1300000</v>
      </c>
      <c r="G44" s="29">
        <v>600000</v>
      </c>
      <c r="J44" s="29">
        <v>300000</v>
      </c>
      <c r="K44" s="29">
        <v>300000</v>
      </c>
      <c r="L44" s="29">
        <v>0</v>
      </c>
      <c r="M44" s="29">
        <v>300000</v>
      </c>
      <c r="N44" s="29">
        <v>0</v>
      </c>
      <c r="S44" s="21" t="s">
        <v>61</v>
      </c>
    </row>
    <row r="45" spans="1:19" ht="15.75" x14ac:dyDescent="0.25">
      <c r="A45" s="22" t="str">
        <f>VLOOKUP(S45,[1]Sheet!$C$2:$E$68,3,0)</f>
        <v>SS220403</v>
      </c>
      <c r="B45" s="4">
        <v>45536</v>
      </c>
      <c r="E45" s="29">
        <v>4267000</v>
      </c>
      <c r="F45" s="31">
        <v>1300000</v>
      </c>
      <c r="G45" s="31">
        <v>600000</v>
      </c>
      <c r="J45" s="29">
        <v>300000</v>
      </c>
      <c r="K45" s="29">
        <v>300000</v>
      </c>
      <c r="L45" s="29">
        <v>0</v>
      </c>
      <c r="M45" s="29">
        <v>300000</v>
      </c>
      <c r="N45" s="29">
        <v>0</v>
      </c>
      <c r="S45" s="16" t="s">
        <v>62</v>
      </c>
    </row>
    <row r="46" spans="1:19" ht="15.75" x14ac:dyDescent="0.25">
      <c r="A46" s="22" t="str">
        <f>VLOOKUP(S46,[1]Sheet!$C$2:$E$68,3,0)</f>
        <v>SS211001</v>
      </c>
      <c r="B46" s="4">
        <v>45536</v>
      </c>
      <c r="E46" s="29">
        <v>4267000</v>
      </c>
      <c r="F46" s="29">
        <v>800000</v>
      </c>
      <c r="G46" s="29">
        <v>600000</v>
      </c>
      <c r="J46" s="29">
        <v>300000</v>
      </c>
      <c r="K46" s="29">
        <v>300000</v>
      </c>
      <c r="L46" s="29">
        <v>0</v>
      </c>
      <c r="M46" s="29">
        <v>300000</v>
      </c>
      <c r="N46" s="29">
        <v>0</v>
      </c>
      <c r="S46" s="16" t="s">
        <v>63</v>
      </c>
    </row>
    <row r="47" spans="1:19" ht="15.75" x14ac:dyDescent="0.25">
      <c r="A47" s="22" t="str">
        <f>VLOOKUP(S47,[1]Sheet!$C$2:$E$68,3,0)</f>
        <v>SS000006</v>
      </c>
      <c r="B47" s="4">
        <v>45536</v>
      </c>
      <c r="E47" s="29">
        <v>4267000</v>
      </c>
      <c r="F47" s="29">
        <v>800000</v>
      </c>
      <c r="G47" s="29">
        <v>600000</v>
      </c>
      <c r="J47" s="29">
        <v>300000</v>
      </c>
      <c r="K47" s="29">
        <v>300000</v>
      </c>
      <c r="L47" s="29">
        <v>0</v>
      </c>
      <c r="M47" s="29">
        <v>300000</v>
      </c>
      <c r="N47" s="29">
        <v>0</v>
      </c>
      <c r="S47" s="16" t="s">
        <v>64</v>
      </c>
    </row>
    <row r="48" spans="1:19" ht="15.75" x14ac:dyDescent="0.25">
      <c r="A48" s="22" t="str">
        <f>VLOOKUP(S48,[1]Sheet!$C$2:$E$68,3,0)</f>
        <v>SS220507</v>
      </c>
      <c r="B48" s="4">
        <v>45536</v>
      </c>
      <c r="E48" s="29">
        <v>4267000</v>
      </c>
      <c r="F48" s="31">
        <v>800000</v>
      </c>
      <c r="G48" s="31">
        <v>600000</v>
      </c>
      <c r="J48" s="29">
        <v>300000</v>
      </c>
      <c r="K48" s="29">
        <v>300000</v>
      </c>
      <c r="L48" s="29">
        <v>0</v>
      </c>
      <c r="M48" s="29">
        <v>300000</v>
      </c>
      <c r="N48" s="29">
        <v>0</v>
      </c>
      <c r="S48" s="19" t="s">
        <v>65</v>
      </c>
    </row>
    <row r="49" spans="1:19" ht="15.75" x14ac:dyDescent="0.25">
      <c r="A49" s="22" t="str">
        <f>VLOOKUP(S49,[1]Sheet!$C$2:$E$68,3,0)</f>
        <v>SS220801</v>
      </c>
      <c r="B49" s="4">
        <v>45536</v>
      </c>
      <c r="E49" s="29">
        <v>4267000</v>
      </c>
      <c r="F49" s="31">
        <v>800000</v>
      </c>
      <c r="G49" s="31">
        <v>600000</v>
      </c>
      <c r="J49" s="36">
        <v>300000</v>
      </c>
      <c r="K49" s="36">
        <v>300000</v>
      </c>
      <c r="L49" s="36">
        <v>0</v>
      </c>
      <c r="M49" s="36">
        <v>300000</v>
      </c>
      <c r="N49" s="36">
        <v>0</v>
      </c>
      <c r="S49" s="18" t="s">
        <v>82</v>
      </c>
    </row>
    <row r="50" spans="1:19" ht="15.75" x14ac:dyDescent="0.25">
      <c r="A50" s="22" t="str">
        <f>VLOOKUP(S50,[1]Sheet!$C$2:$E$68,3,0)</f>
        <v>SS220610</v>
      </c>
      <c r="B50" s="4">
        <v>45536</v>
      </c>
      <c r="E50" s="29">
        <v>4267000</v>
      </c>
      <c r="F50" s="31">
        <v>300000</v>
      </c>
      <c r="G50" s="31">
        <v>600000</v>
      </c>
      <c r="J50" s="29">
        <v>300000</v>
      </c>
      <c r="K50" s="29">
        <v>300000</v>
      </c>
      <c r="L50" s="29">
        <v>0</v>
      </c>
      <c r="M50" s="29">
        <v>300000</v>
      </c>
      <c r="N50" s="29">
        <v>0</v>
      </c>
      <c r="S50" s="16" t="s">
        <v>66</v>
      </c>
    </row>
    <row r="51" spans="1:19" ht="15.75" x14ac:dyDescent="0.25">
      <c r="A51" s="22" t="str">
        <f>VLOOKUP(S51,[1]Sheet!$C$2:$E$68,3,0)</f>
        <v>SS230302</v>
      </c>
      <c r="B51" s="4">
        <v>45536</v>
      </c>
      <c r="E51" s="29">
        <v>4267000</v>
      </c>
      <c r="F51" s="31">
        <v>300000</v>
      </c>
      <c r="G51" s="31">
        <v>300000</v>
      </c>
      <c r="J51" s="29">
        <v>300000</v>
      </c>
      <c r="K51" s="29">
        <v>300000</v>
      </c>
      <c r="L51" s="29">
        <v>0</v>
      </c>
      <c r="M51" s="29">
        <v>300000</v>
      </c>
      <c r="N51" s="29">
        <v>0</v>
      </c>
      <c r="S51" s="18" t="s">
        <v>67</v>
      </c>
    </row>
    <row r="52" spans="1:19" ht="15.75" x14ac:dyDescent="0.25">
      <c r="A52" s="22" t="str">
        <f>VLOOKUP(S52,[1]Sheet!$C$2:$E$68,3,0)</f>
        <v>SS211107</v>
      </c>
      <c r="B52" s="4">
        <v>45536</v>
      </c>
      <c r="E52" s="29">
        <v>4267000</v>
      </c>
      <c r="F52" s="31">
        <v>300000</v>
      </c>
      <c r="G52" s="31">
        <v>600000</v>
      </c>
      <c r="J52" s="29">
        <v>300000</v>
      </c>
      <c r="K52" s="29">
        <v>300000</v>
      </c>
      <c r="L52" s="29">
        <v>0</v>
      </c>
      <c r="M52" s="29">
        <v>300000</v>
      </c>
      <c r="N52" s="29">
        <v>0</v>
      </c>
      <c r="S52" s="18" t="s">
        <v>68</v>
      </c>
    </row>
    <row r="53" spans="1:19" ht="15.75" x14ac:dyDescent="0.25">
      <c r="A53" s="22" t="str">
        <f>VLOOKUP(S53,[1]Sheet!$C$2:$E$68,3,0)</f>
        <v>SS230802</v>
      </c>
      <c r="B53" s="4">
        <v>45536</v>
      </c>
      <c r="E53" s="29">
        <v>4267000</v>
      </c>
      <c r="F53" s="31">
        <v>0</v>
      </c>
      <c r="G53" s="31">
        <v>300000</v>
      </c>
      <c r="J53" s="36">
        <v>300000</v>
      </c>
      <c r="K53" s="36">
        <v>300000</v>
      </c>
      <c r="L53" s="36">
        <v>0</v>
      </c>
      <c r="M53" s="36">
        <v>300000</v>
      </c>
      <c r="N53" s="36">
        <v>0</v>
      </c>
      <c r="S53" s="18" t="s">
        <v>83</v>
      </c>
    </row>
    <row r="54" spans="1:19" ht="15.75" x14ac:dyDescent="0.25">
      <c r="A54" s="22" t="str">
        <f>VLOOKUP(S54,[1]Sheet!$C$2:$E$68,3,0)</f>
        <v>SS230803</v>
      </c>
      <c r="B54" s="4">
        <v>45536</v>
      </c>
      <c r="E54" s="29">
        <v>4267000</v>
      </c>
      <c r="F54" s="31">
        <v>0</v>
      </c>
      <c r="G54" s="31">
        <v>300000</v>
      </c>
      <c r="J54" s="36">
        <v>300000</v>
      </c>
      <c r="K54" s="36">
        <v>300000</v>
      </c>
      <c r="L54" s="36">
        <v>0</v>
      </c>
      <c r="M54" s="36">
        <v>300000</v>
      </c>
      <c r="N54" s="36">
        <v>0</v>
      </c>
      <c r="S54" s="18" t="s">
        <v>84</v>
      </c>
    </row>
    <row r="55" spans="1:19" ht="15.75" x14ac:dyDescent="0.25">
      <c r="A55" s="22" t="str">
        <f>VLOOKUP(S55,[1]Sheet!$C$2:$E$68,3,0)</f>
        <v>SS230804</v>
      </c>
      <c r="B55" s="4">
        <v>45536</v>
      </c>
      <c r="E55" s="29">
        <v>4267000</v>
      </c>
      <c r="F55" s="31">
        <v>0</v>
      </c>
      <c r="G55" s="31">
        <v>300000</v>
      </c>
      <c r="J55" s="36">
        <v>300000</v>
      </c>
      <c r="K55" s="36">
        <v>300000</v>
      </c>
      <c r="L55" s="36">
        <v>0</v>
      </c>
      <c r="M55" s="36">
        <v>300000</v>
      </c>
      <c r="N55" s="36">
        <v>0</v>
      </c>
      <c r="S55" s="18" t="s">
        <v>85</v>
      </c>
    </row>
    <row r="56" spans="1:19" ht="15.75" x14ac:dyDescent="0.25">
      <c r="A56" s="22" t="str">
        <f>VLOOKUP(S56,[1]Sheet!$C$2:$E$68,3,0)</f>
        <v>SS230805</v>
      </c>
      <c r="B56" s="4">
        <v>45536</v>
      </c>
      <c r="E56" s="29">
        <v>4267000</v>
      </c>
      <c r="F56" s="31">
        <v>0</v>
      </c>
      <c r="G56" s="31">
        <v>300000</v>
      </c>
      <c r="J56" s="36">
        <v>300000</v>
      </c>
      <c r="K56" s="36">
        <v>300000</v>
      </c>
      <c r="L56" s="36">
        <v>0</v>
      </c>
      <c r="M56" s="36">
        <v>300000</v>
      </c>
      <c r="N56" s="36">
        <v>0</v>
      </c>
      <c r="S56" s="18" t="s">
        <v>86</v>
      </c>
    </row>
    <row r="57" spans="1:19" ht="15.75" x14ac:dyDescent="0.25">
      <c r="A57" s="22" t="str">
        <f>VLOOKUP(S57,[1]Sheet!$C$2:$E$68,3,0)</f>
        <v>SS230808</v>
      </c>
      <c r="B57" s="4">
        <v>45536</v>
      </c>
      <c r="E57" s="29">
        <v>4267000</v>
      </c>
      <c r="F57" s="31">
        <v>0</v>
      </c>
      <c r="G57" s="31">
        <v>300000</v>
      </c>
      <c r="J57" s="36">
        <v>300000</v>
      </c>
      <c r="K57" s="36">
        <v>300000</v>
      </c>
      <c r="L57" s="36">
        <v>0</v>
      </c>
      <c r="M57" s="36">
        <v>300000</v>
      </c>
      <c r="N57" s="36">
        <v>0</v>
      </c>
      <c r="S57" s="18" t="s">
        <v>87</v>
      </c>
    </row>
    <row r="58" spans="1:19" ht="15.75" x14ac:dyDescent="0.25">
      <c r="A58" s="22" t="str">
        <f>VLOOKUP(S58,[1]Sheet!$C$2:$E$68,3,0)</f>
        <v>SS230809</v>
      </c>
      <c r="B58" s="4">
        <v>45536</v>
      </c>
      <c r="E58" s="29">
        <v>4267000</v>
      </c>
      <c r="F58" s="31">
        <v>0</v>
      </c>
      <c r="G58" s="31">
        <v>300000</v>
      </c>
      <c r="J58" s="36">
        <v>300000</v>
      </c>
      <c r="K58" s="36">
        <v>300000</v>
      </c>
      <c r="L58" s="36">
        <v>0</v>
      </c>
      <c r="M58" s="36">
        <v>300000</v>
      </c>
      <c r="N58" s="36">
        <v>0</v>
      </c>
      <c r="S58" s="18" t="s">
        <v>88</v>
      </c>
    </row>
    <row r="59" spans="1:19" ht="15.75" x14ac:dyDescent="0.25">
      <c r="A59" s="22" t="str">
        <f>VLOOKUP(S59,[1]Sheet!$C$2:$E$68,3,0)</f>
        <v>SS231201</v>
      </c>
      <c r="B59" s="4">
        <v>45536</v>
      </c>
      <c r="E59" s="29">
        <v>4064000</v>
      </c>
      <c r="F59" s="31">
        <v>0</v>
      </c>
      <c r="G59" s="31">
        <v>0</v>
      </c>
      <c r="J59" s="29">
        <v>300000</v>
      </c>
      <c r="K59" s="29">
        <v>300000</v>
      </c>
      <c r="L59" s="29">
        <v>0</v>
      </c>
      <c r="M59" s="29">
        <v>300000</v>
      </c>
      <c r="N59" s="29"/>
      <c r="S59" s="18" t="s">
        <v>69</v>
      </c>
    </row>
    <row r="60" spans="1:19" ht="15.75" x14ac:dyDescent="0.25">
      <c r="A60" s="22" t="str">
        <f>VLOOKUP(S60,[1]Sheet!$C$2:$E$68,3,0)</f>
        <v>SS231202</v>
      </c>
      <c r="B60" s="4">
        <v>45536</v>
      </c>
      <c r="E60" s="29">
        <v>4064000</v>
      </c>
      <c r="F60" s="31">
        <v>0</v>
      </c>
      <c r="G60" s="31">
        <v>0</v>
      </c>
      <c r="J60" s="29">
        <v>300000</v>
      </c>
      <c r="K60" s="29">
        <v>300000</v>
      </c>
      <c r="L60" s="29">
        <v>0</v>
      </c>
      <c r="M60" s="29">
        <v>300000</v>
      </c>
      <c r="N60" s="29"/>
      <c r="S60" s="18" t="s">
        <v>70</v>
      </c>
    </row>
    <row r="61" spans="1:19" ht="15.75" x14ac:dyDescent="0.25">
      <c r="A61" s="22" t="str">
        <f>VLOOKUP(S61,[1]Sheet!$C$2:$E$68,3,0)</f>
        <v>SS240203</v>
      </c>
      <c r="B61" s="4">
        <v>45536</v>
      </c>
      <c r="E61" s="29">
        <v>4064000</v>
      </c>
      <c r="F61" s="31">
        <v>0</v>
      </c>
      <c r="G61" s="31">
        <v>0</v>
      </c>
      <c r="J61" s="29">
        <v>300000</v>
      </c>
      <c r="K61" s="29">
        <v>300000</v>
      </c>
      <c r="L61" s="29">
        <v>0</v>
      </c>
      <c r="M61" s="29">
        <v>300000</v>
      </c>
      <c r="N61" s="29"/>
      <c r="S61" s="18" t="s">
        <v>71</v>
      </c>
    </row>
    <row r="62" spans="1:19" ht="15.75" x14ac:dyDescent="0.25">
      <c r="A62" s="22" t="str">
        <f>VLOOKUP(S62,[1]Sheet!$C$2:$E$68,3,0)</f>
        <v>SS240301</v>
      </c>
      <c r="B62" s="4">
        <v>45536</v>
      </c>
      <c r="E62" s="29">
        <v>4064000</v>
      </c>
      <c r="F62" s="31">
        <v>0</v>
      </c>
      <c r="G62" s="31">
        <v>0</v>
      </c>
      <c r="J62" s="29">
        <v>300000</v>
      </c>
      <c r="K62" s="29">
        <v>300000</v>
      </c>
      <c r="L62" s="29">
        <v>0</v>
      </c>
      <c r="M62" s="29">
        <v>300000</v>
      </c>
      <c r="N62" s="29"/>
      <c r="S62" s="18" t="s">
        <v>72</v>
      </c>
    </row>
    <row r="63" spans="1:19" ht="15.75" x14ac:dyDescent="0.25">
      <c r="A63" s="22" t="str">
        <f>VLOOKUP(S63,[1]Sheet!$C$2:$E$68,3,0)</f>
        <v>SS240303</v>
      </c>
      <c r="B63" s="4">
        <v>45536</v>
      </c>
      <c r="E63" s="29">
        <v>4064000</v>
      </c>
      <c r="F63" s="31">
        <v>0</v>
      </c>
      <c r="G63" s="31">
        <v>0</v>
      </c>
      <c r="J63" s="29">
        <v>300000</v>
      </c>
      <c r="K63" s="29">
        <v>300000</v>
      </c>
      <c r="L63" s="29">
        <v>0</v>
      </c>
      <c r="M63" s="29">
        <v>300000</v>
      </c>
      <c r="N63" s="29"/>
      <c r="S63" s="18" t="s">
        <v>73</v>
      </c>
    </row>
    <row r="64" spans="1:19" ht="15.75" x14ac:dyDescent="0.25">
      <c r="A64" s="22" t="str">
        <f>VLOOKUP(S64,[1]Sheet!$C$2:$E$68,3,0)</f>
        <v>SS240306</v>
      </c>
      <c r="B64" s="4">
        <v>45536</v>
      </c>
      <c r="E64" s="29">
        <v>4064000</v>
      </c>
      <c r="F64" s="31">
        <v>0</v>
      </c>
      <c r="G64" s="31">
        <v>0</v>
      </c>
      <c r="J64" s="29">
        <v>300000</v>
      </c>
      <c r="K64" s="29">
        <v>300000</v>
      </c>
      <c r="L64" s="29">
        <v>0</v>
      </c>
      <c r="M64" s="29">
        <v>300000</v>
      </c>
      <c r="N64" s="29"/>
      <c r="S64" s="18" t="s">
        <v>74</v>
      </c>
    </row>
    <row r="65" spans="1:19" ht="15.75" x14ac:dyDescent="0.25">
      <c r="A65" s="22" t="str">
        <f>VLOOKUP(S65,[1]Sheet!$C$2:$E$68,3,0)</f>
        <v>SS240307</v>
      </c>
      <c r="B65" s="4">
        <v>45536</v>
      </c>
      <c r="E65" s="29">
        <v>4064000</v>
      </c>
      <c r="F65" s="31">
        <v>0</v>
      </c>
      <c r="G65" s="31">
        <v>0</v>
      </c>
      <c r="J65" s="29">
        <v>300000</v>
      </c>
      <c r="K65" s="29">
        <v>300000</v>
      </c>
      <c r="L65" s="29">
        <v>0</v>
      </c>
      <c r="M65" s="29">
        <v>300000</v>
      </c>
      <c r="N65" s="29"/>
      <c r="S65" s="18" t="s">
        <v>75</v>
      </c>
    </row>
    <row r="66" spans="1:19" ht="15.75" x14ac:dyDescent="0.25">
      <c r="A66" s="22" t="str">
        <f>VLOOKUP(S66,[1]Sheet!$C$2:$E$68,3,0)</f>
        <v>SS240404</v>
      </c>
      <c r="B66" s="4">
        <v>45536</v>
      </c>
      <c r="E66" s="29">
        <v>4267000</v>
      </c>
      <c r="F66" s="31">
        <v>0</v>
      </c>
      <c r="G66" s="31">
        <v>600000</v>
      </c>
      <c r="J66" s="29">
        <v>300000</v>
      </c>
      <c r="K66" s="29">
        <v>300000</v>
      </c>
      <c r="L66" s="29">
        <v>0</v>
      </c>
      <c r="M66" s="29">
        <v>300000</v>
      </c>
      <c r="N66" s="29"/>
      <c r="S66" s="18" t="s">
        <v>76</v>
      </c>
    </row>
    <row r="67" spans="1:19" ht="15.75" x14ac:dyDescent="0.25">
      <c r="A67" s="22" t="str">
        <f>VLOOKUP(S67,[1]Sheet!$C$2:$E$68,3,0)</f>
        <v>SS240401</v>
      </c>
      <c r="B67" s="4">
        <v>45536</v>
      </c>
      <c r="E67" s="29">
        <v>4064000</v>
      </c>
      <c r="F67" s="31">
        <v>0</v>
      </c>
      <c r="G67" s="31">
        <v>0</v>
      </c>
      <c r="J67" s="29">
        <v>300000</v>
      </c>
      <c r="K67" s="29">
        <v>300000</v>
      </c>
      <c r="L67" s="29">
        <v>0</v>
      </c>
      <c r="M67" s="29">
        <v>300000</v>
      </c>
      <c r="N67" s="29"/>
      <c r="S67" s="18" t="s">
        <v>77</v>
      </c>
    </row>
    <row r="68" spans="1:19" ht="15.75" x14ac:dyDescent="0.25">
      <c r="A68" s="22" t="str">
        <f>VLOOKUP(S68,[1]Sheet!$C$2:$E$68,3,0)</f>
        <v>SS240610</v>
      </c>
      <c r="B68" s="4">
        <v>45536</v>
      </c>
      <c r="E68" s="29">
        <v>4064000</v>
      </c>
      <c r="F68" s="31">
        <v>0</v>
      </c>
      <c r="G68" s="31">
        <v>0</v>
      </c>
      <c r="J68" s="29">
        <v>300000</v>
      </c>
      <c r="K68" s="29">
        <v>300000</v>
      </c>
      <c r="L68" s="29">
        <v>0</v>
      </c>
      <c r="M68" s="29">
        <v>300000</v>
      </c>
      <c r="N68" s="29"/>
      <c r="S68" s="18" t="s">
        <v>78</v>
      </c>
    </row>
    <row r="69" spans="1:19" ht="15.75" x14ac:dyDescent="0.25">
      <c r="A69" s="22" t="str">
        <f>VLOOKUP(S69,[1]Sheet!$C$2:$E$68,3,0)</f>
        <v>SS201103</v>
      </c>
      <c r="B69" s="4">
        <v>45536</v>
      </c>
      <c r="E69" s="29">
        <v>4267000</v>
      </c>
      <c r="F69" s="29">
        <v>1300000</v>
      </c>
      <c r="G69" s="29">
        <v>900000</v>
      </c>
      <c r="J69" s="29">
        <v>300000</v>
      </c>
      <c r="K69" s="29">
        <v>300000</v>
      </c>
      <c r="L69" s="29">
        <v>400000</v>
      </c>
      <c r="M69" s="29">
        <v>300000</v>
      </c>
      <c r="N69" s="29">
        <v>0</v>
      </c>
      <c r="S69" s="16" t="s">
        <v>79</v>
      </c>
    </row>
    <row r="70" spans="1:19" ht="15.75" x14ac:dyDescent="0.25">
      <c r="A70" s="22" t="str">
        <f>VLOOKUP(S70,[1]Sheet!$C$2:$E$68,3,0)</f>
        <v>SS220502</v>
      </c>
      <c r="B70" s="4">
        <v>45536</v>
      </c>
      <c r="E70" s="29">
        <v>4267000</v>
      </c>
      <c r="F70" s="31">
        <v>800000</v>
      </c>
      <c r="G70" s="31">
        <v>600000</v>
      </c>
      <c r="J70" s="29">
        <v>300000</v>
      </c>
      <c r="K70" s="29">
        <v>300000</v>
      </c>
      <c r="L70" s="29">
        <v>400000</v>
      </c>
      <c r="M70" s="29">
        <v>300000</v>
      </c>
      <c r="N70" s="29">
        <v>0</v>
      </c>
      <c r="S70" s="19" t="s">
        <v>80</v>
      </c>
    </row>
    <row r="71" spans="1:19" ht="15.75" x14ac:dyDescent="0.25">
      <c r="A71" s="22" t="str">
        <f>VLOOKUP(S71,[1]Sheet!$C$2:$E$68,3,0)</f>
        <v>SS230811</v>
      </c>
      <c r="B71" s="4">
        <v>45536</v>
      </c>
      <c r="E71" s="29">
        <v>4064000</v>
      </c>
      <c r="F71" s="31">
        <v>0</v>
      </c>
      <c r="G71" s="31">
        <v>0</v>
      </c>
      <c r="J71" s="29">
        <v>300000</v>
      </c>
      <c r="K71" s="29">
        <v>300000</v>
      </c>
      <c r="L71" s="29">
        <v>400000</v>
      </c>
      <c r="M71" s="29">
        <v>300000</v>
      </c>
      <c r="N71" s="29"/>
      <c r="S71" s="18" t="s">
        <v>81</v>
      </c>
    </row>
  </sheetData>
  <autoFilter ref="A7:WXH71" xr:uid="{B2090628-C2AF-45B9-9164-9D20170AAEF5}"/>
  <mergeCells count="1">
    <mergeCell ref="B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Nguyễn Ngọc Sơn</cp:lastModifiedBy>
  <dcterms:created xsi:type="dcterms:W3CDTF">2019-04-13T23:43:53Z</dcterms:created>
  <dcterms:modified xsi:type="dcterms:W3CDTF">2024-11-06T13:18:26Z</dcterms:modified>
</cp:coreProperties>
</file>