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urceCodeHR\Shinsung\New folder\New folder\"/>
    </mc:Choice>
  </mc:AlternateContent>
  <xr:revisionPtr revIDLastSave="0" documentId="13_ncr:1_{80FD92F4-2E36-431E-9097-CBA6D5664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Sheet1!$A$14:$DB$14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20" i="1" l="1"/>
  <c r="CA16" i="1" l="1"/>
  <c r="CA17" i="1"/>
  <c r="CA18" i="1"/>
  <c r="CA19" i="1"/>
  <c r="CA20" i="1"/>
  <c r="CA22" i="1"/>
  <c r="CA23" i="1"/>
  <c r="CA24" i="1"/>
  <c r="CA25" i="1"/>
  <c r="CA15" i="1"/>
  <c r="BX27" i="1"/>
  <c r="BR27" i="1"/>
  <c r="BQ27" i="1"/>
  <c r="BP27" i="1"/>
  <c r="BC27" i="1"/>
  <c r="AN27" i="1"/>
  <c r="AL27" i="1"/>
  <c r="AI27" i="1"/>
  <c r="AH27" i="1"/>
  <c r="AF27" i="1"/>
  <c r="AD27" i="1"/>
  <c r="AB27" i="1"/>
  <c r="AA27" i="1"/>
  <c r="Z27" i="1"/>
  <c r="Y27" i="1"/>
  <c r="X27" i="1"/>
  <c r="W27" i="1"/>
  <c r="V27" i="1"/>
  <c r="U27" i="1"/>
  <c r="T27" i="1"/>
  <c r="S27" i="1"/>
  <c r="R27" i="1"/>
  <c r="N27" i="1"/>
  <c r="J27" i="1"/>
  <c r="CH26" i="1"/>
  <c r="BS26" i="1"/>
  <c r="BM26" i="1"/>
  <c r="BI26" i="1"/>
  <c r="BN26" i="1" s="1"/>
  <c r="BH26" i="1"/>
  <c r="BG26" i="1"/>
  <c r="BL26" i="1" s="1"/>
  <c r="BF26" i="1"/>
  <c r="AW26" i="1"/>
  <c r="AV26" i="1"/>
  <c r="AS26" i="1"/>
  <c r="CG26" i="1" s="1"/>
  <c r="AR26" i="1"/>
  <c r="AQ26" i="1"/>
  <c r="AP26" i="1"/>
  <c r="AM26" i="1"/>
  <c r="AK26" i="1"/>
  <c r="AJ26" i="1"/>
  <c r="Q26" i="1"/>
  <c r="P26" i="1"/>
  <c r="O26" i="1"/>
  <c r="N26" i="1"/>
  <c r="M26" i="1"/>
  <c r="L26" i="1"/>
  <c r="K26" i="1"/>
  <c r="H26" i="1"/>
  <c r="G26" i="1"/>
  <c r="I26" i="1" s="1"/>
  <c r="BS25" i="1"/>
  <c r="AS25" i="1"/>
  <c r="CG25" i="1" s="1"/>
  <c r="AQ25" i="1"/>
  <c r="AP25" i="1"/>
  <c r="BF25" i="1" s="1"/>
  <c r="AM25" i="1"/>
  <c r="AK25" i="1"/>
  <c r="AJ25" i="1"/>
  <c r="AG25" i="1"/>
  <c r="AE25" i="1"/>
  <c r="Q25" i="1"/>
  <c r="P25" i="1"/>
  <c r="O25" i="1"/>
  <c r="N25" i="1"/>
  <c r="M25" i="1"/>
  <c r="L25" i="1"/>
  <c r="K25" i="1"/>
  <c r="H25" i="1"/>
  <c r="G25" i="1"/>
  <c r="BS24" i="1"/>
  <c r="BH24" i="1"/>
  <c r="BM24" i="1" s="1"/>
  <c r="AQ24" i="1"/>
  <c r="AS24" i="1" s="1"/>
  <c r="AP24" i="1"/>
  <c r="AR24" i="1" s="1"/>
  <c r="AM24" i="1"/>
  <c r="AK24" i="1"/>
  <c r="AJ24" i="1"/>
  <c r="Q24" i="1"/>
  <c r="P24" i="1"/>
  <c r="O24" i="1"/>
  <c r="N24" i="1"/>
  <c r="M24" i="1"/>
  <c r="L24" i="1"/>
  <c r="K24" i="1"/>
  <c r="H24" i="1"/>
  <c r="I24" i="1" s="1"/>
  <c r="G24" i="1"/>
  <c r="BS23" i="1"/>
  <c r="AQ23" i="1"/>
  <c r="AS23" i="1" s="1"/>
  <c r="CG23" i="1" s="1"/>
  <c r="AP23" i="1"/>
  <c r="AM23" i="1"/>
  <c r="AK23" i="1"/>
  <c r="AJ23" i="1"/>
  <c r="AE23" i="1"/>
  <c r="Q23" i="1"/>
  <c r="P23" i="1"/>
  <c r="O23" i="1"/>
  <c r="N23" i="1"/>
  <c r="M23" i="1"/>
  <c r="L23" i="1"/>
  <c r="K23" i="1"/>
  <c r="I23" i="1"/>
  <c r="AG23" i="1" s="1"/>
  <c r="H23" i="1"/>
  <c r="G23" i="1"/>
  <c r="BS22" i="1"/>
  <c r="BH22" i="1"/>
  <c r="BM22" i="1" s="1"/>
  <c r="BF22" i="1"/>
  <c r="AS22" i="1"/>
  <c r="CG22" i="1" s="1"/>
  <c r="AR22" i="1"/>
  <c r="AQ22" i="1"/>
  <c r="AP22" i="1"/>
  <c r="AM22" i="1"/>
  <c r="AK22" i="1"/>
  <c r="AJ22" i="1"/>
  <c r="AG22" i="1"/>
  <c r="Q22" i="1"/>
  <c r="P22" i="1"/>
  <c r="O22" i="1"/>
  <c r="N22" i="1"/>
  <c r="M22" i="1"/>
  <c r="L22" i="1"/>
  <c r="K22" i="1"/>
  <c r="H22" i="1"/>
  <c r="G22" i="1"/>
  <c r="I22" i="1" s="1"/>
  <c r="BS21" i="1"/>
  <c r="BM21" i="1"/>
  <c r="AS21" i="1"/>
  <c r="CG21" i="1" s="1"/>
  <c r="AR21" i="1"/>
  <c r="AQ21" i="1"/>
  <c r="AP21" i="1"/>
  <c r="BH21" i="1" s="1"/>
  <c r="AM21" i="1"/>
  <c r="AK21" i="1"/>
  <c r="AJ21" i="1"/>
  <c r="Q21" i="1"/>
  <c r="P21" i="1"/>
  <c r="O21" i="1"/>
  <c r="N21" i="1"/>
  <c r="M21" i="1"/>
  <c r="L21" i="1"/>
  <c r="K21" i="1"/>
  <c r="H21" i="1"/>
  <c r="G21" i="1"/>
  <c r="I21" i="1" s="1"/>
  <c r="BS20" i="1"/>
  <c r="BF20" i="1"/>
  <c r="BI20" i="1" s="1"/>
  <c r="BN20" i="1" s="1"/>
  <c r="AS20" i="1"/>
  <c r="CG20" i="1" s="1"/>
  <c r="AQ20" i="1"/>
  <c r="AP20" i="1"/>
  <c r="AM20" i="1"/>
  <c r="AK20" i="1"/>
  <c r="AJ20" i="1"/>
  <c r="Q20" i="1"/>
  <c r="P20" i="1"/>
  <c r="O20" i="1"/>
  <c r="N20" i="1"/>
  <c r="M20" i="1"/>
  <c r="L20" i="1"/>
  <c r="K20" i="1"/>
  <c r="H20" i="1"/>
  <c r="G20" i="1"/>
  <c r="I20" i="1" s="1"/>
  <c r="BS19" i="1"/>
  <c r="BI19" i="1"/>
  <c r="BN19" i="1" s="1"/>
  <c r="BH19" i="1"/>
  <c r="BM19" i="1" s="1"/>
  <c r="AY19" i="1"/>
  <c r="AX19" i="1"/>
  <c r="AR19" i="1"/>
  <c r="AQ19" i="1"/>
  <c r="AS19" i="1" s="1"/>
  <c r="CG19" i="1" s="1"/>
  <c r="AP19" i="1"/>
  <c r="BF19" i="1" s="1"/>
  <c r="BG19" i="1" s="1"/>
  <c r="AM19" i="1"/>
  <c r="AK19" i="1"/>
  <c r="AJ19" i="1"/>
  <c r="Q19" i="1"/>
  <c r="P19" i="1"/>
  <c r="O19" i="1"/>
  <c r="N19" i="1"/>
  <c r="M19" i="1"/>
  <c r="L19" i="1"/>
  <c r="K19" i="1"/>
  <c r="H19" i="1"/>
  <c r="G19" i="1"/>
  <c r="I19" i="1" s="1"/>
  <c r="AC19" i="1" s="1"/>
  <c r="BT19" i="1" s="1"/>
  <c r="BS18" i="1"/>
  <c r="AS18" i="1"/>
  <c r="CG18" i="1" s="1"/>
  <c r="AQ18" i="1"/>
  <c r="AP18" i="1"/>
  <c r="AM18" i="1"/>
  <c r="AK18" i="1"/>
  <c r="AJ18" i="1"/>
  <c r="Q18" i="1"/>
  <c r="P18" i="1"/>
  <c r="O18" i="1"/>
  <c r="N18" i="1"/>
  <c r="M18" i="1"/>
  <c r="L18" i="1"/>
  <c r="K18" i="1"/>
  <c r="H18" i="1"/>
  <c r="G18" i="1"/>
  <c r="BS17" i="1"/>
  <c r="AQ17" i="1"/>
  <c r="AS17" i="1" s="1"/>
  <c r="CG17" i="1" s="1"/>
  <c r="AP17" i="1"/>
  <c r="AM17" i="1"/>
  <c r="AK17" i="1"/>
  <c r="AJ17" i="1"/>
  <c r="Q17" i="1"/>
  <c r="P17" i="1"/>
  <c r="O17" i="1"/>
  <c r="N17" i="1"/>
  <c r="M17" i="1"/>
  <c r="L17" i="1"/>
  <c r="K17" i="1"/>
  <c r="H17" i="1"/>
  <c r="G17" i="1"/>
  <c r="I17" i="1" s="1"/>
  <c r="BS16" i="1"/>
  <c r="AQ16" i="1"/>
  <c r="AS16" i="1" s="1"/>
  <c r="CG16" i="1" s="1"/>
  <c r="AP16" i="1"/>
  <c r="BF16" i="1" s="1"/>
  <c r="BI16" i="1" s="1"/>
  <c r="BN16" i="1" s="1"/>
  <c r="AM16" i="1"/>
  <c r="AM27" i="1" s="1"/>
  <c r="AK16" i="1"/>
  <c r="AJ16" i="1"/>
  <c r="Q16" i="1"/>
  <c r="P16" i="1"/>
  <c r="O16" i="1"/>
  <c r="N16" i="1"/>
  <c r="M16" i="1"/>
  <c r="L16" i="1"/>
  <c r="K16" i="1"/>
  <c r="H16" i="1"/>
  <c r="G16" i="1"/>
  <c r="I16" i="1" s="1"/>
  <c r="BS15" i="1"/>
  <c r="BF15" i="1"/>
  <c r="AS15" i="1"/>
  <c r="AQ15" i="1"/>
  <c r="AP15" i="1"/>
  <c r="AM15" i="1"/>
  <c r="AK15" i="1"/>
  <c r="AJ15" i="1"/>
  <c r="AG15" i="1"/>
  <c r="Q15" i="1"/>
  <c r="P15" i="1"/>
  <c r="O15" i="1"/>
  <c r="N15" i="1"/>
  <c r="M15" i="1"/>
  <c r="L15" i="1"/>
  <c r="K15" i="1"/>
  <c r="K27" i="1" s="1"/>
  <c r="H15" i="1"/>
  <c r="G15" i="1"/>
  <c r="I15" i="1" s="1"/>
  <c r="AL13" i="1"/>
  <c r="AU5" i="1"/>
  <c r="D3" i="1"/>
  <c r="AE20" i="1" l="1"/>
  <c r="AC20" i="1"/>
  <c r="AG20" i="1"/>
  <c r="AE24" i="1"/>
  <c r="AG24" i="1"/>
  <c r="AC24" i="1"/>
  <c r="L27" i="1"/>
  <c r="BI15" i="1"/>
  <c r="BG15" i="1"/>
  <c r="AE17" i="1"/>
  <c r="AG17" i="1"/>
  <c r="AC17" i="1"/>
  <c r="BF17" i="1"/>
  <c r="AR17" i="1"/>
  <c r="BH17" i="1"/>
  <c r="BM17" i="1" s="1"/>
  <c r="BI25" i="1"/>
  <c r="BN25" i="1" s="1"/>
  <c r="BG25" i="1"/>
  <c r="BL19" i="1"/>
  <c r="AC16" i="1"/>
  <c r="AG16" i="1"/>
  <c r="AT24" i="1"/>
  <c r="CG24" i="1"/>
  <c r="CI24" i="1"/>
  <c r="AW24" i="1"/>
  <c r="BB24" i="1"/>
  <c r="AX24" i="1"/>
  <c r="P27" i="1"/>
  <c r="AE16" i="1"/>
  <c r="I27" i="1"/>
  <c r="AE15" i="1"/>
  <c r="AC15" i="1"/>
  <c r="AS27" i="1"/>
  <c r="CG27" i="1" s="1"/>
  <c r="CG15" i="1"/>
  <c r="H27" i="1"/>
  <c r="M27" i="1"/>
  <c r="Q27" i="1"/>
  <c r="AJ27" i="1"/>
  <c r="AP27" i="1"/>
  <c r="BG16" i="1"/>
  <c r="AR18" i="1"/>
  <c r="BH18" i="1"/>
  <c r="BM18" i="1" s="1"/>
  <c r="BF18" i="1"/>
  <c r="AC21" i="1"/>
  <c r="AG21" i="1"/>
  <c r="BB21" i="1"/>
  <c r="AU22" i="1"/>
  <c r="BG22" i="1"/>
  <c r="BI22" i="1"/>
  <c r="BN22" i="1" s="1"/>
  <c r="CI22" i="1"/>
  <c r="AY24" i="1"/>
  <c r="AC26" i="1"/>
  <c r="AG26" i="1"/>
  <c r="AE26" i="1"/>
  <c r="AK27" i="1"/>
  <c r="AQ27" i="1"/>
  <c r="BH15" i="1"/>
  <c r="BS27" i="1"/>
  <c r="BH16" i="1"/>
  <c r="BM16" i="1" s="1"/>
  <c r="AE19" i="1"/>
  <c r="CI19" i="1"/>
  <c r="BA19" i="1"/>
  <c r="AW19" i="1"/>
  <c r="BB19" i="1"/>
  <c r="AV19" i="1"/>
  <c r="CF19" i="1"/>
  <c r="AZ19" i="1"/>
  <c r="AU19" i="1"/>
  <c r="AR20" i="1"/>
  <c r="BH20" i="1"/>
  <c r="BM20" i="1" s="1"/>
  <c r="BG20" i="1"/>
  <c r="AE21" i="1"/>
  <c r="AV21" i="1"/>
  <c r="AY22" i="1"/>
  <c r="AY21" i="1"/>
  <c r="AU21" i="1"/>
  <c r="CI21" i="1"/>
  <c r="AZ21" i="1"/>
  <c r="AT21" i="1"/>
  <c r="CH21" i="1"/>
  <c r="AX21" i="1"/>
  <c r="BA21" i="1"/>
  <c r="BF23" i="1"/>
  <c r="AR23" i="1"/>
  <c r="AR25" i="1"/>
  <c r="BH25" i="1"/>
  <c r="BM25" i="1" s="1"/>
  <c r="O27" i="1"/>
  <c r="AR15" i="1"/>
  <c r="AR16" i="1"/>
  <c r="I18" i="1"/>
  <c r="AG19" i="1"/>
  <c r="AO19" i="1"/>
  <c r="AT19" i="1"/>
  <c r="CH19" i="1"/>
  <c r="AW21" i="1"/>
  <c r="AE22" i="1"/>
  <c r="AC22" i="1"/>
  <c r="BA22" i="1"/>
  <c r="AZ22" i="1"/>
  <c r="BH23" i="1"/>
  <c r="BM23" i="1" s="1"/>
  <c r="AV22" i="1"/>
  <c r="BF24" i="1"/>
  <c r="I25" i="1"/>
  <c r="AC25" i="1" s="1"/>
  <c r="AY26" i="1"/>
  <c r="AU26" i="1"/>
  <c r="BD26" i="1" s="1"/>
  <c r="BB26" i="1"/>
  <c r="AX26" i="1"/>
  <c r="AT26" i="1"/>
  <c r="AZ26" i="1"/>
  <c r="BO26" i="1"/>
  <c r="CI26" i="1"/>
  <c r="BF21" i="1"/>
  <c r="BB22" i="1"/>
  <c r="AX22" i="1"/>
  <c r="AT22" i="1"/>
  <c r="AW22" i="1"/>
  <c r="CH22" i="1"/>
  <c r="AC23" i="1"/>
  <c r="CH24" i="1"/>
  <c r="AZ24" i="1"/>
  <c r="AV24" i="1"/>
  <c r="AU24" i="1"/>
  <c r="BA24" i="1"/>
  <c r="BA26" i="1"/>
  <c r="BY26" i="1"/>
  <c r="BJ26" i="1" s="1"/>
  <c r="BK26" i="1" s="1"/>
  <c r="BL16" i="1" l="1"/>
  <c r="CI17" i="1"/>
  <c r="BA17" i="1"/>
  <c r="AW17" i="1"/>
  <c r="CH17" i="1"/>
  <c r="AZ17" i="1"/>
  <c r="AV17" i="1"/>
  <c r="BB17" i="1"/>
  <c r="AT17" i="1"/>
  <c r="AY17" i="1"/>
  <c r="AX17" i="1"/>
  <c r="AU17" i="1"/>
  <c r="BD17" i="1" s="1"/>
  <c r="BI21" i="1"/>
  <c r="BN21" i="1" s="1"/>
  <c r="BG21" i="1"/>
  <c r="AO22" i="1"/>
  <c r="BT22" i="1"/>
  <c r="CF22" i="1" s="1"/>
  <c r="CI16" i="1"/>
  <c r="BA16" i="1"/>
  <c r="AW16" i="1"/>
  <c r="CH16" i="1"/>
  <c r="AX16" i="1"/>
  <c r="BB16" i="1"/>
  <c r="AV16" i="1"/>
  <c r="CF16" i="1"/>
  <c r="AZ16" i="1"/>
  <c r="AU16" i="1"/>
  <c r="AY16" i="1"/>
  <c r="AT16" i="1"/>
  <c r="BO19" i="1"/>
  <c r="BY19" i="1"/>
  <c r="BJ19" i="1" s="1"/>
  <c r="BK19" i="1" s="1"/>
  <c r="AO23" i="1"/>
  <c r="BT23" i="1"/>
  <c r="BD21" i="1"/>
  <c r="BI23" i="1"/>
  <c r="BN23" i="1" s="1"/>
  <c r="BG23" i="1"/>
  <c r="BL20" i="1"/>
  <c r="BD22" i="1"/>
  <c r="BE22" i="1" s="1"/>
  <c r="BI18" i="1"/>
  <c r="BN18" i="1" s="1"/>
  <c r="BG18" i="1"/>
  <c r="BT15" i="1"/>
  <c r="AO15" i="1"/>
  <c r="AO16" i="1"/>
  <c r="BT16" i="1"/>
  <c r="BL25" i="1"/>
  <c r="BI17" i="1"/>
  <c r="BN17" i="1" s="1"/>
  <c r="BG17" i="1"/>
  <c r="BL15" i="1"/>
  <c r="BT24" i="1"/>
  <c r="CF24" i="1" s="1"/>
  <c r="AO24" i="1"/>
  <c r="BT20" i="1"/>
  <c r="AO20" i="1"/>
  <c r="BE19" i="1"/>
  <c r="CH25" i="1"/>
  <c r="AZ25" i="1"/>
  <c r="AV25" i="1"/>
  <c r="AY25" i="1"/>
  <c r="AU25" i="1"/>
  <c r="BA25" i="1"/>
  <c r="AX25" i="1"/>
  <c r="AT25" i="1"/>
  <c r="CI25" i="1"/>
  <c r="AW25" i="1"/>
  <c r="BB25" i="1"/>
  <c r="CH20" i="1"/>
  <c r="AZ20" i="1"/>
  <c r="AV20" i="1"/>
  <c r="CI20" i="1"/>
  <c r="AX20" i="1"/>
  <c r="BB20" i="1"/>
  <c r="AW20" i="1"/>
  <c r="AY20" i="1"/>
  <c r="CF20" i="1"/>
  <c r="BA20" i="1"/>
  <c r="AU20" i="1"/>
  <c r="AT20" i="1"/>
  <c r="BH27" i="1"/>
  <c r="BM15" i="1"/>
  <c r="BM27" i="1" s="1"/>
  <c r="CH18" i="1"/>
  <c r="AZ18" i="1"/>
  <c r="AV18" i="1"/>
  <c r="AY18" i="1"/>
  <c r="AU18" i="1"/>
  <c r="BA18" i="1"/>
  <c r="AX18" i="1"/>
  <c r="AW18" i="1"/>
  <c r="CI18" i="1"/>
  <c r="BB18" i="1"/>
  <c r="AT18" i="1"/>
  <c r="BF27" i="1"/>
  <c r="BD24" i="1"/>
  <c r="BE24" i="1" s="1"/>
  <c r="AR27" i="1"/>
  <c r="CH15" i="1"/>
  <c r="AZ15" i="1"/>
  <c r="AV15" i="1"/>
  <c r="AV27" i="1" s="1"/>
  <c r="AY15" i="1"/>
  <c r="AU15" i="1"/>
  <c r="BB15" i="1"/>
  <c r="BB27" i="1" s="1"/>
  <c r="AX15" i="1"/>
  <c r="AT15" i="1"/>
  <c r="BA15" i="1"/>
  <c r="CI15" i="1"/>
  <c r="AW15" i="1"/>
  <c r="CI23" i="1"/>
  <c r="BA23" i="1"/>
  <c r="AW23" i="1"/>
  <c r="AY23" i="1"/>
  <c r="AT23" i="1"/>
  <c r="CH23" i="1"/>
  <c r="AX23" i="1"/>
  <c r="AV23" i="1"/>
  <c r="AZ23" i="1"/>
  <c r="AU23" i="1"/>
  <c r="CF23" i="1"/>
  <c r="BB23" i="1"/>
  <c r="BD19" i="1"/>
  <c r="AO26" i="1"/>
  <c r="BE26" i="1" s="1"/>
  <c r="BT26" i="1"/>
  <c r="CF26" i="1" s="1"/>
  <c r="BL22" i="1"/>
  <c r="AO21" i="1"/>
  <c r="BE21" i="1" s="1"/>
  <c r="BT21" i="1"/>
  <c r="CF21" i="1" s="1"/>
  <c r="BT25" i="1"/>
  <c r="CF25" i="1" s="1"/>
  <c r="AO25" i="1"/>
  <c r="BI24" i="1"/>
  <c r="BN24" i="1" s="1"/>
  <c r="BG24" i="1"/>
  <c r="AE18" i="1"/>
  <c r="AC18" i="1"/>
  <c r="AC27" i="1" s="1"/>
  <c r="AG18" i="1"/>
  <c r="AG27" i="1" s="1"/>
  <c r="AE27" i="1"/>
  <c r="BT17" i="1"/>
  <c r="CF17" i="1" s="1"/>
  <c r="AO17" i="1"/>
  <c r="BI27" i="1"/>
  <c r="BN15" i="1"/>
  <c r="BN27" i="1" s="1"/>
  <c r="BU26" i="1" l="1"/>
  <c r="BV26" i="1" s="1"/>
  <c r="BW26" i="1" s="1"/>
  <c r="BZ26" i="1" s="1"/>
  <c r="CA26" i="1" s="1"/>
  <c r="BU21" i="1"/>
  <c r="BU24" i="1"/>
  <c r="BU22" i="1"/>
  <c r="BL24" i="1"/>
  <c r="BE17" i="1"/>
  <c r="BD23" i="1"/>
  <c r="BA27" i="1"/>
  <c r="CF15" i="1"/>
  <c r="BD18" i="1"/>
  <c r="BE18" i="1" s="1"/>
  <c r="BD20" i="1"/>
  <c r="BL17" i="1"/>
  <c r="BY20" i="1"/>
  <c r="BJ20" i="1" s="1"/>
  <c r="BK20" i="1" s="1"/>
  <c r="BO20" i="1"/>
  <c r="BO16" i="1"/>
  <c r="BY16" i="1"/>
  <c r="BJ16" i="1" s="1"/>
  <c r="BK16" i="1" s="1"/>
  <c r="BE20" i="1"/>
  <c r="BZ19" i="1"/>
  <c r="BU19" i="1"/>
  <c r="BV19" i="1" s="1"/>
  <c r="BW19" i="1" s="1"/>
  <c r="BG27" i="1"/>
  <c r="BY25" i="1"/>
  <c r="BJ25" i="1" s="1"/>
  <c r="BK25" i="1" s="1"/>
  <c r="BO25" i="1"/>
  <c r="BL23" i="1"/>
  <c r="BE16" i="1"/>
  <c r="AZ27" i="1"/>
  <c r="BT18" i="1"/>
  <c r="CF18" i="1" s="1"/>
  <c r="AO18" i="1"/>
  <c r="BO22" i="1"/>
  <c r="BY22" i="1"/>
  <c r="BJ22" i="1" s="1"/>
  <c r="BK22" i="1" s="1"/>
  <c r="BE23" i="1"/>
  <c r="AT27" i="1"/>
  <c r="BE15" i="1"/>
  <c r="AU27" i="1"/>
  <c r="BD15" i="1"/>
  <c r="BL18" i="1"/>
  <c r="BD16" i="1"/>
  <c r="BL21" i="1"/>
  <c r="AW27" i="1"/>
  <c r="AX27" i="1"/>
  <c r="AY27" i="1"/>
  <c r="CI27" i="1"/>
  <c r="CH27" i="1"/>
  <c r="BD25" i="1"/>
  <c r="BE25" i="1" s="1"/>
  <c r="BY15" i="1"/>
  <c r="BO15" i="1"/>
  <c r="AO27" i="1"/>
  <c r="BU25" i="1" l="1"/>
  <c r="BV25" i="1" s="1"/>
  <c r="BW25" i="1" s="1"/>
  <c r="BZ25" i="1" s="1"/>
  <c r="BU18" i="1"/>
  <c r="BY18" i="1"/>
  <c r="BJ18" i="1" s="1"/>
  <c r="BK18" i="1" s="1"/>
  <c r="BO18" i="1"/>
  <c r="BZ20" i="1"/>
  <c r="BV20" i="1"/>
  <c r="BW20" i="1" s="1"/>
  <c r="BU17" i="1"/>
  <c r="BY23" i="1"/>
  <c r="BJ23" i="1" s="1"/>
  <c r="BK23" i="1" s="1"/>
  <c r="BO23" i="1"/>
  <c r="BZ23" i="1" s="1"/>
  <c r="BY17" i="1"/>
  <c r="BJ17" i="1" s="1"/>
  <c r="BK17" i="1" s="1"/>
  <c r="BO17" i="1"/>
  <c r="BT27" i="1"/>
  <c r="CF27" i="1" s="1"/>
  <c r="BV22" i="1"/>
  <c r="BW22" i="1" s="1"/>
  <c r="BZ22" i="1" s="1"/>
  <c r="BE27" i="1"/>
  <c r="BU15" i="1"/>
  <c r="BU16" i="1"/>
  <c r="BV16" i="1" s="1"/>
  <c r="BW16" i="1" s="1"/>
  <c r="BZ16" i="1" s="1"/>
  <c r="BO27" i="1"/>
  <c r="BY21" i="1"/>
  <c r="BJ21" i="1" s="1"/>
  <c r="BK21" i="1" s="1"/>
  <c r="BO21" i="1"/>
  <c r="BJ15" i="1"/>
  <c r="BD27" i="1"/>
  <c r="BU23" i="1"/>
  <c r="BV23" i="1" s="1"/>
  <c r="BW23" i="1" s="1"/>
  <c r="BL27" i="1"/>
  <c r="BY24" i="1"/>
  <c r="BJ24" i="1" s="1"/>
  <c r="BK24" i="1" s="1"/>
  <c r="BO24" i="1"/>
  <c r="BV24" i="1"/>
  <c r="BW24" i="1" s="1"/>
  <c r="BY27" i="1" l="1"/>
  <c r="BV17" i="1"/>
  <c r="BW17" i="1" s="1"/>
  <c r="BZ17" i="1" s="1"/>
  <c r="BZ24" i="1"/>
  <c r="BV21" i="1"/>
  <c r="BW21" i="1" s="1"/>
  <c r="BZ21" i="1" s="1"/>
  <c r="CA21" i="1" s="1"/>
  <c r="BJ27" i="1"/>
  <c r="BK15" i="1"/>
  <c r="BK27" i="1" s="1"/>
  <c r="BU27" i="1"/>
  <c r="BV15" i="1"/>
  <c r="BV18" i="1"/>
  <c r="BW18" i="1" s="1"/>
  <c r="BZ18" i="1" s="1"/>
  <c r="BV27" i="1" l="1"/>
  <c r="BW15" i="1"/>
  <c r="BW27" i="1" l="1"/>
  <c r="BZ15" i="1"/>
  <c r="BZ27" i="1" s="1"/>
  <c r="CA27" i="1" s="1"/>
</calcChain>
</file>

<file path=xl/sharedStrings.xml><?xml version="1.0" encoding="utf-8"?>
<sst xmlns="http://schemas.openxmlformats.org/spreadsheetml/2006/main" count="472" uniqueCount="318">
  <si>
    <t>1</t>
  </si>
  <si>
    <t>CÔNG TY TNHH SHINSUNG VINA</t>
  </si>
  <si>
    <t>null</t>
  </si>
  <si>
    <t>Lô CN04, khu công nghiệp Cẩm Khê, TT.Cẩm Khê, H.Cẩm Khê, T.Phú Thọ</t>
  </si>
  <si>
    <t>12</t>
  </si>
  <si>
    <t>2024</t>
  </si>
  <si>
    <t>No</t>
  </si>
  <si>
    <t>Employee_ID</t>
  </si>
  <si>
    <t>FullName</t>
  </si>
  <si>
    <t>PositionName</t>
  </si>
  <si>
    <t>GioCongTieuChuan</t>
  </si>
  <si>
    <t>SoNgayOT</t>
  </si>
  <si>
    <t>CD1</t>
  </si>
  <si>
    <t>CD2</t>
  </si>
  <si>
    <t>CD4</t>
  </si>
  <si>
    <t>CD3</t>
  </si>
  <si>
    <t>OldCD1</t>
  </si>
  <si>
    <t>OldCD2</t>
  </si>
  <si>
    <t>OldCD4</t>
  </si>
  <si>
    <t>OldCD3</t>
  </si>
  <si>
    <t>CD14</t>
  </si>
  <si>
    <t>CD16</t>
  </si>
  <si>
    <t>CD11</t>
  </si>
  <si>
    <t>HT11</t>
  </si>
  <si>
    <t>TCConNho</t>
  </si>
  <si>
    <t>SinhNhat</t>
  </si>
  <si>
    <t>GiamTruBanThan</t>
  </si>
  <si>
    <t>NguoiPhuThuoc</t>
  </si>
  <si>
    <t>GiamTruNPT</t>
  </si>
  <si>
    <t>HT5</t>
  </si>
  <si>
    <t>BankAccount</t>
  </si>
  <si>
    <t>HT19</t>
  </si>
  <si>
    <t>ChiaDuoi20h</t>
  </si>
  <si>
    <t>CD18</t>
  </si>
  <si>
    <t>ChuyenCan</t>
  </si>
  <si>
    <t>Ngay15</t>
  </si>
  <si>
    <t>HT12</t>
  </si>
  <si>
    <t>HT20</t>
  </si>
  <si>
    <t>NgayDoiLuong</t>
  </si>
  <si>
    <t>DongBHLuongCu</t>
  </si>
  <si>
    <t>Key</t>
  </si>
  <si>
    <t>Salary_Month</t>
  </si>
  <si>
    <t>Salary_Year</t>
  </si>
  <si>
    <t>NgayCongTieuChuan</t>
  </si>
  <si>
    <t>GioCongTieuChuan1Ngay</t>
  </si>
  <si>
    <t>cct_wt1</t>
  </si>
  <si>
    <t>cct_wt9</t>
  </si>
  <si>
    <t>cct_wt3</t>
  </si>
  <si>
    <t>cct_wt5</t>
  </si>
  <si>
    <t>cct_wt4</t>
  </si>
  <si>
    <t>cct_wt6</t>
  </si>
  <si>
    <t>cct_wt10</t>
  </si>
  <si>
    <t>cct_wt11</t>
  </si>
  <si>
    <t>cct_wt7</t>
  </si>
  <si>
    <t>cct_wt8</t>
  </si>
  <si>
    <t>ctv_wt1</t>
  </si>
  <si>
    <t>ctv_wt9</t>
  </si>
  <si>
    <t>ctv_wt3</t>
  </si>
  <si>
    <t>ctv_wt5</t>
  </si>
  <si>
    <t>ctv_wt4</t>
  </si>
  <si>
    <t>ctv_wt6</t>
  </si>
  <si>
    <t>ctv_wt10</t>
  </si>
  <si>
    <t>ctv_wt11</t>
  </si>
  <si>
    <t>ctv_wt7</t>
  </si>
  <si>
    <t>ctv_wt8</t>
  </si>
  <si>
    <t>pct_PhepHuongLuong</t>
  </si>
  <si>
    <t>pct_KLKhongMatCC</t>
  </si>
  <si>
    <t>ptv_PhepHuongLuong</t>
  </si>
  <si>
    <t>ptv_KLKhongMatCC</t>
  </si>
  <si>
    <t>SoLanDMVS_CT</t>
  </si>
  <si>
    <t>ThoiGianDTVS_CT</t>
  </si>
  <si>
    <t>SoLanDMVS_TV</t>
  </si>
  <si>
    <t>ThoiGianDTVS_TV</t>
  </si>
  <si>
    <t>SoNgayBH</t>
  </si>
  <si>
    <t>SocialInsurance</t>
  </si>
  <si>
    <t>HealthInsurance</t>
  </si>
  <si>
    <t>UnemploymentInsurance</t>
  </si>
  <si>
    <t>KhongThamGiaCongDoan</t>
  </si>
  <si>
    <t>TienCongDoan</t>
  </si>
  <si>
    <t>KhuVuc</t>
  </si>
  <si>
    <t>HT7</t>
  </si>
  <si>
    <t>HT9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</si>
  <si>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</si>
  <si>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</si>
  <si>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</si>
  <si>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</si>
  <si>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</si>
  <si>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</si>
  <si>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</si>
  <si>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</si>
  <si>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</si>
  <si>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</si>
  <si>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</si>
  <si>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</si>
  <si>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</si>
  <si>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</si>
  <si>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</si>
  <si>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</si>
  <si>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</si>
  <si>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</si>
  <si>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</si>
  <si>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</si>
  <si>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</si>
  <si>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</si>
  <si>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</si>
  <si>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</si>
  <si>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</si>
  <si>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</si>
  <si>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</si>
  <si>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</si>
  <si>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</si>
  <si>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</si>
  <si>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</si>
  <si>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</si>
  <si>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</si>
  <si>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</si>
  <si>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</si>
  <si>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</si>
  <si>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</si>
  <si>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</si>
  <si>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</si>
  <si>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</si>
  <si>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</si>
  <si>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</si>
  <si>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</si>
  <si>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</si>
  <si>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</si>
  <si>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</si>
  <si>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</si>
  <si>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</si>
  <si>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</si>
  <si>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</si>
  <si>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</si>
  <si>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TongThuNhap</t>
  </si>
  <si>
    <t>s53</t>
  </si>
  <si>
    <t>BHXHCT</t>
  </si>
  <si>
    <t>BHYTCT</t>
  </si>
  <si>
    <t>BHTNCT</t>
  </si>
  <si>
    <t>PCDNCT</t>
  </si>
  <si>
    <t>s58</t>
  </si>
  <si>
    <t>BHXHNLD</t>
  </si>
  <si>
    <t>BHYTNLD</t>
  </si>
  <si>
    <t>BHTNNLD</t>
  </si>
  <si>
    <t>s62</t>
  </si>
  <si>
    <t>s63</t>
  </si>
  <si>
    <t>s64</t>
  </si>
  <si>
    <t>s65</t>
  </si>
  <si>
    <t>s66</t>
  </si>
  <si>
    <t>s67</t>
  </si>
  <si>
    <t>TongTNChiuThue</t>
  </si>
  <si>
    <t>TNTinhThue</t>
  </si>
  <si>
    <t>PIT</t>
  </si>
  <si>
    <t>s75</t>
  </si>
  <si>
    <t>PCDNLD</t>
  </si>
  <si>
    <t>ThucLanh</t>
  </si>
  <si>
    <t>s73</t>
  </si>
  <si>
    <t>s74</t>
  </si>
  <si>
    <t>TongTNMienThue</t>
  </si>
  <si>
    <t>s76</t>
  </si>
  <si>
    <t>s77</t>
  </si>
  <si>
    <t>Position_NameVN</t>
  </si>
  <si>
    <t>STT/No.</t>
  </si>
  <si>
    <t xml:space="preserve">Mã số
Code No
</t>
  </si>
  <si>
    <t>Họ và tên
(First and last name)</t>
  </si>
  <si>
    <t>Vị trí
(Location) -Position</t>
  </si>
  <si>
    <t>Tổng số giờ công chuẩn</t>
  </si>
  <si>
    <t>Giờ công cơ bản thực tế (The actual basic hourly)</t>
  </si>
  <si>
    <t>Số bữa phụ</t>
  </si>
  <si>
    <t xml:space="preserve">  Giờ công làm thêm (Hours of overtime)</t>
  </si>
  <si>
    <t>Lương đóng bảo hiểm</t>
  </si>
  <si>
    <t>Các khoản phụ cấp (Allowances)</t>
  </si>
  <si>
    <t>Thưởng</t>
  </si>
  <si>
    <t>Khấu trừ khác</t>
  </si>
  <si>
    <t>Tổng phụ cấp không đóng BH được nhận (Total allowances)</t>
  </si>
  <si>
    <t>Lương đóng bảo hiểm - Chính thức</t>
  </si>
  <si>
    <t>Lương đóng bảo hiểm - Thử việc</t>
  </si>
  <si>
    <t>Lương giờ công - Chính thức</t>
  </si>
  <si>
    <t>Lương giờ công -Thử việc</t>
  </si>
  <si>
    <t>Tổng lương giờ công cơ bản</t>
  </si>
  <si>
    <t>Lương giờ công làm thêm</t>
  </si>
  <si>
    <t xml:space="preserve">Tổng lương </t>
  </si>
  <si>
    <t xml:space="preserve">BH tính vào chi phí / Isuarance payable by company </t>
  </si>
  <si>
    <t xml:space="preserve">BH khấu trừ lương  / Isuarance deductions from salary </t>
  </si>
  <si>
    <t xml:space="preserve">Thuế TNCN </t>
  </si>
  <si>
    <t>Cộng khác</t>
  </si>
  <si>
    <t xml:space="preserve">Đoàn phí </t>
  </si>
  <si>
    <t>Thực nhận</t>
  </si>
  <si>
    <t>Số tài khoản</t>
  </si>
  <si>
    <t>Ký nhận</t>
  </si>
  <si>
    <t>Thu nhập miễn thuế</t>
  </si>
  <si>
    <t>Thu nhập chịu thuế thử việc</t>
  </si>
  <si>
    <t>Tiền công ngày</t>
  </si>
  <si>
    <t>Tiền công đêm</t>
  </si>
  <si>
    <t>Chia dưới 20 công</t>
  </si>
  <si>
    <t>Chia dưới 20 công toàn công ty</t>
  </si>
  <si>
    <t>Hưởng CC</t>
  </si>
  <si>
    <t>Chuyên cần (Auto)</t>
  </si>
  <si>
    <t>Ngày 15</t>
  </si>
  <si>
    <t>Xăng xe NT</t>
  </si>
  <si>
    <t>Nhà ở NT</t>
  </si>
  <si>
    <t>Ngày đổi lương</t>
  </si>
  <si>
    <t>Đóng BH lương cũ</t>
  </si>
  <si>
    <t>Salary month</t>
  </si>
  <si>
    <t>Salary year</t>
  </si>
  <si>
    <t>Ngày công tiêu chuẩn</t>
  </si>
  <si>
    <t>Giờ công tiêu chuẩn 1 ngày</t>
  </si>
  <si>
    <t>Công thực tế</t>
  </si>
  <si>
    <t>Nghỉ phép</t>
  </si>
  <si>
    <t>Đi trễ/về sớm</t>
  </si>
  <si>
    <t>Số ngày công tham gia BHXH</t>
  </si>
  <si>
    <t>BHXH</t>
  </si>
  <si>
    <t>BHYT</t>
  </si>
  <si>
    <t>BHTN</t>
  </si>
  <si>
    <t>Không tham gia Công đoàn</t>
  </si>
  <si>
    <t>Công đoan</t>
  </si>
  <si>
    <t>Xưởng</t>
  </si>
  <si>
    <t>Thưởng đã tạm ứng</t>
  </si>
  <si>
    <t>Chính thức - Official</t>
  </si>
  <si>
    <t>Thử việc - Probation</t>
  </si>
  <si>
    <t>Chính thức</t>
  </si>
  <si>
    <t>Thử việc</t>
  </si>
  <si>
    <t>Ca ngày</t>
  </si>
  <si>
    <t>Ca đêm</t>
  </si>
  <si>
    <t>Giờ công HC đã xử lý DTVS</t>
  </si>
  <si>
    <t>Tăng ca  150%</t>
  </si>
  <si>
    <t>Tăng ca đêm 195%</t>
  </si>
  <si>
    <t>CN ngày 200%</t>
  </si>
  <si>
    <t>CN đêm 270%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</si>
  <si>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</si>
  <si>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</si>
  <si>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</si>
  <si>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</si>
  <si>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</si>
  <si>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 xml:space="preserve">Lương cơ bản  (Basic salary) -Chính thức
</t>
  </si>
  <si>
    <t>Phụ cấp  trách nhiệm/
Responsibility allowance</t>
  </si>
  <si>
    <t>PC ngoại ngữ/
Foreign language support</t>
  </si>
  <si>
    <t>Phụ cấp thâm niên/ Seniority allowances</t>
  </si>
  <si>
    <t>HT điện thoại /Phone charges/ 26 Công</t>
  </si>
  <si>
    <t>HT điện thoại /Phone charges</t>
  </si>
  <si>
    <t>HT xăng xe /Fuel costs for vehicles/ 26 Công</t>
  </si>
  <si>
    <t>HT xăng xe /Fuel costs for vehicles</t>
  </si>
  <si>
    <t>HT nhà ở /Housing support/ 26 Công</t>
  </si>
  <si>
    <t>HT nhà ở /Housing support</t>
  </si>
  <si>
    <t>HT đi lại/
Mobility assistance</t>
  </si>
  <si>
    <t>HT con nhỏ/
Support workers with small children</t>
  </si>
  <si>
    <t>Thưởng Chuyên cần /
Attendance Bonus</t>
  </si>
  <si>
    <t>Trợ cấp bữa phụ /Snack allowance</t>
  </si>
  <si>
    <t xml:space="preserve">Tăng ca ngày </t>
  </si>
  <si>
    <t>Tăng ca đêm</t>
  </si>
  <si>
    <t>CN ngày</t>
  </si>
  <si>
    <t>CN đêm</t>
  </si>
  <si>
    <t>Tăng ca ngày CN</t>
  </si>
  <si>
    <t>Tăng ca đêm CN</t>
  </si>
  <si>
    <t>Ngày lễ ngày</t>
  </si>
  <si>
    <t>Ngày lễ đêm</t>
  </si>
  <si>
    <t>TC lễ</t>
  </si>
  <si>
    <t>Tổng lương làm thêm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</si>
  <si>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</si>
  <si>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</si>
  <si>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</si>
  <si>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</si>
  <si>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>KPCĐ
2%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</si>
  <si>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</si>
  <si>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</si>
  <si>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</si>
  <si>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</si>
  <si>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t>Giảm trừ bản thân (기본공제금 )
(VND)</t>
  </si>
  <si>
    <t>Số người phụ thuộc /Number Deduction family</t>
  </si>
  <si>
    <t xml:space="preserve"> Giảm trừ người phụ thuộc  </t>
  </si>
  <si>
    <t xml:space="preserve"> Giảm trừ người phụ thuộc /deduction-family 4400000/1person </t>
  </si>
  <si>
    <t>Tax excemption</t>
  </si>
  <si>
    <t>Thu nhập chịu thuế</t>
  </si>
  <si>
    <t>Thu nhập tính thuế
(과세 대상 금액) VND</t>
  </si>
  <si>
    <t>Thuế TNCN
(개인소득세)
( VND)</t>
  </si>
  <si>
    <t>Công ngày</t>
  </si>
  <si>
    <t>Công đêm</t>
  </si>
  <si>
    <t>CN Tăng ca ngày 300%</t>
  </si>
  <si>
    <t>CN tăng ca đêm 390%</t>
  </si>
  <si>
    <t>Phép Hưởng lương</t>
  </si>
  <si>
    <t>Phép KL Không trừ CC</t>
  </si>
  <si>
    <t>Số lần ĐTVS</t>
  </si>
  <si>
    <t>Số phút ĐTVS</t>
  </si>
  <si>
    <t>SS200406</t>
  </si>
  <si>
    <t>Đào Thị Thu Hằng</t>
  </si>
  <si>
    <t>Trưởng phòng kinh doanh</t>
  </si>
  <si>
    <t>MonthlySalary</t>
  </si>
  <si>
    <t>Office</t>
  </si>
  <si>
    <t>SS201001</t>
  </si>
  <si>
    <t>Hoàng Việt Dũng</t>
  </si>
  <si>
    <t>Lái xe</t>
  </si>
  <si>
    <t>SS201002</t>
  </si>
  <si>
    <t>Phạm Thị Chín</t>
  </si>
  <si>
    <t>Tạp vụ</t>
  </si>
  <si>
    <t>SS220504</t>
  </si>
  <si>
    <t>Nguyễn Thị Kim Liên</t>
  </si>
  <si>
    <t>Kế toán</t>
  </si>
  <si>
    <t>SS220802</t>
  </si>
  <si>
    <t>Nguyễn Thị Thu</t>
  </si>
  <si>
    <t>SS221005</t>
  </si>
  <si>
    <t>Nghiêm Thị Ngọc Ánh</t>
  </si>
  <si>
    <t>Nhân viên kinh doanh</t>
  </si>
  <si>
    <t>SS230701</t>
  </si>
  <si>
    <t>Phan Thị Thanh Tâm</t>
  </si>
  <si>
    <t>Nhân viên xuất nhập khẩu</t>
  </si>
  <si>
    <t>SS230818</t>
  </si>
  <si>
    <t>Vũ Thị Khánh Linh</t>
  </si>
  <si>
    <t>SS240305</t>
  </si>
  <si>
    <t>Dương Thị Vân</t>
  </si>
  <si>
    <t>SS240611</t>
  </si>
  <si>
    <t>Nguyễn Thị Lý</t>
  </si>
  <si>
    <t>Nhân viên hành chính nhân sự</t>
  </si>
  <si>
    <t>SS241101</t>
  </si>
  <si>
    <t>Nguyễn Thị Thu Huyền</t>
  </si>
  <si>
    <t>Đầu bếp</t>
  </si>
  <si>
    <t>SS-QLVP</t>
  </si>
  <si>
    <t>Nguyễn Minh Đức</t>
  </si>
  <si>
    <t>Tổng quản lý( trưởng văn phòng)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</si>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</sst>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\ _₫_-;\-* #,##0.00\ _₫_-;_-* &quot;-&quot;??\ _₫_-;_-@_-"/>
    <numFmt numFmtId="166" formatCode="#,##0.0"/>
    <numFmt numFmtId="167" formatCode="0.0"/>
    <numFmt numFmtId="168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5" fontId="7" fillId="0" borderId="0"/>
    <xf numFmtId="164" fontId="6" fillId="0" borderId="0"/>
    <xf numFmtId="0" fontId="7" fillId="0" borderId="0"/>
    <xf numFmtId="0" fontId="2" fillId="0" borderId="0"/>
    <xf numFmtId="0" fontId="6" fillId="0" borderId="0">
      <alignment vertical="center"/>
    </xf>
  </cellStyleXfs>
  <cellXfs count="116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3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3" fillId="0" borderId="0" xfId="0" applyFont="1" applyAlignment="1">
      <alignment horizontal="center" vertical="center" wrapText="1"/>
    </xf>
    <xf numFmtId="3" fontId="9" fillId="0" borderId="3" xfId="0" applyNumberFormat="1" applyFont="1" applyBorder="1"/>
    <xf numFmtId="166" fontId="9" fillId="0" borderId="0" xfId="0" applyNumberFormat="1" applyFont="1"/>
    <xf numFmtId="167" fontId="9" fillId="0" borderId="0" xfId="0" applyNumberFormat="1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4" fillId="4" borderId="4" xfId="5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1" xfId="5" applyFont="1" applyFill="1" applyBorder="1" applyAlignment="1">
      <alignment horizontal="center" vertical="center" wrapText="1"/>
    </xf>
    <xf numFmtId="0" fontId="3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5" borderId="15" xfId="1" applyNumberFormat="1" applyFont="1" applyFill="1" applyBorder="1" applyAlignment="1">
      <alignment horizontal="center" vertical="center" wrapText="1"/>
    </xf>
    <xf numFmtId="0" fontId="3" fillId="5" borderId="16" xfId="1" applyNumberFormat="1" applyFont="1" applyFill="1" applyBorder="1" applyAlignment="1">
      <alignment horizontal="center" vertical="center" wrapText="1"/>
    </xf>
    <xf numFmtId="0" fontId="3" fillId="5" borderId="17" xfId="1" applyNumberFormat="1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1" xfId="5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168" fontId="8" fillId="0" borderId="1" xfId="1" applyNumberFormat="1" applyFont="1" applyBorder="1"/>
    <xf numFmtId="166" fontId="8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4" borderId="5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/>
    </xf>
    <xf numFmtId="167" fontId="8" fillId="0" borderId="1" xfId="0" applyNumberFormat="1" applyFont="1" applyBorder="1"/>
    <xf numFmtId="3" fontId="8" fillId="0" borderId="1" xfId="1" applyNumberFormat="1" applyFont="1" applyBorder="1"/>
    <xf numFmtId="166" fontId="0" fillId="0" borderId="0" xfId="0" applyNumberFormat="1"/>
    <xf numFmtId="166" fontId="9" fillId="0" borderId="1" xfId="0" applyNumberFormat="1" applyFont="1" applyBorder="1"/>
    <xf numFmtId="166" fontId="0" fillId="0" borderId="1" xfId="0" applyNumberFormat="1" applyBorder="1"/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/>
    </xf>
    <xf numFmtId="0" fontId="3" fillId="4" borderId="4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8" fillId="0" borderId="1" xfId="1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7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/>
    <xf numFmtId="3" fontId="12" fillId="0" borderId="1" xfId="0" applyNumberFormat="1" applyFont="1" applyBorder="1"/>
    <xf numFmtId="168" fontId="12" fillId="0" borderId="1" xfId="1" applyNumberFormat="1" applyFont="1" applyBorder="1"/>
    <xf numFmtId="3" fontId="12" fillId="0" borderId="1" xfId="1" applyNumberFormat="1" applyFont="1" applyBorder="1"/>
    <xf numFmtId="0" fontId="12" fillId="0" borderId="1" xfId="1" applyNumberFormat="1" applyFont="1" applyBorder="1"/>
    <xf numFmtId="166" fontId="12" fillId="0" borderId="1" xfId="0" applyNumberFormat="1" applyFont="1" applyBorder="1"/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4" borderId="4" xfId="5" applyFont="1" applyFill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4" fillId="4" borderId="13" xfId="5" applyFont="1" applyFill="1" applyBorder="1" applyAlignment="1">
      <alignment horizontal="center" vertical="center" wrapText="1"/>
    </xf>
    <xf numFmtId="0" fontId="4" fillId="4" borderId="10" xfId="5" applyFont="1" applyFill="1" applyBorder="1" applyAlignment="1">
      <alignment horizontal="center" vertical="center" wrapText="1"/>
    </xf>
    <xf numFmtId="0" fontId="4" fillId="4" borderId="12" xfId="5" applyFont="1" applyFill="1" applyBorder="1" applyAlignment="1">
      <alignment horizontal="center" vertical="center" wrapText="1"/>
    </xf>
    <xf numFmtId="0" fontId="4" fillId="4" borderId="9" xfId="5" applyFont="1" applyFill="1" applyBorder="1" applyAlignment="1">
      <alignment horizontal="center" vertical="center" wrapText="1"/>
    </xf>
    <xf numFmtId="0" fontId="4" fillId="4" borderId="0" xfId="5" applyFont="1" applyFill="1" applyAlignment="1">
      <alignment horizontal="center" vertical="center" wrapText="1"/>
    </xf>
    <xf numFmtId="0" fontId="4" fillId="4" borderId="14" xfId="5" applyFont="1" applyFill="1" applyBorder="1" applyAlignment="1">
      <alignment horizontal="center" vertical="center" wrapText="1"/>
    </xf>
    <xf numFmtId="0" fontId="4" fillId="4" borderId="5" xfId="5" applyFont="1" applyFill="1" applyBorder="1" applyAlignment="1">
      <alignment horizontal="center" vertical="center" wrapText="1"/>
    </xf>
    <xf numFmtId="0" fontId="5" fillId="4" borderId="6" xfId="5" applyFont="1" applyFill="1" applyBorder="1" applyAlignment="1">
      <alignment horizontal="center" vertical="center" wrapText="1"/>
    </xf>
    <xf numFmtId="0" fontId="5" fillId="4" borderId="12" xfId="5" applyFont="1" applyFill="1" applyBorder="1" applyAlignment="1">
      <alignment horizontal="center" vertical="center" wrapText="1"/>
    </xf>
    <xf numFmtId="0" fontId="5" fillId="4" borderId="9" xfId="5" applyFont="1" applyFill="1" applyBorder="1" applyAlignment="1">
      <alignment horizontal="center" vertical="center" wrapText="1"/>
    </xf>
    <xf numFmtId="0" fontId="5" fillId="4" borderId="10" xfId="5" applyFont="1" applyFill="1" applyBorder="1" applyAlignment="1">
      <alignment horizontal="center" vertical="center" wrapText="1"/>
    </xf>
    <xf numFmtId="0" fontId="5" fillId="4" borderId="8" xfId="5" applyFont="1" applyFill="1" applyBorder="1" applyAlignment="1">
      <alignment horizontal="center" vertical="center" wrapText="1"/>
    </xf>
    <xf numFmtId="0" fontId="5" fillId="4" borderId="11" xfId="5" applyFont="1" applyFill="1" applyBorder="1" applyAlignment="1">
      <alignment horizontal="center" vertical="center" wrapText="1"/>
    </xf>
    <xf numFmtId="0" fontId="3" fillId="5" borderId="9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0" fontId="3" fillId="4" borderId="4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4" fillId="4" borderId="7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5" fillId="4" borderId="5" xfId="5" applyFont="1" applyFill="1" applyBorder="1" applyAlignment="1">
      <alignment horizontal="center" vertical="center" wrapText="1"/>
    </xf>
    <xf numFmtId="0" fontId="5" fillId="4" borderId="7" xfId="5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4" borderId="8" xfId="5" applyFont="1" applyFill="1" applyBorder="1" applyAlignment="1">
      <alignment horizontal="center" vertical="center" wrapText="1"/>
    </xf>
    <xf numFmtId="0" fontId="4" fillId="4" borderId="11" xfId="5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8" fontId="1" fillId="0" borderId="0" xfId="1" applyNumberFormat="1"/>
  </cellXfs>
  <cellStyles count="7">
    <cellStyle name="Comma" xfId="1" builtinId="3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eive%20File%20Zalo\B&#7843;ng%20l&#432;&#417;ng%20T12+TT.2024%20C&#7911;a%20Li&#234;n.xlsx" TargetMode="External"/><Relationship Id="rId1" Type="http://schemas.openxmlformats.org/officeDocument/2006/relationships/externalLinkPath" Target="/Receive%20File%20Zalo/B&#7843;ng%20l&#432;&#417;ng%20T12+TT.2024%20C&#7911;a%20Li&#234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Payroll Mr Shin"/>
      <sheetName val="Mr. Lim"/>
      <sheetName val="Mr.Moon"/>
      <sheetName val="Mr. Yang"/>
      <sheetName val="Mr. Choi"/>
      <sheetName val="Mr. Hwang"/>
      <sheetName val="Payroll Office"/>
      <sheetName val="Payroll of factory  "/>
      <sheetName val="Payroll of factory (SOI) "/>
      <sheetName val="Payroll of factory (DET).1"/>
      <sheetName val="PHIẾU LƯƠNG"/>
      <sheetName val="PHIẾU LƯƠNG (2)"/>
      <sheetName val="HT Lương + BH"/>
      <sheetName val="Sheet2"/>
      <sheetName val="Sheet1"/>
      <sheetName val="Mr.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B10" t="str">
            <v>Nguyễn Minh Đức</v>
          </cell>
          <cell r="C10" t="str">
            <v>Tổng quản lý</v>
          </cell>
          <cell r="D10">
            <v>208</v>
          </cell>
          <cell r="E10">
            <v>208</v>
          </cell>
          <cell r="Q10">
            <v>26500000</v>
          </cell>
          <cell r="T10">
            <v>1500000</v>
          </cell>
          <cell r="U10">
            <v>2000000</v>
          </cell>
          <cell r="V10">
            <v>3000000</v>
          </cell>
          <cell r="Z10">
            <v>2000000</v>
          </cell>
          <cell r="AD10">
            <v>0</v>
          </cell>
          <cell r="AE10">
            <v>0</v>
          </cell>
          <cell r="AF10">
            <v>16800000</v>
          </cell>
          <cell r="AH10">
            <v>5000000</v>
          </cell>
          <cell r="AI10">
            <v>28000000</v>
          </cell>
          <cell r="AJ10">
            <v>134615.38461538462</v>
          </cell>
          <cell r="AK10">
            <v>28000000</v>
          </cell>
          <cell r="AM10">
            <v>0</v>
          </cell>
          <cell r="AN10">
            <v>0</v>
          </cell>
          <cell r="AP10">
            <v>0</v>
          </cell>
          <cell r="AU10">
            <v>0</v>
          </cell>
          <cell r="AV10">
            <v>49800000</v>
          </cell>
          <cell r="BA10">
            <v>0</v>
          </cell>
          <cell r="BF10">
            <v>0</v>
          </cell>
          <cell r="BG10">
            <v>11000000</v>
          </cell>
          <cell r="BH10">
            <v>2</v>
          </cell>
          <cell r="BI10">
            <v>8800000</v>
          </cell>
          <cell r="BJ10">
            <v>3000000</v>
          </cell>
          <cell r="BK10">
            <v>46800000</v>
          </cell>
          <cell r="BL10">
            <v>27000000</v>
          </cell>
          <cell r="BM10">
            <v>3750000</v>
          </cell>
          <cell r="BN10">
            <v>35000</v>
          </cell>
          <cell r="BP10">
            <v>46015000</v>
          </cell>
        </row>
        <row r="11">
          <cell r="B11" t="str">
            <v>Nguyễn Thị Thu</v>
          </cell>
          <cell r="C11" t="str">
            <v>Kế toán</v>
          </cell>
          <cell r="D11">
            <v>208</v>
          </cell>
          <cell r="E11">
            <v>208</v>
          </cell>
          <cell r="H11">
            <v>9</v>
          </cell>
          <cell r="Q11">
            <v>5450000</v>
          </cell>
          <cell r="R11">
            <v>5000000</v>
          </cell>
          <cell r="T11">
            <v>600000</v>
          </cell>
          <cell r="U11">
            <v>1200000</v>
          </cell>
          <cell r="V11">
            <v>1200000</v>
          </cell>
          <cell r="W11">
            <v>1400000</v>
          </cell>
          <cell r="X11">
            <v>1400000</v>
          </cell>
          <cell r="Y11">
            <v>1400000</v>
          </cell>
          <cell r="Z11">
            <v>1400000</v>
          </cell>
          <cell r="AC11">
            <v>500000</v>
          </cell>
          <cell r="AD11">
            <v>0</v>
          </cell>
          <cell r="AE11">
            <v>0</v>
          </cell>
          <cell r="AF11">
            <v>6630000</v>
          </cell>
          <cell r="AH11">
            <v>4500000</v>
          </cell>
          <cell r="AI11">
            <v>11050000</v>
          </cell>
          <cell r="AJ11">
            <v>53125</v>
          </cell>
          <cell r="AK11">
            <v>11050000</v>
          </cell>
          <cell r="AL11">
            <v>717187.5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0</v>
          </cell>
          <cell r="AU11">
            <v>717187.5</v>
          </cell>
          <cell r="AV11">
            <v>22897187.5</v>
          </cell>
          <cell r="AW11">
            <v>11050000</v>
          </cell>
          <cell r="AX11">
            <v>1933749.9999999998</v>
          </cell>
          <cell r="AY11">
            <v>331500</v>
          </cell>
          <cell r="AZ11">
            <v>110500</v>
          </cell>
          <cell r="BA11">
            <v>221000</v>
          </cell>
          <cell r="BB11">
            <v>2596750</v>
          </cell>
          <cell r="BC11">
            <v>884000</v>
          </cell>
          <cell r="BD11">
            <v>165750</v>
          </cell>
          <cell r="BE11">
            <v>110500</v>
          </cell>
          <cell r="BF11">
            <v>1160250</v>
          </cell>
          <cell r="BG11">
            <v>11000000</v>
          </cell>
          <cell r="BH11">
            <v>2</v>
          </cell>
          <cell r="BI11">
            <v>8800000</v>
          </cell>
          <cell r="BJ11">
            <v>1200000</v>
          </cell>
          <cell r="BK11">
            <v>21458125</v>
          </cell>
          <cell r="BL11">
            <v>497875</v>
          </cell>
          <cell r="BM11">
            <v>24894</v>
          </cell>
          <cell r="BN11">
            <v>35000</v>
          </cell>
          <cell r="BP11">
            <v>21677043.5</v>
          </cell>
        </row>
        <row r="12">
          <cell r="B12" t="str">
            <v>Nguyễn Thị Kim Liên</v>
          </cell>
          <cell r="C12" t="str">
            <v>Kế toán</v>
          </cell>
          <cell r="D12">
            <v>208</v>
          </cell>
          <cell r="E12">
            <v>200</v>
          </cell>
          <cell r="H12">
            <v>38.5</v>
          </cell>
          <cell r="Q12">
            <v>5450000</v>
          </cell>
          <cell r="R12">
            <v>2000000</v>
          </cell>
          <cell r="T12">
            <v>600000</v>
          </cell>
          <cell r="U12">
            <v>800000</v>
          </cell>
          <cell r="V12">
            <v>800000</v>
          </cell>
          <cell r="W12">
            <v>700000</v>
          </cell>
          <cell r="X12">
            <v>700000</v>
          </cell>
          <cell r="Y12">
            <v>700000</v>
          </cell>
          <cell r="Z12">
            <v>700000</v>
          </cell>
          <cell r="AC12">
            <v>500000</v>
          </cell>
          <cell r="AD12">
            <v>0</v>
          </cell>
          <cell r="AE12">
            <v>0</v>
          </cell>
          <cell r="AF12">
            <v>4830000</v>
          </cell>
          <cell r="AH12">
            <v>2700000</v>
          </cell>
          <cell r="AI12">
            <v>8050000</v>
          </cell>
          <cell r="AJ12">
            <v>38701.923076923078</v>
          </cell>
          <cell r="AK12">
            <v>7740384.615384616</v>
          </cell>
          <cell r="AL12">
            <v>2235036.057692308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0</v>
          </cell>
          <cell r="AU12">
            <v>2235036.057692308</v>
          </cell>
          <cell r="AV12">
            <v>17505420.673076924</v>
          </cell>
          <cell r="AW12">
            <v>8050000</v>
          </cell>
          <cell r="AX12">
            <v>1408750</v>
          </cell>
          <cell r="AY12">
            <v>241500</v>
          </cell>
          <cell r="AZ12">
            <v>80500</v>
          </cell>
          <cell r="BA12">
            <v>161000</v>
          </cell>
          <cell r="BB12">
            <v>1891750</v>
          </cell>
          <cell r="BC12">
            <v>644000</v>
          </cell>
          <cell r="BD12">
            <v>120750</v>
          </cell>
          <cell r="BE12">
            <v>80500</v>
          </cell>
          <cell r="BF12">
            <v>845250</v>
          </cell>
          <cell r="BG12">
            <v>11000000</v>
          </cell>
          <cell r="BH12">
            <v>0</v>
          </cell>
          <cell r="BI12">
            <v>0</v>
          </cell>
          <cell r="BJ12">
            <v>800000</v>
          </cell>
          <cell r="BK12">
            <v>15960408.653846154</v>
          </cell>
          <cell r="BL12">
            <v>4115158.653846154</v>
          </cell>
          <cell r="BM12">
            <v>205758</v>
          </cell>
          <cell r="BN12">
            <v>35000</v>
          </cell>
          <cell r="BP12">
            <v>16419412.673076924</v>
          </cell>
        </row>
        <row r="13">
          <cell r="B13" t="str">
            <v>Dương Thị Vân</v>
          </cell>
          <cell r="C13" t="str">
            <v>Kế toán</v>
          </cell>
          <cell r="D13">
            <v>208</v>
          </cell>
          <cell r="E13">
            <v>208</v>
          </cell>
          <cell r="H13">
            <v>9</v>
          </cell>
          <cell r="Q13">
            <v>5190000</v>
          </cell>
          <cell r="R13">
            <v>500000</v>
          </cell>
          <cell r="U13">
            <v>700000</v>
          </cell>
          <cell r="V13">
            <v>700000</v>
          </cell>
          <cell r="W13">
            <v>700000</v>
          </cell>
          <cell r="X13">
            <v>700000</v>
          </cell>
          <cell r="Y13">
            <v>700000</v>
          </cell>
          <cell r="Z13">
            <v>700000</v>
          </cell>
          <cell r="AC13">
            <v>500000</v>
          </cell>
          <cell r="AD13">
            <v>0</v>
          </cell>
          <cell r="AE13">
            <v>0</v>
          </cell>
          <cell r="AF13">
            <v>2845000</v>
          </cell>
          <cell r="AH13">
            <v>2600000</v>
          </cell>
          <cell r="AI13">
            <v>5690000</v>
          </cell>
          <cell r="AJ13">
            <v>27355.76923076923</v>
          </cell>
          <cell r="AK13">
            <v>5690000</v>
          </cell>
          <cell r="AL13">
            <v>369302.88461538462</v>
          </cell>
          <cell r="AM13">
            <v>0</v>
          </cell>
          <cell r="AN13">
            <v>0</v>
          </cell>
          <cell r="AP13">
            <v>0</v>
          </cell>
          <cell r="AR13">
            <v>0</v>
          </cell>
          <cell r="AU13">
            <v>369302.88461538462</v>
          </cell>
          <cell r="AV13">
            <v>11504302.884615384</v>
          </cell>
          <cell r="AW13">
            <v>5690000</v>
          </cell>
          <cell r="AX13">
            <v>995749.99999999988</v>
          </cell>
          <cell r="AY13">
            <v>170700</v>
          </cell>
          <cell r="AZ13">
            <v>56900</v>
          </cell>
          <cell r="BA13">
            <v>113800</v>
          </cell>
          <cell r="BB13">
            <v>1337150</v>
          </cell>
          <cell r="BC13">
            <v>455200</v>
          </cell>
          <cell r="BD13">
            <v>85350</v>
          </cell>
          <cell r="BE13">
            <v>56900</v>
          </cell>
          <cell r="BF13">
            <v>597450</v>
          </cell>
          <cell r="BG13">
            <v>11000000</v>
          </cell>
          <cell r="BH13">
            <v>0</v>
          </cell>
          <cell r="BI13">
            <v>0</v>
          </cell>
          <cell r="BJ13">
            <v>700000</v>
          </cell>
          <cell r="BK13">
            <v>10681201.923076922</v>
          </cell>
          <cell r="BL13">
            <v>0</v>
          </cell>
          <cell r="BM13">
            <v>0</v>
          </cell>
          <cell r="BN13">
            <v>35000</v>
          </cell>
          <cell r="BP13">
            <v>10871852.884615384</v>
          </cell>
        </row>
        <row r="14">
          <cell r="B14" t="str">
            <v>Nguyễn Thị Lý</v>
          </cell>
          <cell r="C14" t="str">
            <v>HCNS</v>
          </cell>
          <cell r="D14">
            <v>208</v>
          </cell>
          <cell r="E14">
            <v>200</v>
          </cell>
          <cell r="H14">
            <v>36</v>
          </cell>
          <cell r="Q14">
            <v>4706000</v>
          </cell>
          <cell r="R14">
            <v>300000</v>
          </cell>
          <cell r="U14">
            <v>700000</v>
          </cell>
          <cell r="V14">
            <v>700000</v>
          </cell>
          <cell r="W14">
            <v>1000000</v>
          </cell>
          <cell r="X14">
            <v>1000000</v>
          </cell>
          <cell r="Y14">
            <v>1000000</v>
          </cell>
          <cell r="Z14">
            <v>1000000</v>
          </cell>
          <cell r="AB14">
            <v>20000</v>
          </cell>
          <cell r="AC14">
            <v>500000</v>
          </cell>
          <cell r="AD14">
            <v>0</v>
          </cell>
          <cell r="AE14">
            <v>0</v>
          </cell>
          <cell r="AF14">
            <v>1626950</v>
          </cell>
          <cell r="AH14">
            <v>3220000</v>
          </cell>
          <cell r="AI14">
            <v>5006000</v>
          </cell>
          <cell r="AJ14">
            <v>24067.307692307691</v>
          </cell>
          <cell r="AK14">
            <v>4813461.538461538</v>
          </cell>
          <cell r="AL14">
            <v>1299634.6153846153</v>
          </cell>
          <cell r="AM14">
            <v>0</v>
          </cell>
          <cell r="AN14">
            <v>0</v>
          </cell>
          <cell r="AP14">
            <v>0</v>
          </cell>
          <cell r="AR14">
            <v>0</v>
          </cell>
          <cell r="AU14">
            <v>1299634.6153846153</v>
          </cell>
          <cell r="AV14">
            <v>10960046.153846154</v>
          </cell>
          <cell r="AW14">
            <v>5006000</v>
          </cell>
          <cell r="AX14">
            <v>876050</v>
          </cell>
          <cell r="AY14">
            <v>150180</v>
          </cell>
          <cell r="AZ14">
            <v>50060</v>
          </cell>
          <cell r="BA14">
            <v>100120</v>
          </cell>
          <cell r="BB14">
            <v>1176410</v>
          </cell>
          <cell r="BC14">
            <v>400480</v>
          </cell>
          <cell r="BD14">
            <v>75090</v>
          </cell>
          <cell r="BE14">
            <v>50060</v>
          </cell>
          <cell r="BF14">
            <v>525630</v>
          </cell>
          <cell r="BG14">
            <v>11000000</v>
          </cell>
          <cell r="BH14">
            <v>0</v>
          </cell>
          <cell r="BI14">
            <v>0</v>
          </cell>
          <cell r="BJ14">
            <v>700000</v>
          </cell>
          <cell r="BK14">
            <v>9826834.615384616</v>
          </cell>
          <cell r="BL14">
            <v>0</v>
          </cell>
          <cell r="BM14">
            <v>0</v>
          </cell>
          <cell r="BN14">
            <v>35000</v>
          </cell>
          <cell r="BP14">
            <v>10399416.153846154</v>
          </cell>
        </row>
        <row r="15">
          <cell r="B15" t="str">
            <v>Phạm Thị Chín</v>
          </cell>
          <cell r="C15" t="str">
            <v>Tạp vụ</v>
          </cell>
          <cell r="D15">
            <v>208</v>
          </cell>
          <cell r="E15">
            <v>208</v>
          </cell>
          <cell r="Q15">
            <v>4064000</v>
          </cell>
          <cell r="R15">
            <v>1000000</v>
          </cell>
          <cell r="T15">
            <v>1200000</v>
          </cell>
          <cell r="U15">
            <v>600000</v>
          </cell>
          <cell r="V15">
            <v>600000</v>
          </cell>
          <cell r="W15">
            <v>600000</v>
          </cell>
          <cell r="X15">
            <v>600000</v>
          </cell>
          <cell r="Y15">
            <v>600000</v>
          </cell>
          <cell r="Z15">
            <v>600000</v>
          </cell>
          <cell r="AC15">
            <v>500000</v>
          </cell>
          <cell r="AD15">
            <v>0</v>
          </cell>
          <cell r="AE15">
            <v>0</v>
          </cell>
          <cell r="AF15">
            <v>3758400</v>
          </cell>
          <cell r="AH15">
            <v>2300000</v>
          </cell>
          <cell r="AI15">
            <v>6264000</v>
          </cell>
          <cell r="AJ15">
            <v>30115.384615384617</v>
          </cell>
          <cell r="AK15">
            <v>6264000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0</v>
          </cell>
          <cell r="AU15">
            <v>0</v>
          </cell>
          <cell r="AV15">
            <v>12322400</v>
          </cell>
          <cell r="AW15">
            <v>6264000</v>
          </cell>
          <cell r="AX15">
            <v>1096200</v>
          </cell>
          <cell r="AY15">
            <v>187920</v>
          </cell>
          <cell r="AZ15">
            <v>62640</v>
          </cell>
          <cell r="BA15">
            <v>125280</v>
          </cell>
          <cell r="BB15">
            <v>1472040</v>
          </cell>
          <cell r="BC15">
            <v>501120</v>
          </cell>
          <cell r="BD15">
            <v>93960</v>
          </cell>
          <cell r="BE15">
            <v>62640</v>
          </cell>
          <cell r="BF15">
            <v>657720</v>
          </cell>
          <cell r="BG15">
            <v>11000000</v>
          </cell>
          <cell r="BI15">
            <v>0</v>
          </cell>
          <cell r="BJ15">
            <v>600000</v>
          </cell>
          <cell r="BK15">
            <v>11722400</v>
          </cell>
          <cell r="BL15">
            <v>64680</v>
          </cell>
          <cell r="BM15">
            <v>3234</v>
          </cell>
          <cell r="BN15">
            <v>35000</v>
          </cell>
          <cell r="BP15">
            <v>11626446</v>
          </cell>
        </row>
        <row r="16">
          <cell r="B16" t="str">
            <v>Nguyễn Thị Thu Huyền (Từ ngày 01-10/12)</v>
          </cell>
          <cell r="C16" t="str">
            <v>Nấu ăn</v>
          </cell>
          <cell r="D16">
            <v>208</v>
          </cell>
          <cell r="E16">
            <v>64</v>
          </cell>
          <cell r="Q16">
            <v>3454000</v>
          </cell>
          <cell r="U16">
            <v>600000</v>
          </cell>
          <cell r="V16">
            <v>184615.38461538462</v>
          </cell>
          <cell r="W16">
            <v>1200000</v>
          </cell>
          <cell r="X16">
            <v>369230.76923076925</v>
          </cell>
          <cell r="Y16">
            <v>1300000</v>
          </cell>
          <cell r="Z16">
            <v>400000</v>
          </cell>
          <cell r="AD16">
            <v>0</v>
          </cell>
          <cell r="AE16">
            <v>0</v>
          </cell>
          <cell r="AF16">
            <v>327300</v>
          </cell>
          <cell r="AH16">
            <v>953846.15384615387</v>
          </cell>
          <cell r="AI16">
            <v>3454000</v>
          </cell>
          <cell r="AJ16">
            <v>16605.76923076923</v>
          </cell>
          <cell r="AK16">
            <v>1062769.2307692308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0</v>
          </cell>
          <cell r="AU16">
            <v>0</v>
          </cell>
          <cell r="AV16">
            <v>2343915.3846153845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11000000</v>
          </cell>
          <cell r="BI16">
            <v>0</v>
          </cell>
          <cell r="BJ16">
            <v>184615.38461538462</v>
          </cell>
          <cell r="BK16">
            <v>2159300</v>
          </cell>
          <cell r="BL16">
            <v>0</v>
          </cell>
          <cell r="BM16">
            <v>0</v>
          </cell>
          <cell r="BP16">
            <v>2343915.3846153845</v>
          </cell>
        </row>
        <row r="17">
          <cell r="B17" t="str">
            <v>Nguyễn Thị Thu Huyền (Từ ngày 11-31/12)</v>
          </cell>
          <cell r="C17" t="str">
            <v>Nấu ăn</v>
          </cell>
          <cell r="D17">
            <v>208</v>
          </cell>
          <cell r="E17">
            <v>144</v>
          </cell>
          <cell r="Q17">
            <v>4064000</v>
          </cell>
          <cell r="R17">
            <v>300000</v>
          </cell>
          <cell r="U17">
            <v>600000</v>
          </cell>
          <cell r="V17">
            <v>415384.61538461538</v>
          </cell>
          <cell r="W17">
            <v>1500000</v>
          </cell>
          <cell r="X17">
            <v>1038461.5384615385</v>
          </cell>
          <cell r="Y17">
            <v>1500000</v>
          </cell>
          <cell r="Z17">
            <v>1038461.5384615385</v>
          </cell>
          <cell r="AC17">
            <v>500000</v>
          </cell>
          <cell r="AD17">
            <v>0</v>
          </cell>
          <cell r="AE17">
            <v>0</v>
          </cell>
          <cell r="AH17">
            <v>2992307.6923076925</v>
          </cell>
          <cell r="AI17">
            <v>4364000</v>
          </cell>
          <cell r="AJ17">
            <v>20980.76923076923</v>
          </cell>
          <cell r="AK17">
            <v>3021230.769230769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0</v>
          </cell>
          <cell r="AU17">
            <v>0</v>
          </cell>
          <cell r="AV17">
            <v>6013538.461538462</v>
          </cell>
          <cell r="AW17">
            <v>4364000</v>
          </cell>
          <cell r="AX17">
            <v>763700</v>
          </cell>
          <cell r="AY17">
            <v>130920</v>
          </cell>
          <cell r="AZ17">
            <v>43640</v>
          </cell>
          <cell r="BA17">
            <v>87280</v>
          </cell>
          <cell r="BB17">
            <v>1025540</v>
          </cell>
          <cell r="BC17">
            <v>349120</v>
          </cell>
          <cell r="BD17">
            <v>65460</v>
          </cell>
          <cell r="BE17">
            <v>43640</v>
          </cell>
          <cell r="BF17">
            <v>458220</v>
          </cell>
          <cell r="BG17">
            <v>11000000</v>
          </cell>
          <cell r="BI17">
            <v>0</v>
          </cell>
          <cell r="BJ17">
            <v>415384.61538461538</v>
          </cell>
          <cell r="BK17">
            <v>5598153.8461538469</v>
          </cell>
          <cell r="BL17">
            <v>0</v>
          </cell>
          <cell r="BM17">
            <v>0</v>
          </cell>
          <cell r="BN17">
            <v>35000</v>
          </cell>
          <cell r="BP17">
            <v>5520318.461538462</v>
          </cell>
        </row>
        <row r="18">
          <cell r="B18" t="str">
            <v>Hoàng Việt Dũng</v>
          </cell>
          <cell r="C18" t="str">
            <v>Lái xe</v>
          </cell>
          <cell r="D18">
            <v>208</v>
          </cell>
          <cell r="E18">
            <v>208</v>
          </cell>
          <cell r="H18">
            <v>33</v>
          </cell>
          <cell r="I18">
            <v>6</v>
          </cell>
          <cell r="J18">
            <v>8</v>
          </cell>
          <cell r="M18">
            <v>3.5</v>
          </cell>
          <cell r="Q18">
            <v>4480000</v>
          </cell>
          <cell r="R18">
            <v>1200000</v>
          </cell>
          <cell r="S18">
            <v>400000</v>
          </cell>
          <cell r="T18">
            <v>600000</v>
          </cell>
          <cell r="U18">
            <v>300000</v>
          </cell>
          <cell r="V18">
            <v>300000</v>
          </cell>
          <cell r="W18">
            <v>600000</v>
          </cell>
          <cell r="X18">
            <v>600000</v>
          </cell>
          <cell r="Y18">
            <v>600000</v>
          </cell>
          <cell r="Z18">
            <v>600000</v>
          </cell>
          <cell r="AB18">
            <v>20000</v>
          </cell>
          <cell r="AC18">
            <v>500000</v>
          </cell>
          <cell r="AD18">
            <v>0</v>
          </cell>
          <cell r="AE18">
            <v>0</v>
          </cell>
          <cell r="AF18">
            <v>4008000</v>
          </cell>
          <cell r="AH18">
            <v>2020000</v>
          </cell>
          <cell r="AI18">
            <v>6680000</v>
          </cell>
          <cell r="AJ18">
            <v>32115.384615384617</v>
          </cell>
          <cell r="AK18">
            <v>6680000</v>
          </cell>
          <cell r="AL18">
            <v>1589711.5384615385</v>
          </cell>
          <cell r="AM18">
            <v>375749.99999999994</v>
          </cell>
          <cell r="AN18">
            <v>513846.15384615387</v>
          </cell>
          <cell r="AO18">
            <v>0</v>
          </cell>
          <cell r="AP18">
            <v>0</v>
          </cell>
          <cell r="AQ18">
            <v>438375</v>
          </cell>
          <cell r="AR18">
            <v>0</v>
          </cell>
          <cell r="AS18">
            <v>0</v>
          </cell>
          <cell r="AU18">
            <v>2917682.6923076925</v>
          </cell>
          <cell r="AV18">
            <v>15625682.692307692</v>
          </cell>
          <cell r="AW18">
            <v>6680000</v>
          </cell>
          <cell r="AX18">
            <v>1169000</v>
          </cell>
          <cell r="AY18">
            <v>200400</v>
          </cell>
          <cell r="AZ18">
            <v>66800</v>
          </cell>
          <cell r="BA18">
            <v>133600</v>
          </cell>
          <cell r="BB18">
            <v>1569800</v>
          </cell>
          <cell r="BC18">
            <v>534400</v>
          </cell>
          <cell r="BD18">
            <v>100200</v>
          </cell>
          <cell r="BE18">
            <v>66800</v>
          </cell>
          <cell r="BF18">
            <v>701400</v>
          </cell>
          <cell r="BG18">
            <v>11000000</v>
          </cell>
          <cell r="BH18">
            <v>1</v>
          </cell>
          <cell r="BI18">
            <v>4400000</v>
          </cell>
          <cell r="BJ18">
            <v>300000</v>
          </cell>
          <cell r="BK18">
            <v>14029826.923076924</v>
          </cell>
          <cell r="BL18">
            <v>0</v>
          </cell>
          <cell r="BM18">
            <v>0</v>
          </cell>
          <cell r="BN18">
            <v>35000</v>
          </cell>
          <cell r="BP18">
            <v>14889282.692307692</v>
          </cell>
        </row>
        <row r="19">
          <cell r="B19" t="str">
            <v>Đào Thị Thu Hằng</v>
          </cell>
          <cell r="C19" t="str">
            <v>TPKD</v>
          </cell>
          <cell r="D19">
            <v>208</v>
          </cell>
          <cell r="E19">
            <v>208</v>
          </cell>
          <cell r="Q19">
            <v>10600000</v>
          </cell>
          <cell r="R19">
            <v>4000000</v>
          </cell>
          <cell r="S19">
            <v>2000000</v>
          </cell>
          <cell r="T19">
            <v>600000</v>
          </cell>
          <cell r="U19">
            <v>3000000</v>
          </cell>
          <cell r="V19">
            <v>3000000</v>
          </cell>
          <cell r="W19">
            <v>1600000</v>
          </cell>
          <cell r="X19">
            <v>1600000</v>
          </cell>
          <cell r="Y19">
            <v>3000000</v>
          </cell>
          <cell r="Z19">
            <v>3000000</v>
          </cell>
          <cell r="AB19">
            <v>20000</v>
          </cell>
          <cell r="AC19">
            <v>500000</v>
          </cell>
          <cell r="AD19">
            <v>0</v>
          </cell>
          <cell r="AE19">
            <v>0</v>
          </cell>
          <cell r="AF19">
            <v>10320000</v>
          </cell>
          <cell r="AH19">
            <v>8120000</v>
          </cell>
          <cell r="AI19">
            <v>17200000</v>
          </cell>
          <cell r="AJ19">
            <v>82692.307692307688</v>
          </cell>
          <cell r="AK19">
            <v>17200000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R19">
            <v>0</v>
          </cell>
          <cell r="AU19">
            <v>0</v>
          </cell>
          <cell r="AV19">
            <v>35640000</v>
          </cell>
          <cell r="AW19">
            <v>17200000</v>
          </cell>
          <cell r="AX19">
            <v>3010000</v>
          </cell>
          <cell r="AY19">
            <v>516000</v>
          </cell>
          <cell r="AZ19">
            <v>172000</v>
          </cell>
          <cell r="BA19">
            <v>344000</v>
          </cell>
          <cell r="BB19">
            <v>4042000</v>
          </cell>
          <cell r="BC19">
            <v>1376000</v>
          </cell>
          <cell r="BD19">
            <v>258000</v>
          </cell>
          <cell r="BE19">
            <v>172000</v>
          </cell>
          <cell r="BF19">
            <v>1806000</v>
          </cell>
          <cell r="BG19">
            <v>11000000</v>
          </cell>
          <cell r="BH19">
            <v>2</v>
          </cell>
          <cell r="BI19">
            <v>8800000</v>
          </cell>
          <cell r="BJ19">
            <v>3000000</v>
          </cell>
          <cell r="BK19">
            <v>32640000</v>
          </cell>
          <cell r="BL19">
            <v>11034000</v>
          </cell>
          <cell r="BM19">
            <v>905100</v>
          </cell>
          <cell r="BN19">
            <v>35000</v>
          </cell>
          <cell r="BP19">
            <v>32893900</v>
          </cell>
        </row>
        <row r="20">
          <cell r="B20" t="str">
            <v>Vũ Thị Khánh Linh</v>
          </cell>
          <cell r="C20" t="str">
            <v>NVKD</v>
          </cell>
          <cell r="D20">
            <v>208</v>
          </cell>
          <cell r="E20">
            <v>208</v>
          </cell>
          <cell r="H20">
            <v>1</v>
          </cell>
          <cell r="Q20">
            <v>5450000</v>
          </cell>
          <cell r="T20">
            <v>300000</v>
          </cell>
          <cell r="U20">
            <v>300000</v>
          </cell>
          <cell r="V20">
            <v>300000</v>
          </cell>
          <cell r="W20">
            <v>1000000</v>
          </cell>
          <cell r="X20">
            <v>1000000</v>
          </cell>
          <cell r="Y20">
            <v>1000000</v>
          </cell>
          <cell r="Z20">
            <v>1000000</v>
          </cell>
          <cell r="AC20">
            <v>500000</v>
          </cell>
          <cell r="AD20">
            <v>0</v>
          </cell>
          <cell r="AE20">
            <v>0</v>
          </cell>
          <cell r="AF20">
            <v>3450000</v>
          </cell>
          <cell r="AH20">
            <v>2800000</v>
          </cell>
          <cell r="AI20">
            <v>5750000</v>
          </cell>
          <cell r="AJ20">
            <v>27644.23076923077</v>
          </cell>
          <cell r="AK20">
            <v>5750000</v>
          </cell>
          <cell r="AL20">
            <v>41466.346153846156</v>
          </cell>
          <cell r="AM20">
            <v>0</v>
          </cell>
          <cell r="AN20">
            <v>0</v>
          </cell>
          <cell r="AP20">
            <v>0</v>
          </cell>
          <cell r="AR20">
            <v>0</v>
          </cell>
          <cell r="AU20">
            <v>41466.346153846156</v>
          </cell>
          <cell r="AV20">
            <v>12041466.346153846</v>
          </cell>
          <cell r="AW20">
            <v>5750000</v>
          </cell>
          <cell r="AX20">
            <v>1006249.9999999999</v>
          </cell>
          <cell r="AY20">
            <v>172500</v>
          </cell>
          <cell r="AZ20">
            <v>57500</v>
          </cell>
          <cell r="BA20">
            <v>115000</v>
          </cell>
          <cell r="BB20">
            <v>1351250</v>
          </cell>
          <cell r="BC20">
            <v>460000</v>
          </cell>
          <cell r="BD20">
            <v>86250</v>
          </cell>
          <cell r="BE20">
            <v>57500</v>
          </cell>
          <cell r="BF20">
            <v>603750</v>
          </cell>
          <cell r="BG20">
            <v>11000000</v>
          </cell>
          <cell r="BI20">
            <v>0</v>
          </cell>
          <cell r="BJ20">
            <v>300000</v>
          </cell>
          <cell r="BK20">
            <v>11727644.23076923</v>
          </cell>
          <cell r="BL20">
            <v>123894.23076923005</v>
          </cell>
          <cell r="BM20">
            <v>6195</v>
          </cell>
          <cell r="BN20">
            <v>35000</v>
          </cell>
          <cell r="BP20">
            <v>11396521.346153846</v>
          </cell>
        </row>
        <row r="21">
          <cell r="B21" t="str">
            <v xml:space="preserve">Nghiêm Thị Ngọc Ánh (Từ 01-14/12) </v>
          </cell>
          <cell r="C21" t="str">
            <v>NVKD</v>
          </cell>
          <cell r="D21">
            <v>208</v>
          </cell>
          <cell r="E21">
            <v>96</v>
          </cell>
          <cell r="H21">
            <v>1</v>
          </cell>
          <cell r="Q21">
            <v>5450000</v>
          </cell>
          <cell r="R21">
            <v>2000000</v>
          </cell>
          <cell r="T21">
            <v>300000</v>
          </cell>
          <cell r="U21">
            <v>700000</v>
          </cell>
          <cell r="W21">
            <v>800000</v>
          </cell>
          <cell r="Y21">
            <v>700000</v>
          </cell>
          <cell r="AD21">
            <v>0</v>
          </cell>
          <cell r="AE21">
            <v>0</v>
          </cell>
          <cell r="AH21">
            <v>0</v>
          </cell>
          <cell r="AI21">
            <v>7750000</v>
          </cell>
          <cell r="AJ21">
            <v>37259.615384615383</v>
          </cell>
          <cell r="AK21">
            <v>3576923.076923077</v>
          </cell>
          <cell r="AL21">
            <v>55889.423076923078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0</v>
          </cell>
          <cell r="AU21">
            <v>55889.423076923078</v>
          </cell>
          <cell r="AV21">
            <v>3632812.5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11000000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P21">
            <v>3632812.5</v>
          </cell>
        </row>
        <row r="22">
          <cell r="B22" t="str">
            <v>Nghiêm Thị Ngọc Ánh (Từ 15-31/12)</v>
          </cell>
          <cell r="C22" t="str">
            <v>NVKD</v>
          </cell>
          <cell r="D22">
            <v>208</v>
          </cell>
          <cell r="E22">
            <v>104</v>
          </cell>
          <cell r="H22">
            <v>1</v>
          </cell>
          <cell r="Q22">
            <v>5450000</v>
          </cell>
          <cell r="R22">
            <v>2000000</v>
          </cell>
          <cell r="T22">
            <v>600000</v>
          </cell>
          <cell r="U22">
            <v>700000</v>
          </cell>
          <cell r="V22">
            <v>700000</v>
          </cell>
          <cell r="W22">
            <v>800000</v>
          </cell>
          <cell r="X22">
            <v>800000</v>
          </cell>
          <cell r="Y22">
            <v>700000</v>
          </cell>
          <cell r="Z22">
            <v>700000</v>
          </cell>
          <cell r="AC22">
            <v>500000</v>
          </cell>
          <cell r="AD22">
            <v>0</v>
          </cell>
          <cell r="AE22">
            <v>0</v>
          </cell>
          <cell r="AF22">
            <v>4830000</v>
          </cell>
          <cell r="AH22">
            <v>2700000</v>
          </cell>
          <cell r="AI22">
            <v>8050000</v>
          </cell>
          <cell r="AJ22">
            <v>38701.923076923078</v>
          </cell>
          <cell r="AK22">
            <v>4025000</v>
          </cell>
          <cell r="AL22">
            <v>58052.884615384617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U22">
            <v>58052.884615384617</v>
          </cell>
          <cell r="AV22">
            <v>11613052.884615384</v>
          </cell>
          <cell r="AW22">
            <v>8050000</v>
          </cell>
          <cell r="AX22">
            <v>1408750</v>
          </cell>
          <cell r="AY22">
            <v>241500</v>
          </cell>
          <cell r="AZ22">
            <v>80500</v>
          </cell>
          <cell r="BA22">
            <v>161000</v>
          </cell>
          <cell r="BB22">
            <v>1891750</v>
          </cell>
          <cell r="BC22">
            <v>644000</v>
          </cell>
          <cell r="BD22">
            <v>120750</v>
          </cell>
          <cell r="BE22">
            <v>80500</v>
          </cell>
          <cell r="BF22">
            <v>845250</v>
          </cell>
          <cell r="BG22">
            <v>11000000</v>
          </cell>
          <cell r="BI22">
            <v>0</v>
          </cell>
          <cell r="BJ22">
            <v>700000</v>
          </cell>
          <cell r="BK22">
            <v>14507885</v>
          </cell>
          <cell r="BL22">
            <v>2662635</v>
          </cell>
          <cell r="BM22">
            <v>133132</v>
          </cell>
          <cell r="BN22">
            <v>35000</v>
          </cell>
          <cell r="BP22">
            <v>10599670.884615384</v>
          </cell>
        </row>
        <row r="23">
          <cell r="B23" t="str">
            <v>Phan Thị Thanh Tâm</v>
          </cell>
          <cell r="C23" t="str">
            <v>XNK</v>
          </cell>
          <cell r="D23">
            <v>208</v>
          </cell>
          <cell r="E23">
            <v>208</v>
          </cell>
          <cell r="H23">
            <v>4.5</v>
          </cell>
          <cell r="Q23">
            <v>5450000</v>
          </cell>
          <cell r="R23">
            <v>500000</v>
          </cell>
          <cell r="T23">
            <v>300000</v>
          </cell>
          <cell r="V23">
            <v>0</v>
          </cell>
          <cell r="W23">
            <v>1600000</v>
          </cell>
          <cell r="X23">
            <v>1600000</v>
          </cell>
          <cell r="Y23">
            <v>1600000</v>
          </cell>
          <cell r="Z23">
            <v>1600000</v>
          </cell>
          <cell r="AA23">
            <v>250000</v>
          </cell>
          <cell r="AC23">
            <v>500000</v>
          </cell>
          <cell r="AD23">
            <v>0</v>
          </cell>
          <cell r="AE23">
            <v>0</v>
          </cell>
          <cell r="AF23">
            <v>3750000</v>
          </cell>
          <cell r="AH23">
            <v>3950000</v>
          </cell>
          <cell r="AI23">
            <v>6250000</v>
          </cell>
          <cell r="AJ23">
            <v>30048.076923076922</v>
          </cell>
          <cell r="AK23">
            <v>6250000</v>
          </cell>
          <cell r="AL23">
            <v>202824.51923076925</v>
          </cell>
          <cell r="AM23">
            <v>0</v>
          </cell>
          <cell r="AN23">
            <v>0</v>
          </cell>
          <cell r="AP23">
            <v>0</v>
          </cell>
          <cell r="AR23">
            <v>0</v>
          </cell>
          <cell r="AU23">
            <v>202824.51923076925</v>
          </cell>
          <cell r="AV23">
            <v>14152824.51923077</v>
          </cell>
          <cell r="AW23">
            <v>6250000</v>
          </cell>
          <cell r="AX23">
            <v>1093750</v>
          </cell>
          <cell r="AY23">
            <v>187500</v>
          </cell>
          <cell r="AZ23">
            <v>62500</v>
          </cell>
          <cell r="BA23">
            <v>125000</v>
          </cell>
          <cell r="BB23">
            <v>1468750</v>
          </cell>
          <cell r="BC23">
            <v>500000</v>
          </cell>
          <cell r="BD23">
            <v>93750</v>
          </cell>
          <cell r="BE23">
            <v>62500</v>
          </cell>
          <cell r="BF23">
            <v>656250</v>
          </cell>
          <cell r="BG23">
            <v>11000000</v>
          </cell>
          <cell r="BH23">
            <v>1</v>
          </cell>
          <cell r="BI23">
            <v>4400000</v>
          </cell>
          <cell r="BJ23">
            <v>0</v>
          </cell>
          <cell r="BK23">
            <v>14085216.346153846</v>
          </cell>
          <cell r="BL23">
            <v>0</v>
          </cell>
          <cell r="BM23">
            <v>0</v>
          </cell>
          <cell r="BN23">
            <v>35000</v>
          </cell>
          <cell r="BP23">
            <v>13461574.51923077</v>
          </cell>
        </row>
      </sheetData>
      <sheetData sheetId="8">
        <row r="9">
          <cell r="B9" t="str">
            <v>Nguyễn Thị Hân</v>
          </cell>
        </row>
      </sheetData>
      <sheetData sheetId="9">
        <row r="9">
          <cell r="B9">
            <v>-2</v>
          </cell>
        </row>
      </sheetData>
      <sheetData sheetId="10">
        <row r="10">
          <cell r="B10" t="str">
            <v>Đinh Thị Hải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7"/>
  <sheetViews>
    <sheetView showZeros="0" tabSelected="1" topLeftCell="B1" zoomScaleNormal="100" workbookViewId="0">
      <pane xSplit="3" ySplit="14" topLeftCell="BJ15" activePane="bottomRight" state="frozen"/>
      <selection activeCell="B1" sqref="B1"/>
      <selection pane="topRight" activeCell="E1" sqref="E1"/>
      <selection pane="bottomLeft" activeCell="B15" sqref="B15"/>
      <selection pane="bottomRight" activeCell="D25" sqref="D25"/>
    </sheetView>
  </sheetViews>
  <sheetFormatPr defaultColWidth="9.140625" defaultRowHeight="15"/>
  <cols>
    <col min="1" max="1" width="9.140625" style="2" hidden="1" customWidth="1"/>
    <col min="2" max="2" width="5.28515625" style="1" customWidth="1"/>
    <col min="3" max="3" width="11.5703125" style="1" customWidth="1"/>
    <col min="4" max="4" width="23.5703125" style="2" customWidth="1"/>
    <col min="5" max="5" width="13" style="1" customWidth="1"/>
    <col min="6" max="6" width="11.42578125" style="1" customWidth="1"/>
    <col min="7" max="7" width="9.7109375" style="44" customWidth="1"/>
    <col min="8" max="8" width="9.140625" style="14" customWidth="1"/>
    <col min="9" max="9" width="7.7109375" style="14" customWidth="1"/>
    <col min="10" max="10" width="7.7109375" style="6" customWidth="1"/>
    <col min="11" max="18" width="7.7109375" style="14" customWidth="1"/>
    <col min="19" max="19" width="11.7109375" style="14" customWidth="1"/>
    <col min="20" max="20" width="11.7109375" style="6" customWidth="1"/>
    <col min="21" max="21" width="11.85546875" style="6" customWidth="1"/>
    <col min="22" max="22" width="11.5703125" style="6" customWidth="1"/>
    <col min="23" max="27" width="10.5703125" style="6" customWidth="1"/>
    <col min="28" max="28" width="10.5703125" style="6" hidden="1" customWidth="1"/>
    <col min="29" max="36" width="10.85546875" style="6" customWidth="1"/>
    <col min="37" max="37" width="13.28515625" style="6" customWidth="1"/>
    <col min="38" max="41" width="10.85546875" style="6" customWidth="1"/>
    <col min="42" max="43" width="10.85546875" style="14" customWidth="1"/>
    <col min="44" max="45" width="10.85546875" style="6" customWidth="1"/>
    <col min="46" max="46" width="13.140625" style="14" customWidth="1"/>
    <col min="47" max="49" width="10.85546875" style="6" customWidth="1"/>
    <col min="50" max="55" width="10.85546875" style="13" customWidth="1"/>
    <col min="56" max="56" width="10.85546875" style="6" customWidth="1"/>
    <col min="57" max="57" width="16.140625" style="13" customWidth="1"/>
    <col min="58" max="63" width="11.85546875" style="13" customWidth="1"/>
    <col min="64" max="67" width="11.85546875" style="6" customWidth="1"/>
    <col min="68" max="69" width="10.85546875" style="6" customWidth="1"/>
    <col min="70" max="70" width="10.85546875" style="6" hidden="1" customWidth="1"/>
    <col min="71" max="72" width="10.85546875" style="6" customWidth="1"/>
    <col min="73" max="73" width="15" style="6" customWidth="1"/>
    <col min="74" max="79" width="10.85546875" style="6" customWidth="1"/>
    <col min="80" max="80" width="15.42578125" customWidth="1"/>
    <col min="84" max="101" width="9.140625" style="6" customWidth="1"/>
    <col min="102" max="102" width="9.140625" style="13" customWidth="1"/>
    <col min="103" max="108" width="8.85546875" style="47" customWidth="1"/>
    <col min="109" max="121" width="9.140625" style="13" customWidth="1"/>
    <col min="122" max="122" width="9.140625" style="2" customWidth="1"/>
    <col min="123" max="16384" width="9.140625" style="2"/>
  </cols>
  <sheetData>
    <row r="1" spans="1:138">
      <c r="A1" s="2" t="s">
        <v>0</v>
      </c>
      <c r="C1" s="35" t="s">
        <v>1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38">
      <c r="A2" s="2" t="s">
        <v>2</v>
      </c>
      <c r="C2" s="35" t="s">
        <v>3</v>
      </c>
      <c r="D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38" ht="27.6" customHeight="1">
      <c r="A3" s="2" t="s">
        <v>2</v>
      </c>
      <c r="D3" s="34" t="str">
        <f>"BẢNG TÍNH TIỀN LƯƠNG THÁNG "&amp;A4&amp;" / SALARY CALCULATION ON "&amp;TEXT(A4*29,"Mmm")&amp;" "&amp;A5</f>
        <v>BẢNG TÍNH TIỀN LƯƠNG THÁNG 12 / SALARY CALCULATION ON Dec 2024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38">
      <c r="A4" s="2" t="s">
        <v>4</v>
      </c>
      <c r="D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38">
      <c r="A5" s="2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2"/>
      <c r="V5" s="2"/>
      <c r="W5" s="3"/>
      <c r="X5" s="3"/>
      <c r="Y5" s="3"/>
      <c r="Z5" s="3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5"/>
      <c r="AU5" s="2">
        <f>CU15</f>
        <v>2024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</row>
    <row r="6" spans="1:138" hidden="1">
      <c r="B6" s="1">
        <v>2</v>
      </c>
      <c r="C6" s="1">
        <v>2</v>
      </c>
      <c r="D6" s="2">
        <v>2</v>
      </c>
      <c r="E6" s="1">
        <v>2</v>
      </c>
      <c r="F6" s="1">
        <v>2</v>
      </c>
      <c r="G6" s="1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</row>
    <row r="7" spans="1:138" s="10" customFormat="1" ht="12" hidden="1">
      <c r="B7" s="9" t="s">
        <v>6</v>
      </c>
      <c r="C7" s="9" t="s">
        <v>7</v>
      </c>
      <c r="D7" s="10" t="s">
        <v>8</v>
      </c>
      <c r="E7" s="9" t="s">
        <v>9</v>
      </c>
      <c r="F7" s="9" t="s">
        <v>10</v>
      </c>
      <c r="G7" s="9"/>
      <c r="J7" s="10" t="s">
        <v>11</v>
      </c>
      <c r="T7" s="10" t="s">
        <v>12</v>
      </c>
      <c r="U7" s="10" t="s">
        <v>13</v>
      </c>
      <c r="V7" s="10" t="s">
        <v>14</v>
      </c>
      <c r="W7" s="10" t="s">
        <v>15</v>
      </c>
      <c r="X7" s="10" t="s">
        <v>16</v>
      </c>
      <c r="Y7" s="10" t="s">
        <v>17</v>
      </c>
      <c r="Z7" s="10" t="s">
        <v>18</v>
      </c>
      <c r="AA7" s="10" t="s">
        <v>19</v>
      </c>
      <c r="AB7" s="10" t="s">
        <v>20</v>
      </c>
      <c r="AD7" s="10" t="s">
        <v>21</v>
      </c>
      <c r="AF7" s="10" t="s">
        <v>22</v>
      </c>
      <c r="AH7" s="10" t="s">
        <v>23</v>
      </c>
      <c r="AI7" s="10" t="s">
        <v>24</v>
      </c>
      <c r="AL7" s="10" t="s">
        <v>25</v>
      </c>
      <c r="BP7" s="10" t="s">
        <v>26</v>
      </c>
      <c r="BQ7" s="10" t="s">
        <v>27</v>
      </c>
      <c r="BR7" s="10" t="s">
        <v>28</v>
      </c>
      <c r="BX7" s="10" t="s">
        <v>29</v>
      </c>
      <c r="CA7" s="10" t="s">
        <v>30</v>
      </c>
      <c r="CJ7" s="10" t="s">
        <v>31</v>
      </c>
      <c r="CK7" s="10" t="s">
        <v>32</v>
      </c>
      <c r="CL7" s="10" t="s">
        <v>33</v>
      </c>
      <c r="CM7" s="10" t="s">
        <v>34</v>
      </c>
      <c r="CN7" s="10" t="s">
        <v>35</v>
      </c>
      <c r="CO7" s="10" t="s">
        <v>36</v>
      </c>
      <c r="CP7" s="10" t="s">
        <v>37</v>
      </c>
      <c r="CQ7" s="10" t="s">
        <v>38</v>
      </c>
      <c r="CR7" s="10" t="s">
        <v>39</v>
      </c>
      <c r="CS7" s="10" t="s">
        <v>40</v>
      </c>
      <c r="CT7" s="10" t="s">
        <v>41</v>
      </c>
      <c r="CU7" s="10" t="s">
        <v>42</v>
      </c>
      <c r="CV7" s="10" t="s">
        <v>43</v>
      </c>
      <c r="CW7" s="10" t="s">
        <v>44</v>
      </c>
      <c r="CX7" s="10" t="s">
        <v>45</v>
      </c>
      <c r="CY7" s="10" t="s">
        <v>46</v>
      </c>
      <c r="CZ7" s="10" t="s">
        <v>47</v>
      </c>
      <c r="DA7" s="10" t="s">
        <v>48</v>
      </c>
      <c r="DB7" s="10" t="s">
        <v>49</v>
      </c>
      <c r="DC7" s="10" t="s">
        <v>50</v>
      </c>
      <c r="DD7" s="10" t="s">
        <v>51</v>
      </c>
      <c r="DE7" s="10" t="s">
        <v>52</v>
      </c>
      <c r="DF7" s="10" t="s">
        <v>53</v>
      </c>
      <c r="DG7" s="10" t="s">
        <v>54</v>
      </c>
      <c r="DH7" s="10" t="s">
        <v>55</v>
      </c>
      <c r="DI7" s="10" t="s">
        <v>56</v>
      </c>
      <c r="DJ7" s="10" t="s">
        <v>57</v>
      </c>
      <c r="DK7" s="10" t="s">
        <v>58</v>
      </c>
      <c r="DL7" s="10" t="s">
        <v>59</v>
      </c>
      <c r="DM7" s="10" t="s">
        <v>60</v>
      </c>
      <c r="DN7" s="10" t="s">
        <v>61</v>
      </c>
      <c r="DO7" s="10" t="s">
        <v>62</v>
      </c>
      <c r="DP7" s="10" t="s">
        <v>63</v>
      </c>
      <c r="DQ7" s="10" t="s">
        <v>64</v>
      </c>
      <c r="DR7" s="10" t="s">
        <v>65</v>
      </c>
      <c r="DS7" s="10" t="s">
        <v>66</v>
      </c>
      <c r="DT7" s="10" t="s">
        <v>67</v>
      </c>
      <c r="DU7" s="10" t="s">
        <v>68</v>
      </c>
      <c r="DV7" s="10" t="s">
        <v>69</v>
      </c>
      <c r="DW7" s="10" t="s">
        <v>70</v>
      </c>
      <c r="DX7" s="10" t="s">
        <v>71</v>
      </c>
      <c r="DY7" s="10" t="s">
        <v>72</v>
      </c>
      <c r="DZ7" s="10" t="s">
        <v>73</v>
      </c>
      <c r="EA7" s="10" t="s">
        <v>74</v>
      </c>
      <c r="EB7" s="10" t="s">
        <v>75</v>
      </c>
      <c r="EC7" s="10" t="s">
        <v>76</v>
      </c>
      <c r="ED7" s="10" t="s">
        <v>77</v>
      </c>
      <c r="EE7" s="10" t="s">
        <v>78</v>
      </c>
      <c r="EF7" s="10" t="s">
        <v>79</v>
      </c>
      <c r="EG7" s="10" t="s">
        <v>80</v>
      </c>
      <c r="EH7" s="10" t="s">
        <v>81</v>
      </c>
    </row>
    <row r="8" spans="1:138" hidden="1">
      <c r="C8" s="9" t="s">
        <v>7</v>
      </c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 t="s">
        <v>40</v>
      </c>
      <c r="CT8" s="10" t="s">
        <v>41</v>
      </c>
      <c r="CU8" s="10" t="s">
        <v>42</v>
      </c>
      <c r="CV8" s="2"/>
      <c r="CW8" s="2"/>
      <c r="CX8" s="2"/>
      <c r="CY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</row>
    <row r="9" spans="1:138" hidden="1">
      <c r="C9" s="9" t="s">
        <v>7</v>
      </c>
      <c r="F9" s="1" t="s">
        <v>82</v>
      </c>
      <c r="G9" s="1" t="s">
        <v>83</v>
      </c>
      <c r="H9" s="2" t="s">
        <v>84</v>
      </c>
      <c r="I9" s="1" t="s">
        <v>85</v>
      </c>
      <c r="J9" s="1" t="s">
        <v>86</v>
      </c>
      <c r="K9" s="2" t="s">
        <v>87</v>
      </c>
      <c r="L9" s="1" t="s">
        <v>88</v>
      </c>
      <c r="M9" s="1" t="s">
        <v>89</v>
      </c>
      <c r="N9" s="2" t="s">
        <v>90</v>
      </c>
      <c r="O9" s="1" t="s">
        <v>91</v>
      </c>
      <c r="P9" s="1" t="s">
        <v>92</v>
      </c>
      <c r="Q9" s="2" t="s">
        <v>93</v>
      </c>
      <c r="R9" s="1" t="s">
        <v>94</v>
      </c>
      <c r="S9" s="1" t="s">
        <v>95</v>
      </c>
      <c r="T9" s="2" t="s">
        <v>96</v>
      </c>
      <c r="U9" s="1" t="s">
        <v>97</v>
      </c>
      <c r="V9" s="1" t="s">
        <v>98</v>
      </c>
      <c r="W9" s="2" t="s">
        <v>99</v>
      </c>
      <c r="X9" s="1" t="s">
        <v>100</v>
      </c>
      <c r="Y9" s="1" t="s">
        <v>101</v>
      </c>
      <c r="Z9" s="2" t="s">
        <v>102</v>
      </c>
      <c r="AA9" s="1" t="s">
        <v>103</v>
      </c>
      <c r="AB9" s="1" t="s">
        <v>104</v>
      </c>
      <c r="AC9" s="2" t="s">
        <v>105</v>
      </c>
      <c r="AD9" s="1" t="s">
        <v>106</v>
      </c>
      <c r="AE9" s="1" t="s">
        <v>107</v>
      </c>
      <c r="AF9" s="2" t="s">
        <v>108</v>
      </c>
      <c r="AG9" s="1" t="s">
        <v>109</v>
      </c>
      <c r="AH9" s="1" t="s">
        <v>110</v>
      </c>
      <c r="AI9" s="2" t="s">
        <v>111</v>
      </c>
      <c r="AJ9" s="1" t="s">
        <v>112</v>
      </c>
      <c r="AK9" s="1" t="s">
        <v>113</v>
      </c>
      <c r="AL9" s="2" t="s">
        <v>114</v>
      </c>
      <c r="AM9" s="1" t="s">
        <v>115</v>
      </c>
      <c r="AN9" s="1" t="s">
        <v>116</v>
      </c>
      <c r="AO9" s="2" t="s">
        <v>117</v>
      </c>
      <c r="AP9" s="1" t="s">
        <v>118</v>
      </c>
      <c r="AQ9" s="1" t="s">
        <v>119</v>
      </c>
      <c r="AR9" s="2" t="s">
        <v>120</v>
      </c>
      <c r="AS9" s="1" t="s">
        <v>121</v>
      </c>
      <c r="AT9" s="1" t="s">
        <v>122</v>
      </c>
      <c r="AU9" s="2" t="s">
        <v>123</v>
      </c>
      <c r="AV9" s="1" t="s">
        <v>124</v>
      </c>
      <c r="AW9" s="1" t="s">
        <v>125</v>
      </c>
      <c r="AX9" s="2" t="s">
        <v>126</v>
      </c>
      <c r="AY9" s="1" t="s">
        <v>127</v>
      </c>
      <c r="AZ9" s="1" t="s">
        <v>128</v>
      </c>
      <c r="BA9" s="2" t="s">
        <v>129</v>
      </c>
      <c r="BB9" s="1" t="s">
        <v>130</v>
      </c>
      <c r="BC9" s="1" t="s">
        <v>131</v>
      </c>
      <c r="BD9" s="2" t="s">
        <v>132</v>
      </c>
      <c r="BE9" s="1" t="s">
        <v>133</v>
      </c>
      <c r="BF9" s="1" t="s">
        <v>134</v>
      </c>
      <c r="BG9" s="24" t="s">
        <v>135</v>
      </c>
      <c r="BH9" s="1" t="s">
        <v>136</v>
      </c>
      <c r="BI9" s="1" t="s">
        <v>137</v>
      </c>
      <c r="BJ9" s="1" t="s">
        <v>138</v>
      </c>
      <c r="BK9" s="1" t="s">
        <v>139</v>
      </c>
      <c r="BL9" s="1" t="s">
        <v>140</v>
      </c>
      <c r="BM9" s="2" t="s">
        <v>141</v>
      </c>
      <c r="BN9" s="1" t="s">
        <v>142</v>
      </c>
      <c r="BO9" s="9" t="s">
        <v>143</v>
      </c>
      <c r="BP9" s="2" t="s">
        <v>144</v>
      </c>
      <c r="BQ9" s="1" t="s">
        <v>145</v>
      </c>
      <c r="BR9" s="1" t="s">
        <v>146</v>
      </c>
      <c r="BS9" s="2" t="s">
        <v>147</v>
      </c>
      <c r="BT9" s="1" t="s">
        <v>148</v>
      </c>
      <c r="BU9" s="2" t="s">
        <v>149</v>
      </c>
      <c r="BV9" s="2" t="s">
        <v>150</v>
      </c>
      <c r="BW9" s="1" t="s">
        <v>151</v>
      </c>
      <c r="BX9" s="1" t="s">
        <v>152</v>
      </c>
      <c r="BY9" s="1" t="s">
        <v>153</v>
      </c>
      <c r="BZ9" s="2" t="s">
        <v>154</v>
      </c>
      <c r="CA9" s="1" t="s">
        <v>155</v>
      </c>
      <c r="CB9" s="1" t="s">
        <v>156</v>
      </c>
      <c r="CC9" s="2"/>
      <c r="CD9" s="2"/>
      <c r="CE9" s="2"/>
      <c r="CF9" s="10" t="s">
        <v>157</v>
      </c>
      <c r="CG9" s="10"/>
      <c r="CH9" s="10" t="s">
        <v>158</v>
      </c>
      <c r="CI9" s="10" t="s">
        <v>159</v>
      </c>
      <c r="CJ9" s="10"/>
      <c r="CK9" s="10"/>
      <c r="CL9" s="10"/>
      <c r="CM9" s="10"/>
      <c r="CN9" s="10"/>
      <c r="CO9" s="10"/>
      <c r="CP9" s="10"/>
      <c r="CQ9" s="10"/>
      <c r="CR9" s="10"/>
      <c r="CS9" s="10" t="s">
        <v>40</v>
      </c>
      <c r="CT9" s="10" t="s">
        <v>41</v>
      </c>
      <c r="CU9" s="10" t="s">
        <v>42</v>
      </c>
      <c r="CV9" s="2"/>
      <c r="CW9" s="2"/>
      <c r="CX9" s="2"/>
      <c r="CY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</row>
    <row r="10" spans="1:138" hidden="1">
      <c r="B10" s="1" t="s">
        <v>6</v>
      </c>
      <c r="C10" s="9" t="s">
        <v>7</v>
      </c>
      <c r="D10" s="10" t="s">
        <v>8</v>
      </c>
      <c r="E10" s="9" t="s">
        <v>160</v>
      </c>
      <c r="F10" s="9" t="s">
        <v>82</v>
      </c>
      <c r="G10" s="9" t="s">
        <v>83</v>
      </c>
      <c r="H10" s="9" t="s">
        <v>84</v>
      </c>
      <c r="I10" s="9" t="s">
        <v>85</v>
      </c>
      <c r="J10" s="9" t="s">
        <v>86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9" t="s">
        <v>93</v>
      </c>
      <c r="R10" s="9" t="s">
        <v>94</v>
      </c>
      <c r="S10" s="9" t="s">
        <v>95</v>
      </c>
      <c r="T10" s="9" t="s">
        <v>96</v>
      </c>
      <c r="U10" s="9" t="s">
        <v>97</v>
      </c>
      <c r="V10" s="9" t="s">
        <v>98</v>
      </c>
      <c r="W10" s="9" t="s">
        <v>99</v>
      </c>
      <c r="X10" s="9" t="s">
        <v>100</v>
      </c>
      <c r="Y10" s="9" t="s">
        <v>101</v>
      </c>
      <c r="Z10" s="9" t="s">
        <v>102</v>
      </c>
      <c r="AA10" s="9" t="s">
        <v>103</v>
      </c>
      <c r="AB10" s="9" t="s">
        <v>104</v>
      </c>
      <c r="AC10" s="9" t="s">
        <v>105</v>
      </c>
      <c r="AD10" s="9" t="s">
        <v>106</v>
      </c>
      <c r="AE10" s="9" t="s">
        <v>107</v>
      </c>
      <c r="AF10" s="9" t="s">
        <v>108</v>
      </c>
      <c r="AG10" s="9" t="s">
        <v>109</v>
      </c>
      <c r="AH10" s="9" t="s">
        <v>110</v>
      </c>
      <c r="AI10" s="9" t="s">
        <v>111</v>
      </c>
      <c r="AJ10" s="9" t="s">
        <v>112</v>
      </c>
      <c r="AK10" s="9" t="s">
        <v>113</v>
      </c>
      <c r="AL10" s="9" t="s">
        <v>114</v>
      </c>
      <c r="AM10" s="9" t="s">
        <v>115</v>
      </c>
      <c r="AN10" s="9" t="s">
        <v>116</v>
      </c>
      <c r="AO10" s="9" t="s">
        <v>117</v>
      </c>
      <c r="AP10" s="9" t="s">
        <v>118</v>
      </c>
      <c r="AQ10" s="9" t="s">
        <v>119</v>
      </c>
      <c r="AR10" s="9" t="s">
        <v>120</v>
      </c>
      <c r="AS10" s="9" t="s">
        <v>121</v>
      </c>
      <c r="AT10" s="9" t="s">
        <v>122</v>
      </c>
      <c r="AU10" s="9" t="s">
        <v>123</v>
      </c>
      <c r="AV10" s="9" t="s">
        <v>124</v>
      </c>
      <c r="AW10" s="9" t="s">
        <v>125</v>
      </c>
      <c r="AX10" s="9" t="s">
        <v>126</v>
      </c>
      <c r="AY10" s="9" t="s">
        <v>127</v>
      </c>
      <c r="AZ10" s="9" t="s">
        <v>128</v>
      </c>
      <c r="BA10" s="9" t="s">
        <v>129</v>
      </c>
      <c r="BB10" s="9" t="s">
        <v>130</v>
      </c>
      <c r="BC10" s="9" t="s">
        <v>131</v>
      </c>
      <c r="BD10" s="9" t="s">
        <v>132</v>
      </c>
      <c r="BE10" s="1" t="s">
        <v>133</v>
      </c>
      <c r="BF10" s="9" t="s">
        <v>134</v>
      </c>
      <c r="BG10" s="9" t="s">
        <v>135</v>
      </c>
      <c r="BH10" s="9" t="s">
        <v>136</v>
      </c>
      <c r="BI10" s="9" t="s">
        <v>137</v>
      </c>
      <c r="BJ10" s="9" t="s">
        <v>138</v>
      </c>
      <c r="BK10" s="9" t="s">
        <v>139</v>
      </c>
      <c r="BL10" s="9" t="s">
        <v>140</v>
      </c>
      <c r="BM10" s="9" t="s">
        <v>141</v>
      </c>
      <c r="BN10" s="9" t="s">
        <v>142</v>
      </c>
      <c r="BO10" s="9" t="s">
        <v>143</v>
      </c>
      <c r="BP10" s="9" t="s">
        <v>144</v>
      </c>
      <c r="BQ10" s="9" t="s">
        <v>145</v>
      </c>
      <c r="BR10" s="9" t="s">
        <v>146</v>
      </c>
      <c r="BS10" s="9" t="s">
        <v>147</v>
      </c>
      <c r="BT10" s="9" t="s">
        <v>148</v>
      </c>
      <c r="BU10" s="2" t="s">
        <v>149</v>
      </c>
      <c r="BV10" s="9" t="s">
        <v>150</v>
      </c>
      <c r="BW10" s="9" t="s">
        <v>151</v>
      </c>
      <c r="BX10" s="9" t="s">
        <v>152</v>
      </c>
      <c r="BY10" s="9" t="s">
        <v>153</v>
      </c>
      <c r="BZ10" s="9" t="s">
        <v>154</v>
      </c>
      <c r="CA10" s="9" t="s">
        <v>155</v>
      </c>
      <c r="CB10" s="9" t="s">
        <v>156</v>
      </c>
      <c r="CC10" s="2"/>
      <c r="CD10" s="2"/>
      <c r="CE10" s="2"/>
      <c r="CF10" s="10" t="s">
        <v>157</v>
      </c>
      <c r="CG10" s="10"/>
      <c r="CH10" s="10" t="s">
        <v>158</v>
      </c>
      <c r="CI10" s="10" t="s">
        <v>159</v>
      </c>
      <c r="CJ10" s="10"/>
      <c r="CK10" s="10"/>
      <c r="CL10" s="10"/>
      <c r="CM10" s="10"/>
      <c r="CN10" s="10"/>
      <c r="CO10" s="10"/>
      <c r="CP10" s="10"/>
      <c r="CQ10" s="10"/>
      <c r="CR10" s="10"/>
      <c r="CS10" s="10" t="s">
        <v>40</v>
      </c>
      <c r="CT10" s="10" t="s">
        <v>41</v>
      </c>
      <c r="CU10" s="10" t="s">
        <v>42</v>
      </c>
      <c r="CV10" s="2"/>
      <c r="CW10" s="2"/>
      <c r="CX10" s="2"/>
      <c r="CY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</row>
    <row r="11" spans="1:138" s="41" customFormat="1">
      <c r="B11" s="67" t="s">
        <v>161</v>
      </c>
      <c r="C11" s="67" t="s">
        <v>162</v>
      </c>
      <c r="D11" s="67" t="s">
        <v>163</v>
      </c>
      <c r="E11" s="73" t="s">
        <v>164</v>
      </c>
      <c r="F11" s="67" t="s">
        <v>165</v>
      </c>
      <c r="G11" s="74" t="s">
        <v>166</v>
      </c>
      <c r="H11" s="77"/>
      <c r="I11" s="78"/>
      <c r="J11" s="73" t="s">
        <v>167</v>
      </c>
      <c r="K11" s="74" t="s">
        <v>168</v>
      </c>
      <c r="L11" s="77"/>
      <c r="M11" s="77"/>
      <c r="N11" s="77"/>
      <c r="O11" s="77"/>
      <c r="P11" s="77"/>
      <c r="Q11" s="77"/>
      <c r="R11" s="77"/>
      <c r="S11" s="78"/>
      <c r="T11" s="67" t="s">
        <v>169</v>
      </c>
      <c r="U11" s="67"/>
      <c r="V11" s="67"/>
      <c r="W11" s="67"/>
      <c r="X11" s="67"/>
      <c r="Y11" s="67"/>
      <c r="Z11" s="67"/>
      <c r="AA11" s="67"/>
      <c r="AB11" s="74" t="s">
        <v>170</v>
      </c>
      <c r="AC11" s="77"/>
      <c r="AD11" s="77"/>
      <c r="AE11" s="77"/>
      <c r="AF11" s="77"/>
      <c r="AG11" s="77"/>
      <c r="AH11" s="77"/>
      <c r="AI11" s="77"/>
      <c r="AJ11" s="77"/>
      <c r="AK11" s="77"/>
      <c r="AL11" s="78"/>
      <c r="AM11" s="67" t="s">
        <v>171</v>
      </c>
      <c r="AN11" s="73" t="s">
        <v>172</v>
      </c>
      <c r="AO11" s="73" t="s">
        <v>173</v>
      </c>
      <c r="AP11" s="67" t="s">
        <v>174</v>
      </c>
      <c r="AQ11" s="67" t="s">
        <v>175</v>
      </c>
      <c r="AR11" s="68" t="s">
        <v>176</v>
      </c>
      <c r="AS11" s="68" t="s">
        <v>177</v>
      </c>
      <c r="AT11" s="67" t="s">
        <v>178</v>
      </c>
      <c r="AU11" s="67" t="s">
        <v>179</v>
      </c>
      <c r="AV11" s="67"/>
      <c r="AW11" s="67"/>
      <c r="AX11" s="67"/>
      <c r="AY11" s="67"/>
      <c r="AZ11" s="67"/>
      <c r="BA11" s="67"/>
      <c r="BB11" s="67"/>
      <c r="BC11" s="67"/>
      <c r="BD11" s="67"/>
      <c r="BE11" s="74" t="s">
        <v>180</v>
      </c>
      <c r="BF11" s="67" t="s">
        <v>181</v>
      </c>
      <c r="BG11" s="67"/>
      <c r="BH11" s="67"/>
      <c r="BI11" s="67"/>
      <c r="BJ11" s="67"/>
      <c r="BK11" s="67"/>
      <c r="BL11" s="74" t="s">
        <v>182</v>
      </c>
      <c r="BM11" s="77"/>
      <c r="BN11" s="77"/>
      <c r="BO11" s="78"/>
      <c r="BP11" s="82" t="s">
        <v>183</v>
      </c>
      <c r="BQ11" s="83"/>
      <c r="BR11" s="83"/>
      <c r="BS11" s="83"/>
      <c r="BT11" s="83"/>
      <c r="BU11" s="83"/>
      <c r="BV11" s="83"/>
      <c r="BW11" s="84"/>
      <c r="BX11" s="96" t="s">
        <v>184</v>
      </c>
      <c r="BY11" s="92" t="s">
        <v>185</v>
      </c>
      <c r="BZ11" s="92" t="s">
        <v>186</v>
      </c>
      <c r="CA11" s="92" t="s">
        <v>187</v>
      </c>
      <c r="CB11" s="73" t="s">
        <v>188</v>
      </c>
      <c r="CC11" s="21"/>
      <c r="CD11" s="21"/>
      <c r="CE11" s="21"/>
      <c r="CF11" s="105" t="s">
        <v>189</v>
      </c>
      <c r="CG11" s="99" t="s">
        <v>190</v>
      </c>
      <c r="CH11" s="101" t="s">
        <v>191</v>
      </c>
      <c r="CI11" s="101" t="s">
        <v>192</v>
      </c>
      <c r="CJ11" s="101" t="s">
        <v>193</v>
      </c>
      <c r="CK11" s="101" t="s">
        <v>194</v>
      </c>
      <c r="CL11" s="101" t="s">
        <v>195</v>
      </c>
      <c r="CM11" s="101" t="s">
        <v>196</v>
      </c>
      <c r="CN11" s="101" t="s">
        <v>197</v>
      </c>
      <c r="CO11" s="101" t="s">
        <v>198</v>
      </c>
      <c r="CP11" s="101" t="s">
        <v>199</v>
      </c>
      <c r="CQ11" s="101" t="s">
        <v>200</v>
      </c>
      <c r="CR11" s="101" t="s">
        <v>201</v>
      </c>
      <c r="CS11" s="72" t="s">
        <v>40</v>
      </c>
      <c r="CT11" s="72" t="s">
        <v>202</v>
      </c>
      <c r="CU11" s="72" t="s">
        <v>203</v>
      </c>
      <c r="CV11" s="72" t="s">
        <v>204</v>
      </c>
      <c r="CW11" s="89" t="s">
        <v>205</v>
      </c>
      <c r="CX11" s="70" t="s">
        <v>206</v>
      </c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1"/>
      <c r="DR11" s="113" t="s">
        <v>207</v>
      </c>
      <c r="DS11" s="113"/>
      <c r="DT11" s="113"/>
      <c r="DU11" s="113"/>
      <c r="DV11" s="113" t="s">
        <v>208</v>
      </c>
      <c r="DW11" s="113"/>
      <c r="DX11" s="113"/>
      <c r="DY11" s="113"/>
      <c r="DZ11" s="114" t="s">
        <v>209</v>
      </c>
      <c r="EA11" s="113" t="s">
        <v>210</v>
      </c>
      <c r="EB11" s="113" t="s">
        <v>211</v>
      </c>
      <c r="EC11" s="113" t="s">
        <v>212</v>
      </c>
      <c r="ED11" s="114" t="s">
        <v>213</v>
      </c>
      <c r="EE11" s="113" t="s">
        <v>214</v>
      </c>
      <c r="EF11" s="113" t="s">
        <v>215</v>
      </c>
      <c r="EG11" s="107" t="s">
        <v>171</v>
      </c>
      <c r="EH11" s="110" t="s">
        <v>216</v>
      </c>
    </row>
    <row r="12" spans="1:138" s="41" customFormat="1" ht="28.15" customHeight="1">
      <c r="B12" s="67"/>
      <c r="C12" s="67"/>
      <c r="D12" s="67"/>
      <c r="E12" s="81"/>
      <c r="F12" s="67"/>
      <c r="G12" s="75"/>
      <c r="H12" s="79"/>
      <c r="I12" s="80"/>
      <c r="J12" s="81"/>
      <c r="K12" s="76"/>
      <c r="L12" s="103"/>
      <c r="M12" s="103"/>
      <c r="N12" s="103"/>
      <c r="O12" s="103"/>
      <c r="P12" s="103"/>
      <c r="Q12" s="103"/>
      <c r="R12" s="103"/>
      <c r="S12" s="104"/>
      <c r="T12" s="67" t="s">
        <v>217</v>
      </c>
      <c r="U12" s="67"/>
      <c r="V12" s="67"/>
      <c r="W12" s="67"/>
      <c r="X12" s="67" t="s">
        <v>218</v>
      </c>
      <c r="Y12" s="67"/>
      <c r="Z12" s="67"/>
      <c r="AA12" s="67"/>
      <c r="AB12" s="76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67"/>
      <c r="AN12" s="81"/>
      <c r="AO12" s="81"/>
      <c r="AP12" s="67"/>
      <c r="AQ12" s="67"/>
      <c r="AR12" s="68"/>
      <c r="AS12" s="68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5"/>
      <c r="BF12" s="67"/>
      <c r="BG12" s="67"/>
      <c r="BH12" s="67"/>
      <c r="BI12" s="67"/>
      <c r="BJ12" s="67"/>
      <c r="BK12" s="67"/>
      <c r="BL12" s="75"/>
      <c r="BM12" s="79"/>
      <c r="BN12" s="79"/>
      <c r="BO12" s="80"/>
      <c r="BP12" s="85"/>
      <c r="BQ12" s="86"/>
      <c r="BR12" s="86"/>
      <c r="BS12" s="86"/>
      <c r="BT12" s="86"/>
      <c r="BU12" s="86"/>
      <c r="BV12" s="86"/>
      <c r="BW12" s="87"/>
      <c r="BX12" s="97"/>
      <c r="BY12" s="93"/>
      <c r="BZ12" s="93"/>
      <c r="CA12" s="93"/>
      <c r="CB12" s="81"/>
      <c r="CC12" s="21"/>
      <c r="CD12" s="21"/>
      <c r="CE12" s="21"/>
      <c r="CF12" s="105"/>
      <c r="CG12" s="99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72"/>
      <c r="CT12" s="72"/>
      <c r="CU12" s="72"/>
      <c r="CV12" s="72"/>
      <c r="CW12" s="90"/>
      <c r="CX12" s="88" t="s">
        <v>219</v>
      </c>
      <c r="CY12" s="69"/>
      <c r="CZ12" s="69"/>
      <c r="DA12" s="69"/>
      <c r="DB12" s="69"/>
      <c r="DC12" s="69"/>
      <c r="DD12" s="69"/>
      <c r="DE12" s="69"/>
      <c r="DF12" s="69"/>
      <c r="DG12" s="69"/>
      <c r="DH12" s="69" t="s">
        <v>220</v>
      </c>
      <c r="DI12" s="69"/>
      <c r="DJ12" s="69"/>
      <c r="DK12" s="69"/>
      <c r="DL12" s="69"/>
      <c r="DM12" s="69"/>
      <c r="DN12" s="69"/>
      <c r="DO12" s="69"/>
      <c r="DP12" s="69"/>
      <c r="DQ12" s="69"/>
      <c r="DR12" s="113" t="s">
        <v>219</v>
      </c>
      <c r="DS12" s="113"/>
      <c r="DT12" s="113" t="s">
        <v>220</v>
      </c>
      <c r="DU12" s="113"/>
      <c r="DV12" s="113" t="s">
        <v>219</v>
      </c>
      <c r="DW12" s="113"/>
      <c r="DX12" s="113" t="s">
        <v>220</v>
      </c>
      <c r="DY12" s="113"/>
      <c r="DZ12" s="114"/>
      <c r="EA12" s="113"/>
      <c r="EB12" s="113"/>
      <c r="EC12" s="113"/>
      <c r="ED12" s="114"/>
      <c r="EE12" s="113"/>
      <c r="EF12" s="113"/>
      <c r="EG12" s="108"/>
      <c r="EH12" s="111"/>
    </row>
    <row r="13" spans="1:138" s="11" customFormat="1" ht="94.5" customHeight="1">
      <c r="B13" s="73"/>
      <c r="C13" s="73"/>
      <c r="D13" s="73"/>
      <c r="E13" s="95"/>
      <c r="F13" s="73"/>
      <c r="G13" s="17" t="s">
        <v>221</v>
      </c>
      <c r="H13" s="17" t="s">
        <v>222</v>
      </c>
      <c r="I13" s="30" t="s">
        <v>223</v>
      </c>
      <c r="J13" s="95"/>
      <c r="K13" s="42" t="s">
        <v>224</v>
      </c>
      <c r="L13" s="42" t="s">
        <v>225</v>
      </c>
      <c r="M13" s="42" t="s">
        <v>226</v>
      </c>
      <c r="N13" s="42" t="s">
        <v>227</v>
      </c>
      <c r="O13" s="42" t="s">
        <v>228</v>
      </c>
      <c r="P13" s="42" t="s">
        <v>229</v>
      </c>
      <c r="Q13" s="42" t="s">
        <v>230</v>
      </c>
      <c r="R13" s="42" t="s">
        <v>231</v>
      </c>
      <c r="S13" s="42" t="s">
        <v>232</v>
      </c>
      <c r="T13" s="30" t="s">
        <v>233</v>
      </c>
      <c r="U13" s="30" t="s">
        <v>234</v>
      </c>
      <c r="V13" s="30" t="s">
        <v>235</v>
      </c>
      <c r="W13" s="30" t="s">
        <v>236</v>
      </c>
      <c r="X13" s="30" t="s">
        <v>233</v>
      </c>
      <c r="Y13" s="30" t="s">
        <v>234</v>
      </c>
      <c r="Z13" s="30" t="s">
        <v>235</v>
      </c>
      <c r="AA13" s="30" t="s">
        <v>236</v>
      </c>
      <c r="AB13" s="30" t="s">
        <v>237</v>
      </c>
      <c r="AC13" s="30" t="s">
        <v>238</v>
      </c>
      <c r="AD13" s="30" t="s">
        <v>239</v>
      </c>
      <c r="AE13" s="17" t="s">
        <v>240</v>
      </c>
      <c r="AF13" s="17" t="s">
        <v>241</v>
      </c>
      <c r="AG13" s="17" t="s">
        <v>242</v>
      </c>
      <c r="AH13" s="17" t="s">
        <v>243</v>
      </c>
      <c r="AI13" s="17" t="s">
        <v>244</v>
      </c>
      <c r="AJ13" s="17" t="s">
        <v>245</v>
      </c>
      <c r="AK13" s="17" t="s">
        <v>246</v>
      </c>
      <c r="AL13" s="17" t="str">
        <f>"Thưởng sinh nhật tháng "&amp;A4&amp;"/Birthday in "&amp;TEXT(A4*29,"Mmm")</f>
        <v>Thưởng sinh nhật tháng 12/Birthday in Dec</v>
      </c>
      <c r="AM13" s="73"/>
      <c r="AN13" s="81"/>
      <c r="AO13" s="81"/>
      <c r="AP13" s="67"/>
      <c r="AQ13" s="67"/>
      <c r="AR13" s="68"/>
      <c r="AS13" s="68"/>
      <c r="AT13" s="67"/>
      <c r="AU13" s="31" t="s">
        <v>247</v>
      </c>
      <c r="AV13" s="32" t="s">
        <v>248</v>
      </c>
      <c r="AW13" s="32" t="s">
        <v>249</v>
      </c>
      <c r="AX13" s="30" t="s">
        <v>250</v>
      </c>
      <c r="AY13" s="33" t="s">
        <v>251</v>
      </c>
      <c r="AZ13" s="33" t="s">
        <v>252</v>
      </c>
      <c r="BA13" s="30" t="s">
        <v>253</v>
      </c>
      <c r="BB13" s="30" t="s">
        <v>254</v>
      </c>
      <c r="BC13" s="30" t="s">
        <v>255</v>
      </c>
      <c r="BD13" s="30" t="s">
        <v>256</v>
      </c>
      <c r="BE13" s="76"/>
      <c r="BF13" s="20" t="s">
        <v>257</v>
      </c>
      <c r="BG13" s="20" t="s">
        <v>258</v>
      </c>
      <c r="BH13" s="20" t="s">
        <v>259</v>
      </c>
      <c r="BI13" s="19" t="s">
        <v>260</v>
      </c>
      <c r="BJ13" s="19" t="s">
        <v>261</v>
      </c>
      <c r="BK13" s="19" t="s">
        <v>262</v>
      </c>
      <c r="BL13" s="19" t="s">
        <v>263</v>
      </c>
      <c r="BM13" s="19" t="s">
        <v>264</v>
      </c>
      <c r="BN13" s="30" t="s">
        <v>260</v>
      </c>
      <c r="BO13" s="30" t="s">
        <v>265</v>
      </c>
      <c r="BP13" s="56" t="s">
        <v>266</v>
      </c>
      <c r="BQ13" s="55" t="s">
        <v>267</v>
      </c>
      <c r="BR13" s="55" t="s">
        <v>268</v>
      </c>
      <c r="BS13" s="55" t="s">
        <v>269</v>
      </c>
      <c r="BT13" s="55" t="s">
        <v>270</v>
      </c>
      <c r="BU13" s="55" t="s">
        <v>271</v>
      </c>
      <c r="BV13" s="55" t="s">
        <v>272</v>
      </c>
      <c r="BW13" s="17" t="s">
        <v>273</v>
      </c>
      <c r="BX13" s="98"/>
      <c r="BY13" s="94"/>
      <c r="BZ13" s="94"/>
      <c r="CA13" s="94"/>
      <c r="CB13" s="95"/>
      <c r="CC13" s="21"/>
      <c r="CD13" s="21"/>
      <c r="CE13" s="21"/>
      <c r="CF13" s="106"/>
      <c r="CG13" s="100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72"/>
      <c r="CT13" s="72"/>
      <c r="CU13" s="72"/>
      <c r="CV13" s="72"/>
      <c r="CW13" s="91"/>
      <c r="CX13" s="28" t="s">
        <v>274</v>
      </c>
      <c r="CY13" s="27" t="s">
        <v>275</v>
      </c>
      <c r="CZ13" s="50" t="s">
        <v>224</v>
      </c>
      <c r="DA13" s="50" t="s">
        <v>225</v>
      </c>
      <c r="DB13" s="50" t="s">
        <v>226</v>
      </c>
      <c r="DC13" s="50" t="s">
        <v>227</v>
      </c>
      <c r="DD13" s="50" t="s">
        <v>276</v>
      </c>
      <c r="DE13" s="50" t="s">
        <v>277</v>
      </c>
      <c r="DF13" s="50" t="s">
        <v>230</v>
      </c>
      <c r="DG13" s="51" t="s">
        <v>231</v>
      </c>
      <c r="DH13" s="29" t="s">
        <v>274</v>
      </c>
      <c r="DI13" s="27" t="s">
        <v>275</v>
      </c>
      <c r="DJ13" s="50" t="s">
        <v>224</v>
      </c>
      <c r="DK13" s="50" t="s">
        <v>225</v>
      </c>
      <c r="DL13" s="50" t="s">
        <v>226</v>
      </c>
      <c r="DM13" s="50" t="s">
        <v>227</v>
      </c>
      <c r="DN13" s="50" t="s">
        <v>276</v>
      </c>
      <c r="DO13" s="50" t="s">
        <v>277</v>
      </c>
      <c r="DP13" s="50" t="s">
        <v>230</v>
      </c>
      <c r="DQ13" s="52" t="s">
        <v>231</v>
      </c>
      <c r="DR13" s="43" t="s">
        <v>278</v>
      </c>
      <c r="DS13" s="43" t="s">
        <v>279</v>
      </c>
      <c r="DT13" s="43" t="s">
        <v>278</v>
      </c>
      <c r="DU13" s="43" t="s">
        <v>279</v>
      </c>
      <c r="DV13" s="43" t="s">
        <v>280</v>
      </c>
      <c r="DW13" s="43" t="s">
        <v>281</v>
      </c>
      <c r="DX13" s="43" t="s">
        <v>280</v>
      </c>
      <c r="DY13" s="43" t="s">
        <v>281</v>
      </c>
      <c r="DZ13" s="114"/>
      <c r="EA13" s="113"/>
      <c r="EB13" s="113"/>
      <c r="EC13" s="113"/>
      <c r="ED13" s="110"/>
      <c r="EE13" s="113"/>
      <c r="EF13" s="113"/>
      <c r="EG13" s="109"/>
      <c r="EH13" s="112"/>
    </row>
    <row r="14" spans="1:138" s="24" customFormat="1">
      <c r="A14" s="16"/>
      <c r="B14" s="18">
        <v>1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  <c r="N14" s="18">
        <v>13</v>
      </c>
      <c r="O14" s="18">
        <v>14</v>
      </c>
      <c r="P14" s="18">
        <v>15</v>
      </c>
      <c r="Q14" s="18">
        <v>16</v>
      </c>
      <c r="R14" s="18">
        <v>17</v>
      </c>
      <c r="S14" s="18">
        <v>18</v>
      </c>
      <c r="T14" s="18">
        <v>19</v>
      </c>
      <c r="U14" s="18">
        <v>20</v>
      </c>
      <c r="V14" s="18">
        <v>21</v>
      </c>
      <c r="W14" s="18">
        <v>22</v>
      </c>
      <c r="X14" s="18">
        <v>23</v>
      </c>
      <c r="Y14" s="18">
        <v>24</v>
      </c>
      <c r="Z14" s="18">
        <v>25</v>
      </c>
      <c r="AA14" s="18">
        <v>26</v>
      </c>
      <c r="AB14" s="18">
        <v>27</v>
      </c>
      <c r="AC14" s="18">
        <v>28</v>
      </c>
      <c r="AD14" s="18">
        <v>29</v>
      </c>
      <c r="AE14" s="18">
        <v>30</v>
      </c>
      <c r="AF14" s="18">
        <v>31</v>
      </c>
      <c r="AG14" s="18">
        <v>32</v>
      </c>
      <c r="AH14" s="18">
        <v>33</v>
      </c>
      <c r="AI14" s="18">
        <v>34</v>
      </c>
      <c r="AJ14" s="18">
        <v>35</v>
      </c>
      <c r="AK14" s="18">
        <v>36</v>
      </c>
      <c r="AL14" s="18">
        <v>37</v>
      </c>
      <c r="AM14" s="18">
        <v>38</v>
      </c>
      <c r="AN14" s="18">
        <v>39</v>
      </c>
      <c r="AO14" s="18">
        <v>40</v>
      </c>
      <c r="AP14" s="18">
        <v>41</v>
      </c>
      <c r="AQ14" s="18">
        <v>42</v>
      </c>
      <c r="AR14" s="18">
        <v>43</v>
      </c>
      <c r="AS14" s="18">
        <v>44</v>
      </c>
      <c r="AT14" s="18">
        <v>45</v>
      </c>
      <c r="AU14" s="18">
        <v>46</v>
      </c>
      <c r="AV14" s="18">
        <v>47</v>
      </c>
      <c r="AW14" s="18">
        <v>48</v>
      </c>
      <c r="AX14" s="18">
        <v>49</v>
      </c>
      <c r="AY14" s="18">
        <v>50</v>
      </c>
      <c r="AZ14" s="18">
        <v>51</v>
      </c>
      <c r="BA14" s="18">
        <v>52</v>
      </c>
      <c r="BB14" s="18">
        <v>53</v>
      </c>
      <c r="BC14" s="18">
        <v>54</v>
      </c>
      <c r="BD14" s="18">
        <v>55</v>
      </c>
      <c r="BE14" s="18">
        <v>56</v>
      </c>
      <c r="BF14" s="18">
        <v>57</v>
      </c>
      <c r="BG14" s="18">
        <v>58</v>
      </c>
      <c r="BH14" s="18">
        <v>59</v>
      </c>
      <c r="BI14" s="18">
        <v>60</v>
      </c>
      <c r="BJ14" s="18">
        <v>61</v>
      </c>
      <c r="BK14" s="18">
        <v>62</v>
      </c>
      <c r="BL14" s="18">
        <v>63</v>
      </c>
      <c r="BM14" s="18">
        <v>64</v>
      </c>
      <c r="BN14" s="18">
        <v>65</v>
      </c>
      <c r="BO14" s="18">
        <v>66</v>
      </c>
      <c r="BP14" s="18">
        <v>67</v>
      </c>
      <c r="BQ14" s="18">
        <v>68</v>
      </c>
      <c r="BR14" s="18">
        <v>69</v>
      </c>
      <c r="BS14" s="18">
        <v>70</v>
      </c>
      <c r="BT14" s="18">
        <v>71</v>
      </c>
      <c r="BU14" s="18">
        <v>72</v>
      </c>
      <c r="BV14" s="18">
        <v>73</v>
      </c>
      <c r="BW14" s="18">
        <v>74</v>
      </c>
      <c r="BX14" s="18">
        <v>75</v>
      </c>
      <c r="BY14" s="18">
        <v>76</v>
      </c>
      <c r="BZ14" s="18">
        <v>77</v>
      </c>
      <c r="CA14" s="18">
        <v>78</v>
      </c>
      <c r="CB14" s="18"/>
      <c r="CC14" s="21"/>
      <c r="CD14" s="21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3"/>
      <c r="CT14" s="23"/>
      <c r="CU14" s="23"/>
      <c r="CV14" s="23"/>
      <c r="CW14" s="23"/>
      <c r="CX14" s="25"/>
      <c r="CY14" s="53"/>
      <c r="CZ14" s="53"/>
      <c r="DA14" s="53"/>
      <c r="DB14" s="53"/>
      <c r="DC14" s="53"/>
      <c r="DD14" s="53"/>
      <c r="DE14" s="25"/>
      <c r="DF14" s="25"/>
      <c r="DG14" s="25"/>
      <c r="DH14" s="25"/>
      <c r="DI14" s="53"/>
      <c r="DJ14" s="53"/>
      <c r="DK14" s="53"/>
      <c r="DL14" s="53"/>
      <c r="DM14" s="53"/>
      <c r="DN14" s="53"/>
      <c r="DO14" s="53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</row>
    <row r="15" spans="1:138">
      <c r="B15" s="36">
        <v>1</v>
      </c>
      <c r="C15" s="36" t="s">
        <v>282</v>
      </c>
      <c r="D15" s="37" t="s">
        <v>283</v>
      </c>
      <c r="E15" s="36" t="s">
        <v>284</v>
      </c>
      <c r="F15" s="36">
        <v>208</v>
      </c>
      <c r="G15" s="54">
        <f t="shared" ref="G15:G26" si="0">CX15+DH15+DR15+DT15</f>
        <v>208</v>
      </c>
      <c r="H15" s="45">
        <f t="shared" ref="H15:H26" si="1">CY15+DI15</f>
        <v>0</v>
      </c>
      <c r="I15" s="45">
        <f t="shared" ref="I15:I26" si="2">IF(AND(DV15+DX15&lt;=2,DW15+DY15&lt;=120),G15+H15+ROUND((DW15+DY15)/60,2),G15+H15)</f>
        <v>208</v>
      </c>
      <c r="J15" s="38">
        <v>0</v>
      </c>
      <c r="K15" s="45">
        <f t="shared" ref="K15:K26" si="3">CZ15+DJ15</f>
        <v>0</v>
      </c>
      <c r="L15" s="45">
        <f t="shared" ref="L15:L26" si="4">DK15+DA15</f>
        <v>0</v>
      </c>
      <c r="M15" s="45">
        <f t="shared" ref="M15:M26" si="5">DB15+DL15</f>
        <v>0</v>
      </c>
      <c r="N15" s="45">
        <f t="shared" ref="N15:N26" si="6">DC15+DM15</f>
        <v>0</v>
      </c>
      <c r="O15" s="45">
        <f t="shared" ref="O15:O26" si="7">DD15+DN15</f>
        <v>0</v>
      </c>
      <c r="P15" s="45">
        <f t="shared" ref="P15:P26" si="8">DE15+DO15</f>
        <v>0</v>
      </c>
      <c r="Q15" s="45">
        <f t="shared" ref="Q15:Q26" si="9">DF15+DP15</f>
        <v>0</v>
      </c>
      <c r="R15" s="45">
        <v>0</v>
      </c>
      <c r="S15" s="45">
        <v>0</v>
      </c>
      <c r="T15" s="38">
        <v>10600000</v>
      </c>
      <c r="U15" s="38">
        <v>4000000</v>
      </c>
      <c r="V15" s="38">
        <v>2000000</v>
      </c>
      <c r="W15" s="38">
        <v>600000</v>
      </c>
      <c r="X15" s="38">
        <v>0</v>
      </c>
      <c r="Y15" s="38">
        <v>0</v>
      </c>
      <c r="Z15" s="38">
        <v>0</v>
      </c>
      <c r="AA15" s="38">
        <v>600000</v>
      </c>
      <c r="AB15" s="38">
        <v>3000000</v>
      </c>
      <c r="AC15" s="38">
        <f t="shared" ref="AC15:AC26" si="10">IF(EF15="Office",IF(I15&gt;=20*CW15,AB15,AB15*I15/F15),IF(I15&gt;=10*CW15,AB15,0))</f>
        <v>3000000</v>
      </c>
      <c r="AD15" s="38">
        <v>1600000</v>
      </c>
      <c r="AE15" s="38">
        <f t="shared" ref="AE15:AE26" si="11">IF(CO15&gt;0,IF(CO15=1,0,CO15),IF(I15&gt;=20*CW15,AD15,IF(OR(EF15="Office",CJ15=1,CK15=1),AD15*I15/F15,0)))</f>
        <v>1600000</v>
      </c>
      <c r="AF15" s="38">
        <v>3000000</v>
      </c>
      <c r="AG15" s="38">
        <f t="shared" ref="AG15:AG26" si="12">IF(CP15&gt;0,IF(CP15=1,0,CP15),IF(I15&gt;=20*CW15,AF15,IF(OR(EF15="Office",CJ15=1,CK15=1),AF15*I15/F15,0)))</f>
        <v>3000000</v>
      </c>
      <c r="AH15" s="38">
        <v>0</v>
      </c>
      <c r="AI15" s="38">
        <v>20000</v>
      </c>
      <c r="AJ15" s="38">
        <f t="shared" ref="AJ15:AJ26" si="13">IF(CL15&gt;0,IF(CL15=1,0,CL15),CM15)</f>
        <v>500000</v>
      </c>
      <c r="AK15" s="38">
        <f t="shared" ref="AK15:AK26" si="14">J15*13000</f>
        <v>0</v>
      </c>
      <c r="AL15" s="38">
        <v>0</v>
      </c>
      <c r="AM15" s="38">
        <f t="shared" ref="AM15:AM26" si="15">EG15</f>
        <v>10320000</v>
      </c>
      <c r="AN15" s="38">
        <v>0</v>
      </c>
      <c r="AO15" s="38">
        <f t="shared" ref="AO15:AO26" si="16">AC15+AE15+AG15+AH15+AI15+AJ15+AK15+AL15</f>
        <v>8120000</v>
      </c>
      <c r="AP15" s="39">
        <f t="shared" ref="AP15:AP26" si="17">SUM(T15:W15)</f>
        <v>17200000</v>
      </c>
      <c r="AQ15" s="39">
        <f t="shared" ref="AQ15:AQ26" si="18">SUM(X15:AA15)</f>
        <v>600000</v>
      </c>
      <c r="AR15" s="46">
        <f t="shared" ref="AR15:AR26" si="19">AP15/F15</f>
        <v>82692.307692307688</v>
      </c>
      <c r="AS15" s="57">
        <f t="shared" ref="AS15:AS26" si="20">AQ15/F15</f>
        <v>2884.6153846153848</v>
      </c>
      <c r="AT15" s="39">
        <f t="shared" ref="AT15:AT26" si="21">ROUND(IF(DW15+DY15&lt;=120,AR15*(CX15+CY15*1.3+DR15)+IF(AS15=0,AR15,AS15)*(DH15+DI15*1.3+DT15),AR15*(CX15+CY15*1.3+DR15)+IF(AS15=0,AR15,AS15)*(DH15+DI15*1.3+DT15)),0)</f>
        <v>17200000</v>
      </c>
      <c r="AU15" s="38">
        <f t="shared" ref="AU15:AU26" si="22">ROUND(AR15*CZ15*1.5+AS15*DJ15*1.5,0)</f>
        <v>0</v>
      </c>
      <c r="AV15" s="38">
        <f t="shared" ref="AV15:AV26" si="23">ROUND(AR15*DA15*1.5*1.3+AS15*DK15*1.5*1.3,0)</f>
        <v>0</v>
      </c>
      <c r="AW15" s="38">
        <f t="shared" ref="AW15:AW26" si="24">ROUND(AR15*DB15*2+AS15*DL15*2,0)</f>
        <v>0</v>
      </c>
      <c r="AX15" s="40">
        <f t="shared" ref="AX15:AX26" si="25">ROUND(AR15*DC15*2*1.3+AS15*DM15*2*1.3,0)</f>
        <v>0</v>
      </c>
      <c r="AY15" s="40">
        <f t="shared" ref="AY15:AY26" si="26">ROUND(AR15*DD15*2*1.5+AS15*DN15*2*1.5,0)</f>
        <v>0</v>
      </c>
      <c r="AZ15" s="40">
        <f t="shared" ref="AZ15:AZ26" si="27">ROUND(AR15*DE15*2*1.5*1.3+AS15*DO15*2*1.5*1.3,0)</f>
        <v>0</v>
      </c>
      <c r="BA15" s="40">
        <f t="shared" ref="BA15:BA26" si="28">ROUND(AR15*DF15*3+AS15*DP15*3,0)</f>
        <v>0</v>
      </c>
      <c r="BB15" s="40">
        <f t="shared" ref="BB15:BB26" si="29">ROUND(AR15*DG15*3*1.3+AS15*DQ15*3*1.3,0)</f>
        <v>0</v>
      </c>
      <c r="BC15" s="40">
        <v>0</v>
      </c>
      <c r="BD15" s="39">
        <f t="shared" ref="BD15:BD26" si="30">SUM(AU15:BC15)</f>
        <v>0</v>
      </c>
      <c r="BE15" s="39">
        <f t="shared" ref="BE15:BE26" si="31">AT15+BD15+AO15+AM15-AN15</f>
        <v>35640000</v>
      </c>
      <c r="BF15" s="39">
        <f t="shared" ref="BF15:BF26" si="32">IF(OR(CV15-DZ15-DR15/8&lt;14),IF(OR(CQ15&gt;CN15,CR15=1),AQ15,AP15),0)</f>
        <v>17200000</v>
      </c>
      <c r="BG15" s="39">
        <f t="shared" ref="BG15:BG26" si="33">IF(EA15&lt;&gt;0,BF15*17.5%,0)</f>
        <v>3010000</v>
      </c>
      <c r="BH15" s="39">
        <f t="shared" ref="BH15:BH26" si="34">IF(EB15&lt;&gt;0,IF(OR(CQ15&gt;CN15,CR15=1),AQ15,AP15)*3%,0)</f>
        <v>516000</v>
      </c>
      <c r="BI15" s="39">
        <f t="shared" ref="BI15:BI26" si="35">IF(EC15&lt;&gt;0,BF15*1%,0)</f>
        <v>172000</v>
      </c>
      <c r="BJ15" s="39">
        <f t="shared" ref="BJ15:BJ26" si="36">IF(BY15&gt;0,BF15*2%,0)</f>
        <v>344000</v>
      </c>
      <c r="BK15" s="39">
        <f t="shared" ref="BK15:BK26" si="37">ROUND(SUM(BG15:BJ15),0)</f>
        <v>4042000</v>
      </c>
      <c r="BL15" s="38">
        <f t="shared" ref="BL15:BL26" si="38">IF(BG15&gt;0,BF15*8%,0)</f>
        <v>1376000</v>
      </c>
      <c r="BM15" s="38">
        <f t="shared" ref="BM15:BM26" si="39">IF(BH15&gt;0,IF(OR(CQ15&gt;CN15,CR15=1),AQ15,AP15)*1.5%,0)</f>
        <v>258000</v>
      </c>
      <c r="BN15" s="38">
        <f t="shared" ref="BN15:BN26" si="40">IF(BI15&gt;0,BF15*1%,0)</f>
        <v>172000</v>
      </c>
      <c r="BO15" s="38">
        <f t="shared" ref="BO15:BO26" si="41">ROUND(SUM(BL15:BN15),0)</f>
        <v>1806000</v>
      </c>
      <c r="BP15" s="38">
        <v>11000000</v>
      </c>
      <c r="BQ15" s="38">
        <v>2</v>
      </c>
      <c r="BR15" s="38">
        <v>4400000</v>
      </c>
      <c r="BS15" s="38">
        <f t="shared" ref="BS15:BS26" si="42">BQ15*BR15</f>
        <v>8800000</v>
      </c>
      <c r="BT15" s="38">
        <f t="shared" ref="BT15:BT26" si="43">AC15+AH15+AK15</f>
        <v>3000000</v>
      </c>
      <c r="BU15" s="37">
        <f t="shared" ref="BU15:BU26" si="44">BE15-BT15-AR15*(CY15*0.3+CZ15*0.5+DA15*0.95+DB15*1+DC15*1.7+DD15*2+DE15*2.9+DF15*2+DG15*2.9)+EH15</f>
        <v>32640000</v>
      </c>
      <c r="BV15" s="38">
        <f t="shared" ref="BV15:BV26" si="45">IF(BU15-BO15-BP15-BS15&gt;0,BU15-BO15-BP15-BS15,0)</f>
        <v>11034000</v>
      </c>
      <c r="BW15" s="38">
        <f t="shared" ref="BW15:BW26" si="46">ROUND(IF(BV15&lt;=5000000,BV15*5%,IF(AND(BV15&gt;5000000,BV15&lt;=10000000),BV15*10%-250000,IF(AND(BV15&gt;10000000,BV15&lt;=18000000),BV15*15%-750000,IF(AND(BV15&gt;18000000,BV15&lt;=32000000),BV15*20%-1650000,IF(AND(BV15&gt;32000000,BV15&lt;=52000000),BV15*25%-3250000,IF(AND(BV15&gt;52000000,BV15&lt;80000000),BV15*30%-585000,IF(BV15&gt;80000000,BV15*35%-9850000))))))),0)</f>
        <v>905100</v>
      </c>
      <c r="BX15" s="38">
        <v>0</v>
      </c>
      <c r="BY15" s="38">
        <f t="shared" ref="BY15:BY26" si="47">IF(ED15=1,EE15,IF(AND(ED15&lt;&gt;1,BL15&gt;0),EE15,0))</f>
        <v>35000</v>
      </c>
      <c r="BZ15" s="38">
        <f t="shared" ref="BZ15:BZ26" si="48">ROUND(BE15-BO15-BW15-BY15+BX15,0)</f>
        <v>32893900</v>
      </c>
      <c r="CA15" s="38">
        <f>VLOOKUP(D15,'[1]Payroll Office'!$B$10:$BP$23,67,0)-BZ15</f>
        <v>0</v>
      </c>
      <c r="CB15" s="26">
        <v>0</v>
      </c>
      <c r="CF15" s="12">
        <f t="shared" ref="CF15:CF27" si="49">AR15*(CY15+CZ15+DA15+DB15+DC15+DD15+DE15+DF15+DG15)+BT15</f>
        <v>3000000</v>
      </c>
      <c r="CG15" s="12">
        <f t="shared" ref="CG15:CG27" si="50">AS15*(DH15+DI15+DJ15*1.5+DK15*1.95+DL15*2+DM15*2.7+DN15*3+DO15*3.9+DP15*3+DQ15*3.9)</f>
        <v>0</v>
      </c>
      <c r="CH15" s="12">
        <f t="shared" ref="CH15:CH27" si="51">AR15*(CX15+DR15)+IF(AS15=0,AR15,AS15)*(DH15+DT15)</f>
        <v>17200000</v>
      </c>
      <c r="CI15" s="12">
        <f t="shared" ref="CI15:CI27" si="52">AR15*(CY15*1.3)+IF(AS15=0,AR15,AS15)*(DI15*1.3)</f>
        <v>0</v>
      </c>
      <c r="CJ15" s="12">
        <v>0</v>
      </c>
      <c r="CK15" s="12">
        <v>0</v>
      </c>
      <c r="CL15" s="12">
        <v>0</v>
      </c>
      <c r="CM15" s="12">
        <v>500000</v>
      </c>
      <c r="CN15" s="12">
        <v>45641</v>
      </c>
      <c r="CO15" s="12">
        <v>0</v>
      </c>
      <c r="CP15" s="12">
        <v>0</v>
      </c>
      <c r="CQ15" s="12"/>
      <c r="CR15" s="12">
        <v>0</v>
      </c>
      <c r="CS15" s="5" t="s">
        <v>285</v>
      </c>
      <c r="CT15" s="5">
        <v>12</v>
      </c>
      <c r="CU15" s="5">
        <v>2024</v>
      </c>
      <c r="CV15" s="5">
        <v>26</v>
      </c>
      <c r="CW15" s="5">
        <v>8</v>
      </c>
      <c r="CX15" s="48">
        <v>200</v>
      </c>
      <c r="CY15" s="49">
        <v>0</v>
      </c>
      <c r="CZ15" s="49">
        <v>0</v>
      </c>
      <c r="DA15" s="49">
        <v>0</v>
      </c>
      <c r="DB15" s="49">
        <v>0</v>
      </c>
      <c r="DC15" s="49">
        <v>0</v>
      </c>
      <c r="DD15" s="49">
        <v>0</v>
      </c>
      <c r="DE15" s="48">
        <v>0</v>
      </c>
      <c r="DF15" s="48">
        <v>0</v>
      </c>
      <c r="DG15" s="48">
        <v>0</v>
      </c>
      <c r="DH15" s="48">
        <v>0</v>
      </c>
      <c r="DI15" s="49">
        <v>0</v>
      </c>
      <c r="DJ15" s="49">
        <v>0</v>
      </c>
      <c r="DK15" s="49">
        <v>0</v>
      </c>
      <c r="DL15" s="49">
        <v>0</v>
      </c>
      <c r="DM15" s="49">
        <v>0</v>
      </c>
      <c r="DN15" s="49">
        <v>0</v>
      </c>
      <c r="DO15" s="49">
        <v>0</v>
      </c>
      <c r="DP15" s="48">
        <v>0</v>
      </c>
      <c r="DQ15" s="48">
        <v>0</v>
      </c>
      <c r="DR15" s="4">
        <v>8</v>
      </c>
      <c r="DS15" s="4">
        <v>0</v>
      </c>
      <c r="DT15" s="4"/>
      <c r="DU15" s="4"/>
      <c r="DV15" s="4"/>
      <c r="DW15" s="4"/>
      <c r="DX15" s="4"/>
      <c r="DY15" s="4"/>
      <c r="DZ15" s="4">
        <v>25</v>
      </c>
      <c r="EA15" s="4">
        <v>2</v>
      </c>
      <c r="EB15" s="4">
        <v>1</v>
      </c>
      <c r="EC15" s="4">
        <v>2</v>
      </c>
      <c r="ED15" s="4">
        <v>0</v>
      </c>
      <c r="EE15" s="4">
        <v>35000</v>
      </c>
      <c r="EF15" s="4" t="s">
        <v>286</v>
      </c>
      <c r="EG15" s="4">
        <v>10320000</v>
      </c>
      <c r="EH15" s="4">
        <v>0</v>
      </c>
    </row>
    <row r="16" spans="1:138">
      <c r="B16" s="36">
        <v>2</v>
      </c>
      <c r="C16" s="36" t="s">
        <v>287</v>
      </c>
      <c r="D16" s="37" t="s">
        <v>288</v>
      </c>
      <c r="E16" s="36" t="s">
        <v>289</v>
      </c>
      <c r="F16" s="36">
        <v>208</v>
      </c>
      <c r="G16" s="54">
        <f t="shared" si="0"/>
        <v>208</v>
      </c>
      <c r="H16" s="45">
        <f t="shared" si="1"/>
        <v>0</v>
      </c>
      <c r="I16" s="45">
        <f t="shared" si="2"/>
        <v>208</v>
      </c>
      <c r="J16" s="38">
        <v>0</v>
      </c>
      <c r="K16" s="45">
        <f t="shared" si="3"/>
        <v>33</v>
      </c>
      <c r="L16" s="45">
        <f t="shared" si="4"/>
        <v>6</v>
      </c>
      <c r="M16" s="45">
        <f t="shared" si="5"/>
        <v>8</v>
      </c>
      <c r="N16" s="45">
        <f t="shared" si="6"/>
        <v>0</v>
      </c>
      <c r="O16" s="45">
        <f t="shared" si="7"/>
        <v>0</v>
      </c>
      <c r="P16" s="45">
        <f t="shared" si="8"/>
        <v>3.5</v>
      </c>
      <c r="Q16" s="45">
        <f t="shared" si="9"/>
        <v>0</v>
      </c>
      <c r="R16" s="45">
        <v>0</v>
      </c>
      <c r="S16" s="45">
        <v>0</v>
      </c>
      <c r="T16" s="38">
        <v>4480000</v>
      </c>
      <c r="U16" s="38">
        <v>1200000</v>
      </c>
      <c r="V16" s="38">
        <v>400000</v>
      </c>
      <c r="W16" s="38">
        <v>600000</v>
      </c>
      <c r="X16" s="38">
        <v>0</v>
      </c>
      <c r="Y16" s="38">
        <v>0</v>
      </c>
      <c r="Z16" s="38">
        <v>0</v>
      </c>
      <c r="AA16" s="38">
        <v>600000</v>
      </c>
      <c r="AB16" s="38">
        <v>300000</v>
      </c>
      <c r="AC16" s="38">
        <f t="shared" si="10"/>
        <v>300000</v>
      </c>
      <c r="AD16" s="38">
        <v>600000</v>
      </c>
      <c r="AE16" s="38">
        <f t="shared" si="11"/>
        <v>600000</v>
      </c>
      <c r="AF16" s="38">
        <v>600000</v>
      </c>
      <c r="AG16" s="38">
        <f t="shared" si="12"/>
        <v>600000</v>
      </c>
      <c r="AH16" s="38">
        <v>0</v>
      </c>
      <c r="AI16" s="38">
        <v>20000</v>
      </c>
      <c r="AJ16" s="38">
        <f t="shared" si="13"/>
        <v>500000</v>
      </c>
      <c r="AK16" s="38">
        <f t="shared" si="14"/>
        <v>0</v>
      </c>
      <c r="AL16" s="38">
        <v>0</v>
      </c>
      <c r="AM16" s="38">
        <f t="shared" si="15"/>
        <v>4008000</v>
      </c>
      <c r="AN16" s="38">
        <v>0</v>
      </c>
      <c r="AO16" s="38">
        <f t="shared" si="16"/>
        <v>2020000</v>
      </c>
      <c r="AP16" s="39">
        <f t="shared" si="17"/>
        <v>6680000</v>
      </c>
      <c r="AQ16" s="39">
        <f t="shared" si="18"/>
        <v>600000</v>
      </c>
      <c r="AR16" s="46">
        <f t="shared" si="19"/>
        <v>32115.384615384617</v>
      </c>
      <c r="AS16" s="57">
        <f t="shared" si="20"/>
        <v>2884.6153846153848</v>
      </c>
      <c r="AT16" s="39">
        <f t="shared" si="21"/>
        <v>6680000</v>
      </c>
      <c r="AU16" s="38">
        <f t="shared" si="22"/>
        <v>1589712</v>
      </c>
      <c r="AV16" s="38">
        <f t="shared" si="23"/>
        <v>375750</v>
      </c>
      <c r="AW16" s="38">
        <f t="shared" si="24"/>
        <v>513846</v>
      </c>
      <c r="AX16" s="40">
        <f t="shared" si="25"/>
        <v>0</v>
      </c>
      <c r="AY16" s="40">
        <f t="shared" si="26"/>
        <v>0</v>
      </c>
      <c r="AZ16" s="40">
        <f t="shared" si="27"/>
        <v>438375</v>
      </c>
      <c r="BA16" s="40">
        <f t="shared" si="28"/>
        <v>0</v>
      </c>
      <c r="BB16" s="40">
        <f t="shared" si="29"/>
        <v>0</v>
      </c>
      <c r="BC16" s="40">
        <v>0</v>
      </c>
      <c r="BD16" s="39">
        <f t="shared" si="30"/>
        <v>2917683</v>
      </c>
      <c r="BE16" s="39">
        <f t="shared" si="31"/>
        <v>15625683</v>
      </c>
      <c r="BF16" s="39">
        <f t="shared" si="32"/>
        <v>6680000</v>
      </c>
      <c r="BG16" s="39">
        <f t="shared" si="33"/>
        <v>1169000</v>
      </c>
      <c r="BH16" s="39">
        <f t="shared" si="34"/>
        <v>200400</v>
      </c>
      <c r="BI16" s="39">
        <f t="shared" si="35"/>
        <v>66800</v>
      </c>
      <c r="BJ16" s="39">
        <f t="shared" si="36"/>
        <v>133600</v>
      </c>
      <c r="BK16" s="39">
        <f t="shared" si="37"/>
        <v>1569800</v>
      </c>
      <c r="BL16" s="38">
        <f t="shared" si="38"/>
        <v>534400</v>
      </c>
      <c r="BM16" s="38">
        <f t="shared" si="39"/>
        <v>100200</v>
      </c>
      <c r="BN16" s="38">
        <f t="shared" si="40"/>
        <v>66800</v>
      </c>
      <c r="BO16" s="38">
        <f t="shared" si="41"/>
        <v>701400</v>
      </c>
      <c r="BP16" s="38">
        <v>11000000</v>
      </c>
      <c r="BQ16" s="38">
        <v>0</v>
      </c>
      <c r="BR16" s="38">
        <v>4400000</v>
      </c>
      <c r="BS16" s="38">
        <f t="shared" si="42"/>
        <v>0</v>
      </c>
      <c r="BT16" s="38">
        <f t="shared" si="43"/>
        <v>300000</v>
      </c>
      <c r="BU16" s="37">
        <f t="shared" si="44"/>
        <v>14029827.23076923</v>
      </c>
      <c r="BV16" s="38">
        <f t="shared" si="45"/>
        <v>2328427.2307692301</v>
      </c>
      <c r="BW16" s="38">
        <f t="shared" si="46"/>
        <v>116421</v>
      </c>
      <c r="BX16" s="38">
        <v>0</v>
      </c>
      <c r="BY16" s="38">
        <f t="shared" si="47"/>
        <v>35000</v>
      </c>
      <c r="BZ16" s="38">
        <f t="shared" si="48"/>
        <v>14772862</v>
      </c>
      <c r="CA16" s="38">
        <f>VLOOKUP(D16,'[1]Payroll Office'!$B$10:$BP$23,67,0)-BZ16</f>
        <v>116420.69230769202</v>
      </c>
      <c r="CB16" s="26">
        <v>0</v>
      </c>
      <c r="CF16" s="12">
        <f t="shared" si="49"/>
        <v>1921826.9230769232</v>
      </c>
      <c r="CG16" s="12">
        <f t="shared" si="50"/>
        <v>0</v>
      </c>
      <c r="CH16" s="12">
        <f t="shared" si="51"/>
        <v>6680000</v>
      </c>
      <c r="CI16" s="12">
        <f t="shared" si="52"/>
        <v>0</v>
      </c>
      <c r="CJ16" s="12">
        <v>0</v>
      </c>
      <c r="CK16" s="12">
        <v>0</v>
      </c>
      <c r="CL16" s="12">
        <v>0</v>
      </c>
      <c r="CM16" s="12">
        <v>500000</v>
      </c>
      <c r="CN16" s="12">
        <v>45641</v>
      </c>
      <c r="CO16" s="12">
        <v>0</v>
      </c>
      <c r="CP16" s="12">
        <v>0</v>
      </c>
      <c r="CQ16" s="12"/>
      <c r="CR16" s="12">
        <v>0</v>
      </c>
      <c r="CS16" s="5" t="s">
        <v>285</v>
      </c>
      <c r="CT16" s="5">
        <v>12</v>
      </c>
      <c r="CU16" s="5">
        <v>2024</v>
      </c>
      <c r="CV16" s="5">
        <v>26</v>
      </c>
      <c r="CW16" s="5">
        <v>8</v>
      </c>
      <c r="CX16" s="48">
        <v>192</v>
      </c>
      <c r="CY16" s="49">
        <v>0</v>
      </c>
      <c r="CZ16" s="49">
        <v>33</v>
      </c>
      <c r="DA16" s="49">
        <v>6</v>
      </c>
      <c r="DB16" s="49">
        <v>8</v>
      </c>
      <c r="DC16" s="49">
        <v>0</v>
      </c>
      <c r="DD16" s="49">
        <v>0</v>
      </c>
      <c r="DE16" s="48">
        <v>3.5</v>
      </c>
      <c r="DF16" s="48">
        <v>0</v>
      </c>
      <c r="DG16" s="48">
        <v>0</v>
      </c>
      <c r="DH16" s="48">
        <v>0</v>
      </c>
      <c r="DI16" s="49">
        <v>0</v>
      </c>
      <c r="DJ16" s="49">
        <v>0</v>
      </c>
      <c r="DK16" s="49">
        <v>0</v>
      </c>
      <c r="DL16" s="49">
        <v>0</v>
      </c>
      <c r="DM16" s="49">
        <v>0</v>
      </c>
      <c r="DN16" s="49">
        <v>0</v>
      </c>
      <c r="DO16" s="49">
        <v>0</v>
      </c>
      <c r="DP16" s="48">
        <v>0</v>
      </c>
      <c r="DQ16" s="48">
        <v>0</v>
      </c>
      <c r="DR16" s="4">
        <v>16</v>
      </c>
      <c r="DS16" s="4">
        <v>0</v>
      </c>
      <c r="DT16" s="4"/>
      <c r="DU16" s="4"/>
      <c r="DV16" s="4"/>
      <c r="DW16" s="4"/>
      <c r="DX16" s="4"/>
      <c r="DY16" s="4"/>
      <c r="DZ16" s="4">
        <v>24</v>
      </c>
      <c r="EA16" s="4">
        <v>2</v>
      </c>
      <c r="EB16" s="4">
        <v>1</v>
      </c>
      <c r="EC16" s="4">
        <v>2</v>
      </c>
      <c r="ED16" s="4">
        <v>0</v>
      </c>
      <c r="EE16" s="4">
        <v>35000</v>
      </c>
      <c r="EF16" s="4" t="s">
        <v>286</v>
      </c>
      <c r="EG16" s="4">
        <v>4008000</v>
      </c>
      <c r="EH16" s="4">
        <v>0</v>
      </c>
    </row>
    <row r="17" spans="2:138">
      <c r="B17" s="36">
        <v>3</v>
      </c>
      <c r="C17" s="36" t="s">
        <v>290</v>
      </c>
      <c r="D17" s="37" t="s">
        <v>291</v>
      </c>
      <c r="E17" s="36" t="s">
        <v>292</v>
      </c>
      <c r="F17" s="36">
        <v>208</v>
      </c>
      <c r="G17" s="54">
        <f t="shared" si="0"/>
        <v>208</v>
      </c>
      <c r="H17" s="45">
        <f t="shared" si="1"/>
        <v>0</v>
      </c>
      <c r="I17" s="45">
        <f t="shared" si="2"/>
        <v>208</v>
      </c>
      <c r="J17" s="38">
        <v>0</v>
      </c>
      <c r="K17" s="45">
        <f t="shared" si="3"/>
        <v>0</v>
      </c>
      <c r="L17" s="45">
        <f t="shared" si="4"/>
        <v>0</v>
      </c>
      <c r="M17" s="45">
        <f t="shared" si="5"/>
        <v>0</v>
      </c>
      <c r="N17" s="45">
        <f t="shared" si="6"/>
        <v>0</v>
      </c>
      <c r="O17" s="45">
        <f t="shared" si="7"/>
        <v>0</v>
      </c>
      <c r="P17" s="45">
        <f t="shared" si="8"/>
        <v>0</v>
      </c>
      <c r="Q17" s="45">
        <f t="shared" si="9"/>
        <v>0</v>
      </c>
      <c r="R17" s="45">
        <v>0</v>
      </c>
      <c r="S17" s="45">
        <v>0</v>
      </c>
      <c r="T17" s="38">
        <v>4064000</v>
      </c>
      <c r="U17" s="38">
        <v>1000000</v>
      </c>
      <c r="V17" s="38">
        <v>0</v>
      </c>
      <c r="W17" s="38">
        <v>1200000</v>
      </c>
      <c r="X17" s="38">
        <v>0</v>
      </c>
      <c r="Y17" s="38">
        <v>0</v>
      </c>
      <c r="Z17" s="38">
        <v>0</v>
      </c>
      <c r="AA17" s="38">
        <v>1200000</v>
      </c>
      <c r="AB17" s="38">
        <v>600000</v>
      </c>
      <c r="AC17" s="38">
        <f t="shared" si="10"/>
        <v>600000</v>
      </c>
      <c r="AD17" s="38">
        <v>600000</v>
      </c>
      <c r="AE17" s="38">
        <f t="shared" si="11"/>
        <v>600000</v>
      </c>
      <c r="AF17" s="38">
        <v>600000</v>
      </c>
      <c r="AG17" s="38">
        <f t="shared" si="12"/>
        <v>600000</v>
      </c>
      <c r="AH17" s="38">
        <v>0</v>
      </c>
      <c r="AI17" s="38">
        <v>0</v>
      </c>
      <c r="AJ17" s="38">
        <f t="shared" si="13"/>
        <v>500000</v>
      </c>
      <c r="AK17" s="38">
        <f t="shared" si="14"/>
        <v>0</v>
      </c>
      <c r="AL17" s="38">
        <v>0</v>
      </c>
      <c r="AM17" s="38">
        <f t="shared" si="15"/>
        <v>3758400</v>
      </c>
      <c r="AN17" s="38">
        <v>0</v>
      </c>
      <c r="AO17" s="38">
        <f t="shared" si="16"/>
        <v>2300000</v>
      </c>
      <c r="AP17" s="39">
        <f t="shared" si="17"/>
        <v>6264000</v>
      </c>
      <c r="AQ17" s="39">
        <f t="shared" si="18"/>
        <v>1200000</v>
      </c>
      <c r="AR17" s="46">
        <f t="shared" si="19"/>
        <v>30115.384615384617</v>
      </c>
      <c r="AS17" s="57">
        <f t="shared" si="20"/>
        <v>5769.2307692307695</v>
      </c>
      <c r="AT17" s="39">
        <f t="shared" si="21"/>
        <v>6264000</v>
      </c>
      <c r="AU17" s="38">
        <f t="shared" si="22"/>
        <v>0</v>
      </c>
      <c r="AV17" s="38">
        <f t="shared" si="23"/>
        <v>0</v>
      </c>
      <c r="AW17" s="38">
        <f t="shared" si="24"/>
        <v>0</v>
      </c>
      <c r="AX17" s="40">
        <f t="shared" si="25"/>
        <v>0</v>
      </c>
      <c r="AY17" s="40">
        <f t="shared" si="26"/>
        <v>0</v>
      </c>
      <c r="AZ17" s="40">
        <f t="shared" si="27"/>
        <v>0</v>
      </c>
      <c r="BA17" s="40">
        <f t="shared" si="28"/>
        <v>0</v>
      </c>
      <c r="BB17" s="40">
        <f t="shared" si="29"/>
        <v>0</v>
      </c>
      <c r="BC17" s="40">
        <v>0</v>
      </c>
      <c r="BD17" s="39">
        <f t="shared" si="30"/>
        <v>0</v>
      </c>
      <c r="BE17" s="39">
        <f t="shared" si="31"/>
        <v>12322400</v>
      </c>
      <c r="BF17" s="39">
        <f t="shared" si="32"/>
        <v>6264000</v>
      </c>
      <c r="BG17" s="39">
        <f t="shared" si="33"/>
        <v>1096200</v>
      </c>
      <c r="BH17" s="39">
        <f t="shared" si="34"/>
        <v>187920</v>
      </c>
      <c r="BI17" s="39">
        <f t="shared" si="35"/>
        <v>62640</v>
      </c>
      <c r="BJ17" s="39">
        <f t="shared" si="36"/>
        <v>125280</v>
      </c>
      <c r="BK17" s="39">
        <f t="shared" si="37"/>
        <v>1472040</v>
      </c>
      <c r="BL17" s="38">
        <f t="shared" si="38"/>
        <v>501120</v>
      </c>
      <c r="BM17" s="38">
        <f t="shared" si="39"/>
        <v>93960</v>
      </c>
      <c r="BN17" s="38">
        <f t="shared" si="40"/>
        <v>62640</v>
      </c>
      <c r="BO17" s="38">
        <f t="shared" si="41"/>
        <v>657720</v>
      </c>
      <c r="BP17" s="38">
        <v>11000000</v>
      </c>
      <c r="BQ17" s="38">
        <v>0</v>
      </c>
      <c r="BR17" s="38">
        <v>4400000</v>
      </c>
      <c r="BS17" s="38">
        <f t="shared" si="42"/>
        <v>0</v>
      </c>
      <c r="BT17" s="38">
        <f t="shared" si="43"/>
        <v>600000</v>
      </c>
      <c r="BU17" s="37">
        <f t="shared" si="44"/>
        <v>11722400</v>
      </c>
      <c r="BV17" s="38">
        <f t="shared" si="45"/>
        <v>64680</v>
      </c>
      <c r="BW17" s="38">
        <f t="shared" si="46"/>
        <v>3234</v>
      </c>
      <c r="BX17" s="38">
        <v>0</v>
      </c>
      <c r="BY17" s="38">
        <f t="shared" si="47"/>
        <v>35000</v>
      </c>
      <c r="BZ17" s="38">
        <f t="shared" si="48"/>
        <v>11626446</v>
      </c>
      <c r="CA17" s="38">
        <f>VLOOKUP(D17,'[1]Payroll Office'!$B$10:$BP$23,67,0)-BZ17</f>
        <v>0</v>
      </c>
      <c r="CB17" s="26">
        <v>0</v>
      </c>
      <c r="CF17" s="12">
        <f t="shared" si="49"/>
        <v>600000</v>
      </c>
      <c r="CG17" s="12">
        <f t="shared" si="50"/>
        <v>0</v>
      </c>
      <c r="CH17" s="12">
        <f t="shared" si="51"/>
        <v>6264000</v>
      </c>
      <c r="CI17" s="12">
        <f t="shared" si="52"/>
        <v>0</v>
      </c>
      <c r="CJ17" s="12">
        <v>0</v>
      </c>
      <c r="CK17" s="12">
        <v>0</v>
      </c>
      <c r="CL17" s="12">
        <v>0</v>
      </c>
      <c r="CM17" s="12">
        <v>500000</v>
      </c>
      <c r="CN17" s="12">
        <v>45641</v>
      </c>
      <c r="CO17" s="12">
        <v>0</v>
      </c>
      <c r="CP17" s="12">
        <v>0</v>
      </c>
      <c r="CQ17" s="12"/>
      <c r="CR17" s="12">
        <v>0</v>
      </c>
      <c r="CS17" s="5" t="s">
        <v>285</v>
      </c>
      <c r="CT17" s="5">
        <v>12</v>
      </c>
      <c r="CU17" s="5">
        <v>2024</v>
      </c>
      <c r="CV17" s="5">
        <v>26</v>
      </c>
      <c r="CW17" s="5">
        <v>8</v>
      </c>
      <c r="CX17" s="48">
        <v>184</v>
      </c>
      <c r="CY17" s="49">
        <v>0</v>
      </c>
      <c r="CZ17" s="49">
        <v>0</v>
      </c>
      <c r="DA17" s="49">
        <v>0</v>
      </c>
      <c r="DB17" s="49">
        <v>0</v>
      </c>
      <c r="DC17" s="49">
        <v>0</v>
      </c>
      <c r="DD17" s="49">
        <v>0</v>
      </c>
      <c r="DE17" s="48">
        <v>0</v>
      </c>
      <c r="DF17" s="48">
        <v>0</v>
      </c>
      <c r="DG17" s="48">
        <v>0</v>
      </c>
      <c r="DH17" s="48">
        <v>0</v>
      </c>
      <c r="DI17" s="49">
        <v>0</v>
      </c>
      <c r="DJ17" s="49">
        <v>0</v>
      </c>
      <c r="DK17" s="49">
        <v>0</v>
      </c>
      <c r="DL17" s="49">
        <v>0</v>
      </c>
      <c r="DM17" s="49">
        <v>0</v>
      </c>
      <c r="DN17" s="49">
        <v>0</v>
      </c>
      <c r="DO17" s="49">
        <v>0</v>
      </c>
      <c r="DP17" s="48">
        <v>0</v>
      </c>
      <c r="DQ17" s="48">
        <v>0</v>
      </c>
      <c r="DR17" s="4">
        <v>24</v>
      </c>
      <c r="DS17" s="4">
        <v>0</v>
      </c>
      <c r="DT17" s="4"/>
      <c r="DU17" s="4"/>
      <c r="DV17" s="4"/>
      <c r="DW17" s="4"/>
      <c r="DX17" s="4"/>
      <c r="DY17" s="4"/>
      <c r="DZ17" s="4">
        <v>23</v>
      </c>
      <c r="EA17" s="4">
        <v>2</v>
      </c>
      <c r="EB17" s="4">
        <v>1</v>
      </c>
      <c r="EC17" s="4">
        <v>2</v>
      </c>
      <c r="ED17" s="4">
        <v>0</v>
      </c>
      <c r="EE17" s="4">
        <v>35000</v>
      </c>
      <c r="EF17" s="4" t="s">
        <v>286</v>
      </c>
      <c r="EG17" s="4">
        <v>3758400</v>
      </c>
      <c r="EH17" s="4">
        <v>0</v>
      </c>
    </row>
    <row r="18" spans="2:138">
      <c r="B18" s="36">
        <v>4</v>
      </c>
      <c r="C18" s="36" t="s">
        <v>293</v>
      </c>
      <c r="D18" s="37" t="s">
        <v>294</v>
      </c>
      <c r="E18" s="36" t="s">
        <v>295</v>
      </c>
      <c r="F18" s="36">
        <v>208</v>
      </c>
      <c r="G18" s="54">
        <f t="shared" si="0"/>
        <v>200</v>
      </c>
      <c r="H18" s="45">
        <f t="shared" si="1"/>
        <v>0</v>
      </c>
      <c r="I18" s="45">
        <f t="shared" si="2"/>
        <v>200</v>
      </c>
      <c r="J18" s="38">
        <v>0</v>
      </c>
      <c r="K18" s="45">
        <f t="shared" si="3"/>
        <v>38.5</v>
      </c>
      <c r="L18" s="45">
        <f t="shared" si="4"/>
        <v>0</v>
      </c>
      <c r="M18" s="45">
        <f t="shared" si="5"/>
        <v>0</v>
      </c>
      <c r="N18" s="45">
        <f t="shared" si="6"/>
        <v>0</v>
      </c>
      <c r="O18" s="45">
        <f t="shared" si="7"/>
        <v>0</v>
      </c>
      <c r="P18" s="45">
        <f t="shared" si="8"/>
        <v>0</v>
      </c>
      <c r="Q18" s="45">
        <f t="shared" si="9"/>
        <v>0</v>
      </c>
      <c r="R18" s="45">
        <v>0</v>
      </c>
      <c r="S18" s="45">
        <v>0</v>
      </c>
      <c r="T18" s="38">
        <v>5450000</v>
      </c>
      <c r="U18" s="38">
        <v>2000000</v>
      </c>
      <c r="V18" s="38">
        <v>0</v>
      </c>
      <c r="W18" s="38">
        <v>600000</v>
      </c>
      <c r="X18" s="38">
        <v>0</v>
      </c>
      <c r="Y18" s="38">
        <v>0</v>
      </c>
      <c r="Z18" s="38">
        <v>0</v>
      </c>
      <c r="AA18" s="38">
        <v>600000</v>
      </c>
      <c r="AB18" s="38">
        <v>800000</v>
      </c>
      <c r="AC18" s="38">
        <f t="shared" si="10"/>
        <v>800000</v>
      </c>
      <c r="AD18" s="38">
        <v>700000</v>
      </c>
      <c r="AE18" s="38">
        <f t="shared" si="11"/>
        <v>700000</v>
      </c>
      <c r="AF18" s="38">
        <v>700000</v>
      </c>
      <c r="AG18" s="38">
        <f t="shared" si="12"/>
        <v>700000</v>
      </c>
      <c r="AH18" s="38">
        <v>0</v>
      </c>
      <c r="AI18" s="38">
        <v>0</v>
      </c>
      <c r="AJ18" s="38">
        <f t="shared" si="13"/>
        <v>500000</v>
      </c>
      <c r="AK18" s="38">
        <f t="shared" si="14"/>
        <v>0</v>
      </c>
      <c r="AL18" s="38">
        <v>0</v>
      </c>
      <c r="AM18" s="38">
        <f t="shared" si="15"/>
        <v>4830000</v>
      </c>
      <c r="AN18" s="38">
        <v>0</v>
      </c>
      <c r="AO18" s="38">
        <f t="shared" si="16"/>
        <v>2700000</v>
      </c>
      <c r="AP18" s="39">
        <f t="shared" si="17"/>
        <v>8050000</v>
      </c>
      <c r="AQ18" s="39">
        <f t="shared" si="18"/>
        <v>600000</v>
      </c>
      <c r="AR18" s="46">
        <f t="shared" si="19"/>
        <v>38701.923076923078</v>
      </c>
      <c r="AS18" s="57">
        <f t="shared" si="20"/>
        <v>2884.6153846153848</v>
      </c>
      <c r="AT18" s="39">
        <f t="shared" si="21"/>
        <v>7740385</v>
      </c>
      <c r="AU18" s="38">
        <f t="shared" si="22"/>
        <v>2235036</v>
      </c>
      <c r="AV18" s="38">
        <f t="shared" si="23"/>
        <v>0</v>
      </c>
      <c r="AW18" s="38">
        <f t="shared" si="24"/>
        <v>0</v>
      </c>
      <c r="AX18" s="40">
        <f t="shared" si="25"/>
        <v>0</v>
      </c>
      <c r="AY18" s="40">
        <f t="shared" si="26"/>
        <v>0</v>
      </c>
      <c r="AZ18" s="40">
        <f t="shared" si="27"/>
        <v>0</v>
      </c>
      <c r="BA18" s="40">
        <f t="shared" si="28"/>
        <v>0</v>
      </c>
      <c r="BB18" s="40">
        <f t="shared" si="29"/>
        <v>0</v>
      </c>
      <c r="BC18" s="40">
        <v>0</v>
      </c>
      <c r="BD18" s="39">
        <f t="shared" si="30"/>
        <v>2235036</v>
      </c>
      <c r="BE18" s="39">
        <f t="shared" si="31"/>
        <v>17505421</v>
      </c>
      <c r="BF18" s="39">
        <f t="shared" si="32"/>
        <v>8050000</v>
      </c>
      <c r="BG18" s="39">
        <f t="shared" si="33"/>
        <v>1408750</v>
      </c>
      <c r="BH18" s="39">
        <f t="shared" si="34"/>
        <v>241500</v>
      </c>
      <c r="BI18" s="39">
        <f t="shared" si="35"/>
        <v>80500</v>
      </c>
      <c r="BJ18" s="39">
        <f t="shared" si="36"/>
        <v>161000</v>
      </c>
      <c r="BK18" s="39">
        <f t="shared" si="37"/>
        <v>1891750</v>
      </c>
      <c r="BL18" s="38">
        <f t="shared" si="38"/>
        <v>644000</v>
      </c>
      <c r="BM18" s="38">
        <f t="shared" si="39"/>
        <v>120750</v>
      </c>
      <c r="BN18" s="38">
        <f t="shared" si="40"/>
        <v>80500</v>
      </c>
      <c r="BO18" s="38">
        <f t="shared" si="41"/>
        <v>845250</v>
      </c>
      <c r="BP18" s="38">
        <v>11000000</v>
      </c>
      <c r="BQ18" s="38">
        <v>0</v>
      </c>
      <c r="BR18" s="38">
        <v>4400000</v>
      </c>
      <c r="BS18" s="38">
        <f t="shared" si="42"/>
        <v>0</v>
      </c>
      <c r="BT18" s="38">
        <f t="shared" si="43"/>
        <v>800000</v>
      </c>
      <c r="BU18" s="37">
        <f t="shared" si="44"/>
        <v>15960408.98076923</v>
      </c>
      <c r="BV18" s="38">
        <f t="shared" si="45"/>
        <v>4115158.9807692301</v>
      </c>
      <c r="BW18" s="38">
        <f t="shared" si="46"/>
        <v>205758</v>
      </c>
      <c r="BX18" s="38">
        <v>0</v>
      </c>
      <c r="BY18" s="38">
        <f t="shared" si="47"/>
        <v>35000</v>
      </c>
      <c r="BZ18" s="38">
        <f t="shared" si="48"/>
        <v>16419413</v>
      </c>
      <c r="CA18" s="38">
        <f>VLOOKUP(D18,'[1]Payroll Office'!$B$10:$BP$23,67,0)-BZ18</f>
        <v>-0.32692307606339455</v>
      </c>
      <c r="CB18" s="26">
        <v>0</v>
      </c>
      <c r="CF18" s="12">
        <f t="shared" si="49"/>
        <v>2290024.0384615385</v>
      </c>
      <c r="CG18" s="12">
        <f t="shared" si="50"/>
        <v>0</v>
      </c>
      <c r="CH18" s="12">
        <f t="shared" si="51"/>
        <v>7740384.615384616</v>
      </c>
      <c r="CI18" s="12">
        <f t="shared" si="52"/>
        <v>0</v>
      </c>
      <c r="CJ18" s="12">
        <v>0</v>
      </c>
      <c r="CK18" s="12">
        <v>0</v>
      </c>
      <c r="CL18" s="12">
        <v>0</v>
      </c>
      <c r="CM18" s="12">
        <v>500000</v>
      </c>
      <c r="CN18" s="12">
        <v>45641</v>
      </c>
      <c r="CO18" s="12">
        <v>0</v>
      </c>
      <c r="CP18" s="12">
        <v>0</v>
      </c>
      <c r="CQ18" s="12"/>
      <c r="CR18" s="12">
        <v>0</v>
      </c>
      <c r="CS18" s="5" t="s">
        <v>285</v>
      </c>
      <c r="CT18" s="5">
        <v>12</v>
      </c>
      <c r="CU18" s="5">
        <v>2024</v>
      </c>
      <c r="CV18" s="5">
        <v>26</v>
      </c>
      <c r="CW18" s="5">
        <v>8</v>
      </c>
      <c r="CX18" s="48">
        <v>200</v>
      </c>
      <c r="CY18" s="49">
        <v>0</v>
      </c>
      <c r="CZ18" s="49">
        <v>38.5</v>
      </c>
      <c r="DA18" s="49">
        <v>0</v>
      </c>
      <c r="DB18" s="49">
        <v>0</v>
      </c>
      <c r="DC18" s="49">
        <v>0</v>
      </c>
      <c r="DD18" s="49">
        <v>0</v>
      </c>
      <c r="DE18" s="48">
        <v>0</v>
      </c>
      <c r="DF18" s="48">
        <v>0</v>
      </c>
      <c r="DG18" s="48">
        <v>0</v>
      </c>
      <c r="DH18" s="48">
        <v>0</v>
      </c>
      <c r="DI18" s="49">
        <v>0</v>
      </c>
      <c r="DJ18" s="49">
        <v>0</v>
      </c>
      <c r="DK18" s="49">
        <v>0</v>
      </c>
      <c r="DL18" s="49">
        <v>0</v>
      </c>
      <c r="DM18" s="49">
        <v>0</v>
      </c>
      <c r="DN18" s="49">
        <v>0</v>
      </c>
      <c r="DO18" s="49">
        <v>0</v>
      </c>
      <c r="DP18" s="48">
        <v>0</v>
      </c>
      <c r="DQ18" s="48">
        <v>0</v>
      </c>
      <c r="DR18" s="4">
        <v>0</v>
      </c>
      <c r="DS18" s="4">
        <v>8</v>
      </c>
      <c r="DT18" s="4"/>
      <c r="DU18" s="4"/>
      <c r="DV18" s="4"/>
      <c r="DW18" s="4"/>
      <c r="DX18" s="4"/>
      <c r="DY18" s="4"/>
      <c r="DZ18" s="4">
        <v>25</v>
      </c>
      <c r="EA18" s="4">
        <v>2</v>
      </c>
      <c r="EB18" s="4">
        <v>1</v>
      </c>
      <c r="EC18" s="4">
        <v>2</v>
      </c>
      <c r="ED18" s="4">
        <v>0</v>
      </c>
      <c r="EE18" s="4">
        <v>35000</v>
      </c>
      <c r="EF18" s="4" t="s">
        <v>286</v>
      </c>
      <c r="EG18" s="4">
        <v>4830000</v>
      </c>
      <c r="EH18" s="4">
        <v>0</v>
      </c>
    </row>
    <row r="19" spans="2:138">
      <c r="B19" s="36">
        <v>5</v>
      </c>
      <c r="C19" s="36" t="s">
        <v>296</v>
      </c>
      <c r="D19" s="37" t="s">
        <v>297</v>
      </c>
      <c r="E19" s="36" t="s">
        <v>295</v>
      </c>
      <c r="F19" s="36">
        <v>208</v>
      </c>
      <c r="G19" s="54">
        <f t="shared" si="0"/>
        <v>208</v>
      </c>
      <c r="H19" s="45">
        <f t="shared" si="1"/>
        <v>0</v>
      </c>
      <c r="I19" s="45">
        <f t="shared" si="2"/>
        <v>208.83</v>
      </c>
      <c r="J19" s="38">
        <v>0</v>
      </c>
      <c r="K19" s="45">
        <f t="shared" si="3"/>
        <v>9</v>
      </c>
      <c r="L19" s="45">
        <f t="shared" si="4"/>
        <v>0</v>
      </c>
      <c r="M19" s="45">
        <f t="shared" si="5"/>
        <v>0</v>
      </c>
      <c r="N19" s="45">
        <f t="shared" si="6"/>
        <v>0</v>
      </c>
      <c r="O19" s="45">
        <f t="shared" si="7"/>
        <v>0</v>
      </c>
      <c r="P19" s="45">
        <f t="shared" si="8"/>
        <v>0</v>
      </c>
      <c r="Q19" s="45">
        <f t="shared" si="9"/>
        <v>0</v>
      </c>
      <c r="R19" s="45">
        <v>0</v>
      </c>
      <c r="S19" s="45">
        <v>0</v>
      </c>
      <c r="T19" s="38">
        <v>5450000</v>
      </c>
      <c r="U19" s="38">
        <v>5000000</v>
      </c>
      <c r="V19" s="38">
        <v>0</v>
      </c>
      <c r="W19" s="38">
        <v>600000</v>
      </c>
      <c r="X19" s="38">
        <v>0</v>
      </c>
      <c r="Y19" s="38">
        <v>0</v>
      </c>
      <c r="Z19" s="38">
        <v>0</v>
      </c>
      <c r="AA19" s="38">
        <v>600000</v>
      </c>
      <c r="AB19" s="38">
        <v>1200000</v>
      </c>
      <c r="AC19" s="38">
        <f t="shared" si="10"/>
        <v>1200000</v>
      </c>
      <c r="AD19" s="38">
        <v>1400000</v>
      </c>
      <c r="AE19" s="38">
        <f t="shared" si="11"/>
        <v>1400000</v>
      </c>
      <c r="AF19" s="38">
        <v>1400000</v>
      </c>
      <c r="AG19" s="38">
        <f t="shared" si="12"/>
        <v>1400000</v>
      </c>
      <c r="AH19" s="38">
        <v>0</v>
      </c>
      <c r="AI19" s="38">
        <v>0</v>
      </c>
      <c r="AJ19" s="38">
        <f t="shared" si="13"/>
        <v>500000</v>
      </c>
      <c r="AK19" s="38">
        <f t="shared" si="14"/>
        <v>0</v>
      </c>
      <c r="AL19" s="38">
        <v>0</v>
      </c>
      <c r="AM19" s="38">
        <f t="shared" si="15"/>
        <v>6630000</v>
      </c>
      <c r="AN19" s="38">
        <v>0</v>
      </c>
      <c r="AO19" s="38">
        <f t="shared" si="16"/>
        <v>4500000</v>
      </c>
      <c r="AP19" s="39">
        <f t="shared" si="17"/>
        <v>11050000</v>
      </c>
      <c r="AQ19" s="39">
        <f t="shared" si="18"/>
        <v>600000</v>
      </c>
      <c r="AR19" s="46">
        <f t="shared" si="19"/>
        <v>53125</v>
      </c>
      <c r="AS19" s="57">
        <f t="shared" si="20"/>
        <v>2884.6153846153848</v>
      </c>
      <c r="AT19" s="39">
        <f t="shared" si="21"/>
        <v>11050000</v>
      </c>
      <c r="AU19" s="38">
        <f t="shared" si="22"/>
        <v>717188</v>
      </c>
      <c r="AV19" s="38">
        <f t="shared" si="23"/>
        <v>0</v>
      </c>
      <c r="AW19" s="38">
        <f t="shared" si="24"/>
        <v>0</v>
      </c>
      <c r="AX19" s="40">
        <f t="shared" si="25"/>
        <v>0</v>
      </c>
      <c r="AY19" s="40">
        <f t="shared" si="26"/>
        <v>0</v>
      </c>
      <c r="AZ19" s="40">
        <f t="shared" si="27"/>
        <v>0</v>
      </c>
      <c r="BA19" s="40">
        <f t="shared" si="28"/>
        <v>0</v>
      </c>
      <c r="BB19" s="40">
        <f t="shared" si="29"/>
        <v>0</v>
      </c>
      <c r="BC19" s="40">
        <v>0</v>
      </c>
      <c r="BD19" s="39">
        <f t="shared" si="30"/>
        <v>717188</v>
      </c>
      <c r="BE19" s="39">
        <f t="shared" si="31"/>
        <v>22897188</v>
      </c>
      <c r="BF19" s="39">
        <f t="shared" si="32"/>
        <v>11050000</v>
      </c>
      <c r="BG19" s="39">
        <f t="shared" si="33"/>
        <v>1933749.9999999998</v>
      </c>
      <c r="BH19" s="39">
        <f t="shared" si="34"/>
        <v>331500</v>
      </c>
      <c r="BI19" s="39">
        <f t="shared" si="35"/>
        <v>110500</v>
      </c>
      <c r="BJ19" s="39">
        <f t="shared" si="36"/>
        <v>221000</v>
      </c>
      <c r="BK19" s="39">
        <f t="shared" si="37"/>
        <v>2596750</v>
      </c>
      <c r="BL19" s="38">
        <f t="shared" si="38"/>
        <v>884000</v>
      </c>
      <c r="BM19" s="38">
        <f t="shared" si="39"/>
        <v>165750</v>
      </c>
      <c r="BN19" s="38">
        <f t="shared" si="40"/>
        <v>110500</v>
      </c>
      <c r="BO19" s="38">
        <f t="shared" si="41"/>
        <v>1160250</v>
      </c>
      <c r="BP19" s="38">
        <v>11000000</v>
      </c>
      <c r="BQ19" s="38">
        <v>2</v>
      </c>
      <c r="BR19" s="38">
        <v>4400000</v>
      </c>
      <c r="BS19" s="38">
        <f t="shared" si="42"/>
        <v>8800000</v>
      </c>
      <c r="BT19" s="38">
        <f t="shared" si="43"/>
        <v>1200000</v>
      </c>
      <c r="BU19" s="37">
        <f t="shared" si="44"/>
        <v>21458125.5</v>
      </c>
      <c r="BV19" s="38">
        <f t="shared" si="45"/>
        <v>497875.5</v>
      </c>
      <c r="BW19" s="38">
        <f t="shared" si="46"/>
        <v>24894</v>
      </c>
      <c r="BX19" s="38">
        <v>0</v>
      </c>
      <c r="BY19" s="38">
        <f t="shared" si="47"/>
        <v>35000</v>
      </c>
      <c r="BZ19" s="38">
        <f t="shared" si="48"/>
        <v>21677044</v>
      </c>
      <c r="CA19" s="38">
        <f>VLOOKUP(D19,'[1]Payroll Office'!$B$10:$BP$23,67,0)-BZ19</f>
        <v>-0.5</v>
      </c>
      <c r="CB19" s="26">
        <v>0</v>
      </c>
      <c r="CF19" s="12">
        <f t="shared" si="49"/>
        <v>1678125</v>
      </c>
      <c r="CG19" s="12">
        <f t="shared" si="50"/>
        <v>0</v>
      </c>
      <c r="CH19" s="12">
        <f t="shared" si="51"/>
        <v>11050000</v>
      </c>
      <c r="CI19" s="12">
        <f t="shared" si="52"/>
        <v>0</v>
      </c>
      <c r="CJ19" s="12">
        <v>0</v>
      </c>
      <c r="CK19" s="12">
        <v>0</v>
      </c>
      <c r="CL19" s="12">
        <v>0</v>
      </c>
      <c r="CM19" s="12">
        <v>500000</v>
      </c>
      <c r="CN19" s="12">
        <v>45641</v>
      </c>
      <c r="CO19" s="12">
        <v>0</v>
      </c>
      <c r="CP19" s="12">
        <v>0</v>
      </c>
      <c r="CQ19" s="12"/>
      <c r="CR19" s="12">
        <v>0</v>
      </c>
      <c r="CS19" s="5" t="s">
        <v>285</v>
      </c>
      <c r="CT19" s="5">
        <v>12</v>
      </c>
      <c r="CU19" s="5">
        <v>2024</v>
      </c>
      <c r="CV19" s="5">
        <v>26</v>
      </c>
      <c r="CW19" s="5">
        <v>8</v>
      </c>
      <c r="CX19" s="48">
        <v>200</v>
      </c>
      <c r="CY19" s="49">
        <v>0</v>
      </c>
      <c r="CZ19" s="49">
        <v>9</v>
      </c>
      <c r="DA19" s="49">
        <v>0</v>
      </c>
      <c r="DB19" s="49">
        <v>0</v>
      </c>
      <c r="DC19" s="49">
        <v>0</v>
      </c>
      <c r="DD19" s="49">
        <v>0</v>
      </c>
      <c r="DE19" s="48">
        <v>0</v>
      </c>
      <c r="DF19" s="48">
        <v>0</v>
      </c>
      <c r="DG19" s="48">
        <v>0</v>
      </c>
      <c r="DH19" s="48">
        <v>0</v>
      </c>
      <c r="DI19" s="49">
        <v>0</v>
      </c>
      <c r="DJ19" s="49">
        <v>0</v>
      </c>
      <c r="DK19" s="49">
        <v>0</v>
      </c>
      <c r="DL19" s="49">
        <v>0</v>
      </c>
      <c r="DM19" s="49">
        <v>0</v>
      </c>
      <c r="DN19" s="49">
        <v>0</v>
      </c>
      <c r="DO19" s="49">
        <v>0</v>
      </c>
      <c r="DP19" s="48">
        <v>0</v>
      </c>
      <c r="DQ19" s="48">
        <v>0</v>
      </c>
      <c r="DR19" s="4">
        <v>8</v>
      </c>
      <c r="DS19" s="4">
        <v>0</v>
      </c>
      <c r="DT19" s="4"/>
      <c r="DU19" s="4"/>
      <c r="DV19" s="4">
        <v>1</v>
      </c>
      <c r="DW19" s="4">
        <v>50</v>
      </c>
      <c r="DX19" s="4">
        <v>0</v>
      </c>
      <c r="DY19" s="4">
        <v>0</v>
      </c>
      <c r="DZ19" s="4">
        <v>26</v>
      </c>
      <c r="EA19" s="4">
        <v>2</v>
      </c>
      <c r="EB19" s="4">
        <v>1</v>
      </c>
      <c r="EC19" s="4">
        <v>2</v>
      </c>
      <c r="ED19" s="4">
        <v>0</v>
      </c>
      <c r="EE19" s="4">
        <v>35000</v>
      </c>
      <c r="EF19" s="4" t="s">
        <v>286</v>
      </c>
      <c r="EG19" s="4">
        <v>6630000</v>
      </c>
      <c r="EH19" s="4">
        <v>0</v>
      </c>
    </row>
    <row r="20" spans="2:138">
      <c r="B20" s="36">
        <v>6</v>
      </c>
      <c r="C20" s="36" t="s">
        <v>298</v>
      </c>
      <c r="D20" s="37" t="s">
        <v>299</v>
      </c>
      <c r="E20" s="36" t="s">
        <v>300</v>
      </c>
      <c r="F20" s="36">
        <v>208</v>
      </c>
      <c r="G20" s="54">
        <f t="shared" si="0"/>
        <v>200</v>
      </c>
      <c r="H20" s="45">
        <f t="shared" si="1"/>
        <v>0</v>
      </c>
      <c r="I20" s="45">
        <f t="shared" si="2"/>
        <v>200</v>
      </c>
      <c r="J20" s="38">
        <v>0</v>
      </c>
      <c r="K20" s="45">
        <f t="shared" si="3"/>
        <v>2</v>
      </c>
      <c r="L20" s="45">
        <f t="shared" si="4"/>
        <v>0</v>
      </c>
      <c r="M20" s="45">
        <f t="shared" si="5"/>
        <v>0</v>
      </c>
      <c r="N20" s="45">
        <f t="shared" si="6"/>
        <v>0</v>
      </c>
      <c r="O20" s="45">
        <f t="shared" si="7"/>
        <v>0</v>
      </c>
      <c r="P20" s="45">
        <f t="shared" si="8"/>
        <v>0</v>
      </c>
      <c r="Q20" s="45">
        <f t="shared" si="9"/>
        <v>0</v>
      </c>
      <c r="R20" s="45">
        <v>0</v>
      </c>
      <c r="S20" s="45">
        <v>0</v>
      </c>
      <c r="T20" s="38">
        <v>5450000</v>
      </c>
      <c r="U20" s="38">
        <v>2000000</v>
      </c>
      <c r="V20" s="38">
        <v>0</v>
      </c>
      <c r="W20" s="38">
        <v>600000</v>
      </c>
      <c r="X20" s="38">
        <v>5450000</v>
      </c>
      <c r="Y20" s="38">
        <v>2000000</v>
      </c>
      <c r="Z20" s="38">
        <v>0</v>
      </c>
      <c r="AA20" s="38">
        <v>300000</v>
      </c>
      <c r="AB20" s="38">
        <v>700000</v>
      </c>
      <c r="AC20" s="38">
        <f t="shared" si="10"/>
        <v>700000</v>
      </c>
      <c r="AD20" s="38">
        <v>800000</v>
      </c>
      <c r="AE20" s="38">
        <f t="shared" si="11"/>
        <v>800000</v>
      </c>
      <c r="AF20" s="38">
        <v>700000</v>
      </c>
      <c r="AG20" s="38">
        <f t="shared" si="12"/>
        <v>700000</v>
      </c>
      <c r="AH20" s="38">
        <v>0</v>
      </c>
      <c r="AI20" s="38">
        <v>0</v>
      </c>
      <c r="AJ20" s="38">
        <f t="shared" si="13"/>
        <v>500000</v>
      </c>
      <c r="AK20" s="38">
        <f t="shared" si="14"/>
        <v>0</v>
      </c>
      <c r="AL20" s="38">
        <v>0</v>
      </c>
      <c r="AM20" s="38">
        <f t="shared" si="15"/>
        <v>4830000</v>
      </c>
      <c r="AN20" s="38">
        <v>0</v>
      </c>
      <c r="AO20" s="38">
        <f t="shared" si="16"/>
        <v>2700000</v>
      </c>
      <c r="AP20" s="39">
        <f t="shared" si="17"/>
        <v>8050000</v>
      </c>
      <c r="AQ20" s="39">
        <f t="shared" si="18"/>
        <v>7750000</v>
      </c>
      <c r="AR20" s="46">
        <f t="shared" si="19"/>
        <v>38701.923076923078</v>
      </c>
      <c r="AS20" s="57">
        <f t="shared" si="20"/>
        <v>37259.615384615383</v>
      </c>
      <c r="AT20" s="39">
        <f t="shared" si="21"/>
        <v>7601923</v>
      </c>
      <c r="AU20" s="38">
        <f t="shared" si="22"/>
        <v>113942</v>
      </c>
      <c r="AV20" s="38">
        <f t="shared" si="23"/>
        <v>0</v>
      </c>
      <c r="AW20" s="38">
        <f t="shared" si="24"/>
        <v>0</v>
      </c>
      <c r="AX20" s="40">
        <f t="shared" si="25"/>
        <v>0</v>
      </c>
      <c r="AY20" s="40">
        <f t="shared" si="26"/>
        <v>0</v>
      </c>
      <c r="AZ20" s="40">
        <f t="shared" si="27"/>
        <v>0</v>
      </c>
      <c r="BA20" s="40">
        <f t="shared" si="28"/>
        <v>0</v>
      </c>
      <c r="BB20" s="40">
        <f t="shared" si="29"/>
        <v>0</v>
      </c>
      <c r="BC20" s="40">
        <v>0</v>
      </c>
      <c r="BD20" s="39">
        <f t="shared" si="30"/>
        <v>113942</v>
      </c>
      <c r="BE20" s="39">
        <f t="shared" si="31"/>
        <v>15245865</v>
      </c>
      <c r="BF20" s="39">
        <f t="shared" si="32"/>
        <v>8050000</v>
      </c>
      <c r="BG20" s="39">
        <f t="shared" si="33"/>
        <v>1408750</v>
      </c>
      <c r="BH20" s="39">
        <f t="shared" si="34"/>
        <v>241500</v>
      </c>
      <c r="BI20" s="39">
        <f t="shared" si="35"/>
        <v>80500</v>
      </c>
      <c r="BJ20" s="39">
        <f t="shared" si="36"/>
        <v>161000</v>
      </c>
      <c r="BK20" s="39">
        <f t="shared" si="37"/>
        <v>1891750</v>
      </c>
      <c r="BL20" s="38">
        <f t="shared" si="38"/>
        <v>644000</v>
      </c>
      <c r="BM20" s="38">
        <f t="shared" si="39"/>
        <v>120750</v>
      </c>
      <c r="BN20" s="38">
        <f t="shared" si="40"/>
        <v>80500</v>
      </c>
      <c r="BO20" s="38">
        <f t="shared" si="41"/>
        <v>845250</v>
      </c>
      <c r="BP20" s="38">
        <v>11000000</v>
      </c>
      <c r="BQ20" s="38">
        <v>0</v>
      </c>
      <c r="BR20" s="38">
        <v>4400000</v>
      </c>
      <c r="BS20" s="38">
        <f t="shared" si="42"/>
        <v>0</v>
      </c>
      <c r="BT20" s="38">
        <f t="shared" si="43"/>
        <v>700000</v>
      </c>
      <c r="BU20" s="115">
        <f>BE20-BT20-AR20*(CY20*0.3+CZ20*0.5+DA20*0.95+DB20*1+DC20*1.7+DD20*2+DE20*2.9+DF20*2+DG20*2.9)+EH20</f>
        <v>14526514.038461538</v>
      </c>
      <c r="BV20" s="38">
        <f t="shared" si="45"/>
        <v>2681264.038461538</v>
      </c>
      <c r="BW20" s="38">
        <f t="shared" si="46"/>
        <v>134063</v>
      </c>
      <c r="BX20" s="38">
        <v>0</v>
      </c>
      <c r="BY20" s="38">
        <f t="shared" si="47"/>
        <v>35000</v>
      </c>
      <c r="BZ20" s="38">
        <f t="shared" si="48"/>
        <v>14231552</v>
      </c>
      <c r="CA20" s="38" t="e">
        <f>VLOOKUP(D20,'[1]Payroll Office'!$B$10:$BP$23,67,0)-BZ20</f>
        <v>#N/A</v>
      </c>
      <c r="CB20" s="26">
        <v>0</v>
      </c>
      <c r="CF20" s="12">
        <f t="shared" si="49"/>
        <v>738701.92307692312</v>
      </c>
      <c r="CG20" s="12">
        <f t="shared" si="50"/>
        <v>3483774.0384615385</v>
      </c>
      <c r="CH20" s="12">
        <f t="shared" si="51"/>
        <v>7601923.076923077</v>
      </c>
      <c r="CI20" s="12">
        <f t="shared" si="52"/>
        <v>0</v>
      </c>
      <c r="CJ20" s="12">
        <v>0</v>
      </c>
      <c r="CK20" s="12">
        <v>0</v>
      </c>
      <c r="CL20" s="12">
        <v>0</v>
      </c>
      <c r="CM20" s="12">
        <v>500000</v>
      </c>
      <c r="CN20" s="12">
        <v>45641</v>
      </c>
      <c r="CO20" s="12">
        <v>0</v>
      </c>
      <c r="CP20" s="12">
        <v>0</v>
      </c>
      <c r="CQ20" s="12">
        <v>45641</v>
      </c>
      <c r="CR20" s="12">
        <v>0</v>
      </c>
      <c r="CS20" s="5" t="s">
        <v>285</v>
      </c>
      <c r="CT20" s="5">
        <v>12</v>
      </c>
      <c r="CU20" s="5">
        <v>2024</v>
      </c>
      <c r="CV20" s="5">
        <v>26</v>
      </c>
      <c r="CW20" s="5">
        <v>8</v>
      </c>
      <c r="CX20" s="48">
        <v>96</v>
      </c>
      <c r="CY20" s="49">
        <v>0</v>
      </c>
      <c r="CZ20" s="49">
        <v>1</v>
      </c>
      <c r="DA20" s="49">
        <v>0</v>
      </c>
      <c r="DB20" s="49">
        <v>0</v>
      </c>
      <c r="DC20" s="49">
        <v>0</v>
      </c>
      <c r="DD20" s="49">
        <v>0</v>
      </c>
      <c r="DE20" s="48">
        <v>0</v>
      </c>
      <c r="DF20" s="48">
        <v>0</v>
      </c>
      <c r="DG20" s="48">
        <v>0</v>
      </c>
      <c r="DH20" s="48">
        <v>92</v>
      </c>
      <c r="DI20" s="49">
        <v>0</v>
      </c>
      <c r="DJ20" s="49">
        <v>1</v>
      </c>
      <c r="DK20" s="49">
        <v>0</v>
      </c>
      <c r="DL20" s="49">
        <v>0</v>
      </c>
      <c r="DM20" s="49">
        <v>0</v>
      </c>
      <c r="DN20" s="49">
        <v>0</v>
      </c>
      <c r="DO20" s="49">
        <v>0</v>
      </c>
      <c r="DP20" s="48">
        <v>0</v>
      </c>
      <c r="DQ20" s="48">
        <v>0</v>
      </c>
      <c r="DR20" s="4">
        <v>8</v>
      </c>
      <c r="DS20" s="4">
        <v>8</v>
      </c>
      <c r="DT20" s="4">
        <v>4</v>
      </c>
      <c r="DU20" s="4">
        <v>0</v>
      </c>
      <c r="DV20" s="4"/>
      <c r="DW20" s="4"/>
      <c r="DX20" s="4"/>
      <c r="DY20" s="4"/>
      <c r="DZ20" s="4">
        <v>24</v>
      </c>
      <c r="EA20" s="4">
        <v>2</v>
      </c>
      <c r="EB20" s="4">
        <v>1</v>
      </c>
      <c r="EC20" s="4">
        <v>2</v>
      </c>
      <c r="ED20" s="4">
        <v>0</v>
      </c>
      <c r="EE20" s="4">
        <v>35000</v>
      </c>
      <c r="EF20" s="4" t="s">
        <v>286</v>
      </c>
      <c r="EG20" s="4">
        <v>4830000</v>
      </c>
      <c r="EH20" s="4">
        <v>0</v>
      </c>
    </row>
    <row r="21" spans="2:138">
      <c r="B21" s="36">
        <v>7</v>
      </c>
      <c r="C21" s="36" t="s">
        <v>301</v>
      </c>
      <c r="D21" s="37" t="s">
        <v>302</v>
      </c>
      <c r="E21" s="36" t="s">
        <v>303</v>
      </c>
      <c r="F21" s="36">
        <v>208</v>
      </c>
      <c r="G21" s="54">
        <f t="shared" si="0"/>
        <v>208</v>
      </c>
      <c r="H21" s="45">
        <f t="shared" si="1"/>
        <v>0</v>
      </c>
      <c r="I21" s="45">
        <f t="shared" si="2"/>
        <v>208</v>
      </c>
      <c r="J21" s="38">
        <v>0</v>
      </c>
      <c r="K21" s="45">
        <f t="shared" si="3"/>
        <v>4.5</v>
      </c>
      <c r="L21" s="45">
        <f t="shared" si="4"/>
        <v>0</v>
      </c>
      <c r="M21" s="45">
        <f t="shared" si="5"/>
        <v>0</v>
      </c>
      <c r="N21" s="45">
        <f t="shared" si="6"/>
        <v>0</v>
      </c>
      <c r="O21" s="45">
        <f t="shared" si="7"/>
        <v>0</v>
      </c>
      <c r="P21" s="45">
        <f t="shared" si="8"/>
        <v>0</v>
      </c>
      <c r="Q21" s="45">
        <f t="shared" si="9"/>
        <v>0</v>
      </c>
      <c r="R21" s="45">
        <v>0</v>
      </c>
      <c r="S21" s="45">
        <v>0</v>
      </c>
      <c r="T21" s="38">
        <v>5450000</v>
      </c>
      <c r="U21" s="38">
        <v>500000</v>
      </c>
      <c r="V21" s="38">
        <v>0</v>
      </c>
      <c r="W21" s="38">
        <v>300000</v>
      </c>
      <c r="X21" s="38">
        <v>0</v>
      </c>
      <c r="Y21" s="38">
        <v>0</v>
      </c>
      <c r="Z21" s="38">
        <v>0</v>
      </c>
      <c r="AA21" s="38">
        <v>300000</v>
      </c>
      <c r="AB21" s="38">
        <v>0</v>
      </c>
      <c r="AC21" s="38">
        <f t="shared" si="10"/>
        <v>0</v>
      </c>
      <c r="AD21" s="38">
        <v>1600000</v>
      </c>
      <c r="AE21" s="38">
        <f t="shared" si="11"/>
        <v>1600000</v>
      </c>
      <c r="AF21" s="38">
        <v>1600000</v>
      </c>
      <c r="AG21" s="38">
        <f t="shared" si="12"/>
        <v>1600000</v>
      </c>
      <c r="AH21" s="38">
        <v>250000</v>
      </c>
      <c r="AI21" s="38">
        <v>0</v>
      </c>
      <c r="AJ21" s="38">
        <f t="shared" si="13"/>
        <v>500000</v>
      </c>
      <c r="AK21" s="38">
        <f t="shared" si="14"/>
        <v>0</v>
      </c>
      <c r="AL21" s="38">
        <v>0</v>
      </c>
      <c r="AM21" s="38">
        <f t="shared" si="15"/>
        <v>3750000</v>
      </c>
      <c r="AN21" s="38">
        <v>0</v>
      </c>
      <c r="AO21" s="38">
        <f t="shared" si="16"/>
        <v>3950000</v>
      </c>
      <c r="AP21" s="39">
        <f t="shared" si="17"/>
        <v>6250000</v>
      </c>
      <c r="AQ21" s="39">
        <f t="shared" si="18"/>
        <v>300000</v>
      </c>
      <c r="AR21" s="46">
        <f t="shared" si="19"/>
        <v>30048.076923076922</v>
      </c>
      <c r="AS21" s="57">
        <f t="shared" si="20"/>
        <v>1442.3076923076924</v>
      </c>
      <c r="AT21" s="39">
        <f t="shared" si="21"/>
        <v>6250000</v>
      </c>
      <c r="AU21" s="38">
        <f t="shared" si="22"/>
        <v>202825</v>
      </c>
      <c r="AV21" s="38">
        <f t="shared" si="23"/>
        <v>0</v>
      </c>
      <c r="AW21" s="38">
        <f t="shared" si="24"/>
        <v>0</v>
      </c>
      <c r="AX21" s="40">
        <f t="shared" si="25"/>
        <v>0</v>
      </c>
      <c r="AY21" s="40">
        <f t="shared" si="26"/>
        <v>0</v>
      </c>
      <c r="AZ21" s="40">
        <f t="shared" si="27"/>
        <v>0</v>
      </c>
      <c r="BA21" s="40">
        <f t="shared" si="28"/>
        <v>0</v>
      </c>
      <c r="BB21" s="40">
        <f t="shared" si="29"/>
        <v>0</v>
      </c>
      <c r="BC21" s="40">
        <v>0</v>
      </c>
      <c r="BD21" s="39">
        <f t="shared" si="30"/>
        <v>202825</v>
      </c>
      <c r="BE21" s="39">
        <f t="shared" si="31"/>
        <v>14152825</v>
      </c>
      <c r="BF21" s="39">
        <f t="shared" si="32"/>
        <v>6250000</v>
      </c>
      <c r="BG21" s="39">
        <f t="shared" si="33"/>
        <v>1093750</v>
      </c>
      <c r="BH21" s="39">
        <f t="shared" si="34"/>
        <v>187500</v>
      </c>
      <c r="BI21" s="39">
        <f t="shared" si="35"/>
        <v>62500</v>
      </c>
      <c r="BJ21" s="39">
        <f t="shared" si="36"/>
        <v>125000</v>
      </c>
      <c r="BK21" s="39">
        <f t="shared" si="37"/>
        <v>1468750</v>
      </c>
      <c r="BL21" s="38">
        <f t="shared" si="38"/>
        <v>500000</v>
      </c>
      <c r="BM21" s="38">
        <f t="shared" si="39"/>
        <v>93750</v>
      </c>
      <c r="BN21" s="38">
        <f t="shared" si="40"/>
        <v>62500</v>
      </c>
      <c r="BO21" s="38">
        <f t="shared" si="41"/>
        <v>656250</v>
      </c>
      <c r="BP21" s="38">
        <v>11000000</v>
      </c>
      <c r="BQ21" s="38">
        <v>1</v>
      </c>
      <c r="BR21" s="38">
        <v>4400000</v>
      </c>
      <c r="BS21" s="38">
        <f t="shared" si="42"/>
        <v>4400000</v>
      </c>
      <c r="BT21" s="38">
        <f t="shared" si="43"/>
        <v>250000</v>
      </c>
      <c r="BU21" s="37">
        <f t="shared" si="44"/>
        <v>13835216.826923076</v>
      </c>
      <c r="BV21" s="38">
        <f t="shared" si="45"/>
        <v>0</v>
      </c>
      <c r="BW21" s="38">
        <f t="shared" si="46"/>
        <v>0</v>
      </c>
      <c r="BX21" s="38">
        <v>0</v>
      </c>
      <c r="BY21" s="38">
        <f t="shared" si="47"/>
        <v>35000</v>
      </c>
      <c r="BZ21" s="38">
        <f t="shared" si="48"/>
        <v>13461575</v>
      </c>
      <c r="CA21" s="38">
        <f>VLOOKUP(D21,'[1]Payroll Office'!$B$10:$BP$23,67,0)-BZ21</f>
        <v>-0.48076923005282879</v>
      </c>
      <c r="CB21" s="26">
        <v>0</v>
      </c>
      <c r="CF21" s="12">
        <f t="shared" si="49"/>
        <v>385216.34615384613</v>
      </c>
      <c r="CG21" s="12">
        <f t="shared" si="50"/>
        <v>0</v>
      </c>
      <c r="CH21" s="12">
        <f t="shared" si="51"/>
        <v>6250000</v>
      </c>
      <c r="CI21" s="12">
        <f t="shared" si="52"/>
        <v>0</v>
      </c>
      <c r="CJ21" s="12">
        <v>0</v>
      </c>
      <c r="CK21" s="12">
        <v>0</v>
      </c>
      <c r="CL21" s="12">
        <v>0</v>
      </c>
      <c r="CM21" s="12">
        <v>500000</v>
      </c>
      <c r="CN21" s="12">
        <v>45641</v>
      </c>
      <c r="CO21" s="12">
        <v>0</v>
      </c>
      <c r="CP21" s="12">
        <v>0</v>
      </c>
      <c r="CQ21" s="12"/>
      <c r="CR21" s="12">
        <v>0</v>
      </c>
      <c r="CS21" s="5" t="s">
        <v>285</v>
      </c>
      <c r="CT21" s="5">
        <v>12</v>
      </c>
      <c r="CU21" s="5">
        <v>2024</v>
      </c>
      <c r="CV21" s="5">
        <v>26</v>
      </c>
      <c r="CW21" s="5">
        <v>8</v>
      </c>
      <c r="CX21" s="48">
        <v>200</v>
      </c>
      <c r="CY21" s="49">
        <v>0</v>
      </c>
      <c r="CZ21" s="49">
        <v>4.5</v>
      </c>
      <c r="DA21" s="49">
        <v>0</v>
      </c>
      <c r="DB21" s="49">
        <v>0</v>
      </c>
      <c r="DC21" s="49">
        <v>0</v>
      </c>
      <c r="DD21" s="49">
        <v>0</v>
      </c>
      <c r="DE21" s="48">
        <v>0</v>
      </c>
      <c r="DF21" s="48">
        <v>0</v>
      </c>
      <c r="DG21" s="48">
        <v>0</v>
      </c>
      <c r="DH21" s="48">
        <v>0</v>
      </c>
      <c r="DI21" s="49">
        <v>0</v>
      </c>
      <c r="DJ21" s="49">
        <v>0</v>
      </c>
      <c r="DK21" s="49">
        <v>0</v>
      </c>
      <c r="DL21" s="49">
        <v>0</v>
      </c>
      <c r="DM21" s="49">
        <v>0</v>
      </c>
      <c r="DN21" s="49">
        <v>0</v>
      </c>
      <c r="DO21" s="49">
        <v>0</v>
      </c>
      <c r="DP21" s="48">
        <v>0</v>
      </c>
      <c r="DQ21" s="48">
        <v>0</v>
      </c>
      <c r="DR21" s="4">
        <v>8</v>
      </c>
      <c r="DS21" s="4">
        <v>0</v>
      </c>
      <c r="DT21" s="4"/>
      <c r="DU21" s="4"/>
      <c r="DV21" s="4">
        <v>0</v>
      </c>
      <c r="DW21" s="4">
        <v>0</v>
      </c>
      <c r="DX21" s="4">
        <v>0</v>
      </c>
      <c r="DY21" s="4">
        <v>0</v>
      </c>
      <c r="DZ21" s="4">
        <v>25</v>
      </c>
      <c r="EA21" s="4">
        <v>2</v>
      </c>
      <c r="EB21" s="4">
        <v>1</v>
      </c>
      <c r="EC21" s="4">
        <v>2</v>
      </c>
      <c r="ED21" s="4">
        <v>0</v>
      </c>
      <c r="EE21" s="4">
        <v>35000</v>
      </c>
      <c r="EF21" s="4" t="s">
        <v>286</v>
      </c>
      <c r="EG21" s="4">
        <v>3750000</v>
      </c>
      <c r="EH21" s="4">
        <v>0</v>
      </c>
    </row>
    <row r="22" spans="2:138">
      <c r="B22" s="36">
        <v>8</v>
      </c>
      <c r="C22" s="36" t="s">
        <v>304</v>
      </c>
      <c r="D22" s="37" t="s">
        <v>305</v>
      </c>
      <c r="E22" s="36" t="s">
        <v>303</v>
      </c>
      <c r="F22" s="36">
        <v>208</v>
      </c>
      <c r="G22" s="54">
        <f t="shared" si="0"/>
        <v>208</v>
      </c>
      <c r="H22" s="45">
        <f t="shared" si="1"/>
        <v>0</v>
      </c>
      <c r="I22" s="45">
        <f t="shared" si="2"/>
        <v>208</v>
      </c>
      <c r="J22" s="38">
        <v>0</v>
      </c>
      <c r="K22" s="45">
        <f t="shared" si="3"/>
        <v>1</v>
      </c>
      <c r="L22" s="45">
        <f t="shared" si="4"/>
        <v>0</v>
      </c>
      <c r="M22" s="45">
        <f t="shared" si="5"/>
        <v>0</v>
      </c>
      <c r="N22" s="45">
        <f t="shared" si="6"/>
        <v>0</v>
      </c>
      <c r="O22" s="45">
        <f t="shared" si="7"/>
        <v>0</v>
      </c>
      <c r="P22" s="45">
        <f t="shared" si="8"/>
        <v>0</v>
      </c>
      <c r="Q22" s="45">
        <f t="shared" si="9"/>
        <v>0</v>
      </c>
      <c r="R22" s="45">
        <v>0</v>
      </c>
      <c r="S22" s="45">
        <v>0</v>
      </c>
      <c r="T22" s="38">
        <v>5450000</v>
      </c>
      <c r="U22" s="38">
        <v>0</v>
      </c>
      <c r="V22" s="38">
        <v>0</v>
      </c>
      <c r="W22" s="38">
        <v>300000</v>
      </c>
      <c r="X22" s="38">
        <v>5450000</v>
      </c>
      <c r="Y22" s="38">
        <v>0</v>
      </c>
      <c r="Z22" s="38">
        <v>0</v>
      </c>
      <c r="AA22" s="38">
        <v>0</v>
      </c>
      <c r="AB22" s="38">
        <v>300000</v>
      </c>
      <c r="AC22" s="38">
        <f t="shared" si="10"/>
        <v>300000</v>
      </c>
      <c r="AD22" s="38">
        <v>1000000</v>
      </c>
      <c r="AE22" s="38">
        <f t="shared" si="11"/>
        <v>1000000</v>
      </c>
      <c r="AF22" s="38">
        <v>1000000</v>
      </c>
      <c r="AG22" s="38">
        <f t="shared" si="12"/>
        <v>1000000</v>
      </c>
      <c r="AH22" s="38">
        <v>0</v>
      </c>
      <c r="AI22" s="38">
        <v>0</v>
      </c>
      <c r="AJ22" s="38">
        <f t="shared" si="13"/>
        <v>500000</v>
      </c>
      <c r="AK22" s="38">
        <f t="shared" si="14"/>
        <v>0</v>
      </c>
      <c r="AL22" s="38">
        <v>0</v>
      </c>
      <c r="AM22" s="38">
        <f t="shared" si="15"/>
        <v>3450000</v>
      </c>
      <c r="AN22" s="38">
        <v>0</v>
      </c>
      <c r="AO22" s="38">
        <f t="shared" si="16"/>
        <v>2800000</v>
      </c>
      <c r="AP22" s="39">
        <f t="shared" si="17"/>
        <v>5750000</v>
      </c>
      <c r="AQ22" s="39">
        <f t="shared" si="18"/>
        <v>5450000</v>
      </c>
      <c r="AR22" s="46">
        <f t="shared" si="19"/>
        <v>27644.23076923077</v>
      </c>
      <c r="AS22" s="57">
        <f t="shared" si="20"/>
        <v>26201.923076923078</v>
      </c>
      <c r="AT22" s="39">
        <f t="shared" si="21"/>
        <v>5750000</v>
      </c>
      <c r="AU22" s="38">
        <f t="shared" si="22"/>
        <v>41466</v>
      </c>
      <c r="AV22" s="38">
        <f t="shared" si="23"/>
        <v>0</v>
      </c>
      <c r="AW22" s="38">
        <f t="shared" si="24"/>
        <v>0</v>
      </c>
      <c r="AX22" s="40">
        <f t="shared" si="25"/>
        <v>0</v>
      </c>
      <c r="AY22" s="40">
        <f t="shared" si="26"/>
        <v>0</v>
      </c>
      <c r="AZ22" s="40">
        <f t="shared" si="27"/>
        <v>0</v>
      </c>
      <c r="BA22" s="40">
        <f t="shared" si="28"/>
        <v>0</v>
      </c>
      <c r="BB22" s="40">
        <f t="shared" si="29"/>
        <v>0</v>
      </c>
      <c r="BC22" s="40">
        <v>0</v>
      </c>
      <c r="BD22" s="39">
        <f t="shared" si="30"/>
        <v>41466</v>
      </c>
      <c r="BE22" s="39">
        <f t="shared" si="31"/>
        <v>12041466</v>
      </c>
      <c r="BF22" s="39">
        <f t="shared" si="32"/>
        <v>5750000</v>
      </c>
      <c r="BG22" s="39">
        <f t="shared" si="33"/>
        <v>1006249.9999999999</v>
      </c>
      <c r="BH22" s="39">
        <f t="shared" si="34"/>
        <v>172500</v>
      </c>
      <c r="BI22" s="39">
        <f t="shared" si="35"/>
        <v>57500</v>
      </c>
      <c r="BJ22" s="39">
        <f t="shared" si="36"/>
        <v>115000</v>
      </c>
      <c r="BK22" s="39">
        <f t="shared" si="37"/>
        <v>1351250</v>
      </c>
      <c r="BL22" s="38">
        <f t="shared" si="38"/>
        <v>460000</v>
      </c>
      <c r="BM22" s="38">
        <f t="shared" si="39"/>
        <v>86250</v>
      </c>
      <c r="BN22" s="38">
        <f t="shared" si="40"/>
        <v>57500</v>
      </c>
      <c r="BO22" s="38">
        <f t="shared" si="41"/>
        <v>603750</v>
      </c>
      <c r="BP22" s="38">
        <v>11000000</v>
      </c>
      <c r="BQ22" s="38">
        <v>0</v>
      </c>
      <c r="BR22" s="38">
        <v>4400000</v>
      </c>
      <c r="BS22" s="38">
        <f t="shared" si="42"/>
        <v>0</v>
      </c>
      <c r="BT22" s="38">
        <f t="shared" si="43"/>
        <v>300000</v>
      </c>
      <c r="BU22" s="37">
        <f t="shared" si="44"/>
        <v>11727643.884615384</v>
      </c>
      <c r="BV22" s="38">
        <f t="shared" si="45"/>
        <v>123893.88461538404</v>
      </c>
      <c r="BW22" s="38">
        <f t="shared" si="46"/>
        <v>6195</v>
      </c>
      <c r="BX22" s="38">
        <v>0</v>
      </c>
      <c r="BY22" s="38">
        <f t="shared" si="47"/>
        <v>35000</v>
      </c>
      <c r="BZ22" s="38">
        <f t="shared" si="48"/>
        <v>11396521</v>
      </c>
      <c r="CA22" s="38">
        <f>VLOOKUP(D22,'[1]Payroll Office'!$B$10:$BP$23,67,0)-BZ22</f>
        <v>0.34615384601056576</v>
      </c>
      <c r="CB22" s="26">
        <v>0</v>
      </c>
      <c r="CF22" s="12">
        <f t="shared" si="49"/>
        <v>327644.23076923075</v>
      </c>
      <c r="CG22" s="12">
        <f t="shared" si="50"/>
        <v>0</v>
      </c>
      <c r="CH22" s="12">
        <f t="shared" si="51"/>
        <v>5750000</v>
      </c>
      <c r="CI22" s="12">
        <f t="shared" si="52"/>
        <v>0</v>
      </c>
      <c r="CJ22" s="12">
        <v>0</v>
      </c>
      <c r="CK22" s="12">
        <v>0</v>
      </c>
      <c r="CL22" s="12">
        <v>0</v>
      </c>
      <c r="CM22" s="12">
        <v>500000</v>
      </c>
      <c r="CN22" s="12">
        <v>45641</v>
      </c>
      <c r="CO22" s="12">
        <v>0</v>
      </c>
      <c r="CP22" s="12">
        <v>0</v>
      </c>
      <c r="CQ22" s="12">
        <v>45628</v>
      </c>
      <c r="CR22" s="12">
        <v>0</v>
      </c>
      <c r="CS22" s="5" t="s">
        <v>285</v>
      </c>
      <c r="CT22" s="5">
        <v>12</v>
      </c>
      <c r="CU22" s="5">
        <v>2024</v>
      </c>
      <c r="CV22" s="5">
        <v>26</v>
      </c>
      <c r="CW22" s="5">
        <v>8</v>
      </c>
      <c r="CX22" s="48">
        <v>192</v>
      </c>
      <c r="CY22" s="49">
        <v>0</v>
      </c>
      <c r="CZ22" s="49">
        <v>1</v>
      </c>
      <c r="DA22" s="49">
        <v>0</v>
      </c>
      <c r="DB22" s="49">
        <v>0</v>
      </c>
      <c r="DC22" s="49">
        <v>0</v>
      </c>
      <c r="DD22" s="49">
        <v>0</v>
      </c>
      <c r="DE22" s="48">
        <v>0</v>
      </c>
      <c r="DF22" s="48">
        <v>0</v>
      </c>
      <c r="DG22" s="48">
        <v>0</v>
      </c>
      <c r="DH22" s="48">
        <v>0</v>
      </c>
      <c r="DI22" s="49">
        <v>0</v>
      </c>
      <c r="DJ22" s="49">
        <v>0</v>
      </c>
      <c r="DK22" s="49">
        <v>0</v>
      </c>
      <c r="DL22" s="49">
        <v>0</v>
      </c>
      <c r="DM22" s="49">
        <v>0</v>
      </c>
      <c r="DN22" s="49">
        <v>0</v>
      </c>
      <c r="DO22" s="49">
        <v>0</v>
      </c>
      <c r="DP22" s="48">
        <v>0</v>
      </c>
      <c r="DQ22" s="48">
        <v>0</v>
      </c>
      <c r="DR22" s="4">
        <v>16</v>
      </c>
      <c r="DS22" s="4">
        <v>0</v>
      </c>
      <c r="DT22" s="4"/>
      <c r="DU22" s="4"/>
      <c r="DV22" s="4">
        <v>0</v>
      </c>
      <c r="DW22" s="4">
        <v>0</v>
      </c>
      <c r="DX22" s="4">
        <v>0</v>
      </c>
      <c r="DY22" s="4">
        <v>0</v>
      </c>
      <c r="DZ22" s="4">
        <v>24</v>
      </c>
      <c r="EA22" s="4">
        <v>2</v>
      </c>
      <c r="EB22" s="4">
        <v>1</v>
      </c>
      <c r="EC22" s="4">
        <v>2</v>
      </c>
      <c r="ED22" s="4">
        <v>0</v>
      </c>
      <c r="EE22" s="4">
        <v>35000</v>
      </c>
      <c r="EF22" s="4" t="s">
        <v>286</v>
      </c>
      <c r="EG22" s="4">
        <v>3450000</v>
      </c>
      <c r="EH22" s="4">
        <v>0</v>
      </c>
    </row>
    <row r="23" spans="2:138">
      <c r="B23" s="36">
        <v>9</v>
      </c>
      <c r="C23" s="36" t="s">
        <v>306</v>
      </c>
      <c r="D23" s="37" t="s">
        <v>307</v>
      </c>
      <c r="E23" s="36" t="s">
        <v>295</v>
      </c>
      <c r="F23" s="36">
        <v>208</v>
      </c>
      <c r="G23" s="54">
        <f t="shared" si="0"/>
        <v>208</v>
      </c>
      <c r="H23" s="45">
        <f t="shared" si="1"/>
        <v>0</v>
      </c>
      <c r="I23" s="45">
        <f t="shared" si="2"/>
        <v>208</v>
      </c>
      <c r="J23" s="38">
        <v>0</v>
      </c>
      <c r="K23" s="45">
        <f t="shared" si="3"/>
        <v>9</v>
      </c>
      <c r="L23" s="45">
        <f t="shared" si="4"/>
        <v>0</v>
      </c>
      <c r="M23" s="45">
        <f t="shared" si="5"/>
        <v>0</v>
      </c>
      <c r="N23" s="45">
        <f t="shared" si="6"/>
        <v>0</v>
      </c>
      <c r="O23" s="45">
        <f t="shared" si="7"/>
        <v>0</v>
      </c>
      <c r="P23" s="45">
        <f t="shared" si="8"/>
        <v>0</v>
      </c>
      <c r="Q23" s="45">
        <f t="shared" si="9"/>
        <v>0</v>
      </c>
      <c r="R23" s="45">
        <v>0</v>
      </c>
      <c r="S23" s="45">
        <v>0</v>
      </c>
      <c r="T23" s="38">
        <v>5190000</v>
      </c>
      <c r="U23" s="38">
        <v>500000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700000</v>
      </c>
      <c r="AC23" s="38">
        <f t="shared" si="10"/>
        <v>700000</v>
      </c>
      <c r="AD23" s="38">
        <v>700000</v>
      </c>
      <c r="AE23" s="38">
        <f t="shared" si="11"/>
        <v>700000</v>
      </c>
      <c r="AF23" s="38">
        <v>700000</v>
      </c>
      <c r="AG23" s="38">
        <f t="shared" si="12"/>
        <v>700000</v>
      </c>
      <c r="AH23" s="38">
        <v>0</v>
      </c>
      <c r="AI23" s="38">
        <v>0</v>
      </c>
      <c r="AJ23" s="38">
        <f t="shared" si="13"/>
        <v>500000</v>
      </c>
      <c r="AK23" s="38">
        <f t="shared" si="14"/>
        <v>0</v>
      </c>
      <c r="AL23" s="38">
        <v>0</v>
      </c>
      <c r="AM23" s="38">
        <f t="shared" si="15"/>
        <v>2845000</v>
      </c>
      <c r="AN23" s="38">
        <v>0</v>
      </c>
      <c r="AO23" s="38">
        <f t="shared" si="16"/>
        <v>2600000</v>
      </c>
      <c r="AP23" s="39">
        <f t="shared" si="17"/>
        <v>5690000</v>
      </c>
      <c r="AQ23" s="39">
        <f t="shared" si="18"/>
        <v>0</v>
      </c>
      <c r="AR23" s="46">
        <f t="shared" si="19"/>
        <v>27355.76923076923</v>
      </c>
      <c r="AS23" s="57">
        <f t="shared" si="20"/>
        <v>0</v>
      </c>
      <c r="AT23" s="39">
        <f t="shared" si="21"/>
        <v>5690000</v>
      </c>
      <c r="AU23" s="38">
        <f t="shared" si="22"/>
        <v>369303</v>
      </c>
      <c r="AV23" s="38">
        <f t="shared" si="23"/>
        <v>0</v>
      </c>
      <c r="AW23" s="38">
        <f t="shared" si="24"/>
        <v>0</v>
      </c>
      <c r="AX23" s="40">
        <f t="shared" si="25"/>
        <v>0</v>
      </c>
      <c r="AY23" s="40">
        <f t="shared" si="26"/>
        <v>0</v>
      </c>
      <c r="AZ23" s="40">
        <f t="shared" si="27"/>
        <v>0</v>
      </c>
      <c r="BA23" s="40">
        <f t="shared" si="28"/>
        <v>0</v>
      </c>
      <c r="BB23" s="40">
        <f t="shared" si="29"/>
        <v>0</v>
      </c>
      <c r="BC23" s="40">
        <v>0</v>
      </c>
      <c r="BD23" s="39">
        <f t="shared" si="30"/>
        <v>369303</v>
      </c>
      <c r="BE23" s="39">
        <f t="shared" si="31"/>
        <v>11504303</v>
      </c>
      <c r="BF23" s="39">
        <f t="shared" si="32"/>
        <v>5690000</v>
      </c>
      <c r="BG23" s="39">
        <f t="shared" si="33"/>
        <v>995749.99999999988</v>
      </c>
      <c r="BH23" s="39">
        <f t="shared" si="34"/>
        <v>170700</v>
      </c>
      <c r="BI23" s="39">
        <f t="shared" si="35"/>
        <v>56900</v>
      </c>
      <c r="BJ23" s="39">
        <f t="shared" si="36"/>
        <v>113800</v>
      </c>
      <c r="BK23" s="39">
        <f t="shared" si="37"/>
        <v>1337150</v>
      </c>
      <c r="BL23" s="38">
        <f t="shared" si="38"/>
        <v>455200</v>
      </c>
      <c r="BM23" s="38">
        <f t="shared" si="39"/>
        <v>85350</v>
      </c>
      <c r="BN23" s="38">
        <f t="shared" si="40"/>
        <v>56900</v>
      </c>
      <c r="BO23" s="38">
        <f t="shared" si="41"/>
        <v>597450</v>
      </c>
      <c r="BP23" s="38">
        <v>11000000</v>
      </c>
      <c r="BQ23" s="38">
        <v>0</v>
      </c>
      <c r="BR23" s="38">
        <v>4400000</v>
      </c>
      <c r="BS23" s="38">
        <f t="shared" si="42"/>
        <v>0</v>
      </c>
      <c r="BT23" s="38">
        <f t="shared" si="43"/>
        <v>700000</v>
      </c>
      <c r="BU23" s="37">
        <f t="shared" si="44"/>
        <v>10681202.038461538</v>
      </c>
      <c r="BV23" s="38">
        <f t="shared" si="45"/>
        <v>0</v>
      </c>
      <c r="BW23" s="38">
        <f t="shared" si="46"/>
        <v>0</v>
      </c>
      <c r="BX23" s="38">
        <v>0</v>
      </c>
      <c r="BY23" s="38">
        <f t="shared" si="47"/>
        <v>35000</v>
      </c>
      <c r="BZ23" s="38">
        <f t="shared" si="48"/>
        <v>10871853</v>
      </c>
      <c r="CA23" s="38">
        <f>VLOOKUP(D23,'[1]Payroll Office'!$B$10:$BP$23,67,0)-BZ23</f>
        <v>-0.11538461595773697</v>
      </c>
      <c r="CB23" s="26">
        <v>0</v>
      </c>
      <c r="CF23" s="12">
        <f t="shared" si="49"/>
        <v>946201.92307692301</v>
      </c>
      <c r="CG23" s="12">
        <f t="shared" si="50"/>
        <v>0</v>
      </c>
      <c r="CH23" s="12">
        <f t="shared" si="51"/>
        <v>5690000</v>
      </c>
      <c r="CI23" s="12">
        <f t="shared" si="52"/>
        <v>0</v>
      </c>
      <c r="CJ23" s="12">
        <v>0</v>
      </c>
      <c r="CK23" s="12">
        <v>0</v>
      </c>
      <c r="CL23" s="12">
        <v>0</v>
      </c>
      <c r="CM23" s="12">
        <v>500000</v>
      </c>
      <c r="CN23" s="12">
        <v>45641</v>
      </c>
      <c r="CO23" s="12">
        <v>0</v>
      </c>
      <c r="CP23" s="12">
        <v>0</v>
      </c>
      <c r="CQ23" s="12"/>
      <c r="CR23" s="12">
        <v>0</v>
      </c>
      <c r="CS23" s="5" t="s">
        <v>285</v>
      </c>
      <c r="CT23" s="5">
        <v>12</v>
      </c>
      <c r="CU23" s="5">
        <v>2024</v>
      </c>
      <c r="CV23" s="5">
        <v>26</v>
      </c>
      <c r="CW23" s="5">
        <v>8</v>
      </c>
      <c r="CX23" s="48">
        <v>192</v>
      </c>
      <c r="CY23" s="49">
        <v>0</v>
      </c>
      <c r="CZ23" s="49">
        <v>9</v>
      </c>
      <c r="DA23" s="49">
        <v>0</v>
      </c>
      <c r="DB23" s="49">
        <v>0</v>
      </c>
      <c r="DC23" s="49">
        <v>0</v>
      </c>
      <c r="DD23" s="49">
        <v>0</v>
      </c>
      <c r="DE23" s="48">
        <v>0</v>
      </c>
      <c r="DF23" s="48">
        <v>0</v>
      </c>
      <c r="DG23" s="48">
        <v>0</v>
      </c>
      <c r="DH23" s="48">
        <v>0</v>
      </c>
      <c r="DI23" s="49">
        <v>0</v>
      </c>
      <c r="DJ23" s="49">
        <v>0</v>
      </c>
      <c r="DK23" s="49">
        <v>0</v>
      </c>
      <c r="DL23" s="49">
        <v>0</v>
      </c>
      <c r="DM23" s="49">
        <v>0</v>
      </c>
      <c r="DN23" s="49">
        <v>0</v>
      </c>
      <c r="DO23" s="49">
        <v>0</v>
      </c>
      <c r="DP23" s="48">
        <v>0</v>
      </c>
      <c r="DQ23" s="48">
        <v>0</v>
      </c>
      <c r="DR23" s="4">
        <v>16</v>
      </c>
      <c r="DS23" s="4">
        <v>0</v>
      </c>
      <c r="DT23" s="4"/>
      <c r="DU23" s="4"/>
      <c r="DV23" s="4"/>
      <c r="DW23" s="4"/>
      <c r="DX23" s="4"/>
      <c r="DY23" s="4"/>
      <c r="DZ23" s="4">
        <v>24</v>
      </c>
      <c r="EA23" s="4">
        <v>2</v>
      </c>
      <c r="EB23" s="4">
        <v>1</v>
      </c>
      <c r="EC23" s="4">
        <v>2</v>
      </c>
      <c r="ED23" s="4">
        <v>0</v>
      </c>
      <c r="EE23" s="4">
        <v>35000</v>
      </c>
      <c r="EF23" s="4" t="s">
        <v>286</v>
      </c>
      <c r="EG23" s="4">
        <v>2845000</v>
      </c>
      <c r="EH23" s="4">
        <v>0</v>
      </c>
    </row>
    <row r="24" spans="2:138">
      <c r="B24" s="36">
        <v>10</v>
      </c>
      <c r="C24" s="36" t="s">
        <v>308</v>
      </c>
      <c r="D24" s="37" t="s">
        <v>309</v>
      </c>
      <c r="E24" s="36" t="s">
        <v>310</v>
      </c>
      <c r="F24" s="36">
        <v>208</v>
      </c>
      <c r="G24" s="54">
        <f t="shared" si="0"/>
        <v>200</v>
      </c>
      <c r="H24" s="45">
        <f t="shared" si="1"/>
        <v>0</v>
      </c>
      <c r="I24" s="45">
        <f t="shared" si="2"/>
        <v>200</v>
      </c>
      <c r="J24" s="38">
        <v>0</v>
      </c>
      <c r="K24" s="45">
        <f t="shared" si="3"/>
        <v>36</v>
      </c>
      <c r="L24" s="45">
        <f t="shared" si="4"/>
        <v>0</v>
      </c>
      <c r="M24" s="45">
        <f t="shared" si="5"/>
        <v>0</v>
      </c>
      <c r="N24" s="45">
        <f t="shared" si="6"/>
        <v>0</v>
      </c>
      <c r="O24" s="45">
        <f t="shared" si="7"/>
        <v>0</v>
      </c>
      <c r="P24" s="45">
        <f t="shared" si="8"/>
        <v>0</v>
      </c>
      <c r="Q24" s="45">
        <f t="shared" si="9"/>
        <v>0</v>
      </c>
      <c r="R24" s="45">
        <v>0</v>
      </c>
      <c r="S24" s="45">
        <v>0</v>
      </c>
      <c r="T24" s="38">
        <v>4706000</v>
      </c>
      <c r="U24" s="38">
        <v>300000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700000</v>
      </c>
      <c r="AC24" s="38">
        <f t="shared" si="10"/>
        <v>700000</v>
      </c>
      <c r="AD24" s="38">
        <v>1000000</v>
      </c>
      <c r="AE24" s="38">
        <f t="shared" si="11"/>
        <v>1000000</v>
      </c>
      <c r="AF24" s="38">
        <v>1000000</v>
      </c>
      <c r="AG24" s="38">
        <f t="shared" si="12"/>
        <v>1000000</v>
      </c>
      <c r="AH24" s="38">
        <v>0</v>
      </c>
      <c r="AI24" s="38">
        <v>20000</v>
      </c>
      <c r="AJ24" s="38">
        <f t="shared" si="13"/>
        <v>500000</v>
      </c>
      <c r="AK24" s="38">
        <f t="shared" si="14"/>
        <v>0</v>
      </c>
      <c r="AL24" s="38">
        <v>0</v>
      </c>
      <c r="AM24" s="38">
        <f t="shared" si="15"/>
        <v>1626950</v>
      </c>
      <c r="AN24" s="38">
        <v>0</v>
      </c>
      <c r="AO24" s="38">
        <f t="shared" si="16"/>
        <v>3220000</v>
      </c>
      <c r="AP24" s="39">
        <f t="shared" si="17"/>
        <v>5006000</v>
      </c>
      <c r="AQ24" s="39">
        <f t="shared" si="18"/>
        <v>0</v>
      </c>
      <c r="AR24" s="46">
        <f t="shared" si="19"/>
        <v>24067.307692307691</v>
      </c>
      <c r="AS24" s="57">
        <f t="shared" si="20"/>
        <v>0</v>
      </c>
      <c r="AT24" s="39">
        <f t="shared" si="21"/>
        <v>4813462</v>
      </c>
      <c r="AU24" s="38">
        <f t="shared" si="22"/>
        <v>1299635</v>
      </c>
      <c r="AV24" s="38">
        <f t="shared" si="23"/>
        <v>0</v>
      </c>
      <c r="AW24" s="38">
        <f t="shared" si="24"/>
        <v>0</v>
      </c>
      <c r="AX24" s="40">
        <f t="shared" si="25"/>
        <v>0</v>
      </c>
      <c r="AY24" s="40">
        <f t="shared" si="26"/>
        <v>0</v>
      </c>
      <c r="AZ24" s="40">
        <f t="shared" si="27"/>
        <v>0</v>
      </c>
      <c r="BA24" s="40">
        <f t="shared" si="28"/>
        <v>0</v>
      </c>
      <c r="BB24" s="40">
        <f t="shared" si="29"/>
        <v>0</v>
      </c>
      <c r="BC24" s="40">
        <v>0</v>
      </c>
      <c r="BD24" s="39">
        <f t="shared" si="30"/>
        <v>1299635</v>
      </c>
      <c r="BE24" s="39">
        <f t="shared" si="31"/>
        <v>10960047</v>
      </c>
      <c r="BF24" s="39">
        <f t="shared" si="32"/>
        <v>5006000</v>
      </c>
      <c r="BG24" s="39">
        <f t="shared" si="33"/>
        <v>876050</v>
      </c>
      <c r="BH24" s="39">
        <f t="shared" si="34"/>
        <v>150180</v>
      </c>
      <c r="BI24" s="39">
        <f t="shared" si="35"/>
        <v>50060</v>
      </c>
      <c r="BJ24" s="39">
        <f t="shared" si="36"/>
        <v>100120</v>
      </c>
      <c r="BK24" s="39">
        <f t="shared" si="37"/>
        <v>1176410</v>
      </c>
      <c r="BL24" s="38">
        <f t="shared" si="38"/>
        <v>400480</v>
      </c>
      <c r="BM24" s="38">
        <f t="shared" si="39"/>
        <v>75090</v>
      </c>
      <c r="BN24" s="38">
        <f t="shared" si="40"/>
        <v>50060</v>
      </c>
      <c r="BO24" s="38">
        <f t="shared" si="41"/>
        <v>525630</v>
      </c>
      <c r="BP24" s="38">
        <v>11000000</v>
      </c>
      <c r="BQ24" s="38">
        <v>0</v>
      </c>
      <c r="BR24" s="38">
        <v>4400000</v>
      </c>
      <c r="BS24" s="38">
        <f t="shared" si="42"/>
        <v>0</v>
      </c>
      <c r="BT24" s="38">
        <f t="shared" si="43"/>
        <v>700000</v>
      </c>
      <c r="BU24" s="37">
        <f t="shared" si="44"/>
        <v>9826835.461538462</v>
      </c>
      <c r="BV24" s="38">
        <f t="shared" si="45"/>
        <v>0</v>
      </c>
      <c r="BW24" s="38">
        <f t="shared" si="46"/>
        <v>0</v>
      </c>
      <c r="BX24" s="38">
        <v>0</v>
      </c>
      <c r="BY24" s="38">
        <f t="shared" si="47"/>
        <v>35000</v>
      </c>
      <c r="BZ24" s="38">
        <f t="shared" si="48"/>
        <v>10399417</v>
      </c>
      <c r="CA24" s="38">
        <f>VLOOKUP(D24,'[1]Payroll Office'!$B$10:$BP$23,67,0)-BZ24</f>
        <v>-0.84615384601056576</v>
      </c>
      <c r="CB24" s="26">
        <v>0</v>
      </c>
      <c r="CF24" s="12">
        <f t="shared" si="49"/>
        <v>1566423.076923077</v>
      </c>
      <c r="CG24" s="12">
        <f t="shared" si="50"/>
        <v>0</v>
      </c>
      <c r="CH24" s="12">
        <f t="shared" si="51"/>
        <v>4813461.538461538</v>
      </c>
      <c r="CI24" s="12">
        <f t="shared" si="52"/>
        <v>0</v>
      </c>
      <c r="CJ24" s="12">
        <v>0</v>
      </c>
      <c r="CK24" s="12">
        <v>0</v>
      </c>
      <c r="CL24" s="12">
        <v>0</v>
      </c>
      <c r="CM24" s="12">
        <v>500000</v>
      </c>
      <c r="CN24" s="12">
        <v>45641</v>
      </c>
      <c r="CO24" s="12">
        <v>0</v>
      </c>
      <c r="CP24" s="12">
        <v>0</v>
      </c>
      <c r="CQ24" s="12"/>
      <c r="CR24" s="12">
        <v>0</v>
      </c>
      <c r="CS24" s="5" t="s">
        <v>285</v>
      </c>
      <c r="CT24" s="5">
        <v>12</v>
      </c>
      <c r="CU24" s="5">
        <v>2024</v>
      </c>
      <c r="CV24" s="5">
        <v>26</v>
      </c>
      <c r="CW24" s="5">
        <v>8</v>
      </c>
      <c r="CX24" s="48">
        <v>196</v>
      </c>
      <c r="CY24" s="49">
        <v>0</v>
      </c>
      <c r="CZ24" s="49">
        <v>36</v>
      </c>
      <c r="DA24" s="49">
        <v>0</v>
      </c>
      <c r="DB24" s="49">
        <v>0</v>
      </c>
      <c r="DC24" s="49">
        <v>0</v>
      </c>
      <c r="DD24" s="49">
        <v>0</v>
      </c>
      <c r="DE24" s="48">
        <v>0</v>
      </c>
      <c r="DF24" s="48">
        <v>0</v>
      </c>
      <c r="DG24" s="48">
        <v>0</v>
      </c>
      <c r="DH24" s="48">
        <v>0</v>
      </c>
      <c r="DI24" s="49">
        <v>0</v>
      </c>
      <c r="DJ24" s="49">
        <v>0</v>
      </c>
      <c r="DK24" s="49">
        <v>0</v>
      </c>
      <c r="DL24" s="49">
        <v>0</v>
      </c>
      <c r="DM24" s="49">
        <v>0</v>
      </c>
      <c r="DN24" s="49">
        <v>0</v>
      </c>
      <c r="DO24" s="49">
        <v>0</v>
      </c>
      <c r="DP24" s="48">
        <v>0</v>
      </c>
      <c r="DQ24" s="48">
        <v>0</v>
      </c>
      <c r="DR24" s="4">
        <v>4</v>
      </c>
      <c r="DS24" s="4">
        <v>8</v>
      </c>
      <c r="DT24" s="4"/>
      <c r="DU24" s="4"/>
      <c r="DV24" s="4"/>
      <c r="DW24" s="4"/>
      <c r="DX24" s="4"/>
      <c r="DY24" s="4"/>
      <c r="DZ24" s="4">
        <v>25</v>
      </c>
      <c r="EA24" s="4">
        <v>2</v>
      </c>
      <c r="EB24" s="4">
        <v>1</v>
      </c>
      <c r="EC24" s="4">
        <v>2</v>
      </c>
      <c r="ED24" s="4">
        <v>0</v>
      </c>
      <c r="EE24" s="4">
        <v>35000</v>
      </c>
      <c r="EF24" s="4" t="s">
        <v>286</v>
      </c>
      <c r="EG24" s="4">
        <v>1626950</v>
      </c>
      <c r="EH24" s="4">
        <v>0</v>
      </c>
    </row>
    <row r="25" spans="2:138">
      <c r="B25" s="36">
        <v>11</v>
      </c>
      <c r="C25" s="36" t="s">
        <v>311</v>
      </c>
      <c r="D25" s="37" t="s">
        <v>312</v>
      </c>
      <c r="E25" s="36" t="s">
        <v>313</v>
      </c>
      <c r="F25" s="36">
        <v>208</v>
      </c>
      <c r="G25" s="54">
        <f t="shared" si="0"/>
        <v>208</v>
      </c>
      <c r="H25" s="45">
        <f t="shared" si="1"/>
        <v>0</v>
      </c>
      <c r="I25" s="45">
        <f t="shared" si="2"/>
        <v>208</v>
      </c>
      <c r="J25" s="38">
        <v>0</v>
      </c>
      <c r="K25" s="45">
        <f t="shared" si="3"/>
        <v>0</v>
      </c>
      <c r="L25" s="45">
        <f t="shared" si="4"/>
        <v>0</v>
      </c>
      <c r="M25" s="45">
        <f t="shared" si="5"/>
        <v>0</v>
      </c>
      <c r="N25" s="45">
        <f t="shared" si="6"/>
        <v>0</v>
      </c>
      <c r="O25" s="45">
        <f t="shared" si="7"/>
        <v>0</v>
      </c>
      <c r="P25" s="45">
        <f t="shared" si="8"/>
        <v>0</v>
      </c>
      <c r="Q25" s="45">
        <f t="shared" si="9"/>
        <v>0</v>
      </c>
      <c r="R25" s="45">
        <v>0</v>
      </c>
      <c r="S25" s="45">
        <v>0</v>
      </c>
      <c r="T25" s="38">
        <v>4064000</v>
      </c>
      <c r="U25" s="38">
        <v>300000</v>
      </c>
      <c r="V25" s="38">
        <v>0</v>
      </c>
      <c r="W25" s="38">
        <v>0</v>
      </c>
      <c r="X25" s="38">
        <v>3454000</v>
      </c>
      <c r="Y25" s="38">
        <v>0</v>
      </c>
      <c r="Z25" s="38">
        <v>0</v>
      </c>
      <c r="AA25" s="38">
        <v>0</v>
      </c>
      <c r="AB25" s="38">
        <v>600000</v>
      </c>
      <c r="AC25" s="38">
        <f t="shared" si="10"/>
        <v>600000</v>
      </c>
      <c r="AD25" s="38">
        <v>1200000</v>
      </c>
      <c r="AE25" s="38">
        <f t="shared" si="11"/>
        <v>1407692</v>
      </c>
      <c r="AF25" s="38">
        <v>1500000</v>
      </c>
      <c r="AG25" s="38">
        <f t="shared" si="12"/>
        <v>1438462</v>
      </c>
      <c r="AH25" s="38">
        <v>0</v>
      </c>
      <c r="AI25" s="38">
        <v>0</v>
      </c>
      <c r="AJ25" s="38">
        <f t="shared" si="13"/>
        <v>500000</v>
      </c>
      <c r="AK25" s="38">
        <f t="shared" si="14"/>
        <v>0</v>
      </c>
      <c r="AL25" s="38">
        <v>0</v>
      </c>
      <c r="AM25" s="38">
        <f t="shared" si="15"/>
        <v>327300</v>
      </c>
      <c r="AN25" s="38">
        <v>0</v>
      </c>
      <c r="AO25" s="38">
        <f t="shared" si="16"/>
        <v>3946154</v>
      </c>
      <c r="AP25" s="39">
        <f t="shared" si="17"/>
        <v>4364000</v>
      </c>
      <c r="AQ25" s="39">
        <f t="shared" si="18"/>
        <v>3454000</v>
      </c>
      <c r="AR25" s="46">
        <f t="shared" si="19"/>
        <v>20980.76923076923</v>
      </c>
      <c r="AS25" s="57">
        <f t="shared" si="20"/>
        <v>16605.76923076923</v>
      </c>
      <c r="AT25" s="39">
        <f t="shared" si="21"/>
        <v>4084000</v>
      </c>
      <c r="AU25" s="38">
        <f t="shared" si="22"/>
        <v>0</v>
      </c>
      <c r="AV25" s="38">
        <f t="shared" si="23"/>
        <v>0</v>
      </c>
      <c r="AW25" s="38">
        <f t="shared" si="24"/>
        <v>0</v>
      </c>
      <c r="AX25" s="40">
        <f t="shared" si="25"/>
        <v>0</v>
      </c>
      <c r="AY25" s="40">
        <f t="shared" si="26"/>
        <v>0</v>
      </c>
      <c r="AZ25" s="40">
        <f t="shared" si="27"/>
        <v>0</v>
      </c>
      <c r="BA25" s="40">
        <f t="shared" si="28"/>
        <v>0</v>
      </c>
      <c r="BB25" s="40">
        <f t="shared" si="29"/>
        <v>0</v>
      </c>
      <c r="BC25" s="40">
        <v>0</v>
      </c>
      <c r="BD25" s="39">
        <f t="shared" si="30"/>
        <v>0</v>
      </c>
      <c r="BE25" s="39">
        <f t="shared" si="31"/>
        <v>8357454</v>
      </c>
      <c r="BF25" s="39">
        <f t="shared" si="32"/>
        <v>4364000</v>
      </c>
      <c r="BG25" s="39">
        <f t="shared" si="33"/>
        <v>763700</v>
      </c>
      <c r="BH25" s="39">
        <f t="shared" si="34"/>
        <v>130920</v>
      </c>
      <c r="BI25" s="39">
        <f t="shared" si="35"/>
        <v>43640</v>
      </c>
      <c r="BJ25" s="39">
        <f t="shared" si="36"/>
        <v>87280</v>
      </c>
      <c r="BK25" s="39">
        <f t="shared" si="37"/>
        <v>1025540</v>
      </c>
      <c r="BL25" s="38">
        <f t="shared" si="38"/>
        <v>349120</v>
      </c>
      <c r="BM25" s="38">
        <f t="shared" si="39"/>
        <v>65460</v>
      </c>
      <c r="BN25" s="38">
        <f t="shared" si="40"/>
        <v>43640</v>
      </c>
      <c r="BO25" s="38">
        <f t="shared" si="41"/>
        <v>458220</v>
      </c>
      <c r="BP25" s="38">
        <v>11000000</v>
      </c>
      <c r="BQ25" s="38">
        <v>0</v>
      </c>
      <c r="BR25" s="38">
        <v>4400000</v>
      </c>
      <c r="BS25" s="38">
        <f t="shared" si="42"/>
        <v>0</v>
      </c>
      <c r="BT25" s="38">
        <f t="shared" si="43"/>
        <v>600000</v>
      </c>
      <c r="BU25" s="37">
        <f t="shared" si="44"/>
        <v>7757454</v>
      </c>
      <c r="BV25" s="38">
        <f t="shared" si="45"/>
        <v>0</v>
      </c>
      <c r="BW25" s="38">
        <f t="shared" si="46"/>
        <v>0</v>
      </c>
      <c r="BX25" s="38">
        <v>0</v>
      </c>
      <c r="BY25" s="38">
        <f t="shared" si="47"/>
        <v>35000</v>
      </c>
      <c r="BZ25" s="38">
        <f t="shared" si="48"/>
        <v>7864234</v>
      </c>
      <c r="CA25" s="38" t="e">
        <f>VLOOKUP(D25,'[1]Payroll Office'!$B$10:$BP$23,67,0)-BZ25</f>
        <v>#N/A</v>
      </c>
      <c r="CB25" s="26">
        <v>0</v>
      </c>
      <c r="CF25" s="12">
        <f t="shared" si="49"/>
        <v>600000</v>
      </c>
      <c r="CG25" s="12">
        <f t="shared" si="50"/>
        <v>1062769.2307692308</v>
      </c>
      <c r="CH25" s="12">
        <f t="shared" si="51"/>
        <v>4084000</v>
      </c>
      <c r="CI25" s="12">
        <f t="shared" si="52"/>
        <v>0</v>
      </c>
      <c r="CJ25" s="12">
        <v>0</v>
      </c>
      <c r="CK25" s="12">
        <v>0</v>
      </c>
      <c r="CL25" s="12">
        <v>0</v>
      </c>
      <c r="CM25" s="12">
        <v>500000</v>
      </c>
      <c r="CN25" s="12">
        <v>45641</v>
      </c>
      <c r="CO25" s="12">
        <v>1407692</v>
      </c>
      <c r="CP25" s="12">
        <v>1438462</v>
      </c>
      <c r="CQ25" s="12">
        <v>45637</v>
      </c>
      <c r="CR25" s="12">
        <v>0</v>
      </c>
      <c r="CS25" s="5" t="s">
        <v>285</v>
      </c>
      <c r="CT25" s="5">
        <v>12</v>
      </c>
      <c r="CU25" s="5">
        <v>2024</v>
      </c>
      <c r="CV25" s="5">
        <v>26</v>
      </c>
      <c r="CW25" s="5">
        <v>8</v>
      </c>
      <c r="CX25" s="48">
        <v>144</v>
      </c>
      <c r="CY25" s="49">
        <v>0</v>
      </c>
      <c r="CZ25" s="49">
        <v>0</v>
      </c>
      <c r="DA25" s="49">
        <v>0</v>
      </c>
      <c r="DB25" s="49">
        <v>0</v>
      </c>
      <c r="DC25" s="49">
        <v>0</v>
      </c>
      <c r="DD25" s="49">
        <v>0</v>
      </c>
      <c r="DE25" s="48">
        <v>0</v>
      </c>
      <c r="DF25" s="48">
        <v>0</v>
      </c>
      <c r="DG25" s="48">
        <v>0</v>
      </c>
      <c r="DH25" s="48">
        <v>64</v>
      </c>
      <c r="DI25" s="49">
        <v>0</v>
      </c>
      <c r="DJ25" s="49">
        <v>0</v>
      </c>
      <c r="DK25" s="49">
        <v>0</v>
      </c>
      <c r="DL25" s="49">
        <v>0</v>
      </c>
      <c r="DM25" s="49">
        <v>0</v>
      </c>
      <c r="DN25" s="49">
        <v>0</v>
      </c>
      <c r="DO25" s="49">
        <v>0</v>
      </c>
      <c r="DP25" s="48">
        <v>0</v>
      </c>
      <c r="DQ25" s="48">
        <v>0</v>
      </c>
      <c r="DR25" s="4"/>
      <c r="DS25" s="4"/>
      <c r="DT25" s="4"/>
      <c r="DU25" s="4"/>
      <c r="DV25" s="4"/>
      <c r="DW25" s="4"/>
      <c r="DX25" s="4"/>
      <c r="DY25" s="4"/>
      <c r="DZ25" s="4">
        <v>18</v>
      </c>
      <c r="EA25" s="4">
        <v>2</v>
      </c>
      <c r="EB25" s="4">
        <v>1</v>
      </c>
      <c r="EC25" s="4">
        <v>2</v>
      </c>
      <c r="ED25" s="4">
        <v>0</v>
      </c>
      <c r="EE25" s="4">
        <v>35000</v>
      </c>
      <c r="EF25" s="4" t="s">
        <v>286</v>
      </c>
      <c r="EG25" s="4">
        <v>327300</v>
      </c>
      <c r="EH25" s="4">
        <v>0</v>
      </c>
    </row>
    <row r="26" spans="2:138">
      <c r="B26" s="36">
        <v>12</v>
      </c>
      <c r="C26" s="36" t="s">
        <v>314</v>
      </c>
      <c r="D26" s="37" t="s">
        <v>315</v>
      </c>
      <c r="E26" s="36" t="s">
        <v>316</v>
      </c>
      <c r="F26" s="36">
        <v>208</v>
      </c>
      <c r="G26" s="54">
        <f t="shared" si="0"/>
        <v>208</v>
      </c>
      <c r="H26" s="45">
        <f t="shared" si="1"/>
        <v>0</v>
      </c>
      <c r="I26" s="45">
        <f t="shared" si="2"/>
        <v>208</v>
      </c>
      <c r="J26" s="38">
        <v>0</v>
      </c>
      <c r="K26" s="45">
        <f t="shared" si="3"/>
        <v>0</v>
      </c>
      <c r="L26" s="45">
        <f t="shared" si="4"/>
        <v>0</v>
      </c>
      <c r="M26" s="45">
        <f t="shared" si="5"/>
        <v>0</v>
      </c>
      <c r="N26" s="45">
        <f t="shared" si="6"/>
        <v>0</v>
      </c>
      <c r="O26" s="45">
        <f t="shared" si="7"/>
        <v>0</v>
      </c>
      <c r="P26" s="45">
        <f t="shared" si="8"/>
        <v>0</v>
      </c>
      <c r="Q26" s="45">
        <f t="shared" si="9"/>
        <v>0</v>
      </c>
      <c r="R26" s="45">
        <v>0</v>
      </c>
      <c r="S26" s="45">
        <v>0</v>
      </c>
      <c r="T26" s="38">
        <v>26500000</v>
      </c>
      <c r="U26" s="38">
        <v>0</v>
      </c>
      <c r="V26" s="38">
        <v>0</v>
      </c>
      <c r="W26" s="38">
        <v>1500000</v>
      </c>
      <c r="X26" s="38">
        <v>0</v>
      </c>
      <c r="Y26" s="38">
        <v>0</v>
      </c>
      <c r="Z26" s="38">
        <v>0</v>
      </c>
      <c r="AA26" s="38">
        <v>1200000</v>
      </c>
      <c r="AB26" s="38">
        <v>3000000</v>
      </c>
      <c r="AC26" s="38">
        <f t="shared" si="10"/>
        <v>3000000</v>
      </c>
      <c r="AD26" s="38">
        <v>0</v>
      </c>
      <c r="AE26" s="38">
        <f t="shared" si="11"/>
        <v>0</v>
      </c>
      <c r="AF26" s="38">
        <v>2000000</v>
      </c>
      <c r="AG26" s="38">
        <f t="shared" si="12"/>
        <v>2000000</v>
      </c>
      <c r="AH26" s="38">
        <v>0</v>
      </c>
      <c r="AI26" s="38">
        <v>0</v>
      </c>
      <c r="AJ26" s="38">
        <f t="shared" si="13"/>
        <v>0</v>
      </c>
      <c r="AK26" s="38">
        <f t="shared" si="14"/>
        <v>0</v>
      </c>
      <c r="AL26" s="38">
        <v>0</v>
      </c>
      <c r="AM26" s="38">
        <f t="shared" si="15"/>
        <v>16800000</v>
      </c>
      <c r="AN26" s="38">
        <v>0</v>
      </c>
      <c r="AO26" s="38">
        <f t="shared" si="16"/>
        <v>5000000</v>
      </c>
      <c r="AP26" s="39">
        <f t="shared" si="17"/>
        <v>28000000</v>
      </c>
      <c r="AQ26" s="39">
        <f t="shared" si="18"/>
        <v>1200000</v>
      </c>
      <c r="AR26" s="46">
        <f t="shared" si="19"/>
        <v>134615.38461538462</v>
      </c>
      <c r="AS26" s="57">
        <f t="shared" si="20"/>
        <v>5769.2307692307695</v>
      </c>
      <c r="AT26" s="39">
        <f t="shared" si="21"/>
        <v>28000000</v>
      </c>
      <c r="AU26" s="38">
        <f t="shared" si="22"/>
        <v>0</v>
      </c>
      <c r="AV26" s="38">
        <f t="shared" si="23"/>
        <v>0</v>
      </c>
      <c r="AW26" s="38">
        <f t="shared" si="24"/>
        <v>0</v>
      </c>
      <c r="AX26" s="40">
        <f t="shared" si="25"/>
        <v>0</v>
      </c>
      <c r="AY26" s="40">
        <f t="shared" si="26"/>
        <v>0</v>
      </c>
      <c r="AZ26" s="40">
        <f t="shared" si="27"/>
        <v>0</v>
      </c>
      <c r="BA26" s="40">
        <f t="shared" si="28"/>
        <v>0</v>
      </c>
      <c r="BB26" s="40">
        <f t="shared" si="29"/>
        <v>0</v>
      </c>
      <c r="BC26" s="40">
        <v>0</v>
      </c>
      <c r="BD26" s="39">
        <f t="shared" si="30"/>
        <v>0</v>
      </c>
      <c r="BE26" s="39">
        <f t="shared" si="31"/>
        <v>49800000</v>
      </c>
      <c r="BF26" s="39">
        <f t="shared" si="32"/>
        <v>28000000</v>
      </c>
      <c r="BG26" s="39">
        <f t="shared" si="33"/>
        <v>0</v>
      </c>
      <c r="BH26" s="39">
        <f t="shared" si="34"/>
        <v>0</v>
      </c>
      <c r="BI26" s="39">
        <f t="shared" si="35"/>
        <v>0</v>
      </c>
      <c r="BJ26" s="39">
        <f t="shared" si="36"/>
        <v>560000</v>
      </c>
      <c r="BK26" s="39">
        <f t="shared" si="37"/>
        <v>560000</v>
      </c>
      <c r="BL26" s="38">
        <f t="shared" si="38"/>
        <v>0</v>
      </c>
      <c r="BM26" s="38">
        <f t="shared" si="39"/>
        <v>0</v>
      </c>
      <c r="BN26" s="38">
        <f t="shared" si="40"/>
        <v>0</v>
      </c>
      <c r="BO26" s="38">
        <f t="shared" si="41"/>
        <v>0</v>
      </c>
      <c r="BP26" s="38">
        <v>11000000</v>
      </c>
      <c r="BQ26" s="38">
        <v>2</v>
      </c>
      <c r="BR26" s="38">
        <v>4400000</v>
      </c>
      <c r="BS26" s="38">
        <f t="shared" si="42"/>
        <v>8800000</v>
      </c>
      <c r="BT26" s="38">
        <f t="shared" si="43"/>
        <v>3000000</v>
      </c>
      <c r="BU26" s="37">
        <f t="shared" si="44"/>
        <v>46800000</v>
      </c>
      <c r="BV26" s="38">
        <f t="shared" si="45"/>
        <v>27000000</v>
      </c>
      <c r="BW26" s="38">
        <f t="shared" si="46"/>
        <v>3750000</v>
      </c>
      <c r="BX26" s="38">
        <v>0</v>
      </c>
      <c r="BY26" s="38">
        <f t="shared" si="47"/>
        <v>35000</v>
      </c>
      <c r="BZ26" s="38">
        <f t="shared" si="48"/>
        <v>46015000</v>
      </c>
      <c r="CA26" s="38">
        <f>VLOOKUP(D26,'[1]Payroll Office'!$B$10:$BP$23,67,0)-BZ26</f>
        <v>0</v>
      </c>
      <c r="CB26" s="26">
        <v>0</v>
      </c>
      <c r="CF26" s="12">
        <f t="shared" si="49"/>
        <v>3000000</v>
      </c>
      <c r="CG26" s="12">
        <f t="shared" si="50"/>
        <v>0</v>
      </c>
      <c r="CH26" s="12">
        <f t="shared" si="51"/>
        <v>28000000</v>
      </c>
      <c r="CI26" s="12">
        <f t="shared" si="52"/>
        <v>0</v>
      </c>
      <c r="CJ26" s="12">
        <v>0</v>
      </c>
      <c r="CK26" s="12">
        <v>0</v>
      </c>
      <c r="CL26" s="12">
        <v>1</v>
      </c>
      <c r="CM26" s="12">
        <v>500000</v>
      </c>
      <c r="CN26" s="12">
        <v>45641</v>
      </c>
      <c r="CO26" s="12">
        <v>0</v>
      </c>
      <c r="CP26" s="12">
        <v>0</v>
      </c>
      <c r="CQ26" s="12"/>
      <c r="CR26" s="12">
        <v>0</v>
      </c>
      <c r="CS26" s="5" t="s">
        <v>285</v>
      </c>
      <c r="CT26" s="5">
        <v>12</v>
      </c>
      <c r="CU26" s="5">
        <v>2024</v>
      </c>
      <c r="CV26" s="5">
        <v>26</v>
      </c>
      <c r="CW26" s="5">
        <v>8</v>
      </c>
      <c r="CX26" s="48">
        <v>208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8">
        <v>0</v>
      </c>
      <c r="DF26" s="48">
        <v>0</v>
      </c>
      <c r="DG26" s="48">
        <v>0</v>
      </c>
      <c r="DH26" s="48">
        <v>0</v>
      </c>
      <c r="DI26" s="49">
        <v>0</v>
      </c>
      <c r="DJ26" s="49">
        <v>0</v>
      </c>
      <c r="DK26" s="49">
        <v>0</v>
      </c>
      <c r="DL26" s="49">
        <v>0</v>
      </c>
      <c r="DM26" s="49">
        <v>0</v>
      </c>
      <c r="DN26" s="49">
        <v>0</v>
      </c>
      <c r="DO26" s="49">
        <v>0</v>
      </c>
      <c r="DP26" s="48">
        <v>0</v>
      </c>
      <c r="DQ26" s="48">
        <v>0</v>
      </c>
      <c r="DR26" s="4"/>
      <c r="DS26" s="4"/>
      <c r="DT26" s="4"/>
      <c r="DU26" s="4"/>
      <c r="DV26" s="4"/>
      <c r="DW26" s="4"/>
      <c r="DX26" s="4"/>
      <c r="DY26" s="4"/>
      <c r="DZ26" s="4">
        <v>26</v>
      </c>
      <c r="EA26" s="4">
        <v>0</v>
      </c>
      <c r="EB26" s="4">
        <v>0</v>
      </c>
      <c r="EC26" s="4">
        <v>0</v>
      </c>
      <c r="ED26" s="4">
        <v>1</v>
      </c>
      <c r="EE26" s="4">
        <v>35000</v>
      </c>
      <c r="EF26" s="4" t="s">
        <v>286</v>
      </c>
      <c r="EG26" s="4">
        <v>16800000</v>
      </c>
      <c r="EH26" s="4">
        <v>0</v>
      </c>
    </row>
    <row r="27" spans="2:138">
      <c r="B27" s="58" t="s">
        <v>317</v>
      </c>
      <c r="C27" s="58" t="s">
        <v>317</v>
      </c>
      <c r="D27" s="59" t="s">
        <v>317</v>
      </c>
      <c r="E27" s="58" t="s">
        <v>317</v>
      </c>
      <c r="F27" s="58" t="s">
        <v>317</v>
      </c>
      <c r="G27" s="60" t="s">
        <v>317</v>
      </c>
      <c r="H27" s="61">
        <f t="shared" ref="H27:AM27" si="53">SUBTOTAL(9,H15:H26)</f>
        <v>0</v>
      </c>
      <c r="I27" s="61">
        <f t="shared" si="53"/>
        <v>2472.83</v>
      </c>
      <c r="J27" s="62">
        <f t="shared" si="53"/>
        <v>0</v>
      </c>
      <c r="K27" s="61">
        <f t="shared" si="53"/>
        <v>133</v>
      </c>
      <c r="L27" s="61">
        <f t="shared" si="53"/>
        <v>6</v>
      </c>
      <c r="M27" s="61">
        <f t="shared" si="53"/>
        <v>8</v>
      </c>
      <c r="N27" s="61">
        <f t="shared" si="53"/>
        <v>0</v>
      </c>
      <c r="O27" s="61">
        <f t="shared" si="53"/>
        <v>0</v>
      </c>
      <c r="P27" s="61">
        <f t="shared" si="53"/>
        <v>3.5</v>
      </c>
      <c r="Q27" s="61">
        <f t="shared" si="53"/>
        <v>0</v>
      </c>
      <c r="R27" s="61">
        <f t="shared" si="53"/>
        <v>0</v>
      </c>
      <c r="S27" s="61">
        <f t="shared" si="53"/>
        <v>0</v>
      </c>
      <c r="T27" s="62">
        <f t="shared" si="53"/>
        <v>86854000</v>
      </c>
      <c r="U27" s="62">
        <f t="shared" si="53"/>
        <v>16800000</v>
      </c>
      <c r="V27" s="62">
        <f t="shared" si="53"/>
        <v>2400000</v>
      </c>
      <c r="W27" s="62">
        <f t="shared" si="53"/>
        <v>6300000</v>
      </c>
      <c r="X27" s="62">
        <f t="shared" si="53"/>
        <v>14354000</v>
      </c>
      <c r="Y27" s="62">
        <f t="shared" si="53"/>
        <v>2000000</v>
      </c>
      <c r="Z27" s="62">
        <f t="shared" si="53"/>
        <v>0</v>
      </c>
      <c r="AA27" s="62">
        <f t="shared" si="53"/>
        <v>5400000</v>
      </c>
      <c r="AB27" s="62">
        <f t="shared" si="53"/>
        <v>11900000</v>
      </c>
      <c r="AC27" s="62">
        <f t="shared" si="53"/>
        <v>11900000</v>
      </c>
      <c r="AD27" s="62">
        <f t="shared" si="53"/>
        <v>11200000</v>
      </c>
      <c r="AE27" s="62">
        <f t="shared" si="53"/>
        <v>11407692</v>
      </c>
      <c r="AF27" s="62">
        <f t="shared" si="53"/>
        <v>14800000</v>
      </c>
      <c r="AG27" s="62">
        <f t="shared" si="53"/>
        <v>14738462</v>
      </c>
      <c r="AH27" s="62">
        <f t="shared" si="53"/>
        <v>250000</v>
      </c>
      <c r="AI27" s="62">
        <f t="shared" si="53"/>
        <v>60000</v>
      </c>
      <c r="AJ27" s="62">
        <f t="shared" si="53"/>
        <v>5500000</v>
      </c>
      <c r="AK27" s="62">
        <f t="shared" si="53"/>
        <v>0</v>
      </c>
      <c r="AL27" s="62">
        <f t="shared" si="53"/>
        <v>0</v>
      </c>
      <c r="AM27" s="62">
        <f t="shared" si="53"/>
        <v>63175650</v>
      </c>
      <c r="AN27" s="62">
        <f t="shared" ref="AN27:BS27" si="54">SUBTOTAL(9,AN15:AN26)</f>
        <v>0</v>
      </c>
      <c r="AO27" s="62">
        <f t="shared" si="54"/>
        <v>43856154</v>
      </c>
      <c r="AP27" s="63">
        <f t="shared" si="54"/>
        <v>112354000</v>
      </c>
      <c r="AQ27" s="63">
        <f t="shared" si="54"/>
        <v>21754000</v>
      </c>
      <c r="AR27" s="64">
        <f t="shared" si="54"/>
        <v>540163.4615384615</v>
      </c>
      <c r="AS27" s="65">
        <f t="shared" si="54"/>
        <v>104586.53846153847</v>
      </c>
      <c r="AT27" s="63">
        <f t="shared" si="54"/>
        <v>111123770</v>
      </c>
      <c r="AU27" s="62">
        <f t="shared" si="54"/>
        <v>6569107</v>
      </c>
      <c r="AV27" s="62">
        <f t="shared" si="54"/>
        <v>375750</v>
      </c>
      <c r="AW27" s="62">
        <f t="shared" si="54"/>
        <v>513846</v>
      </c>
      <c r="AX27" s="66">
        <f t="shared" si="54"/>
        <v>0</v>
      </c>
      <c r="AY27" s="66">
        <f t="shared" si="54"/>
        <v>0</v>
      </c>
      <c r="AZ27" s="66">
        <f t="shared" si="54"/>
        <v>438375</v>
      </c>
      <c r="BA27" s="66">
        <f t="shared" si="54"/>
        <v>0</v>
      </c>
      <c r="BB27" s="66">
        <f t="shared" si="54"/>
        <v>0</v>
      </c>
      <c r="BC27" s="66">
        <f t="shared" si="54"/>
        <v>0</v>
      </c>
      <c r="BD27" s="63">
        <f t="shared" si="54"/>
        <v>7897078</v>
      </c>
      <c r="BE27" s="63">
        <f t="shared" si="54"/>
        <v>226052652</v>
      </c>
      <c r="BF27" s="63">
        <f t="shared" si="54"/>
        <v>112354000</v>
      </c>
      <c r="BG27" s="63">
        <f t="shared" si="54"/>
        <v>14761950</v>
      </c>
      <c r="BH27" s="63">
        <f t="shared" si="54"/>
        <v>2530620</v>
      </c>
      <c r="BI27" s="63">
        <f t="shared" si="54"/>
        <v>843540</v>
      </c>
      <c r="BJ27" s="63">
        <f t="shared" si="54"/>
        <v>2247080</v>
      </c>
      <c r="BK27" s="63">
        <f t="shared" si="54"/>
        <v>20383190</v>
      </c>
      <c r="BL27" s="62">
        <f t="shared" si="54"/>
        <v>6748320</v>
      </c>
      <c r="BM27" s="62">
        <f t="shared" si="54"/>
        <v>1265310</v>
      </c>
      <c r="BN27" s="62">
        <f t="shared" si="54"/>
        <v>843540</v>
      </c>
      <c r="BO27" s="62">
        <f t="shared" si="54"/>
        <v>8857170</v>
      </c>
      <c r="BP27" s="62">
        <f t="shared" si="54"/>
        <v>132000000</v>
      </c>
      <c r="BQ27" s="62">
        <f t="shared" si="54"/>
        <v>7</v>
      </c>
      <c r="BR27" s="62">
        <f t="shared" si="54"/>
        <v>52800000</v>
      </c>
      <c r="BS27" s="62">
        <f t="shared" si="54"/>
        <v>30800000</v>
      </c>
      <c r="BT27" s="62">
        <f t="shared" ref="BT27:CA27" si="55">SUBTOTAL(9,BT15:BT26)</f>
        <v>12150000</v>
      </c>
      <c r="BU27" s="59">
        <f t="shared" si="55"/>
        <v>210965627.96153846</v>
      </c>
      <c r="BV27" s="62">
        <f t="shared" si="55"/>
        <v>47845299.634615384</v>
      </c>
      <c r="BW27" s="62">
        <f t="shared" si="55"/>
        <v>5145665</v>
      </c>
      <c r="BX27" s="62">
        <f t="shared" si="55"/>
        <v>0</v>
      </c>
      <c r="BY27" s="62">
        <f t="shared" si="55"/>
        <v>420000</v>
      </c>
      <c r="BZ27" s="62">
        <f t="shared" si="55"/>
        <v>211629817</v>
      </c>
      <c r="CA27" s="38" t="e">
        <f>VLOOKUP(D27,'[1]Payroll Office'!$B$10:$BP$23,67,0)-BZ27</f>
        <v>#N/A</v>
      </c>
      <c r="CB27" s="26">
        <v>0</v>
      </c>
      <c r="CF27" s="12">
        <f t="shared" si="49"/>
        <v>12150000</v>
      </c>
      <c r="CG27" s="12">
        <f t="shared" si="50"/>
        <v>0</v>
      </c>
      <c r="CH27" s="12">
        <f t="shared" si="51"/>
        <v>0</v>
      </c>
      <c r="CI27" s="12">
        <f t="shared" si="52"/>
        <v>0</v>
      </c>
      <c r="CJ27" s="12">
        <v>0</v>
      </c>
      <c r="CK27" s="12">
        <v>0</v>
      </c>
      <c r="CL27" s="12">
        <v>0</v>
      </c>
      <c r="CM27" s="12"/>
      <c r="CN27" s="12"/>
      <c r="CO27" s="12">
        <v>0</v>
      </c>
      <c r="CP27" s="12">
        <v>0</v>
      </c>
      <c r="CQ27" s="12"/>
      <c r="CR27" s="12">
        <v>0</v>
      </c>
      <c r="CS27" s="5"/>
      <c r="CT27" s="5"/>
      <c r="CU27" s="5"/>
      <c r="CV27" s="5"/>
      <c r="CW27" s="5"/>
      <c r="CX27" s="48"/>
      <c r="CY27" s="49"/>
      <c r="CZ27" s="49"/>
      <c r="DA27" s="49"/>
      <c r="DB27" s="49"/>
      <c r="DC27" s="49"/>
      <c r="DD27" s="49"/>
      <c r="DE27" s="48"/>
      <c r="DF27" s="48"/>
      <c r="DG27" s="48"/>
      <c r="DH27" s="48"/>
      <c r="DI27" s="49"/>
      <c r="DJ27" s="49"/>
      <c r="DK27" s="49"/>
      <c r="DL27" s="49"/>
      <c r="DM27" s="49"/>
      <c r="DN27" s="49"/>
      <c r="DO27" s="49"/>
      <c r="DP27" s="48"/>
      <c r="DQ27" s="48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</row>
  </sheetData>
  <autoFilter ref="A14:DB14" xr:uid="{00000000-0009-0000-0000-000000000000}"/>
  <mergeCells count="66">
    <mergeCell ref="EG11:EG13"/>
    <mergeCell ref="EH11:EH13"/>
    <mergeCell ref="DR12:DS12"/>
    <mergeCell ref="DT12:DU12"/>
    <mergeCell ref="DV12:DW12"/>
    <mergeCell ref="DX12:DY12"/>
    <mergeCell ref="DR11:DU11"/>
    <mergeCell ref="DV11:DY11"/>
    <mergeCell ref="EF11:EF13"/>
    <mergeCell ref="EE11:EE13"/>
    <mergeCell ref="DZ11:DZ13"/>
    <mergeCell ref="EA11:EA13"/>
    <mergeCell ref="EB11:EB13"/>
    <mergeCell ref="EC11:EC13"/>
    <mergeCell ref="ED11:ED13"/>
    <mergeCell ref="G11:I12"/>
    <mergeCell ref="AT11:AT13"/>
    <mergeCell ref="AU11:BD12"/>
    <mergeCell ref="CS11:CS13"/>
    <mergeCell ref="CT11:CT13"/>
    <mergeCell ref="CB11:CB13"/>
    <mergeCell ref="BY11:BY13"/>
    <mergeCell ref="J11:J13"/>
    <mergeCell ref="K11:S12"/>
    <mergeCell ref="AB11:AL12"/>
    <mergeCell ref="CQ11:CQ13"/>
    <mergeCell ref="CR11:CR13"/>
    <mergeCell ref="CL11:CL13"/>
    <mergeCell ref="CM11:CM13"/>
    <mergeCell ref="CF11:CF13"/>
    <mergeCell ref="T11:AA11"/>
    <mergeCell ref="AO11:AO13"/>
    <mergeCell ref="CA11:CA13"/>
    <mergeCell ref="CU11:CU13"/>
    <mergeCell ref="AP11:AP13"/>
    <mergeCell ref="AR11:AR13"/>
    <mergeCell ref="BX11:BX13"/>
    <mergeCell ref="CG11:CG13"/>
    <mergeCell ref="CN11:CN13"/>
    <mergeCell ref="CH11:CH13"/>
    <mergeCell ref="CI11:CI13"/>
    <mergeCell ref="CJ11:CJ13"/>
    <mergeCell ref="CK11:CK13"/>
    <mergeCell ref="CO11:CO13"/>
    <mergeCell ref="CP11:CP13"/>
    <mergeCell ref="B11:B13"/>
    <mergeCell ref="C11:C13"/>
    <mergeCell ref="D11:D13"/>
    <mergeCell ref="E11:E13"/>
    <mergeCell ref="F11:F13"/>
    <mergeCell ref="T12:W12"/>
    <mergeCell ref="X12:AA12"/>
    <mergeCell ref="AQ11:AQ13"/>
    <mergeCell ref="AS11:AS13"/>
    <mergeCell ref="DH12:DQ12"/>
    <mergeCell ref="CX11:DQ11"/>
    <mergeCell ref="CV11:CV13"/>
    <mergeCell ref="AM11:AM13"/>
    <mergeCell ref="BE11:BE13"/>
    <mergeCell ref="BF11:BK12"/>
    <mergeCell ref="BL11:BO12"/>
    <mergeCell ref="AN11:AN13"/>
    <mergeCell ref="BP11:BW12"/>
    <mergeCell ref="CX12:DG12"/>
    <mergeCell ref="CW11:CW13"/>
    <mergeCell ref="BZ11:BZ13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Nguyễn Ngọc Sơn</cp:lastModifiedBy>
  <dcterms:created xsi:type="dcterms:W3CDTF">2015-06-05T18:17:20Z</dcterms:created>
  <dcterms:modified xsi:type="dcterms:W3CDTF">2025-01-10T10:43:27Z</dcterms:modified>
</cp:coreProperties>
</file>