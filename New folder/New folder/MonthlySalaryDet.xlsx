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SourceCodeHR\Shinsung\New folder\New folder\"/>
    </mc:Choice>
  </mc:AlternateContent>
  <xr:revisionPtr revIDLastSave="0" documentId="13_ncr:1_{0493B6B3-8562-4C48-B50F-92691DA816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Sheet1!$A$14:$DB$14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A17" i="1" l="1"/>
  <c r="CA20" i="1"/>
  <c r="CA22" i="1"/>
  <c r="CA24" i="1"/>
  <c r="CA25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15" i="1"/>
  <c r="BX48" i="1"/>
  <c r="BR48" i="1"/>
  <c r="BQ48" i="1"/>
  <c r="BP48" i="1"/>
  <c r="BC48" i="1"/>
  <c r="AN48" i="1"/>
  <c r="AL48" i="1"/>
  <c r="AI48" i="1"/>
  <c r="AH48" i="1"/>
  <c r="AF48" i="1"/>
  <c r="AD48" i="1"/>
  <c r="AB48" i="1"/>
  <c r="AA48" i="1"/>
  <c r="Z48" i="1"/>
  <c r="Y48" i="1"/>
  <c r="X48" i="1"/>
  <c r="W48" i="1"/>
  <c r="V48" i="1"/>
  <c r="U48" i="1"/>
  <c r="T48" i="1"/>
  <c r="S48" i="1"/>
  <c r="R48" i="1"/>
  <c r="J48" i="1"/>
  <c r="BS47" i="1"/>
  <c r="AQ47" i="1"/>
  <c r="AS47" i="1" s="1"/>
  <c r="CG47" i="1" s="1"/>
  <c r="AP47" i="1"/>
  <c r="AM47" i="1"/>
  <c r="AK47" i="1"/>
  <c r="AJ47" i="1"/>
  <c r="Q47" i="1"/>
  <c r="P47" i="1"/>
  <c r="O47" i="1"/>
  <c r="N47" i="1"/>
  <c r="M47" i="1"/>
  <c r="L47" i="1"/>
  <c r="K47" i="1"/>
  <c r="H47" i="1"/>
  <c r="I47" i="1" s="1"/>
  <c r="G47" i="1"/>
  <c r="BS46" i="1"/>
  <c r="BH46" i="1"/>
  <c r="BM46" i="1" s="1"/>
  <c r="AR46" i="1"/>
  <c r="AQ46" i="1"/>
  <c r="AS46" i="1" s="1"/>
  <c r="AP46" i="1"/>
  <c r="BF46" i="1" s="1"/>
  <c r="AM46" i="1"/>
  <c r="AK46" i="1"/>
  <c r="AJ46" i="1"/>
  <c r="Q46" i="1"/>
  <c r="P46" i="1"/>
  <c r="O46" i="1"/>
  <c r="N46" i="1"/>
  <c r="M46" i="1"/>
  <c r="L46" i="1"/>
  <c r="K46" i="1"/>
  <c r="I46" i="1"/>
  <c r="H46" i="1"/>
  <c r="G46" i="1"/>
  <c r="BS45" i="1"/>
  <c r="BM45" i="1"/>
  <c r="BI45" i="1"/>
  <c r="BN45" i="1" s="1"/>
  <c r="BH45" i="1"/>
  <c r="BF45" i="1"/>
  <c r="BG45" i="1" s="1"/>
  <c r="AS45" i="1"/>
  <c r="CG45" i="1" s="1"/>
  <c r="AR45" i="1"/>
  <c r="AQ45" i="1"/>
  <c r="AP45" i="1"/>
  <c r="AM45" i="1"/>
  <c r="AK45" i="1"/>
  <c r="AJ45" i="1"/>
  <c r="Q45" i="1"/>
  <c r="P45" i="1"/>
  <c r="O45" i="1"/>
  <c r="N45" i="1"/>
  <c r="M45" i="1"/>
  <c r="L45" i="1"/>
  <c r="K45" i="1"/>
  <c r="H45" i="1"/>
  <c r="G45" i="1"/>
  <c r="I45" i="1" s="1"/>
  <c r="CI44" i="1"/>
  <c r="BS44" i="1"/>
  <c r="BF44" i="1"/>
  <c r="AW44" i="1"/>
  <c r="AS44" i="1"/>
  <c r="CG44" i="1" s="1"/>
  <c r="AQ44" i="1"/>
  <c r="AP44" i="1"/>
  <c r="AR44" i="1" s="1"/>
  <c r="AM44" i="1"/>
  <c r="AK44" i="1"/>
  <c r="AJ44" i="1"/>
  <c r="AG44" i="1"/>
  <c r="Q44" i="1"/>
  <c r="P44" i="1"/>
  <c r="O44" i="1"/>
  <c r="N44" i="1"/>
  <c r="M44" i="1"/>
  <c r="L44" i="1"/>
  <c r="K44" i="1"/>
  <c r="H44" i="1"/>
  <c r="G44" i="1"/>
  <c r="I44" i="1" s="1"/>
  <c r="BS43" i="1"/>
  <c r="AQ43" i="1"/>
  <c r="AS43" i="1" s="1"/>
  <c r="CG43" i="1" s="1"/>
  <c r="AP43" i="1"/>
  <c r="AM43" i="1"/>
  <c r="AK43" i="1"/>
  <c r="AJ43" i="1"/>
  <c r="Q43" i="1"/>
  <c r="P43" i="1"/>
  <c r="O43" i="1"/>
  <c r="N43" i="1"/>
  <c r="M43" i="1"/>
  <c r="L43" i="1"/>
  <c r="K43" i="1"/>
  <c r="H43" i="1"/>
  <c r="I43" i="1" s="1"/>
  <c r="G43" i="1"/>
  <c r="CG42" i="1"/>
  <c r="BS42" i="1"/>
  <c r="BH42" i="1"/>
  <c r="BM42" i="1" s="1"/>
  <c r="AY42" i="1"/>
  <c r="AU42" i="1"/>
  <c r="AR42" i="1"/>
  <c r="AQ42" i="1"/>
  <c r="AS42" i="1" s="1"/>
  <c r="AP42" i="1"/>
  <c r="BF42" i="1" s="1"/>
  <c r="AM42" i="1"/>
  <c r="AK42" i="1"/>
  <c r="AJ42" i="1"/>
  <c r="Q42" i="1"/>
  <c r="P42" i="1"/>
  <c r="O42" i="1"/>
  <c r="N42" i="1"/>
  <c r="M42" i="1"/>
  <c r="L42" i="1"/>
  <c r="K42" i="1"/>
  <c r="I42" i="1"/>
  <c r="H42" i="1"/>
  <c r="G42" i="1"/>
  <c r="BT41" i="1"/>
  <c r="BS41" i="1"/>
  <c r="BM41" i="1"/>
  <c r="BI41" i="1"/>
  <c r="BN41" i="1" s="1"/>
  <c r="BH41" i="1"/>
  <c r="BF41" i="1"/>
  <c r="BG41" i="1" s="1"/>
  <c r="AZ41" i="1"/>
  <c r="AV41" i="1"/>
  <c r="AS41" i="1"/>
  <c r="CG41" i="1" s="1"/>
  <c r="AR41" i="1"/>
  <c r="AQ41" i="1"/>
  <c r="AP41" i="1"/>
  <c r="AM41" i="1"/>
  <c r="AK41" i="1"/>
  <c r="AJ41" i="1"/>
  <c r="AG41" i="1"/>
  <c r="AE41" i="1"/>
  <c r="Q41" i="1"/>
  <c r="P41" i="1"/>
  <c r="O41" i="1"/>
  <c r="N41" i="1"/>
  <c r="M41" i="1"/>
  <c r="L41" i="1"/>
  <c r="K41" i="1"/>
  <c r="H41" i="1"/>
  <c r="G41" i="1"/>
  <c r="I41" i="1" s="1"/>
  <c r="AC41" i="1" s="1"/>
  <c r="CH40" i="1"/>
  <c r="BS40" i="1"/>
  <c r="AS40" i="1"/>
  <c r="CG40" i="1" s="1"/>
  <c r="AR40" i="1"/>
  <c r="BA40" i="1" s="1"/>
  <c r="AQ40" i="1"/>
  <c r="AP40" i="1"/>
  <c r="BH40" i="1" s="1"/>
  <c r="BM40" i="1" s="1"/>
  <c r="AM40" i="1"/>
  <c r="AK40" i="1"/>
  <c r="AJ40" i="1"/>
  <c r="Q40" i="1"/>
  <c r="P40" i="1"/>
  <c r="O40" i="1"/>
  <c r="N40" i="1"/>
  <c r="M40" i="1"/>
  <c r="L40" i="1"/>
  <c r="K40" i="1"/>
  <c r="H40" i="1"/>
  <c r="G40" i="1"/>
  <c r="I40" i="1" s="1"/>
  <c r="BS39" i="1"/>
  <c r="AS39" i="1"/>
  <c r="CG39" i="1" s="1"/>
  <c r="AQ39" i="1"/>
  <c r="AP39" i="1"/>
  <c r="AM39" i="1"/>
  <c r="AK39" i="1"/>
  <c r="AJ39" i="1"/>
  <c r="Q39" i="1"/>
  <c r="P39" i="1"/>
  <c r="O39" i="1"/>
  <c r="N39" i="1"/>
  <c r="M39" i="1"/>
  <c r="L39" i="1"/>
  <c r="K39" i="1"/>
  <c r="H39" i="1"/>
  <c r="G39" i="1"/>
  <c r="I39" i="1" s="1"/>
  <c r="BS38" i="1"/>
  <c r="BH38" i="1"/>
  <c r="BM38" i="1" s="1"/>
  <c r="AQ38" i="1"/>
  <c r="AS38" i="1" s="1"/>
  <c r="CG38" i="1" s="1"/>
  <c r="AP38" i="1"/>
  <c r="BF38" i="1" s="1"/>
  <c r="AM38" i="1"/>
  <c r="AK38" i="1"/>
  <c r="AJ38" i="1"/>
  <c r="Q38" i="1"/>
  <c r="P38" i="1"/>
  <c r="O38" i="1"/>
  <c r="N38" i="1"/>
  <c r="M38" i="1"/>
  <c r="L38" i="1"/>
  <c r="K38" i="1"/>
  <c r="I38" i="1"/>
  <c r="H38" i="1"/>
  <c r="G38" i="1"/>
  <c r="BT37" i="1"/>
  <c r="BS37" i="1"/>
  <c r="BM37" i="1"/>
  <c r="BI37" i="1"/>
  <c r="BN37" i="1" s="1"/>
  <c r="BH37" i="1"/>
  <c r="BF37" i="1"/>
  <c r="BG37" i="1" s="1"/>
  <c r="AR37" i="1"/>
  <c r="AQ37" i="1"/>
  <c r="AS37" i="1" s="1"/>
  <c r="CG37" i="1" s="1"/>
  <c r="AP37" i="1"/>
  <c r="AM37" i="1"/>
  <c r="AK37" i="1"/>
  <c r="AJ37" i="1"/>
  <c r="AE37" i="1"/>
  <c r="Q37" i="1"/>
  <c r="P37" i="1"/>
  <c r="O37" i="1"/>
  <c r="N37" i="1"/>
  <c r="M37" i="1"/>
  <c r="L37" i="1"/>
  <c r="K37" i="1"/>
  <c r="I37" i="1"/>
  <c r="AC37" i="1" s="1"/>
  <c r="H37" i="1"/>
  <c r="G37" i="1"/>
  <c r="BY36" i="1"/>
  <c r="BT36" i="1"/>
  <c r="BS36" i="1"/>
  <c r="BJ36" i="1"/>
  <c r="BF36" i="1"/>
  <c r="BG36" i="1" s="1"/>
  <c r="AV36" i="1"/>
  <c r="AS36" i="1"/>
  <c r="CG36" i="1" s="1"/>
  <c r="AR36" i="1"/>
  <c r="AQ36" i="1"/>
  <c r="AP36" i="1"/>
  <c r="BH36" i="1" s="1"/>
  <c r="BM36" i="1" s="1"/>
  <c r="AM36" i="1"/>
  <c r="AK36" i="1"/>
  <c r="AJ36" i="1"/>
  <c r="AG36" i="1"/>
  <c r="Q36" i="1"/>
  <c r="P36" i="1"/>
  <c r="O36" i="1"/>
  <c r="N36" i="1"/>
  <c r="M36" i="1"/>
  <c r="L36" i="1"/>
  <c r="K36" i="1"/>
  <c r="H36" i="1"/>
  <c r="G36" i="1"/>
  <c r="I36" i="1" s="1"/>
  <c r="AC36" i="1" s="1"/>
  <c r="BY35" i="1"/>
  <c r="BS35" i="1"/>
  <c r="AS35" i="1"/>
  <c r="CG35" i="1" s="1"/>
  <c r="AQ35" i="1"/>
  <c r="AP35" i="1"/>
  <c r="AM35" i="1"/>
  <c r="AK35" i="1"/>
  <c r="AJ35" i="1"/>
  <c r="Q35" i="1"/>
  <c r="P35" i="1"/>
  <c r="O35" i="1"/>
  <c r="N35" i="1"/>
  <c r="M35" i="1"/>
  <c r="L35" i="1"/>
  <c r="K35" i="1"/>
  <c r="H35" i="1"/>
  <c r="G35" i="1"/>
  <c r="BY34" i="1"/>
  <c r="BS34" i="1"/>
  <c r="BH34" i="1"/>
  <c r="BM34" i="1" s="1"/>
  <c r="AQ34" i="1"/>
  <c r="AS34" i="1" s="1"/>
  <c r="CG34" i="1" s="1"/>
  <c r="AP34" i="1"/>
  <c r="AM34" i="1"/>
  <c r="AK34" i="1"/>
  <c r="AJ34" i="1"/>
  <c r="Q34" i="1"/>
  <c r="P34" i="1"/>
  <c r="O34" i="1"/>
  <c r="N34" i="1"/>
  <c r="M34" i="1"/>
  <c r="L34" i="1"/>
  <c r="K34" i="1"/>
  <c r="I34" i="1"/>
  <c r="H34" i="1"/>
  <c r="G34" i="1"/>
  <c r="CH33" i="1"/>
  <c r="CG33" i="1"/>
  <c r="BY33" i="1"/>
  <c r="BJ33" i="1" s="1"/>
  <c r="BS33" i="1"/>
  <c r="BL33" i="1"/>
  <c r="BI33" i="1"/>
  <c r="BN33" i="1" s="1"/>
  <c r="BH33" i="1"/>
  <c r="BM33" i="1" s="1"/>
  <c r="BF33" i="1"/>
  <c r="BG33" i="1" s="1"/>
  <c r="AU33" i="1"/>
  <c r="AR33" i="1"/>
  <c r="AY33" i="1" s="1"/>
  <c r="AQ33" i="1"/>
  <c r="AS33" i="1" s="1"/>
  <c r="AP33" i="1"/>
  <c r="AM33" i="1"/>
  <c r="AK33" i="1"/>
  <c r="AJ33" i="1"/>
  <c r="AE33" i="1"/>
  <c r="Q33" i="1"/>
  <c r="P33" i="1"/>
  <c r="O33" i="1"/>
  <c r="N33" i="1"/>
  <c r="M33" i="1"/>
  <c r="L33" i="1"/>
  <c r="K33" i="1"/>
  <c r="I33" i="1"/>
  <c r="AC33" i="1" s="1"/>
  <c r="H33" i="1"/>
  <c r="G33" i="1"/>
  <c r="BS32" i="1"/>
  <c r="AS32" i="1"/>
  <c r="CG32" i="1" s="1"/>
  <c r="AQ32" i="1"/>
  <c r="AP32" i="1"/>
  <c r="AM32" i="1"/>
  <c r="AK32" i="1"/>
  <c r="AJ32" i="1"/>
  <c r="Q32" i="1"/>
  <c r="P32" i="1"/>
  <c r="O32" i="1"/>
  <c r="N32" i="1"/>
  <c r="M32" i="1"/>
  <c r="L32" i="1"/>
  <c r="K32" i="1"/>
  <c r="H32" i="1"/>
  <c r="G32" i="1"/>
  <c r="I32" i="1" s="1"/>
  <c r="BS31" i="1"/>
  <c r="AS31" i="1"/>
  <c r="CG31" i="1" s="1"/>
  <c r="AQ31" i="1"/>
  <c r="AP31" i="1"/>
  <c r="AM31" i="1"/>
  <c r="AK31" i="1"/>
  <c r="AJ31" i="1"/>
  <c r="Q31" i="1"/>
  <c r="P31" i="1"/>
  <c r="O31" i="1"/>
  <c r="N31" i="1"/>
  <c r="M31" i="1"/>
  <c r="L31" i="1"/>
  <c r="K31" i="1"/>
  <c r="H31" i="1"/>
  <c r="G31" i="1"/>
  <c r="I31" i="1" s="1"/>
  <c r="BS30" i="1"/>
  <c r="BH30" i="1"/>
  <c r="BM30" i="1" s="1"/>
  <c r="AQ30" i="1"/>
  <c r="AS30" i="1" s="1"/>
  <c r="CG30" i="1" s="1"/>
  <c r="AP30" i="1"/>
  <c r="AM30" i="1"/>
  <c r="AK30" i="1"/>
  <c r="AJ30" i="1"/>
  <c r="Q30" i="1"/>
  <c r="P30" i="1"/>
  <c r="O30" i="1"/>
  <c r="N30" i="1"/>
  <c r="M30" i="1"/>
  <c r="L30" i="1"/>
  <c r="K30" i="1"/>
  <c r="I30" i="1"/>
  <c r="H30" i="1"/>
  <c r="G30" i="1"/>
  <c r="CH29" i="1"/>
  <c r="CG29" i="1"/>
  <c r="BS29" i="1"/>
  <c r="BL29" i="1"/>
  <c r="BI29" i="1"/>
  <c r="BN29" i="1" s="1"/>
  <c r="BH29" i="1"/>
  <c r="BM29" i="1" s="1"/>
  <c r="BF29" i="1"/>
  <c r="BG29" i="1" s="1"/>
  <c r="AV29" i="1"/>
  <c r="AU29" i="1"/>
  <c r="AR29" i="1"/>
  <c r="AY29" i="1" s="1"/>
  <c r="AQ29" i="1"/>
  <c r="AS29" i="1" s="1"/>
  <c r="AP29" i="1"/>
  <c r="AM29" i="1"/>
  <c r="AK29" i="1"/>
  <c r="AJ29" i="1"/>
  <c r="Q29" i="1"/>
  <c r="P29" i="1"/>
  <c r="O29" i="1"/>
  <c r="N29" i="1"/>
  <c r="M29" i="1"/>
  <c r="L29" i="1"/>
  <c r="K29" i="1"/>
  <c r="I29" i="1"/>
  <c r="H29" i="1"/>
  <c r="G29" i="1"/>
  <c r="BT28" i="1"/>
  <c r="BS28" i="1"/>
  <c r="BI28" i="1"/>
  <c r="BN28" i="1" s="1"/>
  <c r="BF28" i="1"/>
  <c r="BG28" i="1" s="1"/>
  <c r="AS28" i="1"/>
  <c r="AR28" i="1"/>
  <c r="AQ28" i="1"/>
  <c r="AP28" i="1"/>
  <c r="BH28" i="1" s="1"/>
  <c r="BM28" i="1" s="1"/>
  <c r="AM28" i="1"/>
  <c r="AK28" i="1"/>
  <c r="AJ28" i="1"/>
  <c r="AG28" i="1"/>
  <c r="AO28" i="1" s="1"/>
  <c r="AE28" i="1"/>
  <c r="Q28" i="1"/>
  <c r="P28" i="1"/>
  <c r="O28" i="1"/>
  <c r="N28" i="1"/>
  <c r="M28" i="1"/>
  <c r="L28" i="1"/>
  <c r="K28" i="1"/>
  <c r="H28" i="1"/>
  <c r="G28" i="1"/>
  <c r="I28" i="1" s="1"/>
  <c r="AC28" i="1" s="1"/>
  <c r="BS27" i="1"/>
  <c r="AS27" i="1"/>
  <c r="CG27" i="1" s="1"/>
  <c r="AQ27" i="1"/>
  <c r="AP27" i="1"/>
  <c r="AM27" i="1"/>
  <c r="AK27" i="1"/>
  <c r="AJ27" i="1"/>
  <c r="Q27" i="1"/>
  <c r="P27" i="1"/>
  <c r="O27" i="1"/>
  <c r="N27" i="1"/>
  <c r="M27" i="1"/>
  <c r="L27" i="1"/>
  <c r="K27" i="1"/>
  <c r="H27" i="1"/>
  <c r="G27" i="1"/>
  <c r="I27" i="1" s="1"/>
  <c r="BS26" i="1"/>
  <c r="BH26" i="1"/>
  <c r="BM26" i="1" s="1"/>
  <c r="AQ26" i="1"/>
  <c r="AS26" i="1" s="1"/>
  <c r="CG26" i="1" s="1"/>
  <c r="AP26" i="1"/>
  <c r="AM26" i="1"/>
  <c r="AK26" i="1"/>
  <c r="AJ26" i="1"/>
  <c r="Q26" i="1"/>
  <c r="P26" i="1"/>
  <c r="O26" i="1"/>
  <c r="N26" i="1"/>
  <c r="M26" i="1"/>
  <c r="L26" i="1"/>
  <c r="K26" i="1"/>
  <c r="H26" i="1"/>
  <c r="I26" i="1" s="1"/>
  <c r="G26" i="1"/>
  <c r="BS25" i="1"/>
  <c r="BM25" i="1"/>
  <c r="BL25" i="1"/>
  <c r="BH25" i="1"/>
  <c r="AV25" i="1"/>
  <c r="AU25" i="1"/>
  <c r="AR25" i="1"/>
  <c r="AY25" i="1" s="1"/>
  <c r="AQ25" i="1"/>
  <c r="AS25" i="1" s="1"/>
  <c r="CG25" i="1" s="1"/>
  <c r="AP25" i="1"/>
  <c r="BF25" i="1" s="1"/>
  <c r="BG25" i="1" s="1"/>
  <c r="AM25" i="1"/>
  <c r="AK25" i="1"/>
  <c r="AJ25" i="1"/>
  <c r="Q25" i="1"/>
  <c r="P25" i="1"/>
  <c r="O25" i="1"/>
  <c r="N25" i="1"/>
  <c r="M25" i="1"/>
  <c r="L25" i="1"/>
  <c r="K25" i="1"/>
  <c r="I25" i="1"/>
  <c r="H25" i="1"/>
  <c r="G25" i="1"/>
  <c r="BT24" i="1"/>
  <c r="BS24" i="1"/>
  <c r="BM24" i="1"/>
  <c r="BI24" i="1"/>
  <c r="BN24" i="1" s="1"/>
  <c r="BF24" i="1"/>
  <c r="BG24" i="1" s="1"/>
  <c r="AS24" i="1"/>
  <c r="AR24" i="1"/>
  <c r="AW24" i="1" s="1"/>
  <c r="AQ24" i="1"/>
  <c r="BH24" i="1" s="1"/>
  <c r="AP24" i="1"/>
  <c r="AM24" i="1"/>
  <c r="AK24" i="1"/>
  <c r="AJ24" i="1"/>
  <c r="AG24" i="1"/>
  <c r="Q24" i="1"/>
  <c r="P24" i="1"/>
  <c r="O24" i="1"/>
  <c r="N24" i="1"/>
  <c r="M24" i="1"/>
  <c r="L24" i="1"/>
  <c r="K24" i="1"/>
  <c r="H24" i="1"/>
  <c r="G24" i="1"/>
  <c r="I24" i="1" s="1"/>
  <c r="AC24" i="1" s="1"/>
  <c r="BS23" i="1"/>
  <c r="AS23" i="1"/>
  <c r="CG23" i="1" s="1"/>
  <c r="AQ23" i="1"/>
  <c r="AP23" i="1"/>
  <c r="AM23" i="1"/>
  <c r="AK23" i="1"/>
  <c r="AJ23" i="1"/>
  <c r="Q23" i="1"/>
  <c r="P23" i="1"/>
  <c r="O23" i="1"/>
  <c r="N23" i="1"/>
  <c r="M23" i="1"/>
  <c r="L23" i="1"/>
  <c r="K23" i="1"/>
  <c r="H23" i="1"/>
  <c r="G23" i="1"/>
  <c r="I23" i="1" s="1"/>
  <c r="BS22" i="1"/>
  <c r="AQ22" i="1"/>
  <c r="AS22" i="1" s="1"/>
  <c r="CG22" i="1" s="1"/>
  <c r="AP22" i="1"/>
  <c r="AM22" i="1"/>
  <c r="AK22" i="1"/>
  <c r="AJ22" i="1"/>
  <c r="Q22" i="1"/>
  <c r="P22" i="1"/>
  <c r="O22" i="1"/>
  <c r="N22" i="1"/>
  <c r="M22" i="1"/>
  <c r="L22" i="1"/>
  <c r="K22" i="1"/>
  <c r="H22" i="1"/>
  <c r="I22" i="1" s="1"/>
  <c r="G22" i="1"/>
  <c r="BS21" i="1"/>
  <c r="BM21" i="1"/>
  <c r="BL21" i="1"/>
  <c r="BH21" i="1"/>
  <c r="AV21" i="1"/>
  <c r="AU21" i="1"/>
  <c r="AR21" i="1"/>
  <c r="AQ21" i="1"/>
  <c r="AS21" i="1" s="1"/>
  <c r="CG21" i="1" s="1"/>
  <c r="AP21" i="1"/>
  <c r="BF21" i="1" s="1"/>
  <c r="BG21" i="1" s="1"/>
  <c r="AM21" i="1"/>
  <c r="AK21" i="1"/>
  <c r="AJ21" i="1"/>
  <c r="Q21" i="1"/>
  <c r="P21" i="1"/>
  <c r="O21" i="1"/>
  <c r="N21" i="1"/>
  <c r="M21" i="1"/>
  <c r="L21" i="1"/>
  <c r="K21" i="1"/>
  <c r="I21" i="1"/>
  <c r="H21" i="1"/>
  <c r="G21" i="1"/>
  <c r="CH20" i="1"/>
  <c r="BT20" i="1"/>
  <c r="BS20" i="1"/>
  <c r="BM20" i="1"/>
  <c r="BF20" i="1"/>
  <c r="BG20" i="1" s="1"/>
  <c r="AS20" i="1"/>
  <c r="AR20" i="1"/>
  <c r="AQ20" i="1"/>
  <c r="BH20" i="1" s="1"/>
  <c r="AP20" i="1"/>
  <c r="AM20" i="1"/>
  <c r="AK20" i="1"/>
  <c r="AJ20" i="1"/>
  <c r="AG20" i="1"/>
  <c r="Q20" i="1"/>
  <c r="P20" i="1"/>
  <c r="O20" i="1"/>
  <c r="N20" i="1"/>
  <c r="M20" i="1"/>
  <c r="L20" i="1"/>
  <c r="K20" i="1"/>
  <c r="H20" i="1"/>
  <c r="G20" i="1"/>
  <c r="I20" i="1" s="1"/>
  <c r="AC20" i="1" s="1"/>
  <c r="BS19" i="1"/>
  <c r="BF19" i="1"/>
  <c r="BI19" i="1" s="1"/>
  <c r="BN19" i="1" s="1"/>
  <c r="BA19" i="1"/>
  <c r="AS19" i="1"/>
  <c r="AQ19" i="1"/>
  <c r="BH19" i="1" s="1"/>
  <c r="BM19" i="1" s="1"/>
  <c r="AP19" i="1"/>
  <c r="AR19" i="1" s="1"/>
  <c r="AM19" i="1"/>
  <c r="AK19" i="1"/>
  <c r="AJ19" i="1"/>
  <c r="Q19" i="1"/>
  <c r="P19" i="1"/>
  <c r="O19" i="1"/>
  <c r="N19" i="1"/>
  <c r="M19" i="1"/>
  <c r="L19" i="1"/>
  <c r="K19" i="1"/>
  <c r="H19" i="1"/>
  <c r="G19" i="1"/>
  <c r="I19" i="1" s="1"/>
  <c r="BS18" i="1"/>
  <c r="AQ18" i="1"/>
  <c r="AS18" i="1" s="1"/>
  <c r="CG18" i="1" s="1"/>
  <c r="AP18" i="1"/>
  <c r="AM18" i="1"/>
  <c r="AK18" i="1"/>
  <c r="AJ18" i="1"/>
  <c r="AG18" i="1"/>
  <c r="Q18" i="1"/>
  <c r="P18" i="1"/>
  <c r="O18" i="1"/>
  <c r="N18" i="1"/>
  <c r="M18" i="1"/>
  <c r="L18" i="1"/>
  <c r="K18" i="1"/>
  <c r="H18" i="1"/>
  <c r="G18" i="1"/>
  <c r="I18" i="1" s="1"/>
  <c r="BS17" i="1"/>
  <c r="AQ17" i="1"/>
  <c r="AS17" i="1" s="1"/>
  <c r="CG17" i="1" s="1"/>
  <c r="AP17" i="1"/>
  <c r="AM17" i="1"/>
  <c r="AK17" i="1"/>
  <c r="AJ17" i="1"/>
  <c r="Q17" i="1"/>
  <c r="P17" i="1"/>
  <c r="O17" i="1"/>
  <c r="N17" i="1"/>
  <c r="M17" i="1"/>
  <c r="L17" i="1"/>
  <c r="K17" i="1"/>
  <c r="H17" i="1"/>
  <c r="I17" i="1" s="1"/>
  <c r="G17" i="1"/>
  <c r="CH16" i="1"/>
  <c r="BS16" i="1"/>
  <c r="BM16" i="1"/>
  <c r="BL16" i="1"/>
  <c r="BI16" i="1"/>
  <c r="BN16" i="1" s="1"/>
  <c r="BH16" i="1"/>
  <c r="BF16" i="1"/>
  <c r="BG16" i="1" s="1"/>
  <c r="AV16" i="1"/>
  <c r="AU16" i="1"/>
  <c r="AR16" i="1"/>
  <c r="AQ16" i="1"/>
  <c r="AS16" i="1" s="1"/>
  <c r="CG16" i="1" s="1"/>
  <c r="AP16" i="1"/>
  <c r="AM16" i="1"/>
  <c r="AK16" i="1"/>
  <c r="AJ16" i="1"/>
  <c r="Q16" i="1"/>
  <c r="P16" i="1"/>
  <c r="O16" i="1"/>
  <c r="N16" i="1"/>
  <c r="M16" i="1"/>
  <c r="L16" i="1"/>
  <c r="K16" i="1"/>
  <c r="I16" i="1"/>
  <c r="AG16" i="1" s="1"/>
  <c r="H16" i="1"/>
  <c r="G16" i="1"/>
  <c r="BS15" i="1"/>
  <c r="AS15" i="1"/>
  <c r="AQ15" i="1"/>
  <c r="AP15" i="1"/>
  <c r="AM15" i="1"/>
  <c r="AK15" i="1"/>
  <c r="AJ15" i="1"/>
  <c r="AJ48" i="1" s="1"/>
  <c r="Q15" i="1"/>
  <c r="P15" i="1"/>
  <c r="P48" i="1" s="1"/>
  <c r="O15" i="1"/>
  <c r="O48" i="1" s="1"/>
  <c r="N15" i="1"/>
  <c r="M15" i="1"/>
  <c r="L15" i="1"/>
  <c r="L48" i="1" s="1"/>
  <c r="K15" i="1"/>
  <c r="K48" i="1" s="1"/>
  <c r="H15" i="1"/>
  <c r="H48" i="1" s="1"/>
  <c r="G15" i="1"/>
  <c r="I15" i="1" s="1"/>
  <c r="AL13" i="1"/>
  <c r="AU5" i="1"/>
  <c r="D3" i="1"/>
  <c r="AC15" i="1" l="1"/>
  <c r="AG15" i="1"/>
  <c r="AE15" i="1"/>
  <c r="AG17" i="1"/>
  <c r="AE17" i="1"/>
  <c r="AC17" i="1"/>
  <c r="AP48" i="1"/>
  <c r="BH15" i="1"/>
  <c r="BF15" i="1"/>
  <c r="AE16" i="1"/>
  <c r="BO16" i="1"/>
  <c r="AE19" i="1"/>
  <c r="AC19" i="1"/>
  <c r="AG19" i="1"/>
  <c r="AG25" i="1"/>
  <c r="AE25" i="1"/>
  <c r="AC25" i="1"/>
  <c r="AG26" i="1"/>
  <c r="AE26" i="1"/>
  <c r="AC26" i="1"/>
  <c r="CG28" i="1"/>
  <c r="CI28" i="1"/>
  <c r="AV28" i="1"/>
  <c r="AC32" i="1"/>
  <c r="AG32" i="1"/>
  <c r="AE32" i="1"/>
  <c r="BH32" i="1"/>
  <c r="BM32" i="1" s="1"/>
  <c r="AR32" i="1"/>
  <c r="BF32" i="1"/>
  <c r="BT33" i="1"/>
  <c r="M48" i="1"/>
  <c r="Q48" i="1"/>
  <c r="AY16" i="1"/>
  <c r="BK16" i="1"/>
  <c r="BY16" i="1"/>
  <c r="BJ16" i="1" s="1"/>
  <c r="CG20" i="1"/>
  <c r="AW20" i="1"/>
  <c r="CI20" i="1"/>
  <c r="AV20" i="1"/>
  <c r="AE23" i="1"/>
  <c r="AC23" i="1"/>
  <c r="AG23" i="1"/>
  <c r="CG24" i="1"/>
  <c r="CI24" i="1"/>
  <c r="AV24" i="1"/>
  <c r="CH24" i="1"/>
  <c r="BA28" i="1"/>
  <c r="AG39" i="1"/>
  <c r="AE39" i="1"/>
  <c r="AC39" i="1"/>
  <c r="BF39" i="1"/>
  <c r="AR39" i="1"/>
  <c r="BH39" i="1"/>
  <c r="BM39" i="1" s="1"/>
  <c r="N48" i="1"/>
  <c r="AM48" i="1"/>
  <c r="AR15" i="1"/>
  <c r="BB16" i="1"/>
  <c r="AX16" i="1"/>
  <c r="AT16" i="1"/>
  <c r="CI16" i="1"/>
  <c r="BA16" i="1"/>
  <c r="AW16" i="1"/>
  <c r="AZ16" i="1"/>
  <c r="BD16" i="1" s="1"/>
  <c r="BF17" i="1"/>
  <c r="AR17" i="1"/>
  <c r="BH17" i="1"/>
  <c r="BM17" i="1" s="1"/>
  <c r="CG19" i="1"/>
  <c r="CI19" i="1"/>
  <c r="BB19" i="1"/>
  <c r="AT19" i="1"/>
  <c r="BA20" i="1"/>
  <c r="BY21" i="1"/>
  <c r="BJ21" i="1" s="1"/>
  <c r="BA24" i="1"/>
  <c r="AG29" i="1"/>
  <c r="AE29" i="1"/>
  <c r="AC29" i="1"/>
  <c r="AG31" i="1"/>
  <c r="AE31" i="1"/>
  <c r="AC31" i="1"/>
  <c r="BF31" i="1"/>
  <c r="AR31" i="1"/>
  <c r="BH31" i="1"/>
  <c r="BM31" i="1" s="1"/>
  <c r="AS48" i="1"/>
  <c r="CG48" i="1" s="1"/>
  <c r="CG15" i="1"/>
  <c r="AC16" i="1"/>
  <c r="AE18" i="1"/>
  <c r="AC18" i="1"/>
  <c r="AG21" i="1"/>
  <c r="AE21" i="1"/>
  <c r="AC21" i="1"/>
  <c r="AG22" i="1"/>
  <c r="AE22" i="1"/>
  <c r="AC22" i="1"/>
  <c r="BY25" i="1"/>
  <c r="BJ25" i="1" s="1"/>
  <c r="AE27" i="1"/>
  <c r="AC27" i="1"/>
  <c r="AG27" i="1"/>
  <c r="AW28" i="1"/>
  <c r="CH28" i="1"/>
  <c r="BF18" i="1"/>
  <c r="AR18" i="1"/>
  <c r="BO29" i="1"/>
  <c r="CH19" i="1"/>
  <c r="AZ19" i="1"/>
  <c r="AV19" i="1"/>
  <c r="AY19" i="1"/>
  <c r="AU19" i="1"/>
  <c r="AW19" i="1"/>
  <c r="BL20" i="1"/>
  <c r="AY21" i="1"/>
  <c r="BF22" i="1"/>
  <c r="AR22" i="1"/>
  <c r="AR23" i="1"/>
  <c r="BH23" i="1"/>
  <c r="BM23" i="1" s="1"/>
  <c r="BF23" i="1"/>
  <c r="BL24" i="1"/>
  <c r="BF26" i="1"/>
  <c r="AR26" i="1"/>
  <c r="AR27" i="1"/>
  <c r="BH27" i="1"/>
  <c r="BM27" i="1" s="1"/>
  <c r="BF27" i="1"/>
  <c r="BL28" i="1"/>
  <c r="BY29" i="1"/>
  <c r="BJ29" i="1" s="1"/>
  <c r="BK29" i="1" s="1"/>
  <c r="AR35" i="1"/>
  <c r="BH35" i="1"/>
  <c r="BM35" i="1" s="1"/>
  <c r="BF35" i="1"/>
  <c r="AY37" i="1"/>
  <c r="AU37" i="1"/>
  <c r="CF37" i="1"/>
  <c r="BB37" i="1"/>
  <c r="AX37" i="1"/>
  <c r="AT37" i="1"/>
  <c r="CI37" i="1"/>
  <c r="BA37" i="1"/>
  <c r="AW37" i="1"/>
  <c r="CH37" i="1"/>
  <c r="AZ37" i="1"/>
  <c r="AV37" i="1"/>
  <c r="AE40" i="1"/>
  <c r="AC40" i="1"/>
  <c r="AG40" i="1"/>
  <c r="AK48" i="1"/>
  <c r="AQ48" i="1"/>
  <c r="BS48" i="1"/>
  <c r="BH18" i="1"/>
  <c r="BM18" i="1" s="1"/>
  <c r="AX19" i="1"/>
  <c r="BG19" i="1"/>
  <c r="AE20" i="1"/>
  <c r="AO20" i="1" s="1"/>
  <c r="AY20" i="1"/>
  <c r="AU20" i="1"/>
  <c r="CF20" i="1"/>
  <c r="BB20" i="1"/>
  <c r="AX20" i="1"/>
  <c r="AT20" i="1"/>
  <c r="AZ20" i="1"/>
  <c r="BI20" i="1"/>
  <c r="BN20" i="1" s="1"/>
  <c r="BB21" i="1"/>
  <c r="AX21" i="1"/>
  <c r="AT21" i="1"/>
  <c r="CI21" i="1"/>
  <c r="BA21" i="1"/>
  <c r="AW21" i="1"/>
  <c r="AZ21" i="1"/>
  <c r="BI21" i="1"/>
  <c r="BN21" i="1" s="1"/>
  <c r="BO21" i="1" s="1"/>
  <c r="CH21" i="1"/>
  <c r="BH22" i="1"/>
  <c r="BM22" i="1" s="1"/>
  <c r="AE24" i="1"/>
  <c r="AO24" i="1" s="1"/>
  <c r="AY24" i="1"/>
  <c r="AU24" i="1"/>
  <c r="CF24" i="1"/>
  <c r="BB24" i="1"/>
  <c r="AX24" i="1"/>
  <c r="AT24" i="1"/>
  <c r="AZ24" i="1"/>
  <c r="BB25" i="1"/>
  <c r="AX25" i="1"/>
  <c r="AT25" i="1"/>
  <c r="CI25" i="1"/>
  <c r="BA25" i="1"/>
  <c r="AW25" i="1"/>
  <c r="BD25" i="1" s="1"/>
  <c r="AZ25" i="1"/>
  <c r="BI25" i="1"/>
  <c r="BN25" i="1" s="1"/>
  <c r="BO25" i="1" s="1"/>
  <c r="CH25" i="1"/>
  <c r="AY28" i="1"/>
  <c r="AU28" i="1"/>
  <c r="CF28" i="1"/>
  <c r="BB28" i="1"/>
  <c r="AX28" i="1"/>
  <c r="AT28" i="1"/>
  <c r="AZ28" i="1"/>
  <c r="BB29" i="1"/>
  <c r="AX29" i="1"/>
  <c r="AT29" i="1"/>
  <c r="CI29" i="1"/>
  <c r="BA29" i="1"/>
  <c r="AW29" i="1"/>
  <c r="BD29" i="1" s="1"/>
  <c r="AZ29" i="1"/>
  <c r="AG30" i="1"/>
  <c r="AE30" i="1"/>
  <c r="AC30" i="1"/>
  <c r="BF30" i="1"/>
  <c r="AR30" i="1"/>
  <c r="BL37" i="1"/>
  <c r="AY46" i="1"/>
  <c r="AU46" i="1"/>
  <c r="CG46" i="1"/>
  <c r="AG33" i="1"/>
  <c r="AO33" i="1" s="1"/>
  <c r="AV33" i="1"/>
  <c r="BO33" i="1"/>
  <c r="AW36" i="1"/>
  <c r="BL36" i="1"/>
  <c r="BF43" i="1"/>
  <c r="AR43" i="1"/>
  <c r="BH43" i="1"/>
  <c r="BM43" i="1" s="1"/>
  <c r="AY45" i="1"/>
  <c r="AU45" i="1"/>
  <c r="BB45" i="1"/>
  <c r="AX45" i="1"/>
  <c r="AT45" i="1"/>
  <c r="CI45" i="1"/>
  <c r="BA45" i="1"/>
  <c r="AW45" i="1"/>
  <c r="AZ45" i="1"/>
  <c r="AV45" i="1"/>
  <c r="CH45" i="1"/>
  <c r="BK33" i="1"/>
  <c r="I35" i="1"/>
  <c r="AE36" i="1"/>
  <c r="AO36" i="1" s="1"/>
  <c r="CH36" i="1"/>
  <c r="AY36" i="1"/>
  <c r="AU36" i="1"/>
  <c r="CF36" i="1"/>
  <c r="BB36" i="1"/>
  <c r="AX36" i="1"/>
  <c r="AT36" i="1"/>
  <c r="AZ36" i="1"/>
  <c r="BI36" i="1"/>
  <c r="BN36" i="1" s="1"/>
  <c r="AG38" i="1"/>
  <c r="AE38" i="1"/>
  <c r="AC38" i="1"/>
  <c r="BG38" i="1"/>
  <c r="BI38" i="1"/>
  <c r="BN38" i="1" s="1"/>
  <c r="AX40" i="1"/>
  <c r="CF33" i="1"/>
  <c r="BB33" i="1"/>
  <c r="AX33" i="1"/>
  <c r="AT33" i="1"/>
  <c r="CI33" i="1"/>
  <c r="BA33" i="1"/>
  <c r="AW33" i="1"/>
  <c r="AZ33" i="1"/>
  <c r="AG34" i="1"/>
  <c r="AE34" i="1"/>
  <c r="AC34" i="1"/>
  <c r="BF34" i="1"/>
  <c r="AR34" i="1"/>
  <c r="BJ34" i="1"/>
  <c r="BA36" i="1"/>
  <c r="CI36" i="1"/>
  <c r="AG37" i="1"/>
  <c r="AO37" i="1" s="1"/>
  <c r="AR38" i="1"/>
  <c r="AT40" i="1"/>
  <c r="AZ40" i="1"/>
  <c r="BF40" i="1"/>
  <c r="CI40" i="1"/>
  <c r="AG42" i="1"/>
  <c r="AE42" i="1"/>
  <c r="AC42" i="1"/>
  <c r="BG42" i="1"/>
  <c r="BI42" i="1"/>
  <c r="BN42" i="1" s="1"/>
  <c r="AG43" i="1"/>
  <c r="AE43" i="1"/>
  <c r="AC43" i="1"/>
  <c r="CH44" i="1"/>
  <c r="AZ44" i="1"/>
  <c r="AV44" i="1"/>
  <c r="AY44" i="1"/>
  <c r="AU44" i="1"/>
  <c r="BB44" i="1"/>
  <c r="AX44" i="1"/>
  <c r="AT44" i="1"/>
  <c r="BA44" i="1"/>
  <c r="AC45" i="1"/>
  <c r="AG45" i="1"/>
  <c r="BL45" i="1"/>
  <c r="AV40" i="1"/>
  <c r="AO41" i="1"/>
  <c r="AY41" i="1"/>
  <c r="AU41" i="1"/>
  <c r="CF41" i="1"/>
  <c r="BB41" i="1"/>
  <c r="AX41" i="1"/>
  <c r="AT41" i="1"/>
  <c r="CI41" i="1"/>
  <c r="BA41" i="1"/>
  <c r="AW41" i="1"/>
  <c r="CH41" i="1"/>
  <c r="BI44" i="1"/>
  <c r="BN44" i="1" s="1"/>
  <c r="BG44" i="1"/>
  <c r="AE45" i="1"/>
  <c r="BF47" i="1"/>
  <c r="AR47" i="1"/>
  <c r="BH47" i="1"/>
  <c r="BM47" i="1" s="1"/>
  <c r="AY40" i="1"/>
  <c r="AU40" i="1"/>
  <c r="AW40" i="1"/>
  <c r="BB40" i="1"/>
  <c r="BL41" i="1"/>
  <c r="AE44" i="1"/>
  <c r="AC44" i="1"/>
  <c r="AG46" i="1"/>
  <c r="AE46" i="1"/>
  <c r="AC46" i="1"/>
  <c r="BG46" i="1"/>
  <c r="BI46" i="1"/>
  <c r="BN46" i="1" s="1"/>
  <c r="AG47" i="1"/>
  <c r="AE47" i="1"/>
  <c r="AC47" i="1"/>
  <c r="AV42" i="1"/>
  <c r="BD42" i="1" s="1"/>
  <c r="AZ42" i="1"/>
  <c r="CH42" i="1"/>
  <c r="AV46" i="1"/>
  <c r="AZ46" i="1"/>
  <c r="CH46" i="1"/>
  <c r="AW42" i="1"/>
  <c r="BA42" i="1"/>
  <c r="CI42" i="1"/>
  <c r="BH44" i="1"/>
  <c r="BM44" i="1" s="1"/>
  <c r="AW46" i="1"/>
  <c r="BA46" i="1"/>
  <c r="CI46" i="1"/>
  <c r="AT42" i="1"/>
  <c r="AX42" i="1"/>
  <c r="BB42" i="1"/>
  <c r="AT46" i="1"/>
  <c r="AX46" i="1"/>
  <c r="BB46" i="1"/>
  <c r="AO43" i="1" l="1"/>
  <c r="BT43" i="1"/>
  <c r="BL46" i="1"/>
  <c r="CI34" i="1"/>
  <c r="BA34" i="1"/>
  <c r="AW34" i="1"/>
  <c r="CH34" i="1"/>
  <c r="AZ34" i="1"/>
  <c r="AV34" i="1"/>
  <c r="AX34" i="1"/>
  <c r="AU34" i="1"/>
  <c r="BB34" i="1"/>
  <c r="AT34" i="1"/>
  <c r="AY34" i="1"/>
  <c r="AO38" i="1"/>
  <c r="BT38" i="1"/>
  <c r="BO36" i="1"/>
  <c r="AO30" i="1"/>
  <c r="BT30" i="1"/>
  <c r="BE28" i="1"/>
  <c r="BD28" i="1"/>
  <c r="BD21" i="1"/>
  <c r="BL19" i="1"/>
  <c r="BI27" i="1"/>
  <c r="BN27" i="1" s="1"/>
  <c r="BG27" i="1"/>
  <c r="BI26" i="1"/>
  <c r="BN26" i="1" s="1"/>
  <c r="BG26" i="1"/>
  <c r="BD19" i="1"/>
  <c r="CI18" i="1"/>
  <c r="BA18" i="1"/>
  <c r="AW18" i="1"/>
  <c r="CH18" i="1"/>
  <c r="AZ18" i="1"/>
  <c r="AV18" i="1"/>
  <c r="AY18" i="1"/>
  <c r="AX18" i="1"/>
  <c r="AU18" i="1"/>
  <c r="AT18" i="1"/>
  <c r="BB18" i="1"/>
  <c r="AO21" i="1"/>
  <c r="BT21" i="1"/>
  <c r="CF21" i="1" s="1"/>
  <c r="AR48" i="1"/>
  <c r="AY15" i="1"/>
  <c r="AU15" i="1"/>
  <c r="CH15" i="1"/>
  <c r="AX15" i="1"/>
  <c r="BB15" i="1"/>
  <c r="BB48" i="1" s="1"/>
  <c r="AW15" i="1"/>
  <c r="BA15" i="1"/>
  <c r="AV15" i="1"/>
  <c r="CI15" i="1"/>
  <c r="AZ15" i="1"/>
  <c r="AT15" i="1"/>
  <c r="CI39" i="1"/>
  <c r="BA39" i="1"/>
  <c r="AW39" i="1"/>
  <c r="CH39" i="1"/>
  <c r="AZ39" i="1"/>
  <c r="AV39" i="1"/>
  <c r="AY39" i="1"/>
  <c r="AU39" i="1"/>
  <c r="AT39" i="1"/>
  <c r="BB39" i="1"/>
  <c r="AX39" i="1"/>
  <c r="BI32" i="1"/>
  <c r="BN32" i="1" s="1"/>
  <c r="BG32" i="1"/>
  <c r="AO25" i="1"/>
  <c r="BE25" i="1" s="1"/>
  <c r="BT25" i="1"/>
  <c r="CF25" i="1" s="1"/>
  <c r="BT19" i="1"/>
  <c r="CF19" i="1" s="1"/>
  <c r="AO19" i="1"/>
  <c r="BE19" i="1" s="1"/>
  <c r="BF48" i="1"/>
  <c r="BI15" i="1"/>
  <c r="BG15" i="1"/>
  <c r="AG48" i="1"/>
  <c r="CF38" i="1"/>
  <c r="BB38" i="1"/>
  <c r="AX38" i="1"/>
  <c r="AT38" i="1"/>
  <c r="CI38" i="1"/>
  <c r="BA38" i="1"/>
  <c r="AW38" i="1"/>
  <c r="CH38" i="1"/>
  <c r="AZ38" i="1"/>
  <c r="AV38" i="1"/>
  <c r="AY38" i="1"/>
  <c r="AU38" i="1"/>
  <c r="AO46" i="1"/>
  <c r="BT46" i="1"/>
  <c r="CF46" i="1" s="1"/>
  <c r="BL44" i="1"/>
  <c r="BO45" i="1"/>
  <c r="BY45" i="1"/>
  <c r="BJ45" i="1" s="1"/>
  <c r="BK45" i="1" s="1"/>
  <c r="BD44" i="1"/>
  <c r="BI34" i="1"/>
  <c r="BN34" i="1" s="1"/>
  <c r="BG34" i="1"/>
  <c r="CI43" i="1"/>
  <c r="BA43" i="1"/>
  <c r="AW43" i="1"/>
  <c r="CH43" i="1"/>
  <c r="AZ43" i="1"/>
  <c r="AV43" i="1"/>
  <c r="AY43" i="1"/>
  <c r="AU43" i="1"/>
  <c r="AX43" i="1"/>
  <c r="CF43" i="1"/>
  <c r="AT43" i="1"/>
  <c r="BB43" i="1"/>
  <c r="BO37" i="1"/>
  <c r="BY37" i="1"/>
  <c r="BJ37" i="1" s="1"/>
  <c r="BK37" i="1" s="1"/>
  <c r="BE24" i="1"/>
  <c r="BD24" i="1"/>
  <c r="BD20" i="1"/>
  <c r="BE20" i="1" s="1"/>
  <c r="BI35" i="1"/>
  <c r="BN35" i="1" s="1"/>
  <c r="BJ35" i="1"/>
  <c r="BG35" i="1"/>
  <c r="CH23" i="1"/>
  <c r="AZ23" i="1"/>
  <c r="AV23" i="1"/>
  <c r="AY23" i="1"/>
  <c r="AU23" i="1"/>
  <c r="AX23" i="1"/>
  <c r="AW23" i="1"/>
  <c r="CI23" i="1"/>
  <c r="BB23" i="1"/>
  <c r="AT23" i="1"/>
  <c r="BA23" i="1"/>
  <c r="BI18" i="1"/>
  <c r="BN18" i="1" s="1"/>
  <c r="BG18" i="1"/>
  <c r="BT27" i="1"/>
  <c r="AO27" i="1"/>
  <c r="AO22" i="1"/>
  <c r="BT22" i="1"/>
  <c r="AO16" i="1"/>
  <c r="BE16" i="1" s="1"/>
  <c r="BT16" i="1"/>
  <c r="CF16" i="1" s="1"/>
  <c r="CI31" i="1"/>
  <c r="BA31" i="1"/>
  <c r="AW31" i="1"/>
  <c r="CH31" i="1"/>
  <c r="AZ31" i="1"/>
  <c r="AV31" i="1"/>
  <c r="AY31" i="1"/>
  <c r="AU31" i="1"/>
  <c r="AT31" i="1"/>
  <c r="BB31" i="1"/>
  <c r="AX31" i="1"/>
  <c r="BI39" i="1"/>
  <c r="BN39" i="1" s="1"/>
  <c r="BG39" i="1"/>
  <c r="AY32" i="1"/>
  <c r="AU32" i="1"/>
  <c r="CH32" i="1"/>
  <c r="AX32" i="1"/>
  <c r="CF32" i="1"/>
  <c r="BB32" i="1"/>
  <c r="AW32" i="1"/>
  <c r="BA32" i="1"/>
  <c r="AV32" i="1"/>
  <c r="AT32" i="1"/>
  <c r="CI32" i="1"/>
  <c r="AZ32" i="1"/>
  <c r="AO32" i="1"/>
  <c r="BT32" i="1"/>
  <c r="AO26" i="1"/>
  <c r="BT26" i="1"/>
  <c r="BH48" i="1"/>
  <c r="BM15" i="1"/>
  <c r="BM48" i="1" s="1"/>
  <c r="BT15" i="1"/>
  <c r="CF15" i="1" s="1"/>
  <c r="AO15" i="1"/>
  <c r="AO34" i="1"/>
  <c r="BT34" i="1"/>
  <c r="CF34" i="1" s="1"/>
  <c r="BD36" i="1"/>
  <c r="BE36" i="1" s="1"/>
  <c r="AE35" i="1"/>
  <c r="AC35" i="1"/>
  <c r="AG35" i="1"/>
  <c r="BE45" i="1"/>
  <c r="BD45" i="1"/>
  <c r="BI43" i="1"/>
  <c r="BN43" i="1" s="1"/>
  <c r="BG43" i="1"/>
  <c r="BD46" i="1"/>
  <c r="BE46" i="1" s="1"/>
  <c r="CF30" i="1"/>
  <c r="CI30" i="1"/>
  <c r="BA30" i="1"/>
  <c r="AW30" i="1"/>
  <c r="CH30" i="1"/>
  <c r="AZ30" i="1"/>
  <c r="AV30" i="1"/>
  <c r="AX30" i="1"/>
  <c r="AU30" i="1"/>
  <c r="BB30" i="1"/>
  <c r="AT30" i="1"/>
  <c r="AY30" i="1"/>
  <c r="CH27" i="1"/>
  <c r="AZ27" i="1"/>
  <c r="AV27" i="1"/>
  <c r="AY27" i="1"/>
  <c r="AU27" i="1"/>
  <c r="AX27" i="1"/>
  <c r="AW27" i="1"/>
  <c r="CI27" i="1"/>
  <c r="BB27" i="1"/>
  <c r="AT27" i="1"/>
  <c r="BA27" i="1"/>
  <c r="CF27" i="1"/>
  <c r="BO24" i="1"/>
  <c r="BY24" i="1"/>
  <c r="BJ24" i="1" s="1"/>
  <c r="BK24" i="1" s="1"/>
  <c r="CI22" i="1"/>
  <c r="BA22" i="1"/>
  <c r="AW22" i="1"/>
  <c r="CH22" i="1"/>
  <c r="AZ22" i="1"/>
  <c r="AV22" i="1"/>
  <c r="AY22" i="1"/>
  <c r="CF22" i="1"/>
  <c r="AX22" i="1"/>
  <c r="AU22" i="1"/>
  <c r="BD22" i="1" s="1"/>
  <c r="BB22" i="1"/>
  <c r="AT22" i="1"/>
  <c r="BO20" i="1"/>
  <c r="BY20" i="1"/>
  <c r="BJ20" i="1" s="1"/>
  <c r="BK20" i="1" s="1"/>
  <c r="BK25" i="1"/>
  <c r="BI31" i="1"/>
  <c r="BN31" i="1" s="1"/>
  <c r="BG31" i="1"/>
  <c r="AO29" i="1"/>
  <c r="BE29" i="1" s="1"/>
  <c r="BT29" i="1"/>
  <c r="CF29" i="1" s="1"/>
  <c r="CI17" i="1"/>
  <c r="BA17" i="1"/>
  <c r="AW17" i="1"/>
  <c r="CH17" i="1"/>
  <c r="AZ17" i="1"/>
  <c r="AV17" i="1"/>
  <c r="AY17" i="1"/>
  <c r="AX17" i="1"/>
  <c r="AU17" i="1"/>
  <c r="BB17" i="1"/>
  <c r="AT17" i="1"/>
  <c r="AO39" i="1"/>
  <c r="BT39" i="1"/>
  <c r="CF39" i="1" s="1"/>
  <c r="I48" i="1"/>
  <c r="CI47" i="1"/>
  <c r="BA47" i="1"/>
  <c r="AW47" i="1"/>
  <c r="CH47" i="1"/>
  <c r="AZ47" i="1"/>
  <c r="AV47" i="1"/>
  <c r="AY47" i="1"/>
  <c r="AU47" i="1"/>
  <c r="BD47" i="1" s="1"/>
  <c r="BB47" i="1"/>
  <c r="AX47" i="1"/>
  <c r="AT47" i="1"/>
  <c r="BL42" i="1"/>
  <c r="AO47" i="1"/>
  <c r="BT47" i="1"/>
  <c r="CF47" i="1" s="1"/>
  <c r="BT44" i="1"/>
  <c r="CF44" i="1" s="1"/>
  <c r="AO44" i="1"/>
  <c r="BE44" i="1" s="1"/>
  <c r="BO41" i="1"/>
  <c r="BY41" i="1"/>
  <c r="BJ41" i="1" s="1"/>
  <c r="BK41" i="1" s="1"/>
  <c r="BD40" i="1"/>
  <c r="BE40" i="1" s="1"/>
  <c r="BI47" i="1"/>
  <c r="BN47" i="1" s="1"/>
  <c r="BG47" i="1"/>
  <c r="BE41" i="1"/>
  <c r="BD41" i="1"/>
  <c r="AO45" i="1"/>
  <c r="BT45" i="1"/>
  <c r="CF45" i="1" s="1"/>
  <c r="AO42" i="1"/>
  <c r="BE42" i="1" s="1"/>
  <c r="BT42" i="1"/>
  <c r="CF42" i="1" s="1"/>
  <c r="BI40" i="1"/>
  <c r="BN40" i="1" s="1"/>
  <c r="BG40" i="1"/>
  <c r="BL38" i="1"/>
  <c r="BK36" i="1"/>
  <c r="BD33" i="1"/>
  <c r="BE33" i="1" s="1"/>
  <c r="BI30" i="1"/>
  <c r="BN30" i="1" s="1"/>
  <c r="BG30" i="1"/>
  <c r="BE21" i="1"/>
  <c r="BT40" i="1"/>
  <c r="CF40" i="1" s="1"/>
  <c r="AO40" i="1"/>
  <c r="BD37" i="1"/>
  <c r="BE37" i="1" s="1"/>
  <c r="CH35" i="1"/>
  <c r="AZ35" i="1"/>
  <c r="AV35" i="1"/>
  <c r="AY35" i="1"/>
  <c r="AU35" i="1"/>
  <c r="BD35" i="1" s="1"/>
  <c r="BB35" i="1"/>
  <c r="AT35" i="1"/>
  <c r="BA35" i="1"/>
  <c r="AX35" i="1"/>
  <c r="CI35" i="1"/>
  <c r="AW35" i="1"/>
  <c r="BO28" i="1"/>
  <c r="BY28" i="1"/>
  <c r="BJ28" i="1" s="1"/>
  <c r="BK28" i="1" s="1"/>
  <c r="CI26" i="1"/>
  <c r="BA26" i="1"/>
  <c r="AW26" i="1"/>
  <c r="CH26" i="1"/>
  <c r="AZ26" i="1"/>
  <c r="AV26" i="1"/>
  <c r="AY26" i="1"/>
  <c r="CF26" i="1"/>
  <c r="AX26" i="1"/>
  <c r="AU26" i="1"/>
  <c r="BB26" i="1"/>
  <c r="AT26" i="1"/>
  <c r="BI23" i="1"/>
  <c r="BN23" i="1" s="1"/>
  <c r="BG23" i="1"/>
  <c r="BI22" i="1"/>
  <c r="BN22" i="1" s="1"/>
  <c r="BG22" i="1"/>
  <c r="BK21" i="1"/>
  <c r="BT18" i="1"/>
  <c r="CF18" i="1" s="1"/>
  <c r="AO18" i="1"/>
  <c r="AO31" i="1"/>
  <c r="BT31" i="1"/>
  <c r="CF31" i="1" s="1"/>
  <c r="BI17" i="1"/>
  <c r="BN17" i="1" s="1"/>
  <c r="BG17" i="1"/>
  <c r="BT23" i="1"/>
  <c r="CF23" i="1" s="1"/>
  <c r="AO23" i="1"/>
  <c r="AO17" i="1"/>
  <c r="BT17" i="1"/>
  <c r="CF17" i="1" s="1"/>
  <c r="AE48" i="1"/>
  <c r="BZ29" i="1" l="1"/>
  <c r="BU29" i="1"/>
  <c r="BV29" i="1" s="1"/>
  <c r="BW29" i="1" s="1"/>
  <c r="BU33" i="1"/>
  <c r="BV33" i="1" s="1"/>
  <c r="BW33" i="1" s="1"/>
  <c r="BZ33" i="1" s="1"/>
  <c r="BU16" i="1"/>
  <c r="BV16" i="1" s="1"/>
  <c r="BW16" i="1" s="1"/>
  <c r="BZ16" i="1" s="1"/>
  <c r="CA16" i="1" s="1"/>
  <c r="BU40" i="1"/>
  <c r="BZ20" i="1"/>
  <c r="BU20" i="1"/>
  <c r="BV20" i="1" s="1"/>
  <c r="BW20" i="1" s="1"/>
  <c r="BU25" i="1"/>
  <c r="BV25" i="1" s="1"/>
  <c r="BW25" i="1" s="1"/>
  <c r="BZ25" i="1" s="1"/>
  <c r="BU46" i="1"/>
  <c r="BU36" i="1"/>
  <c r="BV36" i="1" s="1"/>
  <c r="BW36" i="1" s="1"/>
  <c r="BZ36" i="1" s="1"/>
  <c r="BU44" i="1"/>
  <c r="BU37" i="1"/>
  <c r="BV37" i="1" s="1"/>
  <c r="BW37" i="1" s="1"/>
  <c r="BZ37" i="1" s="1"/>
  <c r="BU42" i="1"/>
  <c r="BV42" i="1" s="1"/>
  <c r="BW42" i="1" s="1"/>
  <c r="BZ42" i="1" s="1"/>
  <c r="BU19" i="1"/>
  <c r="BU41" i="1"/>
  <c r="BV41" i="1" s="1"/>
  <c r="BW41" i="1" s="1"/>
  <c r="BZ41" i="1" s="1"/>
  <c r="BL32" i="1"/>
  <c r="BL23" i="1"/>
  <c r="BU21" i="1"/>
  <c r="BV21" i="1" s="1"/>
  <c r="BW21" i="1" s="1"/>
  <c r="BZ21" i="1" s="1"/>
  <c r="CA21" i="1" s="1"/>
  <c r="BL47" i="1"/>
  <c r="BD17" i="1"/>
  <c r="BL31" i="1"/>
  <c r="BO42" i="1"/>
  <c r="BY42" i="1"/>
  <c r="BJ42" i="1" s="1"/>
  <c r="BK42" i="1" s="1"/>
  <c r="BE22" i="1"/>
  <c r="BT35" i="1"/>
  <c r="CF35" i="1" s="1"/>
  <c r="AO35" i="1"/>
  <c r="BE35" i="1" s="1"/>
  <c r="AC48" i="1"/>
  <c r="BL18" i="1"/>
  <c r="BD43" i="1"/>
  <c r="BI48" i="1"/>
  <c r="BN15" i="1"/>
  <c r="BN48" i="1" s="1"/>
  <c r="BD39" i="1"/>
  <c r="AT48" i="1"/>
  <c r="BA48" i="1"/>
  <c r="CI48" i="1"/>
  <c r="CH48" i="1"/>
  <c r="BD34" i="1"/>
  <c r="BO46" i="1"/>
  <c r="BY46" i="1"/>
  <c r="BJ46" i="1" s="1"/>
  <c r="BK46" i="1" s="1"/>
  <c r="BL17" i="1"/>
  <c r="BE47" i="1"/>
  <c r="BZ45" i="1"/>
  <c r="BU45" i="1"/>
  <c r="BV45" i="1" s="1"/>
  <c r="BW45" i="1" s="1"/>
  <c r="BD31" i="1"/>
  <c r="BE31" i="1" s="1"/>
  <c r="BD23" i="1"/>
  <c r="BE23" i="1" s="1"/>
  <c r="BL22" i="1"/>
  <c r="BL30" i="1"/>
  <c r="BO38" i="1"/>
  <c r="BY38" i="1"/>
  <c r="BJ38" i="1" s="1"/>
  <c r="BK38" i="1" s="1"/>
  <c r="BE17" i="1"/>
  <c r="BD27" i="1"/>
  <c r="BE27" i="1" s="1"/>
  <c r="BD30" i="1"/>
  <c r="BE30" i="1" s="1"/>
  <c r="BD32" i="1"/>
  <c r="BE32" i="1" s="1"/>
  <c r="BZ24" i="1"/>
  <c r="BU24" i="1"/>
  <c r="BV24" i="1" s="1"/>
  <c r="BW24" i="1" s="1"/>
  <c r="BE43" i="1"/>
  <c r="BL34" i="1"/>
  <c r="BO34" i="1" s="1"/>
  <c r="BK34" i="1"/>
  <c r="BY44" i="1"/>
  <c r="BJ44" i="1" s="1"/>
  <c r="BK44" i="1" s="1"/>
  <c r="BO44" i="1"/>
  <c r="BD38" i="1"/>
  <c r="BE38" i="1" s="1"/>
  <c r="AZ48" i="1"/>
  <c r="AW48" i="1"/>
  <c r="BE18" i="1"/>
  <c r="BL26" i="1"/>
  <c r="AU48" i="1"/>
  <c r="BD15" i="1"/>
  <c r="BD48" i="1" s="1"/>
  <c r="BD18" i="1"/>
  <c r="BY19" i="1"/>
  <c r="BJ19" i="1" s="1"/>
  <c r="BK19" i="1" s="1"/>
  <c r="BO19" i="1"/>
  <c r="BZ28" i="1"/>
  <c r="BU28" i="1"/>
  <c r="BV28" i="1" s="1"/>
  <c r="BW28" i="1" s="1"/>
  <c r="BE34" i="1"/>
  <c r="AO48" i="1"/>
  <c r="BE39" i="1"/>
  <c r="BD26" i="1"/>
  <c r="BE26" i="1" s="1"/>
  <c r="BL40" i="1"/>
  <c r="BL43" i="1"/>
  <c r="BT48" i="1"/>
  <c r="CF48" i="1" s="1"/>
  <c r="BL39" i="1"/>
  <c r="BL35" i="1"/>
  <c r="BO35" i="1" s="1"/>
  <c r="BK35" i="1"/>
  <c r="BG48" i="1"/>
  <c r="BL15" i="1"/>
  <c r="AV48" i="1"/>
  <c r="AX48" i="1"/>
  <c r="AY48" i="1"/>
  <c r="BL27" i="1"/>
  <c r="BU26" i="1" l="1"/>
  <c r="BU27" i="1"/>
  <c r="BZ46" i="1"/>
  <c r="BU35" i="1"/>
  <c r="BV35" i="1" s="1"/>
  <c r="BW35" i="1" s="1"/>
  <c r="BZ35" i="1" s="1"/>
  <c r="BU38" i="1"/>
  <c r="BV38" i="1" s="1"/>
  <c r="BW38" i="1" s="1"/>
  <c r="BZ38" i="1" s="1"/>
  <c r="BU32" i="1"/>
  <c r="BU23" i="1"/>
  <c r="BU30" i="1"/>
  <c r="BU31" i="1"/>
  <c r="BV31" i="1" s="1"/>
  <c r="BW31" i="1" s="1"/>
  <c r="BZ34" i="1"/>
  <c r="BU34" i="1"/>
  <c r="BV34" i="1" s="1"/>
  <c r="BW34" i="1" s="1"/>
  <c r="BY18" i="1"/>
  <c r="BJ18" i="1" s="1"/>
  <c r="BK18" i="1" s="1"/>
  <c r="BO18" i="1"/>
  <c r="BO32" i="1"/>
  <c r="BY32" i="1"/>
  <c r="BJ32" i="1" s="1"/>
  <c r="BK32" i="1" s="1"/>
  <c r="BY40" i="1"/>
  <c r="BJ40" i="1" s="1"/>
  <c r="BK40" i="1" s="1"/>
  <c r="BO40" i="1"/>
  <c r="BV40" i="1" s="1"/>
  <c r="BW40" i="1" s="1"/>
  <c r="BU43" i="1"/>
  <c r="BU17" i="1"/>
  <c r="BV17" i="1" s="1"/>
  <c r="BW17" i="1" s="1"/>
  <c r="BZ17" i="1" s="1"/>
  <c r="BY30" i="1"/>
  <c r="BJ30" i="1" s="1"/>
  <c r="BK30" i="1" s="1"/>
  <c r="BO30" i="1"/>
  <c r="BU47" i="1"/>
  <c r="BV47" i="1" s="1"/>
  <c r="BW47" i="1" s="1"/>
  <c r="BZ47" i="1" s="1"/>
  <c r="BY31" i="1"/>
  <c r="BJ31" i="1" s="1"/>
  <c r="BK31" i="1" s="1"/>
  <c r="BO31" i="1"/>
  <c r="BZ31" i="1" s="1"/>
  <c r="BV19" i="1"/>
  <c r="BW19" i="1" s="1"/>
  <c r="BZ19" i="1" s="1"/>
  <c r="CA19" i="1" s="1"/>
  <c r="BY27" i="1"/>
  <c r="BJ27" i="1" s="1"/>
  <c r="BK27" i="1" s="1"/>
  <c r="BO27" i="1"/>
  <c r="BL48" i="1"/>
  <c r="BO15" i="1"/>
  <c r="BY15" i="1"/>
  <c r="BY43" i="1"/>
  <c r="BJ43" i="1" s="1"/>
  <c r="BK43" i="1" s="1"/>
  <c r="BO43" i="1"/>
  <c r="BY26" i="1"/>
  <c r="BJ26" i="1" s="1"/>
  <c r="BK26" i="1" s="1"/>
  <c r="BO26" i="1"/>
  <c r="BY17" i="1"/>
  <c r="BJ17" i="1" s="1"/>
  <c r="BK17" i="1" s="1"/>
  <c r="BO17" i="1"/>
  <c r="BE15" i="1"/>
  <c r="BV44" i="1"/>
  <c r="BW44" i="1" s="1"/>
  <c r="BZ44" i="1" s="1"/>
  <c r="BV46" i="1"/>
  <c r="BW46" i="1" s="1"/>
  <c r="BY39" i="1"/>
  <c r="BJ39" i="1" s="1"/>
  <c r="BK39" i="1" s="1"/>
  <c r="BO39" i="1"/>
  <c r="BU39" i="1"/>
  <c r="BU18" i="1"/>
  <c r="BV18" i="1" s="1"/>
  <c r="BW18" i="1" s="1"/>
  <c r="BY22" i="1"/>
  <c r="BJ22" i="1" s="1"/>
  <c r="BK22" i="1" s="1"/>
  <c r="BO22" i="1"/>
  <c r="BU22" i="1"/>
  <c r="BV22" i="1" s="1"/>
  <c r="BW22" i="1" s="1"/>
  <c r="BZ22" i="1" s="1"/>
  <c r="BY47" i="1"/>
  <c r="BJ47" i="1" s="1"/>
  <c r="BK47" i="1" s="1"/>
  <c r="BO47" i="1"/>
  <c r="BY23" i="1"/>
  <c r="BJ23" i="1" s="1"/>
  <c r="BK23" i="1" s="1"/>
  <c r="BO23" i="1"/>
  <c r="BZ18" i="1" l="1"/>
  <c r="CA18" i="1" s="1"/>
  <c r="CA48" i="1" s="1"/>
  <c r="BY48" i="1"/>
  <c r="BJ15" i="1"/>
  <c r="BO48" i="1"/>
  <c r="BV23" i="1"/>
  <c r="BW23" i="1" s="1"/>
  <c r="BZ23" i="1" s="1"/>
  <c r="CA23" i="1" s="1"/>
  <c r="BV26" i="1"/>
  <c r="BW26" i="1" s="1"/>
  <c r="BZ26" i="1" s="1"/>
  <c r="CA26" i="1" s="1"/>
  <c r="BZ40" i="1"/>
  <c r="BV32" i="1"/>
  <c r="BW32" i="1" s="1"/>
  <c r="BZ32" i="1" s="1"/>
  <c r="BE48" i="1"/>
  <c r="BU15" i="1"/>
  <c r="BV43" i="1"/>
  <c r="BW43" i="1" s="1"/>
  <c r="BZ43" i="1" s="1"/>
  <c r="BV39" i="1"/>
  <c r="BW39" i="1" s="1"/>
  <c r="BZ39" i="1" s="1"/>
  <c r="BV30" i="1"/>
  <c r="BW30" i="1" s="1"/>
  <c r="BZ30" i="1" s="1"/>
  <c r="BV27" i="1"/>
  <c r="BW27" i="1" s="1"/>
  <c r="BZ27" i="1" s="1"/>
  <c r="CA27" i="1" s="1"/>
  <c r="BU48" i="1" l="1"/>
  <c r="BV15" i="1"/>
  <c r="BJ48" i="1"/>
  <c r="BK15" i="1"/>
  <c r="BK48" i="1" s="1"/>
  <c r="BV48" i="1" l="1"/>
  <c r="BW15" i="1"/>
  <c r="BW48" i="1" l="1"/>
  <c r="BZ15" i="1"/>
  <c r="BZ48" i="1" s="1"/>
</calcChain>
</file>

<file path=xl/sharedStrings.xml><?xml version="1.0" encoding="utf-8"?>
<sst xmlns="http://schemas.openxmlformats.org/spreadsheetml/2006/main" count="577" uniqueCount="351">
  <si>
    <t>4</t>
  </si>
  <si>
    <t>CÔNG TY TNHH SHINSUNG VINA</t>
  </si>
  <si>
    <t>null</t>
  </si>
  <si>
    <t>Lô CN04, khu công nghiệp Cẩm Khê, TT.Cẩm Khê, H.Cẩm Khê, T.Phú Thọ</t>
  </si>
  <si>
    <t>12</t>
  </si>
  <si>
    <t>2024</t>
  </si>
  <si>
    <t>No</t>
  </si>
  <si>
    <t>Employee_ID</t>
  </si>
  <si>
    <t>FullName</t>
  </si>
  <si>
    <t>PositionName</t>
  </si>
  <si>
    <t>GioCongTieuChuan</t>
  </si>
  <si>
    <t>SoNgayOT</t>
  </si>
  <si>
    <t>CD1</t>
  </si>
  <si>
    <t>CD2</t>
  </si>
  <si>
    <t>CD4</t>
  </si>
  <si>
    <t>CD3</t>
  </si>
  <si>
    <t>OldCD1</t>
  </si>
  <si>
    <t>OldCD2</t>
  </si>
  <si>
    <t>OldCD4</t>
  </si>
  <si>
    <t>OldCD3</t>
  </si>
  <si>
    <t>CD14</t>
  </si>
  <si>
    <t>CD16</t>
  </si>
  <si>
    <t>CD11</t>
  </si>
  <si>
    <t>HT11</t>
  </si>
  <si>
    <t>TCConNho</t>
  </si>
  <si>
    <t>SinhNhat</t>
  </si>
  <si>
    <t>GiamTruBanThan</t>
  </si>
  <si>
    <t>NguoiPhuThuoc</t>
  </si>
  <si>
    <t>GiamTruNPT</t>
  </si>
  <si>
    <t>HT5</t>
  </si>
  <si>
    <t>BankAccount</t>
  </si>
  <si>
    <t>HT19</t>
  </si>
  <si>
    <t>ChiaDuoi20h</t>
  </si>
  <si>
    <t>CD18</t>
  </si>
  <si>
    <t>ChuyenCan</t>
  </si>
  <si>
    <t>Ngay15</t>
  </si>
  <si>
    <t>HT12</t>
  </si>
  <si>
    <t>HT20</t>
  </si>
  <si>
    <t>NgayDoiLuong</t>
  </si>
  <si>
    <t>DongBHLuongCu</t>
  </si>
  <si>
    <t>Key</t>
  </si>
  <si>
    <t>Salary_Month</t>
  </si>
  <si>
    <t>Salary_Year</t>
  </si>
  <si>
    <t>NgayCongTieuChuan</t>
  </si>
  <si>
    <t>GioCongTieuChuan1Ngay</t>
  </si>
  <si>
    <t>cct_wt1</t>
  </si>
  <si>
    <t>cct_wt9</t>
  </si>
  <si>
    <t>cct_wt3</t>
  </si>
  <si>
    <t>cct_wt5</t>
  </si>
  <si>
    <t>cct_wt4</t>
  </si>
  <si>
    <t>cct_wt6</t>
  </si>
  <si>
    <t>cct_wt10</t>
  </si>
  <si>
    <t>cct_wt11</t>
  </si>
  <si>
    <t>cct_wt7</t>
  </si>
  <si>
    <t>cct_wt8</t>
  </si>
  <si>
    <t>ctv_wt1</t>
  </si>
  <si>
    <t>ctv_wt9</t>
  </si>
  <si>
    <t>ctv_wt3</t>
  </si>
  <si>
    <t>ctv_wt5</t>
  </si>
  <si>
    <t>ctv_wt4</t>
  </si>
  <si>
    <t>ctv_wt6</t>
  </si>
  <si>
    <t>ctv_wt10</t>
  </si>
  <si>
    <t>ctv_wt11</t>
  </si>
  <si>
    <t>ctv_wt7</t>
  </si>
  <si>
    <t>ctv_wt8</t>
  </si>
  <si>
    <t>pct_PhepHuongLuong</t>
  </si>
  <si>
    <t>pct_KLKhongMatCC</t>
  </si>
  <si>
    <t>ptv_PhepHuongLuong</t>
  </si>
  <si>
    <t>ptv_KLKhongMatCC</t>
  </si>
  <si>
    <t>SoLanDMVS_CT</t>
  </si>
  <si>
    <t>ThoiGianDTVS_CT</t>
  </si>
  <si>
    <t>SoLanDMVS_TV</t>
  </si>
  <si>
    <t>ThoiGianDTVS_TV</t>
  </si>
  <si>
    <t>SoNgayBH</t>
  </si>
  <si>
    <t>SocialInsurance</t>
  </si>
  <si>
    <t>HealthInsurance</t>
  </si>
  <si>
    <t>UnemploymentInsurance</t>
  </si>
  <si>
    <t>KhongThamGiaCongDoan</t>
  </si>
  <si>
    <t>TienCongDoan</t>
  </si>
  <si>
    <t>KhuVuc</t>
  </si>
  <si>
    <t>HT7</t>
  </si>
  <si>
    <t>HT9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</si>
  <si>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</si>
  <si>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</si>
  <si>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</si>
  <si>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</si>
  <si>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</si>
  <si>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</si>
  <si>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</si>
  <si>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</si>
  <si>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</si>
  <si>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</si>
  <si>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</si>
  <si>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</si>
  <si>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</si>
  <si>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</si>
  <si>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</si>
  <si>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</si>
  <si>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</si>
  <si>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</si>
  <si>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</si>
  <si>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</si>
  <si>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</si>
  <si>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</si>
  <si>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</si>
  <si>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</si>
  <si>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</si>
  <si>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</si>
  <si>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</si>
  <si>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</si>
  <si>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</si>
  <si>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</si>
  <si>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</si>
  <si>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</si>
  <si>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</si>
  <si>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</si>
  <si>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</si>
  <si>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</si>
  <si>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</si>
  <si>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</si>
  <si>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</si>
  <si>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</si>
  <si>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</si>
  <si>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</si>
  <si>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</si>
  <si>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</si>
  <si>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</si>
  <si>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</si>
  <si>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</si>
  <si>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</si>
  <si>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</si>
  <si>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</si>
  <si>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</si>
  <si>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TongThuNhap</t>
  </si>
  <si>
    <t>s53</t>
  </si>
  <si>
    <t>BHXHCT</t>
  </si>
  <si>
    <t>BHYTCT</t>
  </si>
  <si>
    <t>BHTNCT</t>
  </si>
  <si>
    <t>PCDNCT</t>
  </si>
  <si>
    <t>s58</t>
  </si>
  <si>
    <t>BHXHNLD</t>
  </si>
  <si>
    <t>BHYTNLD</t>
  </si>
  <si>
    <t>BHTNNLD</t>
  </si>
  <si>
    <t>s62</t>
  </si>
  <si>
    <t>s63</t>
  </si>
  <si>
    <t>s64</t>
  </si>
  <si>
    <t>s65</t>
  </si>
  <si>
    <t>s66</t>
  </si>
  <si>
    <t>s67</t>
  </si>
  <si>
    <t>TongTNChiuThue</t>
  </si>
  <si>
    <t>TNTinhThue</t>
  </si>
  <si>
    <t>PIT</t>
  </si>
  <si>
    <t>s75</t>
  </si>
  <si>
    <t>PCDNLD</t>
  </si>
  <si>
    <t>ThucLanh</t>
  </si>
  <si>
    <t>s73</t>
  </si>
  <si>
    <t>s74</t>
  </si>
  <si>
    <t>TongTNMienThue</t>
  </si>
  <si>
    <t>s76</t>
  </si>
  <si>
    <t>s77</t>
  </si>
  <si>
    <t>Position_NameVN</t>
  </si>
  <si>
    <t>STT/No.</t>
  </si>
  <si>
    <t xml:space="preserve">Mã số
Code No
</t>
  </si>
  <si>
    <t>Họ và tên
(First and last name)</t>
  </si>
  <si>
    <t>Vị trí
(Location) -Position</t>
  </si>
  <si>
    <t>Tổng số giờ công chuẩn</t>
  </si>
  <si>
    <t>Giờ công cơ bản thực tế (The actual basic hourly)</t>
  </si>
  <si>
    <t>Số bữa phụ</t>
  </si>
  <si>
    <t xml:space="preserve">  Giờ công làm thêm (Hours of overtime)</t>
  </si>
  <si>
    <t>Lương đóng bảo hiểm</t>
  </si>
  <si>
    <t>Các khoản phụ cấp (Allowances)</t>
  </si>
  <si>
    <t>Thưởng</t>
  </si>
  <si>
    <t>Khấu trừ khác</t>
  </si>
  <si>
    <t>Tổng phụ cấp không đóng BH được nhận (Total allowances)</t>
  </si>
  <si>
    <t>Lương đóng bảo hiểm - Chính thức</t>
  </si>
  <si>
    <t>Lương đóng bảo hiểm - Thử việc</t>
  </si>
  <si>
    <t>Lương giờ công - Chính thức</t>
  </si>
  <si>
    <t>Lương giờ công -Thử việc</t>
  </si>
  <si>
    <t>Tổng lương giờ công cơ bản</t>
  </si>
  <si>
    <t>Lương giờ công làm thêm</t>
  </si>
  <si>
    <t xml:space="preserve">Tổng lương </t>
  </si>
  <si>
    <t xml:space="preserve">BH tính vào chi phí / Isuarance payable by company </t>
  </si>
  <si>
    <t xml:space="preserve">BH khấu trừ lương  / Isuarance deductions from salary </t>
  </si>
  <si>
    <t xml:space="preserve">Thuế TNCN </t>
  </si>
  <si>
    <t>Cộng khác</t>
  </si>
  <si>
    <t xml:space="preserve">Đoàn phí </t>
  </si>
  <si>
    <t>Thực nhận</t>
  </si>
  <si>
    <t>Số tài khoản</t>
  </si>
  <si>
    <t>Ký nhận</t>
  </si>
  <si>
    <t>Thu nhập miễn thuế</t>
  </si>
  <si>
    <t>Thu nhập chịu thuế thử việc</t>
  </si>
  <si>
    <t>Tiền công ngày</t>
  </si>
  <si>
    <t>Tiền công đêm</t>
  </si>
  <si>
    <t>Chia dưới 20 công</t>
  </si>
  <si>
    <t>Chia dưới 20 công toàn công ty</t>
  </si>
  <si>
    <t>Hưởng CC</t>
  </si>
  <si>
    <t>Chuyên cần (Auto)</t>
  </si>
  <si>
    <t>Ngày 15</t>
  </si>
  <si>
    <t>Xăng xe NT</t>
  </si>
  <si>
    <t>Nhà ở NT</t>
  </si>
  <si>
    <t>Ngày đổi lương</t>
  </si>
  <si>
    <t>Đóng BH lương cũ</t>
  </si>
  <si>
    <t>Salary month</t>
  </si>
  <si>
    <t>Salary year</t>
  </si>
  <si>
    <t>Ngày công tiêu chuẩn</t>
  </si>
  <si>
    <t>Giờ công tiêu chuẩn 1 ngày</t>
  </si>
  <si>
    <t>Công thực tế</t>
  </si>
  <si>
    <t>Nghỉ phép</t>
  </si>
  <si>
    <t>Đi trễ/về sớm</t>
  </si>
  <si>
    <t>Số ngày công tham gia BHXH</t>
  </si>
  <si>
    <t>BHXH</t>
  </si>
  <si>
    <t>BHYT</t>
  </si>
  <si>
    <t>BHTN</t>
  </si>
  <si>
    <t>Không tham gia Công đoàn</t>
  </si>
  <si>
    <t>Công đoan</t>
  </si>
  <si>
    <t>Xưởng</t>
  </si>
  <si>
    <t>Thưởng đã tạm ứng</t>
  </si>
  <si>
    <t>Chính thức - Official</t>
  </si>
  <si>
    <t>Thử việc - Probation</t>
  </si>
  <si>
    <t>Chính thức</t>
  </si>
  <si>
    <t>Thử việc</t>
  </si>
  <si>
    <t>Ca ngày</t>
  </si>
  <si>
    <t>Ca đêm</t>
  </si>
  <si>
    <t>Giờ công HC đã xử lý DTVS</t>
  </si>
  <si>
    <t>Tăng ca  150%</t>
  </si>
  <si>
    <t>Tăng ca đêm 195%</t>
  </si>
  <si>
    <t>CN ngày 200%</t>
  </si>
  <si>
    <t>CN đêm 270%</t>
  </si>
  <si>
    <t xml:space="preserve"> Tăng ca ngày CN 300%</t>
  </si>
  <si>
    <t>Tăng ca đêm CN 390%</t>
  </si>
  <si>
    <t>Ngày lễ ngày 300%</t>
  </si>
  <si>
    <t>Ngày lễ đêm 390%</t>
  </si>
  <si>
    <t>TC lễ
(450%)</t>
  </si>
  <si>
    <t xml:space="preserve">Lương cơ bản  (Basic salary) -Chính thức
</t>
  </si>
  <si>
    <t>Phụ cấp  trách nhiệm/
Responsibility allowance</t>
  </si>
  <si>
    <t>PC ngoại ngữ/
Foreign language support</t>
  </si>
  <si>
    <t>Phụ cấp thâm niên/ Seniority allowances</t>
  </si>
  <si>
    <t>HT điện thoại /Phone charges/ 26 Công</t>
  </si>
  <si>
    <t>HT điện thoại /Phone charges</t>
  </si>
  <si>
    <t>HT xăng xe /Fuel costs for vehicles/ 26 Công</t>
  </si>
  <si>
    <t>HT xăng xe /Fuel costs for vehicles</t>
  </si>
  <si>
    <t>HT nhà ở /Housing support/ 26 Công</t>
  </si>
  <si>
    <t>HT nhà ở /Housing support</t>
  </si>
  <si>
    <t>HT đi lại/
Mobility assistance</t>
  </si>
  <si>
    <t>HT con nhỏ/
Support workers with small children</t>
  </si>
  <si>
    <t>Thưởng Chuyên cần /
Attendance Bonus</t>
  </si>
  <si>
    <t>Trợ cấp bữa phụ /Snack allowance</t>
  </si>
  <si>
    <t xml:space="preserve">Tăng ca ngày </t>
  </si>
  <si>
    <t>Tăng ca đêm</t>
  </si>
  <si>
    <t>CN ngày</t>
  </si>
  <si>
    <t>CN đêm</t>
  </si>
  <si>
    <t>Tăng ca ngày CN</t>
  </si>
  <si>
    <t>Tăng ca đêm CN</t>
  </si>
  <si>
    <t>Ngày lễ ngày</t>
  </si>
  <si>
    <t>Ngày lễ đêm</t>
  </si>
  <si>
    <t>TC lễ</t>
  </si>
  <si>
    <t>Tổng lương làm thêm</t>
  </si>
  <si>
    <t>Lương đóng bảo hiểm/Salary base for insurance</t>
  </si>
  <si>
    <t>BHXH / Social Insurance 17.5%</t>
  </si>
  <si>
    <t>BHYT / Health Insurance 3%건강보험
(회사분)</t>
  </si>
  <si>
    <t>BHTN / Unemployment Insurance 1%</t>
  </si>
  <si>
    <t>KPCĐ
2%</t>
  </si>
  <si>
    <t xml:space="preserve">Cộng /Amount Isurance </t>
  </si>
  <si>
    <t>BHXH / Social Insurance 8%</t>
  </si>
  <si>
    <t xml:space="preserve">BHYT / Health Insurance 1,5% 건강보험
(개인분) </t>
  </si>
  <si>
    <t xml:space="preserve">Cộng 10.5%/Amount Isurance </t>
  </si>
  <si>
    <t>Giảm trừ bản thân (기본공제금 )
(VND)</t>
  </si>
  <si>
    <t>Số người phụ thuộc /Number Deduction family</t>
  </si>
  <si>
    <t xml:space="preserve"> Giảm trừ người phụ thuộc  </t>
  </si>
  <si>
    <t xml:space="preserve"> Giảm trừ người phụ thuộc /deduction-family 4400000/1person </t>
  </si>
  <si>
    <t>Tax excemption</t>
  </si>
  <si>
    <t>Thu nhập chịu thuế</t>
  </si>
  <si>
    <t>Thu nhập tính thuế
(과세 대상 금액) VND</t>
  </si>
  <si>
    <t>Thuế TNCN
(개인소득세)
( VND)</t>
  </si>
  <si>
    <t>Công ngày</t>
  </si>
  <si>
    <t>Công đêm</t>
  </si>
  <si>
    <t>CN Tăng ca ngày 300%</t>
  </si>
  <si>
    <t>CN tăng ca đêm 390%</t>
  </si>
  <si>
    <t>Phép Hưởng lương</t>
  </si>
  <si>
    <t>Phép KL Không trừ CC</t>
  </si>
  <si>
    <t>Số lần ĐTVS</t>
  </si>
  <si>
    <t>Số phút ĐTVS</t>
  </si>
  <si>
    <t>SS000006</t>
  </si>
  <si>
    <t>Vũ Hồng Sơn</t>
  </si>
  <si>
    <t>Tổ phó</t>
  </si>
  <si>
    <t>MonthlySalary</t>
  </si>
  <si>
    <t>Production</t>
  </si>
  <si>
    <t>SS201101</t>
  </si>
  <si>
    <t>Đinh Thị Hải</t>
  </si>
  <si>
    <t>Tổ trưởng</t>
  </si>
  <si>
    <t>SS201103</t>
  </si>
  <si>
    <t>Nguyễn Việt Hưng</t>
  </si>
  <si>
    <t>QC (Tổ trưởng)</t>
  </si>
  <si>
    <t>SS211001</t>
  </si>
  <si>
    <t>Phan Đức Toàn</t>
  </si>
  <si>
    <t>SS211002</t>
  </si>
  <si>
    <t>Đỗ Huyền Chang</t>
  </si>
  <si>
    <t>Công nhân</t>
  </si>
  <si>
    <t>SS211107</t>
  </si>
  <si>
    <t>Đinh Thị Hương</t>
  </si>
  <si>
    <t>SS220403</t>
  </si>
  <si>
    <t>Hoàng Thị Huyền</t>
  </si>
  <si>
    <t>SS220502</t>
  </si>
  <si>
    <t>Nguyễn Hữu Lư</t>
  </si>
  <si>
    <t>QC (Tổ phó)</t>
  </si>
  <si>
    <t>SS220507</t>
  </si>
  <si>
    <t>Võ Thị Hồng Loan</t>
  </si>
  <si>
    <t>SS220604</t>
  </si>
  <si>
    <t>Lò Thị Xuân</t>
  </si>
  <si>
    <t>SS220610</t>
  </si>
  <si>
    <t>Mai Văn Sáng</t>
  </si>
  <si>
    <t>SS220801</t>
  </si>
  <si>
    <t>Nguyễn Thị Huyền</t>
  </si>
  <si>
    <t>SS230802</t>
  </si>
  <si>
    <t>Đinh Việt Anh</t>
  </si>
  <si>
    <t>SS230803</t>
  </si>
  <si>
    <t>Phạm Văn Sỹ</t>
  </si>
  <si>
    <t>SS230804</t>
  </si>
  <si>
    <t>Trần Thị Hoa</t>
  </si>
  <si>
    <t>SS230805</t>
  </si>
  <si>
    <t>Hoàng Thị Tuyết Nhung</t>
  </si>
  <si>
    <t>SS230808</t>
  </si>
  <si>
    <t>Hà Đăng Cao</t>
  </si>
  <si>
    <t>SS230809</t>
  </si>
  <si>
    <t>Nguyễn Hồng Quân</t>
  </si>
  <si>
    <t>SS230811</t>
  </si>
  <si>
    <t>Nguyễn Thanh Hải</t>
  </si>
  <si>
    <t>SS231201</t>
  </si>
  <si>
    <t>Đinh Thị Thơm</t>
  </si>
  <si>
    <t>SS231202</t>
  </si>
  <si>
    <t>Hoàng Thị Luân</t>
  </si>
  <si>
    <t>SS240203</t>
  </si>
  <si>
    <t>Nguyễn Mạnh Hùng</t>
  </si>
  <si>
    <t>SS240301</t>
  </si>
  <si>
    <t>Lê Duy Công</t>
  </si>
  <si>
    <t>SS240303</t>
  </si>
  <si>
    <t>Nguyễn Công Kiên</t>
  </si>
  <si>
    <t>SS240306</t>
  </si>
  <si>
    <t>Hà Quang Nhất</t>
  </si>
  <si>
    <t>SS240307</t>
  </si>
  <si>
    <t>Hoàng Hương Hùng</t>
  </si>
  <si>
    <t>SS240401</t>
  </si>
  <si>
    <t>Nguyễn Văn Sơn</t>
  </si>
  <si>
    <t>SS240404</t>
  </si>
  <si>
    <t>Hoàng Văn Đinh</t>
  </si>
  <si>
    <t>SS240610</t>
  </si>
  <si>
    <t>Ngô Quang Nam</t>
  </si>
  <si>
    <t>SS241102</t>
  </si>
  <si>
    <t>Dương Thị Thảo</t>
  </si>
  <si>
    <t>Vệ sinh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</si>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</sst>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0\ _₫_-;\-* #,##0.00\ _₫_-;_-* &quot;-&quot;??\ _₫_-;_-@_-"/>
    <numFmt numFmtId="166" formatCode="#,##0.0"/>
    <numFmt numFmtId="167" formatCode="0.0"/>
    <numFmt numFmtId="168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/>
    <xf numFmtId="165" fontId="7" fillId="0" borderId="0"/>
    <xf numFmtId="164" fontId="6" fillId="0" borderId="0"/>
    <xf numFmtId="0" fontId="7" fillId="0" borderId="0"/>
    <xf numFmtId="0" fontId="2" fillId="0" borderId="0"/>
    <xf numFmtId="0" fontId="6" fillId="0" borderId="0">
      <alignment vertical="center"/>
    </xf>
  </cellStyleXfs>
  <cellXfs count="132">
    <xf numFmtId="0" fontId="0" fillId="0" borderId="0" xfId="0"/>
    <xf numFmtId="0" fontId="9" fillId="0" borderId="0" xfId="0" applyFont="1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9" fillId="0" borderId="1" xfId="0" applyFont="1" applyBorder="1"/>
    <xf numFmtId="3" fontId="9" fillId="0" borderId="1" xfId="0" applyNumberFormat="1" applyFont="1" applyBorder="1"/>
    <xf numFmtId="3" fontId="9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3" fillId="0" borderId="0" xfId="0" applyFont="1" applyAlignment="1">
      <alignment horizontal="center" vertical="center" wrapText="1"/>
    </xf>
    <xf numFmtId="3" fontId="9" fillId="0" borderId="3" xfId="0" applyNumberFormat="1" applyFont="1" applyBorder="1"/>
    <xf numFmtId="166" fontId="9" fillId="0" borderId="0" xfId="0" applyNumberFormat="1" applyFont="1"/>
    <xf numFmtId="167" fontId="9" fillId="0" borderId="0" xfId="0" applyNumberFormat="1" applyFont="1"/>
    <xf numFmtId="0" fontId="9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4" fillId="4" borderId="4" xfId="5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4" borderId="1" xfId="5" applyFont="1" applyFill="1" applyBorder="1" applyAlignment="1">
      <alignment horizontal="center" vertical="center" wrapText="1"/>
    </xf>
    <xf numFmtId="0" fontId="3" fillId="4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3" fillId="5" borderId="15" xfId="1" applyNumberFormat="1" applyFont="1" applyFill="1" applyBorder="1" applyAlignment="1">
      <alignment horizontal="center" vertical="center" wrapText="1"/>
    </xf>
    <xf numFmtId="0" fontId="3" fillId="5" borderId="16" xfId="1" applyNumberFormat="1" applyFont="1" applyFill="1" applyBorder="1" applyAlignment="1">
      <alignment horizontal="center" vertical="center" wrapText="1"/>
    </xf>
    <xf numFmtId="0" fontId="3" fillId="5" borderId="17" xfId="1" applyNumberFormat="1" applyFont="1" applyFill="1" applyBorder="1" applyAlignment="1">
      <alignment horizontal="center" vertical="center" wrapText="1"/>
    </xf>
    <xf numFmtId="0" fontId="4" fillId="4" borderId="1" xfId="5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5" fillId="4" borderId="1" xfId="5" applyFont="1" applyFill="1" applyBorder="1" applyAlignment="1">
      <alignment horizontal="center" vertical="center" wrapText="1"/>
    </xf>
    <xf numFmtId="0" fontId="4" fillId="4" borderId="1" xfId="3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7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3" fontId="8" fillId="0" borderId="1" xfId="0" applyNumberFormat="1" applyFont="1" applyBorder="1"/>
    <xf numFmtId="168" fontId="8" fillId="0" borderId="1" xfId="1" applyNumberFormat="1" applyFont="1" applyBorder="1"/>
    <xf numFmtId="166" fontId="8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4" fillId="4" borderId="5" xfId="5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/>
    </xf>
    <xf numFmtId="167" fontId="8" fillId="0" borderId="1" xfId="0" applyNumberFormat="1" applyFont="1" applyBorder="1"/>
    <xf numFmtId="3" fontId="8" fillId="0" borderId="1" xfId="1" applyNumberFormat="1" applyFont="1" applyBorder="1"/>
    <xf numFmtId="166" fontId="0" fillId="0" borderId="0" xfId="0" applyNumberFormat="1"/>
    <xf numFmtId="166" fontId="9" fillId="0" borderId="1" xfId="0" applyNumberFormat="1" applyFont="1" applyBorder="1"/>
    <xf numFmtId="166" fontId="0" fillId="0" borderId="1" xfId="0" applyNumberFormat="1" applyBorder="1"/>
    <xf numFmtId="0" fontId="3" fillId="5" borderId="15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/>
    </xf>
    <xf numFmtId="0" fontId="3" fillId="4" borderId="4" xfId="5" applyFont="1" applyFill="1" applyBorder="1" applyAlignment="1">
      <alignment horizontal="center" vertical="center" wrapText="1"/>
    </xf>
    <xf numFmtId="0" fontId="5" fillId="4" borderId="4" xfId="5" applyFont="1" applyFill="1" applyBorder="1" applyAlignment="1">
      <alignment horizontal="center" vertical="center" wrapText="1"/>
    </xf>
    <xf numFmtId="0" fontId="8" fillId="0" borderId="1" xfId="1" applyNumberFormat="1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67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/>
    <xf numFmtId="3" fontId="12" fillId="0" borderId="1" xfId="0" applyNumberFormat="1" applyFont="1" applyBorder="1"/>
    <xf numFmtId="168" fontId="12" fillId="0" borderId="1" xfId="1" applyNumberFormat="1" applyFont="1" applyBorder="1"/>
    <xf numFmtId="3" fontId="12" fillId="0" borderId="1" xfId="1" applyNumberFormat="1" applyFont="1" applyBorder="1"/>
    <xf numFmtId="0" fontId="12" fillId="0" borderId="1" xfId="1" applyNumberFormat="1" applyFont="1" applyBorder="1"/>
    <xf numFmtId="166" fontId="12" fillId="0" borderId="1" xfId="0" applyNumberFormat="1" applyFont="1" applyBorder="1"/>
    <xf numFmtId="0" fontId="4" fillId="4" borderId="1" xfId="5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4" fillId="4" borderId="4" xfId="5" applyFont="1" applyFill="1" applyBorder="1" applyAlignment="1">
      <alignment horizontal="center" vertical="center" wrapText="1"/>
    </xf>
    <xf numFmtId="0" fontId="4" fillId="4" borderId="6" xfId="5" applyFont="1" applyFill="1" applyBorder="1" applyAlignment="1">
      <alignment horizontal="center" vertical="center" wrapText="1"/>
    </xf>
    <xf numFmtId="0" fontId="4" fillId="4" borderId="13" xfId="5" applyFont="1" applyFill="1" applyBorder="1" applyAlignment="1">
      <alignment horizontal="center" vertical="center" wrapText="1"/>
    </xf>
    <xf numFmtId="0" fontId="4" fillId="4" borderId="10" xfId="5" applyFont="1" applyFill="1" applyBorder="1" applyAlignment="1">
      <alignment horizontal="center" vertical="center" wrapText="1"/>
    </xf>
    <xf numFmtId="0" fontId="4" fillId="4" borderId="12" xfId="5" applyFont="1" applyFill="1" applyBorder="1" applyAlignment="1">
      <alignment horizontal="center" vertical="center" wrapText="1"/>
    </xf>
    <xf numFmtId="0" fontId="4" fillId="4" borderId="9" xfId="5" applyFont="1" applyFill="1" applyBorder="1" applyAlignment="1">
      <alignment horizontal="center" vertical="center" wrapText="1"/>
    </xf>
    <xf numFmtId="0" fontId="4" fillId="4" borderId="0" xfId="5" applyFont="1" applyFill="1" applyAlignment="1">
      <alignment horizontal="center" vertical="center" wrapText="1"/>
    </xf>
    <xf numFmtId="0" fontId="4" fillId="4" borderId="14" xfId="5" applyFont="1" applyFill="1" applyBorder="1" applyAlignment="1">
      <alignment horizontal="center" vertical="center" wrapText="1"/>
    </xf>
    <xf numFmtId="0" fontId="4" fillId="4" borderId="5" xfId="5" applyFont="1" applyFill="1" applyBorder="1" applyAlignment="1">
      <alignment horizontal="center" vertical="center" wrapText="1"/>
    </xf>
    <xf numFmtId="0" fontId="5" fillId="4" borderId="6" xfId="5" applyFont="1" applyFill="1" applyBorder="1" applyAlignment="1">
      <alignment horizontal="center" vertical="center" wrapText="1"/>
    </xf>
    <xf numFmtId="0" fontId="5" fillId="4" borderId="12" xfId="5" applyFont="1" applyFill="1" applyBorder="1" applyAlignment="1">
      <alignment horizontal="center" vertical="center" wrapText="1"/>
    </xf>
    <xf numFmtId="0" fontId="5" fillId="4" borderId="9" xfId="5" applyFont="1" applyFill="1" applyBorder="1" applyAlignment="1">
      <alignment horizontal="center" vertical="center" wrapText="1"/>
    </xf>
    <xf numFmtId="0" fontId="5" fillId="4" borderId="10" xfId="5" applyFont="1" applyFill="1" applyBorder="1" applyAlignment="1">
      <alignment horizontal="center" vertical="center" wrapText="1"/>
    </xf>
    <xf numFmtId="0" fontId="5" fillId="4" borderId="8" xfId="5" applyFont="1" applyFill="1" applyBorder="1" applyAlignment="1">
      <alignment horizontal="center" vertical="center" wrapText="1"/>
    </xf>
    <xf numFmtId="0" fontId="5" fillId="4" borderId="11" xfId="5" applyFont="1" applyFill="1" applyBorder="1" applyAlignment="1">
      <alignment horizontal="center" vertical="center" wrapText="1"/>
    </xf>
    <xf numFmtId="0" fontId="3" fillId="5" borderId="9" xfId="1" applyNumberFormat="1" applyFont="1" applyFill="1" applyBorder="1" applyAlignment="1">
      <alignment horizontal="center" vertical="center" wrapText="1"/>
    </xf>
    <xf numFmtId="0" fontId="3" fillId="0" borderId="6" xfId="1" applyNumberFormat="1" applyFont="1" applyBorder="1" applyAlignment="1">
      <alignment horizontal="center" vertical="center" wrapText="1"/>
    </xf>
    <xf numFmtId="0" fontId="3" fillId="0" borderId="13" xfId="1" applyNumberFormat="1" applyFont="1" applyBorder="1" applyAlignment="1">
      <alignment horizontal="center" vertical="center" wrapText="1"/>
    </xf>
    <xf numFmtId="0" fontId="3" fillId="0" borderId="10" xfId="1" applyNumberFormat="1" applyFont="1" applyBorder="1" applyAlignment="1">
      <alignment horizontal="center" vertical="center" wrapText="1"/>
    </xf>
    <xf numFmtId="0" fontId="3" fillId="4" borderId="4" xfId="5" applyFont="1" applyFill="1" applyBorder="1" applyAlignment="1">
      <alignment horizontal="center" vertical="center" wrapText="1"/>
    </xf>
    <xf numFmtId="0" fontId="3" fillId="4" borderId="5" xfId="5" applyFont="1" applyFill="1" applyBorder="1" applyAlignment="1">
      <alignment horizontal="center" vertical="center" wrapText="1"/>
    </xf>
    <xf numFmtId="0" fontId="3" fillId="4" borderId="7" xfId="5" applyFont="1" applyFill="1" applyBorder="1" applyAlignment="1">
      <alignment horizontal="center" vertical="center" wrapText="1"/>
    </xf>
    <xf numFmtId="0" fontId="4" fillId="4" borderId="7" xfId="5" applyFont="1" applyFill="1" applyBorder="1" applyAlignment="1">
      <alignment horizontal="center" vertical="center" wrapText="1"/>
    </xf>
    <xf numFmtId="0" fontId="5" fillId="4" borderId="4" xfId="5" applyFont="1" applyFill="1" applyBorder="1" applyAlignment="1">
      <alignment horizontal="center" vertical="center" wrapText="1"/>
    </xf>
    <xf numFmtId="0" fontId="5" fillId="4" borderId="5" xfId="5" applyFont="1" applyFill="1" applyBorder="1" applyAlignment="1">
      <alignment horizontal="center" vertical="center" wrapText="1"/>
    </xf>
    <xf numFmtId="0" fontId="5" fillId="4" borderId="7" xfId="5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4" borderId="8" xfId="5" applyFont="1" applyFill="1" applyBorder="1" applyAlignment="1">
      <alignment horizontal="center" vertical="center" wrapText="1"/>
    </xf>
    <xf numFmtId="0" fontId="4" fillId="4" borderId="11" xfId="5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8" borderId="0" xfId="0" applyFont="1" applyFill="1"/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167" fontId="8" fillId="8" borderId="1" xfId="0" applyNumberFormat="1" applyFont="1" applyFill="1" applyBorder="1" applyAlignment="1">
      <alignment horizontal="center"/>
    </xf>
    <xf numFmtId="167" fontId="8" fillId="8" borderId="1" xfId="0" applyNumberFormat="1" applyFont="1" applyFill="1" applyBorder="1"/>
    <xf numFmtId="3" fontId="8" fillId="8" borderId="1" xfId="0" applyNumberFormat="1" applyFont="1" applyFill="1" applyBorder="1"/>
    <xf numFmtId="168" fontId="8" fillId="8" borderId="1" xfId="1" applyNumberFormat="1" applyFont="1" applyFill="1" applyBorder="1"/>
    <xf numFmtId="3" fontId="8" fillId="8" borderId="1" xfId="1" applyNumberFormat="1" applyFont="1" applyFill="1" applyBorder="1"/>
    <xf numFmtId="0" fontId="8" fillId="8" borderId="1" xfId="1" applyNumberFormat="1" applyFont="1" applyFill="1" applyBorder="1"/>
    <xf numFmtId="166" fontId="8" fillId="8" borderId="1" xfId="0" applyNumberFormat="1" applyFont="1" applyFill="1" applyBorder="1"/>
    <xf numFmtId="0" fontId="0" fillId="8" borderId="1" xfId="0" applyFill="1" applyBorder="1"/>
    <xf numFmtId="0" fontId="0" fillId="8" borderId="0" xfId="0" applyFill="1"/>
    <xf numFmtId="3" fontId="9" fillId="8" borderId="3" xfId="0" applyNumberFormat="1" applyFont="1" applyFill="1" applyBorder="1"/>
    <xf numFmtId="3" fontId="9" fillId="8" borderId="1" xfId="0" applyNumberFormat="1" applyFont="1" applyFill="1" applyBorder="1"/>
    <xf numFmtId="166" fontId="9" fillId="8" borderId="1" xfId="0" applyNumberFormat="1" applyFont="1" applyFill="1" applyBorder="1"/>
    <xf numFmtId="166" fontId="0" fillId="8" borderId="1" xfId="0" applyNumberFormat="1" applyFill="1" applyBorder="1"/>
    <xf numFmtId="0" fontId="9" fillId="8" borderId="1" xfId="0" applyFont="1" applyFill="1" applyBorder="1"/>
  </cellXfs>
  <cellStyles count="7">
    <cellStyle name="Comma" xfId="1" builtinId="3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ceive%20File%20Zalo\B&#7843;ng%20l&#432;&#417;ng%20T12+TT.2024%20C&#7911;a%20Li&#234;n.xlsx" TargetMode="External"/><Relationship Id="rId1" Type="http://schemas.openxmlformats.org/officeDocument/2006/relationships/externalLinkPath" Target="/Receive%20File%20Zalo/B&#7843;ng%20l&#432;&#417;ng%20T12+TT.2024%20C&#7911;a%20Li&#234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Payroll Mr Shin"/>
      <sheetName val="Mr. Lim"/>
      <sheetName val="Mr.Moon"/>
      <sheetName val="Mr. Yang"/>
      <sheetName val="Mr. Choi"/>
      <sheetName val="Mr. Hwang"/>
      <sheetName val="Payroll Office"/>
      <sheetName val="Payroll of factory  "/>
      <sheetName val="Payroll of factory (SOI) "/>
      <sheetName val="Payroll of factory (DET).1"/>
      <sheetName val="PHIẾU LƯƠNG"/>
      <sheetName val="PHIẾU LƯƠNG (2)"/>
      <sheetName val="HT Lương + BH"/>
      <sheetName val="Sheet2"/>
      <sheetName val="Sheet1"/>
      <sheetName val="Mr.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">
          <cell r="B10" t="str">
            <v>Nguyễn Minh Đức</v>
          </cell>
        </row>
      </sheetData>
      <sheetData sheetId="8">
        <row r="9">
          <cell r="B9" t="str">
            <v>Nguyễn Thị Hân</v>
          </cell>
        </row>
      </sheetData>
      <sheetData sheetId="9">
        <row r="9">
          <cell r="B9">
            <v>-2</v>
          </cell>
        </row>
      </sheetData>
      <sheetData sheetId="10">
        <row r="10">
          <cell r="B10" t="str">
            <v>Đinh Thị Hải</v>
          </cell>
          <cell r="C10" t="str">
            <v>TT</v>
          </cell>
          <cell r="D10">
            <v>208</v>
          </cell>
          <cell r="E10">
            <v>131.5</v>
          </cell>
          <cell r="F10">
            <v>60.5</v>
          </cell>
          <cell r="G10">
            <v>22</v>
          </cell>
          <cell r="H10">
            <v>50.5</v>
          </cell>
          <cell r="I10">
            <v>16.5</v>
          </cell>
          <cell r="Q10">
            <v>4267000</v>
          </cell>
          <cell r="R10">
            <v>1300000</v>
          </cell>
          <cell r="T10">
            <v>900000</v>
          </cell>
          <cell r="U10">
            <v>0</v>
          </cell>
          <cell r="V10">
            <v>0</v>
          </cell>
          <cell r="W10">
            <v>300000</v>
          </cell>
          <cell r="X10">
            <v>300000</v>
          </cell>
          <cell r="Y10">
            <v>300000</v>
          </cell>
          <cell r="Z10">
            <v>300000</v>
          </cell>
          <cell r="AA10">
            <v>20000</v>
          </cell>
          <cell r="AB10">
            <v>0</v>
          </cell>
          <cell r="AC10">
            <v>500000</v>
          </cell>
          <cell r="AD10">
            <v>286000</v>
          </cell>
          <cell r="AE10">
            <v>0</v>
          </cell>
          <cell r="AF10">
            <v>3880200</v>
          </cell>
          <cell r="AH10">
            <v>0</v>
          </cell>
          <cell r="AI10">
            <v>1406000</v>
          </cell>
          <cell r="AJ10">
            <v>6467000</v>
          </cell>
          <cell r="AK10">
            <v>31091.346153846152</v>
          </cell>
          <cell r="AL10">
            <v>6533846.394230769</v>
          </cell>
          <cell r="AN10">
            <v>2355169.471153846</v>
          </cell>
          <cell r="AO10">
            <v>1000364.0625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3355533.533653846</v>
          </cell>
          <cell r="AY10">
            <v>15175579.927884616</v>
          </cell>
          <cell r="AZ10">
            <v>6467000</v>
          </cell>
          <cell r="BA10">
            <v>1131725</v>
          </cell>
          <cell r="BB10">
            <v>194010</v>
          </cell>
          <cell r="BC10">
            <v>64670</v>
          </cell>
          <cell r="BD10">
            <v>129340</v>
          </cell>
          <cell r="BE10">
            <v>1519745</v>
          </cell>
          <cell r="BF10">
            <v>517360</v>
          </cell>
          <cell r="BG10">
            <v>97005</v>
          </cell>
          <cell r="BH10">
            <v>64670</v>
          </cell>
          <cell r="BI10">
            <v>679035</v>
          </cell>
          <cell r="BJ10">
            <v>11000000</v>
          </cell>
          <cell r="BK10">
            <v>1</v>
          </cell>
          <cell r="BL10">
            <v>4400000</v>
          </cell>
          <cell r="BM10">
            <v>286000</v>
          </cell>
          <cell r="BN10">
            <v>13052858.653846154</v>
          </cell>
          <cell r="BO10">
            <v>0</v>
          </cell>
          <cell r="BP10">
            <v>0</v>
          </cell>
          <cell r="BQ10">
            <v>35000</v>
          </cell>
          <cell r="BS10">
            <v>14461544.927884616</v>
          </cell>
        </row>
        <row r="11">
          <cell r="B11" t="str">
            <v>Hoàng Thị Huyền</v>
          </cell>
          <cell r="C11" t="str">
            <v>TT</v>
          </cell>
          <cell r="D11">
            <v>208</v>
          </cell>
          <cell r="E11">
            <v>142</v>
          </cell>
          <cell r="F11">
            <v>66</v>
          </cell>
          <cell r="G11">
            <v>22</v>
          </cell>
          <cell r="H11">
            <v>51</v>
          </cell>
          <cell r="I11">
            <v>17</v>
          </cell>
          <cell r="Q11">
            <v>4267000</v>
          </cell>
          <cell r="R11">
            <v>1300000</v>
          </cell>
          <cell r="T11">
            <v>600000</v>
          </cell>
          <cell r="U11">
            <v>0</v>
          </cell>
          <cell r="V11">
            <v>0</v>
          </cell>
          <cell r="W11">
            <v>300000</v>
          </cell>
          <cell r="X11">
            <v>300000</v>
          </cell>
          <cell r="Y11">
            <v>300000</v>
          </cell>
          <cell r="Z11">
            <v>300000</v>
          </cell>
          <cell r="AB11">
            <v>0</v>
          </cell>
          <cell r="AC11">
            <v>500000</v>
          </cell>
          <cell r="AD11">
            <v>286000</v>
          </cell>
          <cell r="AE11">
            <v>0</v>
          </cell>
          <cell r="AF11">
            <v>3700200</v>
          </cell>
          <cell r="AI11">
            <v>1386000</v>
          </cell>
          <cell r="AJ11">
            <v>6167000</v>
          </cell>
          <cell r="AK11">
            <v>29649.038461538461</v>
          </cell>
          <cell r="AL11">
            <v>6754050.961538462</v>
          </cell>
          <cell r="AN11">
            <v>2268151.442307692</v>
          </cell>
          <cell r="AO11">
            <v>982865.625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3251017.067307692</v>
          </cell>
          <cell r="AY11">
            <v>15091268.028846154</v>
          </cell>
          <cell r="AZ11">
            <v>6167000</v>
          </cell>
          <cell r="BA11">
            <v>1079225</v>
          </cell>
          <cell r="BB11">
            <v>185010</v>
          </cell>
          <cell r="BC11">
            <v>61670</v>
          </cell>
          <cell r="BD11">
            <v>123340</v>
          </cell>
          <cell r="BE11">
            <v>1449245</v>
          </cell>
          <cell r="BF11">
            <v>493360</v>
          </cell>
          <cell r="BG11">
            <v>92505</v>
          </cell>
          <cell r="BH11">
            <v>61670</v>
          </cell>
          <cell r="BI11">
            <v>647535</v>
          </cell>
          <cell r="BJ11">
            <v>11000000</v>
          </cell>
          <cell r="BK11">
            <v>1</v>
          </cell>
          <cell r="BL11">
            <v>4400000</v>
          </cell>
          <cell r="BM11">
            <v>286000</v>
          </cell>
          <cell r="BN11">
            <v>12983334.615384616</v>
          </cell>
          <cell r="BO11">
            <v>0</v>
          </cell>
          <cell r="BP11">
            <v>0</v>
          </cell>
          <cell r="BQ11">
            <v>35000</v>
          </cell>
          <cell r="BS11">
            <v>14408733.028846154</v>
          </cell>
        </row>
        <row r="12">
          <cell r="B12" t="str">
            <v>Đỗ Huyền Chang</v>
          </cell>
          <cell r="C12" t="str">
            <v>TT</v>
          </cell>
          <cell r="D12">
            <v>208</v>
          </cell>
          <cell r="E12">
            <v>8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Q12">
            <v>4267000</v>
          </cell>
          <cell r="R12">
            <v>1300000</v>
          </cell>
          <cell r="T12">
            <v>900000</v>
          </cell>
          <cell r="U12">
            <v>0</v>
          </cell>
          <cell r="V12">
            <v>0</v>
          </cell>
          <cell r="W12">
            <v>300000</v>
          </cell>
          <cell r="X12">
            <v>0</v>
          </cell>
          <cell r="Y12">
            <v>300000</v>
          </cell>
          <cell r="Z12">
            <v>0</v>
          </cell>
          <cell r="AA12">
            <v>20000</v>
          </cell>
          <cell r="AB12">
            <v>0</v>
          </cell>
          <cell r="AC12">
            <v>0</v>
          </cell>
          <cell r="AD12">
            <v>0</v>
          </cell>
          <cell r="AE12">
            <v>100000</v>
          </cell>
          <cell r="AF12">
            <v>1717800</v>
          </cell>
          <cell r="AI12">
            <v>120000</v>
          </cell>
          <cell r="AJ12">
            <v>6467000</v>
          </cell>
          <cell r="AK12">
            <v>31091.346153846152</v>
          </cell>
          <cell r="AL12">
            <v>248730.76923076922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Y12">
            <v>2086530.7692307692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11000000</v>
          </cell>
          <cell r="BL12">
            <v>0</v>
          </cell>
          <cell r="BM12">
            <v>0</v>
          </cell>
          <cell r="BN12">
            <v>2086530.7692307692</v>
          </cell>
          <cell r="BO12">
            <v>0</v>
          </cell>
          <cell r="BP12">
            <v>0</v>
          </cell>
          <cell r="BQ12">
            <v>35000</v>
          </cell>
          <cell r="BS12">
            <v>2051530.7692307692</v>
          </cell>
        </row>
        <row r="13">
          <cell r="B13" t="str">
            <v>Phan Đức Toàn</v>
          </cell>
          <cell r="C13" t="str">
            <v>TP</v>
          </cell>
          <cell r="D13">
            <v>208</v>
          </cell>
          <cell r="E13">
            <v>192</v>
          </cell>
          <cell r="F13">
            <v>0</v>
          </cell>
          <cell r="G13">
            <v>21</v>
          </cell>
          <cell r="H13">
            <v>66</v>
          </cell>
          <cell r="Q13">
            <v>4267000</v>
          </cell>
          <cell r="R13">
            <v>800000</v>
          </cell>
          <cell r="T13">
            <v>900000</v>
          </cell>
          <cell r="U13">
            <v>0</v>
          </cell>
          <cell r="V13">
            <v>0</v>
          </cell>
          <cell r="W13">
            <v>300000</v>
          </cell>
          <cell r="X13">
            <v>300000</v>
          </cell>
          <cell r="Y13">
            <v>300000</v>
          </cell>
          <cell r="Z13">
            <v>300000</v>
          </cell>
          <cell r="AB13">
            <v>0</v>
          </cell>
          <cell r="AC13">
            <v>500000</v>
          </cell>
          <cell r="AD13">
            <v>273000</v>
          </cell>
          <cell r="AE13">
            <v>0</v>
          </cell>
          <cell r="AF13">
            <v>3580200</v>
          </cell>
          <cell r="AI13">
            <v>1373000</v>
          </cell>
          <cell r="AJ13">
            <v>5967000</v>
          </cell>
          <cell r="AK13">
            <v>28687.5</v>
          </cell>
          <cell r="AL13">
            <v>5508000</v>
          </cell>
          <cell r="AN13">
            <v>2840062.5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2840062.5</v>
          </cell>
          <cell r="AY13">
            <v>13301262.5</v>
          </cell>
          <cell r="AZ13">
            <v>5967000</v>
          </cell>
          <cell r="BA13">
            <v>1044224.9999999999</v>
          </cell>
          <cell r="BB13">
            <v>179010</v>
          </cell>
          <cell r="BC13">
            <v>59670</v>
          </cell>
          <cell r="BD13">
            <v>119340</v>
          </cell>
          <cell r="BE13">
            <v>1402245</v>
          </cell>
          <cell r="BF13">
            <v>477360</v>
          </cell>
          <cell r="BG13">
            <v>89505</v>
          </cell>
          <cell r="BH13">
            <v>59670</v>
          </cell>
          <cell r="BI13">
            <v>626535</v>
          </cell>
          <cell r="BJ13">
            <v>11000000</v>
          </cell>
          <cell r="BK13">
            <v>1</v>
          </cell>
          <cell r="BL13">
            <v>4400000</v>
          </cell>
          <cell r="BM13">
            <v>273000</v>
          </cell>
          <cell r="BN13">
            <v>12081575</v>
          </cell>
          <cell r="BO13">
            <v>0</v>
          </cell>
          <cell r="BP13">
            <v>0</v>
          </cell>
          <cell r="BQ13">
            <v>35000</v>
          </cell>
          <cell r="BS13">
            <v>12639727.5</v>
          </cell>
        </row>
        <row r="14">
          <cell r="B14" t="str">
            <v>Vũ Hồng Sơn</v>
          </cell>
          <cell r="C14" t="str">
            <v>TP</v>
          </cell>
          <cell r="D14">
            <v>208</v>
          </cell>
          <cell r="E14">
            <v>178</v>
          </cell>
          <cell r="F14">
            <v>22</v>
          </cell>
          <cell r="G14">
            <v>22</v>
          </cell>
          <cell r="H14">
            <v>62</v>
          </cell>
          <cell r="I14">
            <v>6</v>
          </cell>
          <cell r="Q14">
            <v>4267000</v>
          </cell>
          <cell r="R14">
            <v>800000</v>
          </cell>
          <cell r="T14">
            <v>900000</v>
          </cell>
          <cell r="U14">
            <v>0</v>
          </cell>
          <cell r="V14">
            <v>0</v>
          </cell>
          <cell r="W14">
            <v>300000</v>
          </cell>
          <cell r="X14">
            <v>300000</v>
          </cell>
          <cell r="Y14">
            <v>300000</v>
          </cell>
          <cell r="Z14">
            <v>300000</v>
          </cell>
          <cell r="AB14">
            <v>0</v>
          </cell>
          <cell r="AC14">
            <v>500000</v>
          </cell>
          <cell r="AD14">
            <v>286000</v>
          </cell>
          <cell r="AE14">
            <v>0</v>
          </cell>
          <cell r="AF14">
            <v>3580200</v>
          </cell>
          <cell r="AI14">
            <v>1386000</v>
          </cell>
          <cell r="AJ14">
            <v>5967000</v>
          </cell>
          <cell r="AK14">
            <v>28687.5</v>
          </cell>
          <cell r="AL14">
            <v>5926837.5</v>
          </cell>
          <cell r="AN14">
            <v>2667937.5</v>
          </cell>
          <cell r="AO14">
            <v>335643.75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3003581.25</v>
          </cell>
          <cell r="AY14">
            <v>13896618.75</v>
          </cell>
          <cell r="AZ14">
            <v>5967000</v>
          </cell>
          <cell r="BA14">
            <v>1044224.9999999999</v>
          </cell>
          <cell r="BB14">
            <v>179010</v>
          </cell>
          <cell r="BC14">
            <v>59670</v>
          </cell>
          <cell r="BD14">
            <v>119340</v>
          </cell>
          <cell r="BE14">
            <v>1402245</v>
          </cell>
          <cell r="BF14">
            <v>477360</v>
          </cell>
          <cell r="BG14">
            <v>89505</v>
          </cell>
          <cell r="BH14">
            <v>59670</v>
          </cell>
          <cell r="BI14">
            <v>626535</v>
          </cell>
          <cell r="BJ14">
            <v>11000000</v>
          </cell>
          <cell r="BL14">
            <v>0</v>
          </cell>
          <cell r="BM14">
            <v>286000</v>
          </cell>
          <cell r="BN14">
            <v>12368450</v>
          </cell>
          <cell r="BO14">
            <v>741915</v>
          </cell>
          <cell r="BP14">
            <v>37096</v>
          </cell>
          <cell r="BQ14">
            <v>35000</v>
          </cell>
          <cell r="BS14">
            <v>13197987.75</v>
          </cell>
        </row>
        <row r="15">
          <cell r="B15" t="str">
            <v>Võ Thị Hồng Loan</v>
          </cell>
          <cell r="C15" t="str">
            <v>TP</v>
          </cell>
          <cell r="D15">
            <v>208</v>
          </cell>
          <cell r="E15">
            <v>142</v>
          </cell>
          <cell r="F15">
            <v>66</v>
          </cell>
          <cell r="G15">
            <v>22</v>
          </cell>
          <cell r="H15">
            <v>51.5</v>
          </cell>
          <cell r="I15">
            <v>17</v>
          </cell>
          <cell r="Q15">
            <v>4267000</v>
          </cell>
          <cell r="R15">
            <v>800000</v>
          </cell>
          <cell r="T15">
            <v>600000</v>
          </cell>
          <cell r="U15">
            <v>0</v>
          </cell>
          <cell r="V15">
            <v>0</v>
          </cell>
          <cell r="W15">
            <v>300000</v>
          </cell>
          <cell r="X15">
            <v>300000</v>
          </cell>
          <cell r="Y15">
            <v>300000</v>
          </cell>
          <cell r="Z15">
            <v>300000</v>
          </cell>
          <cell r="AB15">
            <v>0</v>
          </cell>
          <cell r="AC15">
            <v>500000</v>
          </cell>
          <cell r="AD15">
            <v>286000</v>
          </cell>
          <cell r="AE15">
            <v>0</v>
          </cell>
          <cell r="AF15">
            <v>3400200</v>
          </cell>
          <cell r="AI15">
            <v>1386000</v>
          </cell>
          <cell r="AJ15">
            <v>5667000</v>
          </cell>
          <cell r="AK15">
            <v>27245.192307692309</v>
          </cell>
          <cell r="AL15">
            <v>6206454.807692308</v>
          </cell>
          <cell r="AN15">
            <v>2104691.105769231</v>
          </cell>
          <cell r="AO15">
            <v>903178.12500000012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3007869.230769231</v>
          </cell>
          <cell r="AY15">
            <v>14000524.03846154</v>
          </cell>
          <cell r="AZ15">
            <v>5667000</v>
          </cell>
          <cell r="BA15">
            <v>991724.99999999988</v>
          </cell>
          <cell r="BB15">
            <v>170010</v>
          </cell>
          <cell r="BC15">
            <v>56670</v>
          </cell>
          <cell r="BD15">
            <v>113340</v>
          </cell>
          <cell r="BE15">
            <v>1331745</v>
          </cell>
          <cell r="BF15">
            <v>453360</v>
          </cell>
          <cell r="BG15">
            <v>85005</v>
          </cell>
          <cell r="BH15">
            <v>56670</v>
          </cell>
          <cell r="BI15">
            <v>595035</v>
          </cell>
          <cell r="BJ15">
            <v>11000000</v>
          </cell>
          <cell r="BK15">
            <v>1</v>
          </cell>
          <cell r="BL15">
            <v>4400000</v>
          </cell>
          <cell r="BM15">
            <v>286000</v>
          </cell>
          <cell r="BN15">
            <v>12033495.673076926</v>
          </cell>
          <cell r="BO15">
            <v>0</v>
          </cell>
          <cell r="BP15">
            <v>0</v>
          </cell>
          <cell r="BQ15">
            <v>35000</v>
          </cell>
          <cell r="BS15">
            <v>13370489.03846154</v>
          </cell>
        </row>
        <row r="16">
          <cell r="B16" t="str">
            <v>Nguyễn Thị Huyền</v>
          </cell>
          <cell r="C16" t="str">
            <v>TP</v>
          </cell>
          <cell r="D16">
            <v>208</v>
          </cell>
          <cell r="E16">
            <v>147.5</v>
          </cell>
          <cell r="F16">
            <v>60.5</v>
          </cell>
          <cell r="G16">
            <v>23</v>
          </cell>
          <cell r="H16">
            <v>53</v>
          </cell>
          <cell r="I16">
            <v>16.5</v>
          </cell>
          <cell r="Q16">
            <v>4267000</v>
          </cell>
          <cell r="R16">
            <v>800000</v>
          </cell>
          <cell r="T16">
            <v>600000</v>
          </cell>
          <cell r="U16">
            <v>0</v>
          </cell>
          <cell r="V16">
            <v>0</v>
          </cell>
          <cell r="W16">
            <v>300000</v>
          </cell>
          <cell r="X16">
            <v>300000</v>
          </cell>
          <cell r="Y16">
            <v>300000</v>
          </cell>
          <cell r="Z16">
            <v>300000</v>
          </cell>
          <cell r="AB16">
            <v>0</v>
          </cell>
          <cell r="AC16">
            <v>500000</v>
          </cell>
          <cell r="AD16">
            <v>299000</v>
          </cell>
          <cell r="AE16">
            <v>100000</v>
          </cell>
          <cell r="AF16">
            <v>3400200</v>
          </cell>
          <cell r="AI16">
            <v>1499000</v>
          </cell>
          <cell r="AJ16">
            <v>5667000</v>
          </cell>
          <cell r="AK16">
            <v>27245.192307692309</v>
          </cell>
          <cell r="AL16">
            <v>6161500.240384616</v>
          </cell>
          <cell r="AN16">
            <v>2165992.7884615385</v>
          </cell>
          <cell r="AO16">
            <v>876614.0625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3042606.8509615385</v>
          </cell>
          <cell r="AY16">
            <v>14103307.091346154</v>
          </cell>
          <cell r="AZ16">
            <v>5667000</v>
          </cell>
          <cell r="BA16">
            <v>991724.99999999988</v>
          </cell>
          <cell r="BB16">
            <v>170010</v>
          </cell>
          <cell r="BC16">
            <v>56670</v>
          </cell>
          <cell r="BD16">
            <v>113340</v>
          </cell>
          <cell r="BE16">
            <v>1331745</v>
          </cell>
          <cell r="BF16">
            <v>453360</v>
          </cell>
          <cell r="BG16">
            <v>85005</v>
          </cell>
          <cell r="BH16">
            <v>56670</v>
          </cell>
          <cell r="BI16">
            <v>595035</v>
          </cell>
          <cell r="BJ16">
            <v>11000000</v>
          </cell>
          <cell r="BK16">
            <v>1</v>
          </cell>
          <cell r="BL16">
            <v>4400000</v>
          </cell>
          <cell r="BM16">
            <v>299000</v>
          </cell>
          <cell r="BN16">
            <v>12160740.865384616</v>
          </cell>
          <cell r="BO16">
            <v>0</v>
          </cell>
          <cell r="BP16">
            <v>0</v>
          </cell>
          <cell r="BQ16">
            <v>35000</v>
          </cell>
          <cell r="BS16">
            <v>13473272.091346154</v>
          </cell>
        </row>
        <row r="17">
          <cell r="B17" t="str">
            <v>Mai Văn Sáng</v>
          </cell>
          <cell r="C17" t="str">
            <v xml:space="preserve"> CN </v>
          </cell>
          <cell r="D17">
            <v>208</v>
          </cell>
          <cell r="E17">
            <v>126</v>
          </cell>
          <cell r="F17">
            <v>66</v>
          </cell>
          <cell r="G17">
            <v>21</v>
          </cell>
          <cell r="H17">
            <v>47.5</v>
          </cell>
          <cell r="I17">
            <v>17</v>
          </cell>
          <cell r="Q17">
            <v>4267000</v>
          </cell>
          <cell r="R17">
            <v>300000</v>
          </cell>
          <cell r="T17">
            <v>600000</v>
          </cell>
          <cell r="U17">
            <v>0</v>
          </cell>
          <cell r="V17">
            <v>0</v>
          </cell>
          <cell r="W17">
            <v>300000</v>
          </cell>
          <cell r="X17">
            <v>300000</v>
          </cell>
          <cell r="Y17">
            <v>300000</v>
          </cell>
          <cell r="Z17">
            <v>300000</v>
          </cell>
          <cell r="AB17">
            <v>0</v>
          </cell>
          <cell r="AC17">
            <v>500000</v>
          </cell>
          <cell r="AD17">
            <v>273000</v>
          </cell>
          <cell r="AE17">
            <v>0</v>
          </cell>
          <cell r="AF17">
            <v>3100200</v>
          </cell>
          <cell r="AI17">
            <v>1373000</v>
          </cell>
          <cell r="AJ17">
            <v>5167000</v>
          </cell>
          <cell r="AK17">
            <v>24841.346153846152</v>
          </cell>
          <cell r="AL17">
            <v>5261397.115384615</v>
          </cell>
          <cell r="AN17">
            <v>1769945.9134615385</v>
          </cell>
          <cell r="AO17">
            <v>823490.625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2593436.5384615385</v>
          </cell>
          <cell r="AY17">
            <v>12328033.653846154</v>
          </cell>
          <cell r="AZ17">
            <v>5167000</v>
          </cell>
          <cell r="BA17">
            <v>904225</v>
          </cell>
          <cell r="BB17">
            <v>155010</v>
          </cell>
          <cell r="BC17">
            <v>51670</v>
          </cell>
          <cell r="BD17">
            <v>103340</v>
          </cell>
          <cell r="BE17">
            <v>1214245</v>
          </cell>
          <cell r="BF17">
            <v>413360</v>
          </cell>
          <cell r="BG17">
            <v>77505</v>
          </cell>
          <cell r="BH17">
            <v>51670</v>
          </cell>
          <cell r="BI17">
            <v>542535</v>
          </cell>
          <cell r="BJ17">
            <v>11000000</v>
          </cell>
          <cell r="BL17">
            <v>0</v>
          </cell>
          <cell r="BM17">
            <v>273000</v>
          </cell>
          <cell r="BN17">
            <v>10572005.288461538</v>
          </cell>
          <cell r="BO17">
            <v>0</v>
          </cell>
          <cell r="BP17">
            <v>0</v>
          </cell>
          <cell r="BQ17">
            <v>35000</v>
          </cell>
          <cell r="BS17">
            <v>11750498.653846154</v>
          </cell>
        </row>
        <row r="18">
          <cell r="B18" t="str">
            <v>Đinh Thị Hương (Từ 01-21/12)</v>
          </cell>
          <cell r="C18" t="str">
            <v xml:space="preserve"> CN</v>
          </cell>
          <cell r="D18">
            <v>208</v>
          </cell>
          <cell r="E18">
            <v>144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Q18">
            <v>4267000</v>
          </cell>
          <cell r="R18">
            <v>300000</v>
          </cell>
          <cell r="T18">
            <v>600000</v>
          </cell>
          <cell r="U18">
            <v>0</v>
          </cell>
          <cell r="V18">
            <v>0</v>
          </cell>
          <cell r="W18">
            <v>300000</v>
          </cell>
          <cell r="X18">
            <v>0</v>
          </cell>
          <cell r="Y18">
            <v>300000</v>
          </cell>
          <cell r="Z18">
            <v>0</v>
          </cell>
          <cell r="AA18">
            <v>20000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1640100</v>
          </cell>
          <cell r="AI18">
            <v>20000</v>
          </cell>
          <cell r="AJ18">
            <v>5167000</v>
          </cell>
          <cell r="AK18">
            <v>24841.346153846152</v>
          </cell>
          <cell r="AL18">
            <v>3577153.846153846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Y18">
            <v>5237253.846153846</v>
          </cell>
          <cell r="AZ18">
            <v>5167000</v>
          </cell>
          <cell r="BA18">
            <v>904225</v>
          </cell>
          <cell r="BB18">
            <v>155010</v>
          </cell>
          <cell r="BC18">
            <v>51670</v>
          </cell>
          <cell r="BD18">
            <v>103340</v>
          </cell>
          <cell r="BE18">
            <v>1214245</v>
          </cell>
          <cell r="BF18">
            <v>413360</v>
          </cell>
          <cell r="BG18">
            <v>77505</v>
          </cell>
          <cell r="BH18">
            <v>51670</v>
          </cell>
          <cell r="BI18">
            <v>542535</v>
          </cell>
          <cell r="BJ18">
            <v>11000000</v>
          </cell>
          <cell r="BL18">
            <v>0</v>
          </cell>
          <cell r="BM18">
            <v>0</v>
          </cell>
          <cell r="BN18">
            <v>5237253.846153846</v>
          </cell>
          <cell r="BO18">
            <v>0</v>
          </cell>
          <cell r="BP18">
            <v>0</v>
          </cell>
          <cell r="BQ18">
            <v>35000</v>
          </cell>
          <cell r="BS18">
            <v>4659718.846153846</v>
          </cell>
        </row>
        <row r="19">
          <cell r="B19" t="str">
            <v>Đinh Thị Hương (Từ 22-31/12)</v>
          </cell>
          <cell r="C19" t="str">
            <v xml:space="preserve"> CN</v>
          </cell>
          <cell r="D19">
            <v>208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Q19">
            <v>4267000</v>
          </cell>
          <cell r="R19">
            <v>300000</v>
          </cell>
          <cell r="T19">
            <v>900000</v>
          </cell>
          <cell r="U19">
            <v>0</v>
          </cell>
          <cell r="V19">
            <v>0</v>
          </cell>
          <cell r="W19">
            <v>300000</v>
          </cell>
          <cell r="X19">
            <v>0</v>
          </cell>
          <cell r="Y19">
            <v>300000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I19">
            <v>0</v>
          </cell>
          <cell r="AJ19">
            <v>5467000</v>
          </cell>
          <cell r="AK19">
            <v>26283.653846153848</v>
          </cell>
          <cell r="AL19">
            <v>105134.61538461539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Y19">
            <v>105134.61538461539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11000000</v>
          </cell>
          <cell r="BL19">
            <v>0</v>
          </cell>
          <cell r="BM19">
            <v>0</v>
          </cell>
          <cell r="BN19">
            <v>105134.61538461539</v>
          </cell>
          <cell r="BO19">
            <v>0</v>
          </cell>
          <cell r="BP19">
            <v>0</v>
          </cell>
          <cell r="BS19">
            <v>105134.61538461539</v>
          </cell>
        </row>
        <row r="20">
          <cell r="B20" t="str">
            <v>Đinh Việt Anh</v>
          </cell>
          <cell r="C20" t="str">
            <v>CN</v>
          </cell>
          <cell r="D20">
            <v>208</v>
          </cell>
          <cell r="E20">
            <v>128</v>
          </cell>
          <cell r="F20">
            <v>49</v>
          </cell>
          <cell r="G20">
            <v>19</v>
          </cell>
          <cell r="H20">
            <v>48</v>
          </cell>
          <cell r="I20">
            <v>13.5</v>
          </cell>
          <cell r="Q20">
            <v>4267000</v>
          </cell>
          <cell r="R20">
            <v>0</v>
          </cell>
          <cell r="T20">
            <v>300000</v>
          </cell>
          <cell r="U20">
            <v>0</v>
          </cell>
          <cell r="V20">
            <v>0</v>
          </cell>
          <cell r="W20">
            <v>300000</v>
          </cell>
          <cell r="X20">
            <v>300000</v>
          </cell>
          <cell r="Y20">
            <v>300000</v>
          </cell>
          <cell r="Z20">
            <v>300000</v>
          </cell>
          <cell r="AB20">
            <v>0</v>
          </cell>
          <cell r="AC20">
            <v>0</v>
          </cell>
          <cell r="AD20">
            <v>247000</v>
          </cell>
          <cell r="AE20">
            <v>0</v>
          </cell>
          <cell r="AF20">
            <v>2740200</v>
          </cell>
          <cell r="AI20">
            <v>847000</v>
          </cell>
          <cell r="AJ20">
            <v>4567000</v>
          </cell>
          <cell r="AK20">
            <v>21956.73076923077</v>
          </cell>
          <cell r="AL20">
            <v>4209105.288461538</v>
          </cell>
          <cell r="AN20">
            <v>1580884.6153846155</v>
          </cell>
          <cell r="AO20">
            <v>578010.9375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2158895.5528846155</v>
          </cell>
          <cell r="AY20">
            <v>9955200.841346154</v>
          </cell>
          <cell r="AZ20">
            <v>4567000</v>
          </cell>
          <cell r="BA20">
            <v>799225</v>
          </cell>
          <cell r="BB20">
            <v>137010</v>
          </cell>
          <cell r="BC20">
            <v>45670</v>
          </cell>
          <cell r="BD20">
            <v>91340</v>
          </cell>
          <cell r="BE20">
            <v>1073245</v>
          </cell>
          <cell r="BF20">
            <v>365360</v>
          </cell>
          <cell r="BG20">
            <v>68505</v>
          </cell>
          <cell r="BH20">
            <v>45670</v>
          </cell>
          <cell r="BI20">
            <v>479535</v>
          </cell>
          <cell r="BJ20">
            <v>11000000</v>
          </cell>
          <cell r="BL20">
            <v>0</v>
          </cell>
          <cell r="BM20">
            <v>247000</v>
          </cell>
          <cell r="BN20">
            <v>8576880.2884615399</v>
          </cell>
          <cell r="BO20">
            <v>0</v>
          </cell>
          <cell r="BP20">
            <v>0</v>
          </cell>
          <cell r="BQ20">
            <v>35000</v>
          </cell>
          <cell r="BS20">
            <v>9440665.841346154</v>
          </cell>
        </row>
        <row r="21">
          <cell r="B21" t="str">
            <v>Phạm Văn Sỹ</v>
          </cell>
          <cell r="C21" t="str">
            <v>CN</v>
          </cell>
          <cell r="D21">
            <v>208</v>
          </cell>
          <cell r="E21">
            <v>134</v>
          </cell>
          <cell r="F21">
            <v>66</v>
          </cell>
          <cell r="G21">
            <v>20</v>
          </cell>
          <cell r="H21">
            <v>44.5</v>
          </cell>
          <cell r="I21">
            <v>17</v>
          </cell>
          <cell r="Q21">
            <v>4267000</v>
          </cell>
          <cell r="R21">
            <v>0</v>
          </cell>
          <cell r="T21">
            <v>300000</v>
          </cell>
          <cell r="U21">
            <v>0</v>
          </cell>
          <cell r="V21">
            <v>0</v>
          </cell>
          <cell r="W21">
            <v>300000</v>
          </cell>
          <cell r="X21">
            <v>300000</v>
          </cell>
          <cell r="Y21">
            <v>300000</v>
          </cell>
          <cell r="Z21">
            <v>300000</v>
          </cell>
          <cell r="AB21">
            <v>0</v>
          </cell>
          <cell r="AC21">
            <v>500000</v>
          </cell>
          <cell r="AD21">
            <v>260000</v>
          </cell>
          <cell r="AE21">
            <v>0</v>
          </cell>
          <cell r="AF21">
            <v>2740200</v>
          </cell>
          <cell r="AI21">
            <v>1360000</v>
          </cell>
          <cell r="AJ21">
            <v>4567000</v>
          </cell>
          <cell r="AK21">
            <v>21956.73076923077</v>
          </cell>
          <cell r="AL21">
            <v>4826089.423076923</v>
          </cell>
          <cell r="AN21">
            <v>1465611.778846154</v>
          </cell>
          <cell r="AO21">
            <v>727865.625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2193477.403846154</v>
          </cell>
          <cell r="AY21">
            <v>11119766.826923076</v>
          </cell>
          <cell r="AZ21">
            <v>4567000</v>
          </cell>
          <cell r="BA21">
            <v>799225</v>
          </cell>
          <cell r="BB21">
            <v>137010</v>
          </cell>
          <cell r="BC21">
            <v>45670</v>
          </cell>
          <cell r="BD21">
            <v>91340</v>
          </cell>
          <cell r="BE21">
            <v>1073245</v>
          </cell>
          <cell r="BF21">
            <v>365360</v>
          </cell>
          <cell r="BG21">
            <v>68505</v>
          </cell>
          <cell r="BH21">
            <v>45670</v>
          </cell>
          <cell r="BI21">
            <v>479535</v>
          </cell>
          <cell r="BJ21">
            <v>11000000</v>
          </cell>
          <cell r="BL21">
            <v>0</v>
          </cell>
          <cell r="BM21">
            <v>260000</v>
          </cell>
          <cell r="BN21">
            <v>9581885.096153846</v>
          </cell>
          <cell r="BO21">
            <v>0</v>
          </cell>
          <cell r="BP21">
            <v>0</v>
          </cell>
          <cell r="BQ21">
            <v>35000</v>
          </cell>
          <cell r="BS21">
            <v>10605231.826923076</v>
          </cell>
        </row>
        <row r="22">
          <cell r="B22" t="str">
            <v>Trần Thị Hoa</v>
          </cell>
          <cell r="C22" t="str">
            <v>CN</v>
          </cell>
          <cell r="D22">
            <v>208</v>
          </cell>
          <cell r="E22">
            <v>126</v>
          </cell>
          <cell r="F22">
            <v>66</v>
          </cell>
          <cell r="G22">
            <v>19</v>
          </cell>
          <cell r="H22">
            <v>40.5</v>
          </cell>
          <cell r="I22">
            <v>17</v>
          </cell>
          <cell r="Q22">
            <v>4267000</v>
          </cell>
          <cell r="R22">
            <v>0</v>
          </cell>
          <cell r="T22">
            <v>300000</v>
          </cell>
          <cell r="U22">
            <v>0</v>
          </cell>
          <cell r="V22">
            <v>0</v>
          </cell>
          <cell r="W22">
            <v>300000</v>
          </cell>
          <cell r="X22">
            <v>300000</v>
          </cell>
          <cell r="Y22">
            <v>300000</v>
          </cell>
          <cell r="Z22">
            <v>300000</v>
          </cell>
          <cell r="AB22">
            <v>0</v>
          </cell>
          <cell r="AC22">
            <v>500000</v>
          </cell>
          <cell r="AD22">
            <v>247000</v>
          </cell>
          <cell r="AE22">
            <v>0</v>
          </cell>
          <cell r="AF22">
            <v>2740200</v>
          </cell>
          <cell r="AI22">
            <v>1347000</v>
          </cell>
          <cell r="AJ22">
            <v>4567000</v>
          </cell>
          <cell r="AK22">
            <v>21956.73076923077</v>
          </cell>
          <cell r="AL22">
            <v>4650435.576923077</v>
          </cell>
          <cell r="AN22">
            <v>1333871.3942307692</v>
          </cell>
          <cell r="AO22">
            <v>727865.625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2061737.0192307692</v>
          </cell>
          <cell r="AY22">
            <v>10799372.596153846</v>
          </cell>
          <cell r="AZ22">
            <v>4567000</v>
          </cell>
          <cell r="BA22">
            <v>799225</v>
          </cell>
          <cell r="BB22">
            <v>137010</v>
          </cell>
          <cell r="BC22">
            <v>45670</v>
          </cell>
          <cell r="BD22">
            <v>91340</v>
          </cell>
          <cell r="BE22">
            <v>1073245</v>
          </cell>
          <cell r="BF22">
            <v>365360</v>
          </cell>
          <cell r="BG22">
            <v>68505</v>
          </cell>
          <cell r="BH22">
            <v>45670</v>
          </cell>
          <cell r="BI22">
            <v>479535</v>
          </cell>
          <cell r="BJ22">
            <v>11000000</v>
          </cell>
          <cell r="BL22">
            <v>0</v>
          </cell>
          <cell r="BM22">
            <v>247000</v>
          </cell>
          <cell r="BN22">
            <v>9318404.3269230761</v>
          </cell>
          <cell r="BO22">
            <v>0</v>
          </cell>
          <cell r="BP22">
            <v>0</v>
          </cell>
          <cell r="BQ22">
            <v>35000</v>
          </cell>
          <cell r="BS22">
            <v>10284837.596153846</v>
          </cell>
        </row>
        <row r="23">
          <cell r="B23" t="str">
            <v>Hoàng Thị Tuyết Nhung</v>
          </cell>
          <cell r="C23" t="str">
            <v>CN</v>
          </cell>
          <cell r="D23">
            <v>208</v>
          </cell>
          <cell r="E23">
            <v>126</v>
          </cell>
          <cell r="F23">
            <v>66</v>
          </cell>
          <cell r="G23">
            <v>22</v>
          </cell>
          <cell r="H23">
            <v>49.5</v>
          </cell>
          <cell r="I23">
            <v>17</v>
          </cell>
          <cell r="Q23">
            <v>4267000</v>
          </cell>
          <cell r="R23">
            <v>0</v>
          </cell>
          <cell r="T23">
            <v>300000</v>
          </cell>
          <cell r="U23">
            <v>0</v>
          </cell>
          <cell r="V23">
            <v>0</v>
          </cell>
          <cell r="W23">
            <v>300000</v>
          </cell>
          <cell r="X23">
            <v>300000</v>
          </cell>
          <cell r="Y23">
            <v>300000</v>
          </cell>
          <cell r="Z23">
            <v>300000</v>
          </cell>
          <cell r="AB23">
            <v>0</v>
          </cell>
          <cell r="AC23">
            <v>500000</v>
          </cell>
          <cell r="AD23">
            <v>286000</v>
          </cell>
          <cell r="AE23">
            <v>0</v>
          </cell>
          <cell r="AF23">
            <v>2740200</v>
          </cell>
          <cell r="AI23">
            <v>1386000</v>
          </cell>
          <cell r="AJ23">
            <v>4567000</v>
          </cell>
          <cell r="AK23">
            <v>21956.73076923077</v>
          </cell>
          <cell r="AL23">
            <v>4650435.576923077</v>
          </cell>
          <cell r="AN23">
            <v>1630287.2596153845</v>
          </cell>
          <cell r="AO23">
            <v>727865.625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2358152.8846153845</v>
          </cell>
          <cell r="AY23">
            <v>11134788.461538462</v>
          </cell>
          <cell r="AZ23">
            <v>4567000</v>
          </cell>
          <cell r="BA23">
            <v>799225</v>
          </cell>
          <cell r="BB23">
            <v>137010</v>
          </cell>
          <cell r="BC23">
            <v>45670</v>
          </cell>
          <cell r="BD23">
            <v>91340</v>
          </cell>
          <cell r="BE23">
            <v>1073245</v>
          </cell>
          <cell r="BF23">
            <v>365360</v>
          </cell>
          <cell r="BG23">
            <v>68505</v>
          </cell>
          <cell r="BH23">
            <v>45670</v>
          </cell>
          <cell r="BI23">
            <v>479535</v>
          </cell>
          <cell r="BJ23">
            <v>11000000</v>
          </cell>
          <cell r="BL23">
            <v>0</v>
          </cell>
          <cell r="BM23">
            <v>286000</v>
          </cell>
          <cell r="BN23">
            <v>9516014.903846154</v>
          </cell>
          <cell r="BO23">
            <v>0</v>
          </cell>
          <cell r="BP23">
            <v>0</v>
          </cell>
          <cell r="BQ23">
            <v>35000</v>
          </cell>
          <cell r="BS23">
            <v>10620253.461538462</v>
          </cell>
        </row>
        <row r="24">
          <cell r="B24" t="str">
            <v>Hà Đăng Cao</v>
          </cell>
          <cell r="C24" t="str">
            <v>CN</v>
          </cell>
          <cell r="D24">
            <v>208</v>
          </cell>
          <cell r="E24">
            <v>110</v>
          </cell>
          <cell r="F24">
            <v>66</v>
          </cell>
          <cell r="G24">
            <v>19</v>
          </cell>
          <cell r="H24">
            <v>40.5</v>
          </cell>
          <cell r="I24">
            <v>17</v>
          </cell>
          <cell r="Q24">
            <v>4267000</v>
          </cell>
          <cell r="R24">
            <v>0</v>
          </cell>
          <cell r="T24">
            <v>300000</v>
          </cell>
          <cell r="U24">
            <v>0</v>
          </cell>
          <cell r="V24">
            <v>0</v>
          </cell>
          <cell r="W24">
            <v>300000</v>
          </cell>
          <cell r="X24">
            <v>300000</v>
          </cell>
          <cell r="Y24">
            <v>300000</v>
          </cell>
          <cell r="Z24">
            <v>300000</v>
          </cell>
          <cell r="AB24">
            <v>0</v>
          </cell>
          <cell r="AC24">
            <v>0</v>
          </cell>
          <cell r="AD24">
            <v>247000</v>
          </cell>
          <cell r="AE24">
            <v>0</v>
          </cell>
          <cell r="AF24">
            <v>2740200</v>
          </cell>
          <cell r="AI24">
            <v>847000</v>
          </cell>
          <cell r="AJ24">
            <v>4567000</v>
          </cell>
          <cell r="AK24">
            <v>21956.73076923077</v>
          </cell>
          <cell r="AL24">
            <v>4299127.884615385</v>
          </cell>
          <cell r="AN24">
            <v>1333871.3942307692</v>
          </cell>
          <cell r="AO24">
            <v>727865.625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2061737.0192307692</v>
          </cell>
          <cell r="AY24">
            <v>9948064.903846154</v>
          </cell>
          <cell r="AZ24">
            <v>4567000</v>
          </cell>
          <cell r="BA24">
            <v>799225</v>
          </cell>
          <cell r="BB24">
            <v>137010</v>
          </cell>
          <cell r="BC24">
            <v>45670</v>
          </cell>
          <cell r="BD24">
            <v>91340</v>
          </cell>
          <cell r="BE24">
            <v>1073245</v>
          </cell>
          <cell r="BF24">
            <v>365360</v>
          </cell>
          <cell r="BG24">
            <v>68505</v>
          </cell>
          <cell r="BH24">
            <v>45670</v>
          </cell>
          <cell r="BI24">
            <v>479535</v>
          </cell>
          <cell r="BJ24">
            <v>11000000</v>
          </cell>
          <cell r="BL24">
            <v>0</v>
          </cell>
          <cell r="BM24">
            <v>247000</v>
          </cell>
          <cell r="BN24">
            <v>8467096.634615384</v>
          </cell>
          <cell r="BO24">
            <v>0</v>
          </cell>
          <cell r="BP24">
            <v>0</v>
          </cell>
          <cell r="BQ24">
            <v>35000</v>
          </cell>
          <cell r="BS24">
            <v>9433529.903846154</v>
          </cell>
        </row>
        <row r="25">
          <cell r="B25" t="str">
            <v>Nguyễn Hồng Quân</v>
          </cell>
          <cell r="C25" t="str">
            <v>CN</v>
          </cell>
          <cell r="D25">
            <v>208</v>
          </cell>
          <cell r="E25">
            <v>131.5</v>
          </cell>
          <cell r="F25">
            <v>60.5</v>
          </cell>
          <cell r="G25">
            <v>22</v>
          </cell>
          <cell r="H25">
            <v>49.5</v>
          </cell>
          <cell r="I25">
            <v>16.5</v>
          </cell>
          <cell r="Q25">
            <v>4267000</v>
          </cell>
          <cell r="R25">
            <v>0</v>
          </cell>
          <cell r="T25">
            <v>300000</v>
          </cell>
          <cell r="U25">
            <v>0</v>
          </cell>
          <cell r="V25">
            <v>0</v>
          </cell>
          <cell r="W25">
            <v>300000</v>
          </cell>
          <cell r="X25">
            <v>300000</v>
          </cell>
          <cell r="Y25">
            <v>300000</v>
          </cell>
          <cell r="Z25">
            <v>300000</v>
          </cell>
          <cell r="AB25">
            <v>0</v>
          </cell>
          <cell r="AC25">
            <v>500000</v>
          </cell>
          <cell r="AD25">
            <v>286000</v>
          </cell>
          <cell r="AE25">
            <v>0</v>
          </cell>
          <cell r="AF25">
            <v>2740200</v>
          </cell>
          <cell r="AI25">
            <v>1386000</v>
          </cell>
          <cell r="AJ25">
            <v>4567000</v>
          </cell>
          <cell r="AK25">
            <v>21956.73076923077</v>
          </cell>
          <cell r="AL25">
            <v>4614206.971153846</v>
          </cell>
          <cell r="AN25">
            <v>1630287.2596153845</v>
          </cell>
          <cell r="AO25">
            <v>706457.8125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2336745.0721153845</v>
          </cell>
          <cell r="AY25">
            <v>11077152.04326923</v>
          </cell>
          <cell r="AZ25">
            <v>4567000</v>
          </cell>
          <cell r="BA25">
            <v>799225</v>
          </cell>
          <cell r="BB25">
            <v>137010</v>
          </cell>
          <cell r="BC25">
            <v>45670</v>
          </cell>
          <cell r="BD25">
            <v>91340</v>
          </cell>
          <cell r="BE25">
            <v>1073245</v>
          </cell>
          <cell r="BF25">
            <v>365360</v>
          </cell>
          <cell r="BG25">
            <v>68505</v>
          </cell>
          <cell r="BH25">
            <v>45670</v>
          </cell>
          <cell r="BI25">
            <v>479535</v>
          </cell>
          <cell r="BJ25">
            <v>11000000</v>
          </cell>
          <cell r="BL25">
            <v>0</v>
          </cell>
          <cell r="BM25">
            <v>286000</v>
          </cell>
          <cell r="BN25">
            <v>9505036.538461538</v>
          </cell>
          <cell r="BO25">
            <v>0</v>
          </cell>
          <cell r="BP25">
            <v>0</v>
          </cell>
          <cell r="BQ25">
            <v>35000</v>
          </cell>
          <cell r="BS25">
            <v>10562617.04326923</v>
          </cell>
        </row>
        <row r="26">
          <cell r="B26" t="str">
            <v>Đinh Thị Thơm</v>
          </cell>
          <cell r="C26" t="str">
            <v>CN</v>
          </cell>
          <cell r="D26">
            <v>208</v>
          </cell>
          <cell r="E26">
            <v>134.5</v>
          </cell>
          <cell r="F26">
            <v>49.5</v>
          </cell>
          <cell r="G26">
            <v>21</v>
          </cell>
          <cell r="H26">
            <v>49.5</v>
          </cell>
          <cell r="I26">
            <v>13.5</v>
          </cell>
          <cell r="Q26">
            <v>4064000</v>
          </cell>
          <cell r="R26">
            <v>0</v>
          </cell>
          <cell r="T26">
            <v>0</v>
          </cell>
          <cell r="U26">
            <v>0</v>
          </cell>
          <cell r="V26">
            <v>0</v>
          </cell>
          <cell r="W26">
            <v>300000</v>
          </cell>
          <cell r="X26">
            <v>300000</v>
          </cell>
          <cell r="Y26">
            <v>300000</v>
          </cell>
          <cell r="Z26">
            <v>300000</v>
          </cell>
          <cell r="AC26">
            <v>500000</v>
          </cell>
          <cell r="AD26">
            <v>273000</v>
          </cell>
          <cell r="AE26">
            <v>0</v>
          </cell>
          <cell r="AF26">
            <v>2438400</v>
          </cell>
          <cell r="AI26">
            <v>1373000</v>
          </cell>
          <cell r="AJ26">
            <v>4064000</v>
          </cell>
          <cell r="AK26">
            <v>19538.461538461539</v>
          </cell>
          <cell r="AL26">
            <v>3885223.0769230775</v>
          </cell>
          <cell r="AN26">
            <v>1450730.7692307692</v>
          </cell>
          <cell r="AO26">
            <v>514350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1965080.7692307692</v>
          </cell>
          <cell r="AY26">
            <v>9661703.8461538479</v>
          </cell>
          <cell r="AZ26">
            <v>4064000</v>
          </cell>
          <cell r="BA26">
            <v>711200</v>
          </cell>
          <cell r="BB26">
            <v>121920</v>
          </cell>
          <cell r="BC26">
            <v>40640</v>
          </cell>
          <cell r="BD26">
            <v>81280</v>
          </cell>
          <cell r="BE26">
            <v>955040</v>
          </cell>
          <cell r="BF26">
            <v>325120</v>
          </cell>
          <cell r="BG26">
            <v>60960</v>
          </cell>
          <cell r="BH26">
            <v>40640</v>
          </cell>
          <cell r="BI26">
            <v>426720</v>
          </cell>
          <cell r="BJ26">
            <v>11000000</v>
          </cell>
          <cell r="BL26">
            <v>0</v>
          </cell>
          <cell r="BM26">
            <v>273000</v>
          </cell>
          <cell r="BN26">
            <v>8364400</v>
          </cell>
          <cell r="BO26">
            <v>0</v>
          </cell>
          <cell r="BP26">
            <v>0</v>
          </cell>
          <cell r="BQ26">
            <v>35000</v>
          </cell>
          <cell r="BS26">
            <v>9199983.8461538479</v>
          </cell>
        </row>
        <row r="27">
          <cell r="B27" t="str">
            <v>Hoàng Thị Luân</v>
          </cell>
          <cell r="C27" t="str">
            <v>CN</v>
          </cell>
          <cell r="D27">
            <v>208</v>
          </cell>
          <cell r="E27">
            <v>75.5</v>
          </cell>
          <cell r="F27">
            <v>60.5</v>
          </cell>
          <cell r="G27">
            <v>17</v>
          </cell>
          <cell r="H27">
            <v>34.5</v>
          </cell>
          <cell r="I27">
            <v>16.5</v>
          </cell>
          <cell r="Q27">
            <v>4064000</v>
          </cell>
          <cell r="R27">
            <v>0</v>
          </cell>
          <cell r="T27">
            <v>0</v>
          </cell>
          <cell r="U27">
            <v>0</v>
          </cell>
          <cell r="V27">
            <v>0</v>
          </cell>
          <cell r="W27">
            <v>300000</v>
          </cell>
          <cell r="X27">
            <v>0</v>
          </cell>
          <cell r="Y27">
            <v>300000</v>
          </cell>
          <cell r="Z27">
            <v>0</v>
          </cell>
          <cell r="AC27">
            <v>0</v>
          </cell>
          <cell r="AD27">
            <v>221000</v>
          </cell>
          <cell r="AE27">
            <v>0</v>
          </cell>
          <cell r="AF27">
            <v>2438400</v>
          </cell>
          <cell r="AI27">
            <v>221000</v>
          </cell>
          <cell r="AJ27">
            <v>4064000</v>
          </cell>
          <cell r="AK27">
            <v>19538.461538461539</v>
          </cell>
          <cell r="AL27">
            <v>3011853.8461538465</v>
          </cell>
          <cell r="AN27">
            <v>1011115.3846153847</v>
          </cell>
          <cell r="AO27">
            <v>628650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1639765.3846153847</v>
          </cell>
          <cell r="AY27">
            <v>7311019.230769231</v>
          </cell>
          <cell r="AZ27">
            <v>4064000</v>
          </cell>
          <cell r="BA27">
            <v>711200</v>
          </cell>
          <cell r="BB27">
            <v>121920</v>
          </cell>
          <cell r="BC27">
            <v>40640</v>
          </cell>
          <cell r="BD27">
            <v>81280</v>
          </cell>
          <cell r="BE27">
            <v>955040</v>
          </cell>
          <cell r="BF27">
            <v>325120</v>
          </cell>
          <cell r="BG27">
            <v>60960</v>
          </cell>
          <cell r="BH27">
            <v>40640</v>
          </cell>
          <cell r="BI27">
            <v>426720</v>
          </cell>
          <cell r="BJ27">
            <v>11000000</v>
          </cell>
          <cell r="BL27">
            <v>0</v>
          </cell>
          <cell r="BM27">
            <v>221000</v>
          </cell>
          <cell r="BN27">
            <v>6092092.307692307</v>
          </cell>
          <cell r="BO27">
            <v>0</v>
          </cell>
          <cell r="BP27">
            <v>0</v>
          </cell>
          <cell r="BQ27">
            <v>35000</v>
          </cell>
          <cell r="BS27">
            <v>6849299.230769231</v>
          </cell>
        </row>
        <row r="28">
          <cell r="B28" t="str">
            <v>Nguyễn Mạnh Hùng</v>
          </cell>
          <cell r="C28" t="str">
            <v>CN</v>
          </cell>
          <cell r="D28">
            <v>208</v>
          </cell>
          <cell r="E28">
            <v>131.5</v>
          </cell>
          <cell r="F28">
            <v>60.5</v>
          </cell>
          <cell r="G28">
            <v>20</v>
          </cell>
          <cell r="H28">
            <v>45</v>
          </cell>
          <cell r="I28">
            <v>16.5</v>
          </cell>
          <cell r="Q28">
            <v>4064000</v>
          </cell>
          <cell r="R28">
            <v>0</v>
          </cell>
          <cell r="T28">
            <v>0</v>
          </cell>
          <cell r="U28">
            <v>0</v>
          </cell>
          <cell r="V28">
            <v>0</v>
          </cell>
          <cell r="W28">
            <v>300000</v>
          </cell>
          <cell r="X28">
            <v>300000</v>
          </cell>
          <cell r="Y28">
            <v>300000</v>
          </cell>
          <cell r="Z28">
            <v>300000</v>
          </cell>
          <cell r="AC28">
            <v>500000</v>
          </cell>
          <cell r="AD28">
            <v>260000</v>
          </cell>
          <cell r="AE28">
            <v>0</v>
          </cell>
          <cell r="AF28">
            <v>2133600</v>
          </cell>
          <cell r="AI28">
            <v>1360000</v>
          </cell>
          <cell r="AJ28">
            <v>4064000</v>
          </cell>
          <cell r="AK28">
            <v>19538.461538461539</v>
          </cell>
          <cell r="AL28">
            <v>4106007.6923076925</v>
          </cell>
          <cell r="AN28">
            <v>1318846.153846154</v>
          </cell>
          <cell r="AO28">
            <v>628650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1947496.153846154</v>
          </cell>
          <cell r="AY28">
            <v>9547103.846153846</v>
          </cell>
          <cell r="AZ28">
            <v>4064000</v>
          </cell>
          <cell r="BA28">
            <v>711200</v>
          </cell>
          <cell r="BB28">
            <v>121920</v>
          </cell>
          <cell r="BC28">
            <v>40640</v>
          </cell>
          <cell r="BD28">
            <v>81280</v>
          </cell>
          <cell r="BE28">
            <v>955040</v>
          </cell>
          <cell r="BF28">
            <v>325120</v>
          </cell>
          <cell r="BG28">
            <v>60960</v>
          </cell>
          <cell r="BH28">
            <v>40640</v>
          </cell>
          <cell r="BI28">
            <v>426720</v>
          </cell>
          <cell r="BJ28">
            <v>11000000</v>
          </cell>
          <cell r="BL28">
            <v>0</v>
          </cell>
          <cell r="BM28">
            <v>260000</v>
          </cell>
          <cell r="BN28">
            <v>8186600.0000000009</v>
          </cell>
          <cell r="BO28">
            <v>0</v>
          </cell>
          <cell r="BP28">
            <v>0</v>
          </cell>
          <cell r="BQ28">
            <v>35000</v>
          </cell>
          <cell r="BS28">
            <v>9085383.846153846</v>
          </cell>
        </row>
        <row r="29">
          <cell r="B29" t="str">
            <v>Lê Duy Công</v>
          </cell>
          <cell r="C29" t="str">
            <v>CN</v>
          </cell>
          <cell r="D29">
            <v>208</v>
          </cell>
          <cell r="E29">
            <v>123.5</v>
          </cell>
          <cell r="F29">
            <v>60.5</v>
          </cell>
          <cell r="G29">
            <v>20</v>
          </cell>
          <cell r="H29">
            <v>43.5</v>
          </cell>
          <cell r="I29">
            <v>16.5</v>
          </cell>
          <cell r="Q29">
            <v>4064000</v>
          </cell>
          <cell r="R29">
            <v>0</v>
          </cell>
          <cell r="T29">
            <v>0</v>
          </cell>
          <cell r="U29">
            <v>0</v>
          </cell>
          <cell r="V29">
            <v>0</v>
          </cell>
          <cell r="W29">
            <v>300000</v>
          </cell>
          <cell r="X29">
            <v>300000</v>
          </cell>
          <cell r="Y29">
            <v>300000</v>
          </cell>
          <cell r="Z29">
            <v>300000</v>
          </cell>
          <cell r="AC29">
            <v>500000</v>
          </cell>
          <cell r="AD29">
            <v>260000</v>
          </cell>
          <cell r="AE29">
            <v>100000</v>
          </cell>
          <cell r="AF29">
            <v>1930400</v>
          </cell>
          <cell r="AI29">
            <v>1460000</v>
          </cell>
          <cell r="AJ29">
            <v>4064000</v>
          </cell>
          <cell r="AK29">
            <v>19538.461538461539</v>
          </cell>
          <cell r="AL29">
            <v>3949700</v>
          </cell>
          <cell r="AN29">
            <v>1274884.6153846155</v>
          </cell>
          <cell r="AO29">
            <v>628650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1903534.6153846155</v>
          </cell>
          <cell r="AY29">
            <v>9243634.615384616</v>
          </cell>
          <cell r="AZ29">
            <v>4064000</v>
          </cell>
          <cell r="BA29">
            <v>711200</v>
          </cell>
          <cell r="BB29">
            <v>121920</v>
          </cell>
          <cell r="BC29">
            <v>40640</v>
          </cell>
          <cell r="BD29">
            <v>81280</v>
          </cell>
          <cell r="BE29">
            <v>955040</v>
          </cell>
          <cell r="BF29">
            <v>325120</v>
          </cell>
          <cell r="BG29">
            <v>60960</v>
          </cell>
          <cell r="BH29">
            <v>40640</v>
          </cell>
          <cell r="BI29">
            <v>426720</v>
          </cell>
          <cell r="BJ29">
            <v>11000000</v>
          </cell>
          <cell r="BL29">
            <v>0</v>
          </cell>
          <cell r="BM29">
            <v>260000</v>
          </cell>
          <cell r="BN29">
            <v>7897784.615384616</v>
          </cell>
          <cell r="BO29">
            <v>0</v>
          </cell>
          <cell r="BP29">
            <v>0</v>
          </cell>
          <cell r="BQ29">
            <v>35000</v>
          </cell>
          <cell r="BS29">
            <v>8781914.615384616</v>
          </cell>
        </row>
        <row r="30">
          <cell r="B30" t="str">
            <v>Nguyễn Công Kiên</v>
          </cell>
          <cell r="C30" t="str">
            <v>CN</v>
          </cell>
          <cell r="D30">
            <v>208</v>
          </cell>
          <cell r="E30">
            <v>129</v>
          </cell>
          <cell r="F30">
            <v>55</v>
          </cell>
          <cell r="G30">
            <v>22</v>
          </cell>
          <cell r="H30">
            <v>51.5</v>
          </cell>
          <cell r="I30">
            <v>15</v>
          </cell>
          <cell r="Q30">
            <v>4064000</v>
          </cell>
          <cell r="R30">
            <v>0</v>
          </cell>
          <cell r="T30">
            <v>0</v>
          </cell>
          <cell r="U30">
            <v>0</v>
          </cell>
          <cell r="V30">
            <v>0</v>
          </cell>
          <cell r="W30">
            <v>300000</v>
          </cell>
          <cell r="X30">
            <v>300000</v>
          </cell>
          <cell r="Y30">
            <v>300000</v>
          </cell>
          <cell r="Z30">
            <v>300000</v>
          </cell>
          <cell r="AC30">
            <v>500000</v>
          </cell>
          <cell r="AD30">
            <v>286000</v>
          </cell>
          <cell r="AE30">
            <v>0</v>
          </cell>
          <cell r="AF30">
            <v>1930400</v>
          </cell>
          <cell r="AH30">
            <v>0</v>
          </cell>
          <cell r="AI30">
            <v>1386000</v>
          </cell>
          <cell r="AJ30">
            <v>4064000</v>
          </cell>
          <cell r="AK30">
            <v>19538.461538461539</v>
          </cell>
          <cell r="AL30">
            <v>3917461.5384615385</v>
          </cell>
          <cell r="AN30">
            <v>1509346.153846154</v>
          </cell>
          <cell r="AO30">
            <v>571500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2080846.153846154</v>
          </cell>
          <cell r="AY30">
            <v>9314707.692307692</v>
          </cell>
          <cell r="AZ30">
            <v>4064000</v>
          </cell>
          <cell r="BA30">
            <v>711200</v>
          </cell>
          <cell r="BB30">
            <v>121920</v>
          </cell>
          <cell r="BC30">
            <v>40640</v>
          </cell>
          <cell r="BD30">
            <v>81280</v>
          </cell>
          <cell r="BE30">
            <v>955040</v>
          </cell>
          <cell r="BF30">
            <v>325120</v>
          </cell>
          <cell r="BG30">
            <v>60960</v>
          </cell>
          <cell r="BH30">
            <v>40640</v>
          </cell>
          <cell r="BI30">
            <v>426720</v>
          </cell>
          <cell r="BJ30">
            <v>11000000</v>
          </cell>
          <cell r="BL30">
            <v>0</v>
          </cell>
          <cell r="BM30">
            <v>286000</v>
          </cell>
          <cell r="BN30">
            <v>7924784.615384616</v>
          </cell>
          <cell r="BO30">
            <v>0</v>
          </cell>
          <cell r="BP30">
            <v>0</v>
          </cell>
          <cell r="BQ30">
            <v>35000</v>
          </cell>
          <cell r="BS30">
            <v>8852987.692307692</v>
          </cell>
        </row>
        <row r="31">
          <cell r="B31" t="str">
            <v>Hà Quang Nhất</v>
          </cell>
          <cell r="C31" t="str">
            <v>CN</v>
          </cell>
          <cell r="D31">
            <v>208</v>
          </cell>
          <cell r="E31">
            <v>142</v>
          </cell>
          <cell r="F31">
            <v>66</v>
          </cell>
          <cell r="G31">
            <v>22</v>
          </cell>
          <cell r="H31">
            <v>49.5</v>
          </cell>
          <cell r="I31">
            <v>17</v>
          </cell>
          <cell r="Q31">
            <v>4064000</v>
          </cell>
          <cell r="R31">
            <v>0</v>
          </cell>
          <cell r="T31">
            <v>0</v>
          </cell>
          <cell r="U31">
            <v>0</v>
          </cell>
          <cell r="V31">
            <v>0</v>
          </cell>
          <cell r="W31">
            <v>300000</v>
          </cell>
          <cell r="X31">
            <v>300000</v>
          </cell>
          <cell r="Y31">
            <v>300000</v>
          </cell>
          <cell r="Z31">
            <v>300000</v>
          </cell>
          <cell r="AA31">
            <v>20000</v>
          </cell>
          <cell r="AC31">
            <v>500000</v>
          </cell>
          <cell r="AD31">
            <v>286000</v>
          </cell>
          <cell r="AE31">
            <v>0</v>
          </cell>
          <cell r="AF31">
            <v>1828800</v>
          </cell>
          <cell r="AI31">
            <v>1406000</v>
          </cell>
          <cell r="AJ31">
            <v>4064000</v>
          </cell>
          <cell r="AK31">
            <v>19538.461538461539</v>
          </cell>
          <cell r="AL31">
            <v>4450861.538461539</v>
          </cell>
          <cell r="AN31">
            <v>1450730.7692307692</v>
          </cell>
          <cell r="AO31">
            <v>647700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2098430.769230769</v>
          </cell>
          <cell r="AY31">
            <v>9784092.307692308</v>
          </cell>
          <cell r="AZ31">
            <v>4064000</v>
          </cell>
          <cell r="BA31">
            <v>711200</v>
          </cell>
          <cell r="BB31">
            <v>121920</v>
          </cell>
          <cell r="BC31">
            <v>40640</v>
          </cell>
          <cell r="BD31">
            <v>81280</v>
          </cell>
          <cell r="BE31">
            <v>955040</v>
          </cell>
          <cell r="BF31">
            <v>325120</v>
          </cell>
          <cell r="BG31">
            <v>60960</v>
          </cell>
          <cell r="BH31">
            <v>40640</v>
          </cell>
          <cell r="BI31">
            <v>426720</v>
          </cell>
          <cell r="BJ31">
            <v>11000000</v>
          </cell>
          <cell r="BL31">
            <v>0</v>
          </cell>
          <cell r="BM31">
            <v>286000</v>
          </cell>
          <cell r="BN31">
            <v>8312107.692307692</v>
          </cell>
          <cell r="BO31">
            <v>0</v>
          </cell>
          <cell r="BP31">
            <v>0</v>
          </cell>
          <cell r="BQ31">
            <v>35000</v>
          </cell>
          <cell r="BS31">
            <v>9322372.307692308</v>
          </cell>
        </row>
        <row r="32">
          <cell r="B32" t="str">
            <v>Hoàng Hương Hùng</v>
          </cell>
          <cell r="C32" t="str">
            <v>CN</v>
          </cell>
          <cell r="D32">
            <v>208</v>
          </cell>
          <cell r="E32">
            <v>118.5</v>
          </cell>
          <cell r="F32">
            <v>49.5</v>
          </cell>
          <cell r="G32">
            <v>18</v>
          </cell>
          <cell r="H32">
            <v>40.5</v>
          </cell>
          <cell r="I32">
            <v>13.5</v>
          </cell>
          <cell r="Q32">
            <v>4064000</v>
          </cell>
          <cell r="R32">
            <v>0</v>
          </cell>
          <cell r="T32">
            <v>0</v>
          </cell>
          <cell r="U32">
            <v>0</v>
          </cell>
          <cell r="V32">
            <v>0</v>
          </cell>
          <cell r="W32">
            <v>300000</v>
          </cell>
          <cell r="X32">
            <v>300000</v>
          </cell>
          <cell r="Y32">
            <v>300000</v>
          </cell>
          <cell r="Z32">
            <v>300000</v>
          </cell>
          <cell r="AC32">
            <v>0</v>
          </cell>
          <cell r="AD32">
            <v>234000</v>
          </cell>
          <cell r="AE32">
            <v>0</v>
          </cell>
          <cell r="AF32">
            <v>1828800</v>
          </cell>
          <cell r="AI32">
            <v>834000</v>
          </cell>
          <cell r="AJ32">
            <v>4064000</v>
          </cell>
          <cell r="AK32">
            <v>19538.461538461539</v>
          </cell>
          <cell r="AL32">
            <v>3572607.692307693</v>
          </cell>
          <cell r="AN32">
            <v>1186961.5384615385</v>
          </cell>
          <cell r="AO32">
            <v>514350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1701311.5384615385</v>
          </cell>
          <cell r="AY32">
            <v>7936719.2307692319</v>
          </cell>
          <cell r="AZ32">
            <v>4064000</v>
          </cell>
          <cell r="BA32">
            <v>711200</v>
          </cell>
          <cell r="BB32">
            <v>121920</v>
          </cell>
          <cell r="BC32">
            <v>40640</v>
          </cell>
          <cell r="BD32">
            <v>81280</v>
          </cell>
          <cell r="BE32">
            <v>955040</v>
          </cell>
          <cell r="BF32">
            <v>325120</v>
          </cell>
          <cell r="BG32">
            <v>60960</v>
          </cell>
          <cell r="BH32">
            <v>40640</v>
          </cell>
          <cell r="BI32">
            <v>426720</v>
          </cell>
          <cell r="BJ32">
            <v>11000000</v>
          </cell>
          <cell r="BL32">
            <v>0</v>
          </cell>
          <cell r="BM32">
            <v>234000</v>
          </cell>
          <cell r="BN32">
            <v>6766338.4615384629</v>
          </cell>
          <cell r="BO32">
            <v>0</v>
          </cell>
          <cell r="BP32">
            <v>0</v>
          </cell>
          <cell r="BQ32">
            <v>35000</v>
          </cell>
          <cell r="BS32">
            <v>7474999.2307692319</v>
          </cell>
        </row>
        <row r="33">
          <cell r="B33" t="str">
            <v>Hoàng Văn Đinh</v>
          </cell>
          <cell r="C33" t="str">
            <v>CN</v>
          </cell>
          <cell r="D33">
            <v>208</v>
          </cell>
          <cell r="E33">
            <v>184</v>
          </cell>
          <cell r="F33">
            <v>0</v>
          </cell>
          <cell r="G33">
            <v>20</v>
          </cell>
          <cell r="H33">
            <v>61</v>
          </cell>
          <cell r="I33">
            <v>0</v>
          </cell>
          <cell r="Q33">
            <v>4267000</v>
          </cell>
          <cell r="R33">
            <v>0</v>
          </cell>
          <cell r="T33">
            <v>600000</v>
          </cell>
          <cell r="U33">
            <v>0</v>
          </cell>
          <cell r="V33">
            <v>0</v>
          </cell>
          <cell r="W33">
            <v>300000</v>
          </cell>
          <cell r="X33">
            <v>300000</v>
          </cell>
          <cell r="Y33">
            <v>300000</v>
          </cell>
          <cell r="Z33">
            <v>300000</v>
          </cell>
          <cell r="AA33">
            <v>20000</v>
          </cell>
          <cell r="AD33">
            <v>260000</v>
          </cell>
          <cell r="AE33">
            <v>0</v>
          </cell>
          <cell r="AF33">
            <v>2068474.9999999998</v>
          </cell>
          <cell r="AI33">
            <v>880000</v>
          </cell>
          <cell r="AJ33">
            <v>4867000</v>
          </cell>
          <cell r="AK33">
            <v>23399.038461538461</v>
          </cell>
          <cell r="AL33">
            <v>4305423.076923077</v>
          </cell>
          <cell r="AN33">
            <v>2141012.019230769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2141012.019230769</v>
          </cell>
          <cell r="AY33">
            <v>9394910.096153846</v>
          </cell>
          <cell r="AZ33">
            <v>4867000</v>
          </cell>
          <cell r="BA33">
            <v>851725</v>
          </cell>
          <cell r="BB33">
            <v>146010</v>
          </cell>
          <cell r="BC33">
            <v>48670</v>
          </cell>
          <cell r="BD33">
            <v>97340</v>
          </cell>
          <cell r="BE33">
            <v>1143745</v>
          </cell>
          <cell r="BF33">
            <v>389360</v>
          </cell>
          <cell r="BG33">
            <v>73005</v>
          </cell>
          <cell r="BH33">
            <v>48670</v>
          </cell>
          <cell r="BI33">
            <v>511035</v>
          </cell>
          <cell r="BJ33">
            <v>11000000</v>
          </cell>
          <cell r="BL33">
            <v>0</v>
          </cell>
          <cell r="BM33">
            <v>260000</v>
          </cell>
          <cell r="BN33">
            <v>8421239.4230769239</v>
          </cell>
          <cell r="BO33">
            <v>0</v>
          </cell>
          <cell r="BP33">
            <v>0</v>
          </cell>
          <cell r="BQ33">
            <v>35000</v>
          </cell>
          <cell r="BS33">
            <v>8848875.096153846</v>
          </cell>
        </row>
        <row r="34">
          <cell r="B34" t="str">
            <v>Nguyễn Văn Sơn</v>
          </cell>
          <cell r="C34" t="str">
            <v>CN</v>
          </cell>
          <cell r="D34">
            <v>208</v>
          </cell>
          <cell r="E34">
            <v>117</v>
          </cell>
          <cell r="F34">
            <v>55</v>
          </cell>
          <cell r="G34">
            <v>19</v>
          </cell>
          <cell r="H34">
            <v>42</v>
          </cell>
          <cell r="I34">
            <v>15</v>
          </cell>
          <cell r="Q34">
            <v>4064000</v>
          </cell>
          <cell r="R34">
            <v>0</v>
          </cell>
          <cell r="T34">
            <v>0</v>
          </cell>
          <cell r="U34">
            <v>0</v>
          </cell>
          <cell r="V34">
            <v>0</v>
          </cell>
          <cell r="W34">
            <v>300000</v>
          </cell>
          <cell r="X34">
            <v>300000</v>
          </cell>
          <cell r="Y34">
            <v>300000</v>
          </cell>
          <cell r="Z34">
            <v>300000</v>
          </cell>
          <cell r="AC34">
            <v>0</v>
          </cell>
          <cell r="AD34">
            <v>247000</v>
          </cell>
          <cell r="AE34">
            <v>0</v>
          </cell>
          <cell r="AF34">
            <v>1828800</v>
          </cell>
          <cell r="AI34">
            <v>847000</v>
          </cell>
          <cell r="AJ34">
            <v>4064000</v>
          </cell>
          <cell r="AK34">
            <v>19538.461538461539</v>
          </cell>
          <cell r="AL34">
            <v>3683000</v>
          </cell>
          <cell r="AN34">
            <v>1230923.076923077</v>
          </cell>
          <cell r="AO34">
            <v>571500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1802423.076923077</v>
          </cell>
          <cell r="AY34">
            <v>8161223.076923077</v>
          </cell>
          <cell r="AZ34">
            <v>4064000</v>
          </cell>
          <cell r="BA34">
            <v>711200</v>
          </cell>
          <cell r="BB34">
            <v>121920</v>
          </cell>
          <cell r="BC34">
            <v>40640</v>
          </cell>
          <cell r="BD34">
            <v>81280</v>
          </cell>
          <cell r="BE34">
            <v>955040</v>
          </cell>
          <cell r="BF34">
            <v>325120</v>
          </cell>
          <cell r="BG34">
            <v>60960</v>
          </cell>
          <cell r="BH34">
            <v>40640</v>
          </cell>
          <cell r="BI34">
            <v>426720</v>
          </cell>
          <cell r="BJ34">
            <v>11000000</v>
          </cell>
          <cell r="BL34">
            <v>0</v>
          </cell>
          <cell r="BM34">
            <v>247000</v>
          </cell>
          <cell r="BN34">
            <v>6903107.692307693</v>
          </cell>
          <cell r="BO34">
            <v>0</v>
          </cell>
          <cell r="BP34">
            <v>0</v>
          </cell>
          <cell r="BQ34">
            <v>35000</v>
          </cell>
          <cell r="BS34">
            <v>7699503.076923077</v>
          </cell>
        </row>
        <row r="35">
          <cell r="B35" t="str">
            <v>Ngô Quang Nam</v>
          </cell>
          <cell r="C35" t="str">
            <v>CN</v>
          </cell>
          <cell r="D35">
            <v>208</v>
          </cell>
          <cell r="E35">
            <v>192</v>
          </cell>
          <cell r="F35">
            <v>0</v>
          </cell>
          <cell r="G35">
            <v>21</v>
          </cell>
          <cell r="H35">
            <v>63</v>
          </cell>
          <cell r="I35">
            <v>0</v>
          </cell>
          <cell r="J35">
            <v>0</v>
          </cell>
          <cell r="Q35">
            <v>4064000</v>
          </cell>
          <cell r="R35">
            <v>0</v>
          </cell>
          <cell r="T35">
            <v>0</v>
          </cell>
          <cell r="U35">
            <v>0</v>
          </cell>
          <cell r="V35">
            <v>0</v>
          </cell>
          <cell r="W35">
            <v>300000</v>
          </cell>
          <cell r="X35">
            <v>300000</v>
          </cell>
          <cell r="Y35">
            <v>300000</v>
          </cell>
          <cell r="Z35">
            <v>300000</v>
          </cell>
          <cell r="AA35">
            <v>20000</v>
          </cell>
          <cell r="AC35">
            <v>500000</v>
          </cell>
          <cell r="AD35">
            <v>273000</v>
          </cell>
          <cell r="AE35">
            <v>0</v>
          </cell>
          <cell r="AF35">
            <v>1320800</v>
          </cell>
          <cell r="AI35">
            <v>1393000</v>
          </cell>
          <cell r="AJ35">
            <v>4064000</v>
          </cell>
          <cell r="AK35">
            <v>19538.461538461539</v>
          </cell>
          <cell r="AL35">
            <v>3751384.6153846155</v>
          </cell>
          <cell r="AN35">
            <v>1846384.6153846155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1846384.6153846155</v>
          </cell>
          <cell r="AY35">
            <v>8311569.2307692319</v>
          </cell>
          <cell r="AZ35">
            <v>4064000</v>
          </cell>
          <cell r="BA35">
            <v>711200</v>
          </cell>
          <cell r="BB35">
            <v>121920</v>
          </cell>
          <cell r="BC35">
            <v>40640</v>
          </cell>
          <cell r="BD35">
            <v>81280</v>
          </cell>
          <cell r="BE35">
            <v>955040</v>
          </cell>
          <cell r="BF35">
            <v>325120</v>
          </cell>
          <cell r="BG35">
            <v>60960</v>
          </cell>
          <cell r="BH35">
            <v>40640</v>
          </cell>
          <cell r="BI35">
            <v>426720</v>
          </cell>
          <cell r="BJ35">
            <v>11000000</v>
          </cell>
          <cell r="BL35">
            <v>0</v>
          </cell>
          <cell r="BM35">
            <v>273000</v>
          </cell>
          <cell r="BN35">
            <v>7423107.6923076939</v>
          </cell>
          <cell r="BO35">
            <v>0</v>
          </cell>
          <cell r="BP35">
            <v>0</v>
          </cell>
          <cell r="BQ35">
            <v>35000</v>
          </cell>
          <cell r="BS35">
            <v>7849849.2307692319</v>
          </cell>
        </row>
        <row r="36">
          <cell r="B36" t="str">
            <v>Nguyễn Việt Hưng</v>
          </cell>
          <cell r="C36" t="str">
            <v>QC (TT)</v>
          </cell>
          <cell r="D36">
            <v>208</v>
          </cell>
          <cell r="E36">
            <v>208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Q36">
            <v>4267000</v>
          </cell>
          <cell r="R36">
            <v>1300000</v>
          </cell>
          <cell r="T36">
            <v>1200000</v>
          </cell>
          <cell r="U36">
            <v>400000</v>
          </cell>
          <cell r="V36">
            <v>400000</v>
          </cell>
          <cell r="W36">
            <v>300000</v>
          </cell>
          <cell r="X36">
            <v>300000</v>
          </cell>
          <cell r="Y36">
            <v>300000</v>
          </cell>
          <cell r="Z36">
            <v>300000</v>
          </cell>
          <cell r="AB36">
            <v>0</v>
          </cell>
          <cell r="AC36">
            <v>500000</v>
          </cell>
          <cell r="AD36">
            <v>0</v>
          </cell>
          <cell r="AE36">
            <v>100000</v>
          </cell>
          <cell r="AF36">
            <v>4060200</v>
          </cell>
          <cell r="AI36">
            <v>1600000</v>
          </cell>
          <cell r="AJ36">
            <v>6767000</v>
          </cell>
          <cell r="AK36">
            <v>32533.653846153848</v>
          </cell>
          <cell r="AL36">
            <v>6767000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Y36">
            <v>12427200</v>
          </cell>
          <cell r="AZ36">
            <v>6767000</v>
          </cell>
          <cell r="BA36">
            <v>1184225</v>
          </cell>
          <cell r="BB36">
            <v>203010</v>
          </cell>
          <cell r="BC36">
            <v>67670</v>
          </cell>
          <cell r="BD36">
            <v>135340</v>
          </cell>
          <cell r="BE36">
            <v>1590245</v>
          </cell>
          <cell r="BF36">
            <v>541360</v>
          </cell>
          <cell r="BG36">
            <v>101505</v>
          </cell>
          <cell r="BH36">
            <v>67670</v>
          </cell>
          <cell r="BI36">
            <v>710535</v>
          </cell>
          <cell r="BJ36">
            <v>11000000</v>
          </cell>
          <cell r="BL36">
            <v>0</v>
          </cell>
          <cell r="BM36">
            <v>400000</v>
          </cell>
          <cell r="BN36">
            <v>12027200</v>
          </cell>
          <cell r="BO36">
            <v>316665</v>
          </cell>
          <cell r="BP36">
            <v>15833</v>
          </cell>
          <cell r="BQ36">
            <v>35000</v>
          </cell>
          <cell r="BS36">
            <v>11665832</v>
          </cell>
        </row>
        <row r="37">
          <cell r="B37" t="str">
            <v>Nguyễn Hữu Lư</v>
          </cell>
          <cell r="C37" t="str">
            <v xml:space="preserve"> QC (TP)</v>
          </cell>
          <cell r="D37">
            <v>208</v>
          </cell>
          <cell r="E37">
            <v>208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Q37">
            <v>4267000</v>
          </cell>
          <cell r="R37">
            <v>800000</v>
          </cell>
          <cell r="T37">
            <v>600000</v>
          </cell>
          <cell r="U37">
            <v>400000</v>
          </cell>
          <cell r="V37">
            <v>400000</v>
          </cell>
          <cell r="W37">
            <v>300000</v>
          </cell>
          <cell r="X37">
            <v>300000</v>
          </cell>
          <cell r="Y37">
            <v>300000</v>
          </cell>
          <cell r="Z37">
            <v>300000</v>
          </cell>
          <cell r="AB37">
            <v>0</v>
          </cell>
          <cell r="AC37">
            <v>500000</v>
          </cell>
          <cell r="AD37">
            <v>0</v>
          </cell>
          <cell r="AE37">
            <v>0</v>
          </cell>
          <cell r="AF37">
            <v>3400200</v>
          </cell>
          <cell r="AI37">
            <v>1500000</v>
          </cell>
          <cell r="AJ37">
            <v>5667000</v>
          </cell>
          <cell r="AK37">
            <v>27245.192307692309</v>
          </cell>
          <cell r="AL37">
            <v>5667000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Y37">
            <v>10567200</v>
          </cell>
          <cell r="AZ37">
            <v>5667000</v>
          </cell>
          <cell r="BA37">
            <v>991724.99999999988</v>
          </cell>
          <cell r="BB37">
            <v>170010</v>
          </cell>
          <cell r="BC37">
            <v>56670</v>
          </cell>
          <cell r="BD37">
            <v>113340</v>
          </cell>
          <cell r="BE37">
            <v>1331745</v>
          </cell>
          <cell r="BF37">
            <v>453360</v>
          </cell>
          <cell r="BG37">
            <v>85005</v>
          </cell>
          <cell r="BH37">
            <v>56670</v>
          </cell>
          <cell r="BI37">
            <v>595035</v>
          </cell>
          <cell r="BJ37">
            <v>11000000</v>
          </cell>
          <cell r="BL37">
            <v>0</v>
          </cell>
          <cell r="BM37">
            <v>400000</v>
          </cell>
          <cell r="BN37">
            <v>10167200</v>
          </cell>
          <cell r="BO37">
            <v>0</v>
          </cell>
          <cell r="BP37">
            <v>0</v>
          </cell>
          <cell r="BQ37">
            <v>35000</v>
          </cell>
          <cell r="BS37">
            <v>9937165</v>
          </cell>
        </row>
        <row r="38">
          <cell r="B38" t="str">
            <v>Nguyễn Thanh Hải</v>
          </cell>
          <cell r="C38" t="str">
            <v xml:space="preserve"> QC (TP)</v>
          </cell>
          <cell r="D38">
            <v>208</v>
          </cell>
          <cell r="E38">
            <v>208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Q38">
            <v>4267000</v>
          </cell>
          <cell r="R38">
            <v>800000</v>
          </cell>
          <cell r="T38">
            <v>300000</v>
          </cell>
          <cell r="U38">
            <v>400000</v>
          </cell>
          <cell r="V38">
            <v>400000</v>
          </cell>
          <cell r="W38">
            <v>300000</v>
          </cell>
          <cell r="X38">
            <v>300000</v>
          </cell>
          <cell r="Y38">
            <v>300000</v>
          </cell>
          <cell r="Z38">
            <v>300000</v>
          </cell>
          <cell r="AC38">
            <v>500000</v>
          </cell>
          <cell r="AD38">
            <v>0</v>
          </cell>
          <cell r="AE38">
            <v>0</v>
          </cell>
          <cell r="AF38">
            <v>3220200</v>
          </cell>
          <cell r="AI38">
            <v>1500000</v>
          </cell>
          <cell r="AJ38">
            <v>5367000</v>
          </cell>
          <cell r="AK38">
            <v>25802.884615384617</v>
          </cell>
          <cell r="AL38">
            <v>5367000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Y38">
            <v>10087200</v>
          </cell>
          <cell r="AZ38">
            <v>5367000</v>
          </cell>
          <cell r="BA38">
            <v>939224.99999999988</v>
          </cell>
          <cell r="BB38">
            <v>161010</v>
          </cell>
          <cell r="BC38">
            <v>53670</v>
          </cell>
          <cell r="BD38">
            <v>107340</v>
          </cell>
          <cell r="BE38">
            <v>1261245</v>
          </cell>
          <cell r="BF38">
            <v>429360</v>
          </cell>
          <cell r="BG38">
            <v>80505</v>
          </cell>
          <cell r="BH38">
            <v>53670</v>
          </cell>
          <cell r="BI38">
            <v>563535</v>
          </cell>
          <cell r="BJ38">
            <v>11000000</v>
          </cell>
          <cell r="BL38">
            <v>0</v>
          </cell>
          <cell r="BM38">
            <v>400000</v>
          </cell>
          <cell r="BN38">
            <v>9687200</v>
          </cell>
          <cell r="BO38">
            <v>0</v>
          </cell>
          <cell r="BP38">
            <v>0</v>
          </cell>
          <cell r="BQ38">
            <v>0</v>
          </cell>
          <cell r="BS38">
            <v>9523665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48"/>
  <sheetViews>
    <sheetView showZeros="0" tabSelected="1" topLeftCell="B1" zoomScaleNormal="100" workbookViewId="0">
      <pane xSplit="3" ySplit="14" topLeftCell="V19" activePane="bottomRight" state="frozen"/>
      <selection activeCell="B1" sqref="B1"/>
      <selection pane="topRight" activeCell="E1" sqref="E1"/>
      <selection pane="bottomLeft" activeCell="B15" sqref="B15"/>
      <selection pane="bottomRight" activeCell="AP19" sqref="AP19"/>
    </sheetView>
  </sheetViews>
  <sheetFormatPr defaultColWidth="9.140625" defaultRowHeight="15"/>
  <cols>
    <col min="1" max="1" width="9.140625" style="2" hidden="1" customWidth="1"/>
    <col min="2" max="2" width="5.28515625" style="1" customWidth="1"/>
    <col min="3" max="3" width="11.5703125" style="1" customWidth="1"/>
    <col min="4" max="4" width="23.5703125" style="2" customWidth="1"/>
    <col min="5" max="5" width="13" style="1" customWidth="1"/>
    <col min="6" max="6" width="11.42578125" style="1" customWidth="1"/>
    <col min="7" max="7" width="9.7109375" style="44" customWidth="1"/>
    <col min="8" max="8" width="9.140625" style="14" customWidth="1"/>
    <col min="9" max="9" width="7.7109375" style="14" customWidth="1"/>
    <col min="10" max="10" width="7.7109375" style="6" customWidth="1"/>
    <col min="11" max="18" width="7.7109375" style="14" customWidth="1"/>
    <col min="19" max="19" width="11.7109375" style="14" customWidth="1"/>
    <col min="20" max="20" width="11.7109375" style="6" customWidth="1"/>
    <col min="21" max="21" width="11.85546875" style="6" customWidth="1"/>
    <col min="22" max="22" width="11.5703125" style="6" customWidth="1"/>
    <col min="23" max="27" width="10.5703125" style="6" customWidth="1"/>
    <col min="28" max="28" width="10.5703125" style="6" hidden="1" customWidth="1"/>
    <col min="29" max="36" width="10.85546875" style="6" customWidth="1"/>
    <col min="37" max="37" width="13.28515625" style="6" customWidth="1"/>
    <col min="38" max="41" width="10.85546875" style="6" customWidth="1"/>
    <col min="42" max="43" width="10.85546875" style="14" customWidth="1"/>
    <col min="44" max="45" width="10.85546875" style="6" customWidth="1"/>
    <col min="46" max="46" width="13.140625" style="14" customWidth="1"/>
    <col min="47" max="49" width="10.85546875" style="6" customWidth="1"/>
    <col min="50" max="55" width="10.85546875" style="13" customWidth="1"/>
    <col min="56" max="56" width="10.85546875" style="6" customWidth="1"/>
    <col min="57" max="57" width="16.140625" style="13" customWidth="1"/>
    <col min="58" max="63" width="11.85546875" style="13" customWidth="1"/>
    <col min="64" max="67" width="11.85546875" style="6" customWidth="1"/>
    <col min="68" max="69" width="10.85546875" style="6" customWidth="1"/>
    <col min="70" max="70" width="10.85546875" style="6" hidden="1" customWidth="1"/>
    <col min="71" max="79" width="10.85546875" style="6" customWidth="1"/>
    <col min="80" max="80" width="15.42578125" customWidth="1"/>
    <col min="84" max="101" width="9.140625" style="6" customWidth="1"/>
    <col min="102" max="102" width="9.140625" style="13" customWidth="1"/>
    <col min="103" max="108" width="8.85546875" style="47" customWidth="1"/>
    <col min="109" max="121" width="9.140625" style="13" customWidth="1"/>
    <col min="122" max="122" width="9.140625" style="2" customWidth="1"/>
    <col min="123" max="16384" width="9.140625" style="2"/>
  </cols>
  <sheetData>
    <row r="1" spans="1:138">
      <c r="A1" s="2" t="s">
        <v>0</v>
      </c>
      <c r="C1" s="35" t="s">
        <v>1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38">
      <c r="A2" s="2" t="s">
        <v>2</v>
      </c>
      <c r="C2" s="35" t="s">
        <v>3</v>
      </c>
      <c r="D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</row>
    <row r="3" spans="1:138" ht="27.6" customHeight="1">
      <c r="A3" s="2" t="s">
        <v>2</v>
      </c>
      <c r="D3" s="34" t="str">
        <f>"BẢNG TÍNH TIỀN LƯƠNG THÁNG "&amp;A4&amp;" / SALARY CALCULATION ON "&amp;TEXT(A4*29,"Mmm")&amp;" "&amp;A5</f>
        <v>BẢNG TÍNH TIỀN LƯƠNG THÁNG 12 / SALARY CALCULATION ON Dec 2024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</row>
    <row r="4" spans="1:138">
      <c r="A4" s="2" t="s">
        <v>4</v>
      </c>
      <c r="D4" s="7"/>
      <c r="F4" s="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</row>
    <row r="5" spans="1:138">
      <c r="A5" s="2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2"/>
      <c r="V5" s="2"/>
      <c r="W5" s="3"/>
      <c r="X5" s="3"/>
      <c r="Y5" s="3"/>
      <c r="Z5" s="3"/>
      <c r="AA5" s="3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15"/>
      <c r="AU5" s="2">
        <f>CU15</f>
        <v>2024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</row>
    <row r="6" spans="1:138" hidden="1">
      <c r="B6" s="1">
        <v>2</v>
      </c>
      <c r="C6" s="1">
        <v>2</v>
      </c>
      <c r="D6" s="2">
        <v>2</v>
      </c>
      <c r="E6" s="1">
        <v>2</v>
      </c>
      <c r="F6" s="1">
        <v>2</v>
      </c>
      <c r="G6" s="1">
        <v>2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1</v>
      </c>
      <c r="BI6" s="2">
        <v>1</v>
      </c>
      <c r="BJ6" s="2">
        <v>1</v>
      </c>
      <c r="BK6" s="2">
        <v>1</v>
      </c>
      <c r="BL6" s="2">
        <v>1</v>
      </c>
      <c r="BM6" s="2">
        <v>1</v>
      </c>
      <c r="BN6" s="2">
        <v>1</v>
      </c>
      <c r="BO6" s="2">
        <v>1</v>
      </c>
      <c r="BP6" s="2">
        <v>1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1</v>
      </c>
      <c r="CA6" s="2">
        <v>1</v>
      </c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</row>
    <row r="7" spans="1:138" s="10" customFormat="1" ht="12" hidden="1">
      <c r="B7" s="9" t="s">
        <v>6</v>
      </c>
      <c r="C7" s="9" t="s">
        <v>7</v>
      </c>
      <c r="D7" s="10" t="s">
        <v>8</v>
      </c>
      <c r="E7" s="9" t="s">
        <v>9</v>
      </c>
      <c r="F7" s="9" t="s">
        <v>10</v>
      </c>
      <c r="G7" s="9"/>
      <c r="J7" s="10" t="s">
        <v>11</v>
      </c>
      <c r="T7" s="10" t="s">
        <v>12</v>
      </c>
      <c r="U7" s="10" t="s">
        <v>13</v>
      </c>
      <c r="V7" s="10" t="s">
        <v>14</v>
      </c>
      <c r="W7" s="10" t="s">
        <v>15</v>
      </c>
      <c r="X7" s="10" t="s">
        <v>16</v>
      </c>
      <c r="Y7" s="10" t="s">
        <v>17</v>
      </c>
      <c r="Z7" s="10" t="s">
        <v>18</v>
      </c>
      <c r="AA7" s="10" t="s">
        <v>19</v>
      </c>
      <c r="AB7" s="10" t="s">
        <v>20</v>
      </c>
      <c r="AD7" s="10" t="s">
        <v>21</v>
      </c>
      <c r="AF7" s="10" t="s">
        <v>22</v>
      </c>
      <c r="AH7" s="10" t="s">
        <v>23</v>
      </c>
      <c r="AI7" s="10" t="s">
        <v>24</v>
      </c>
      <c r="AL7" s="10" t="s">
        <v>25</v>
      </c>
      <c r="BP7" s="10" t="s">
        <v>26</v>
      </c>
      <c r="BQ7" s="10" t="s">
        <v>27</v>
      </c>
      <c r="BR7" s="10" t="s">
        <v>28</v>
      </c>
      <c r="BX7" s="10" t="s">
        <v>29</v>
      </c>
      <c r="CA7" s="10" t="s">
        <v>30</v>
      </c>
      <c r="CJ7" s="10" t="s">
        <v>31</v>
      </c>
      <c r="CK7" s="10" t="s">
        <v>32</v>
      </c>
      <c r="CL7" s="10" t="s">
        <v>33</v>
      </c>
      <c r="CM7" s="10" t="s">
        <v>34</v>
      </c>
      <c r="CN7" s="10" t="s">
        <v>35</v>
      </c>
      <c r="CO7" s="10" t="s">
        <v>36</v>
      </c>
      <c r="CP7" s="10" t="s">
        <v>37</v>
      </c>
      <c r="CQ7" s="10" t="s">
        <v>38</v>
      </c>
      <c r="CR7" s="10" t="s">
        <v>39</v>
      </c>
      <c r="CS7" s="10" t="s">
        <v>40</v>
      </c>
      <c r="CT7" s="10" t="s">
        <v>41</v>
      </c>
      <c r="CU7" s="10" t="s">
        <v>42</v>
      </c>
      <c r="CV7" s="10" t="s">
        <v>43</v>
      </c>
      <c r="CW7" s="10" t="s">
        <v>44</v>
      </c>
      <c r="CX7" s="10" t="s">
        <v>45</v>
      </c>
      <c r="CY7" s="10" t="s">
        <v>46</v>
      </c>
      <c r="CZ7" s="10" t="s">
        <v>47</v>
      </c>
      <c r="DA7" s="10" t="s">
        <v>48</v>
      </c>
      <c r="DB7" s="10" t="s">
        <v>49</v>
      </c>
      <c r="DC7" s="10" t="s">
        <v>50</v>
      </c>
      <c r="DD7" s="10" t="s">
        <v>51</v>
      </c>
      <c r="DE7" s="10" t="s">
        <v>52</v>
      </c>
      <c r="DF7" s="10" t="s">
        <v>53</v>
      </c>
      <c r="DG7" s="10" t="s">
        <v>54</v>
      </c>
      <c r="DH7" s="10" t="s">
        <v>55</v>
      </c>
      <c r="DI7" s="10" t="s">
        <v>56</v>
      </c>
      <c r="DJ7" s="10" t="s">
        <v>57</v>
      </c>
      <c r="DK7" s="10" t="s">
        <v>58</v>
      </c>
      <c r="DL7" s="10" t="s">
        <v>59</v>
      </c>
      <c r="DM7" s="10" t="s">
        <v>60</v>
      </c>
      <c r="DN7" s="10" t="s">
        <v>61</v>
      </c>
      <c r="DO7" s="10" t="s">
        <v>62</v>
      </c>
      <c r="DP7" s="10" t="s">
        <v>63</v>
      </c>
      <c r="DQ7" s="10" t="s">
        <v>64</v>
      </c>
      <c r="DR7" s="10" t="s">
        <v>65</v>
      </c>
      <c r="DS7" s="10" t="s">
        <v>66</v>
      </c>
      <c r="DT7" s="10" t="s">
        <v>67</v>
      </c>
      <c r="DU7" s="10" t="s">
        <v>68</v>
      </c>
      <c r="DV7" s="10" t="s">
        <v>69</v>
      </c>
      <c r="DW7" s="10" t="s">
        <v>70</v>
      </c>
      <c r="DX7" s="10" t="s">
        <v>71</v>
      </c>
      <c r="DY7" s="10" t="s">
        <v>72</v>
      </c>
      <c r="DZ7" s="10" t="s">
        <v>73</v>
      </c>
      <c r="EA7" s="10" t="s">
        <v>74</v>
      </c>
      <c r="EB7" s="10" t="s">
        <v>75</v>
      </c>
      <c r="EC7" s="10" t="s">
        <v>76</v>
      </c>
      <c r="ED7" s="10" t="s">
        <v>77</v>
      </c>
      <c r="EE7" s="10" t="s">
        <v>78</v>
      </c>
      <c r="EF7" s="10" t="s">
        <v>79</v>
      </c>
      <c r="EG7" s="10" t="s">
        <v>80</v>
      </c>
      <c r="EH7" s="10" t="s">
        <v>81</v>
      </c>
    </row>
    <row r="8" spans="1:138" hidden="1">
      <c r="C8" s="9" t="s">
        <v>7</v>
      </c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 t="s">
        <v>40</v>
      </c>
      <c r="CT8" s="10" t="s">
        <v>41</v>
      </c>
      <c r="CU8" s="10" t="s">
        <v>42</v>
      </c>
      <c r="CV8" s="2"/>
      <c r="CW8" s="2"/>
      <c r="CX8" s="2"/>
      <c r="CY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</row>
    <row r="9" spans="1:138" hidden="1">
      <c r="C9" s="9" t="s">
        <v>7</v>
      </c>
      <c r="F9" s="1" t="s">
        <v>82</v>
      </c>
      <c r="G9" s="1" t="s">
        <v>83</v>
      </c>
      <c r="H9" s="2" t="s">
        <v>84</v>
      </c>
      <c r="I9" s="1" t="s">
        <v>85</v>
      </c>
      <c r="J9" s="1" t="s">
        <v>86</v>
      </c>
      <c r="K9" s="2" t="s">
        <v>87</v>
      </c>
      <c r="L9" s="1" t="s">
        <v>88</v>
      </c>
      <c r="M9" s="1" t="s">
        <v>89</v>
      </c>
      <c r="N9" s="2" t="s">
        <v>90</v>
      </c>
      <c r="O9" s="1" t="s">
        <v>91</v>
      </c>
      <c r="P9" s="1" t="s">
        <v>92</v>
      </c>
      <c r="Q9" s="2" t="s">
        <v>93</v>
      </c>
      <c r="R9" s="1" t="s">
        <v>94</v>
      </c>
      <c r="S9" s="1" t="s">
        <v>95</v>
      </c>
      <c r="T9" s="2" t="s">
        <v>96</v>
      </c>
      <c r="U9" s="1" t="s">
        <v>97</v>
      </c>
      <c r="V9" s="1" t="s">
        <v>98</v>
      </c>
      <c r="W9" s="2" t="s">
        <v>99</v>
      </c>
      <c r="X9" s="1" t="s">
        <v>100</v>
      </c>
      <c r="Y9" s="1" t="s">
        <v>101</v>
      </c>
      <c r="Z9" s="2" t="s">
        <v>102</v>
      </c>
      <c r="AA9" s="1" t="s">
        <v>103</v>
      </c>
      <c r="AB9" s="1" t="s">
        <v>104</v>
      </c>
      <c r="AC9" s="2" t="s">
        <v>105</v>
      </c>
      <c r="AD9" s="1" t="s">
        <v>106</v>
      </c>
      <c r="AE9" s="1" t="s">
        <v>107</v>
      </c>
      <c r="AF9" s="2" t="s">
        <v>108</v>
      </c>
      <c r="AG9" s="1" t="s">
        <v>109</v>
      </c>
      <c r="AH9" s="1" t="s">
        <v>110</v>
      </c>
      <c r="AI9" s="2" t="s">
        <v>111</v>
      </c>
      <c r="AJ9" s="1" t="s">
        <v>112</v>
      </c>
      <c r="AK9" s="1" t="s">
        <v>113</v>
      </c>
      <c r="AL9" s="2" t="s">
        <v>114</v>
      </c>
      <c r="AM9" s="1" t="s">
        <v>115</v>
      </c>
      <c r="AN9" s="1" t="s">
        <v>116</v>
      </c>
      <c r="AO9" s="2" t="s">
        <v>117</v>
      </c>
      <c r="AP9" s="1" t="s">
        <v>118</v>
      </c>
      <c r="AQ9" s="1" t="s">
        <v>119</v>
      </c>
      <c r="AR9" s="2" t="s">
        <v>120</v>
      </c>
      <c r="AS9" s="1" t="s">
        <v>121</v>
      </c>
      <c r="AT9" s="1" t="s">
        <v>122</v>
      </c>
      <c r="AU9" s="2" t="s">
        <v>123</v>
      </c>
      <c r="AV9" s="1" t="s">
        <v>124</v>
      </c>
      <c r="AW9" s="1" t="s">
        <v>125</v>
      </c>
      <c r="AX9" s="2" t="s">
        <v>126</v>
      </c>
      <c r="AY9" s="1" t="s">
        <v>127</v>
      </c>
      <c r="AZ9" s="1" t="s">
        <v>128</v>
      </c>
      <c r="BA9" s="2" t="s">
        <v>129</v>
      </c>
      <c r="BB9" s="1" t="s">
        <v>130</v>
      </c>
      <c r="BC9" s="1" t="s">
        <v>131</v>
      </c>
      <c r="BD9" s="2" t="s">
        <v>132</v>
      </c>
      <c r="BE9" s="1" t="s">
        <v>133</v>
      </c>
      <c r="BF9" s="1" t="s">
        <v>134</v>
      </c>
      <c r="BG9" s="24" t="s">
        <v>135</v>
      </c>
      <c r="BH9" s="1" t="s">
        <v>136</v>
      </c>
      <c r="BI9" s="1" t="s">
        <v>137</v>
      </c>
      <c r="BJ9" s="1" t="s">
        <v>138</v>
      </c>
      <c r="BK9" s="1" t="s">
        <v>139</v>
      </c>
      <c r="BL9" s="1" t="s">
        <v>140</v>
      </c>
      <c r="BM9" s="2" t="s">
        <v>141</v>
      </c>
      <c r="BN9" s="1" t="s">
        <v>142</v>
      </c>
      <c r="BO9" s="9" t="s">
        <v>143</v>
      </c>
      <c r="BP9" s="2" t="s">
        <v>144</v>
      </c>
      <c r="BQ9" s="1" t="s">
        <v>145</v>
      </c>
      <c r="BR9" s="1" t="s">
        <v>146</v>
      </c>
      <c r="BS9" s="2" t="s">
        <v>147</v>
      </c>
      <c r="BT9" s="1" t="s">
        <v>148</v>
      </c>
      <c r="BU9" s="2" t="s">
        <v>149</v>
      </c>
      <c r="BV9" s="2" t="s">
        <v>150</v>
      </c>
      <c r="BW9" s="1" t="s">
        <v>151</v>
      </c>
      <c r="BX9" s="1" t="s">
        <v>152</v>
      </c>
      <c r="BY9" s="1" t="s">
        <v>153</v>
      </c>
      <c r="BZ9" s="2" t="s">
        <v>154</v>
      </c>
      <c r="CA9" s="1" t="s">
        <v>155</v>
      </c>
      <c r="CB9" s="1" t="s">
        <v>156</v>
      </c>
      <c r="CC9" s="2"/>
      <c r="CD9" s="2"/>
      <c r="CE9" s="2"/>
      <c r="CF9" s="10" t="s">
        <v>157</v>
      </c>
      <c r="CG9" s="10"/>
      <c r="CH9" s="10" t="s">
        <v>158</v>
      </c>
      <c r="CI9" s="10" t="s">
        <v>159</v>
      </c>
      <c r="CJ9" s="10"/>
      <c r="CK9" s="10"/>
      <c r="CL9" s="10"/>
      <c r="CM9" s="10"/>
      <c r="CN9" s="10"/>
      <c r="CO9" s="10"/>
      <c r="CP9" s="10"/>
      <c r="CQ9" s="10"/>
      <c r="CR9" s="10"/>
      <c r="CS9" s="10" t="s">
        <v>40</v>
      </c>
      <c r="CT9" s="10" t="s">
        <v>41</v>
      </c>
      <c r="CU9" s="10" t="s">
        <v>42</v>
      </c>
      <c r="CV9" s="2"/>
      <c r="CW9" s="2"/>
      <c r="CX9" s="2"/>
      <c r="CY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</row>
    <row r="10" spans="1:138" hidden="1">
      <c r="B10" s="1" t="s">
        <v>6</v>
      </c>
      <c r="C10" s="9" t="s">
        <v>7</v>
      </c>
      <c r="D10" s="10" t="s">
        <v>8</v>
      </c>
      <c r="E10" s="9" t="s">
        <v>160</v>
      </c>
      <c r="F10" s="9" t="s">
        <v>82</v>
      </c>
      <c r="G10" s="9" t="s">
        <v>83</v>
      </c>
      <c r="H10" s="9" t="s">
        <v>84</v>
      </c>
      <c r="I10" s="9" t="s">
        <v>85</v>
      </c>
      <c r="J10" s="9" t="s">
        <v>86</v>
      </c>
      <c r="K10" s="9" t="s">
        <v>87</v>
      </c>
      <c r="L10" s="9" t="s">
        <v>88</v>
      </c>
      <c r="M10" s="9" t="s">
        <v>89</v>
      </c>
      <c r="N10" s="9" t="s">
        <v>90</v>
      </c>
      <c r="O10" s="9" t="s">
        <v>91</v>
      </c>
      <c r="P10" s="9" t="s">
        <v>92</v>
      </c>
      <c r="Q10" s="9" t="s">
        <v>93</v>
      </c>
      <c r="R10" s="9" t="s">
        <v>94</v>
      </c>
      <c r="S10" s="9" t="s">
        <v>95</v>
      </c>
      <c r="T10" s="9" t="s">
        <v>96</v>
      </c>
      <c r="U10" s="9" t="s">
        <v>97</v>
      </c>
      <c r="V10" s="9" t="s">
        <v>98</v>
      </c>
      <c r="W10" s="9" t="s">
        <v>99</v>
      </c>
      <c r="X10" s="9" t="s">
        <v>100</v>
      </c>
      <c r="Y10" s="9" t="s">
        <v>101</v>
      </c>
      <c r="Z10" s="9" t="s">
        <v>102</v>
      </c>
      <c r="AA10" s="9" t="s">
        <v>103</v>
      </c>
      <c r="AB10" s="9" t="s">
        <v>104</v>
      </c>
      <c r="AC10" s="9" t="s">
        <v>105</v>
      </c>
      <c r="AD10" s="9" t="s">
        <v>106</v>
      </c>
      <c r="AE10" s="9" t="s">
        <v>107</v>
      </c>
      <c r="AF10" s="9" t="s">
        <v>108</v>
      </c>
      <c r="AG10" s="9" t="s">
        <v>109</v>
      </c>
      <c r="AH10" s="9" t="s">
        <v>110</v>
      </c>
      <c r="AI10" s="9" t="s">
        <v>111</v>
      </c>
      <c r="AJ10" s="9" t="s">
        <v>112</v>
      </c>
      <c r="AK10" s="9" t="s">
        <v>113</v>
      </c>
      <c r="AL10" s="9" t="s">
        <v>114</v>
      </c>
      <c r="AM10" s="9" t="s">
        <v>115</v>
      </c>
      <c r="AN10" s="9" t="s">
        <v>116</v>
      </c>
      <c r="AO10" s="9" t="s">
        <v>117</v>
      </c>
      <c r="AP10" s="9" t="s">
        <v>118</v>
      </c>
      <c r="AQ10" s="9" t="s">
        <v>119</v>
      </c>
      <c r="AR10" s="9" t="s">
        <v>120</v>
      </c>
      <c r="AS10" s="9" t="s">
        <v>121</v>
      </c>
      <c r="AT10" s="9" t="s">
        <v>122</v>
      </c>
      <c r="AU10" s="9" t="s">
        <v>123</v>
      </c>
      <c r="AV10" s="9" t="s">
        <v>124</v>
      </c>
      <c r="AW10" s="9" t="s">
        <v>125</v>
      </c>
      <c r="AX10" s="9" t="s">
        <v>126</v>
      </c>
      <c r="AY10" s="9" t="s">
        <v>127</v>
      </c>
      <c r="AZ10" s="9" t="s">
        <v>128</v>
      </c>
      <c r="BA10" s="9" t="s">
        <v>129</v>
      </c>
      <c r="BB10" s="9" t="s">
        <v>130</v>
      </c>
      <c r="BC10" s="9" t="s">
        <v>131</v>
      </c>
      <c r="BD10" s="9" t="s">
        <v>132</v>
      </c>
      <c r="BE10" s="1" t="s">
        <v>133</v>
      </c>
      <c r="BF10" s="9" t="s">
        <v>134</v>
      </c>
      <c r="BG10" s="9" t="s">
        <v>135</v>
      </c>
      <c r="BH10" s="9" t="s">
        <v>136</v>
      </c>
      <c r="BI10" s="9" t="s">
        <v>137</v>
      </c>
      <c r="BJ10" s="9" t="s">
        <v>138</v>
      </c>
      <c r="BK10" s="9" t="s">
        <v>139</v>
      </c>
      <c r="BL10" s="9" t="s">
        <v>140</v>
      </c>
      <c r="BM10" s="9" t="s">
        <v>141</v>
      </c>
      <c r="BN10" s="9" t="s">
        <v>142</v>
      </c>
      <c r="BO10" s="9" t="s">
        <v>143</v>
      </c>
      <c r="BP10" s="9" t="s">
        <v>144</v>
      </c>
      <c r="BQ10" s="9" t="s">
        <v>145</v>
      </c>
      <c r="BR10" s="9" t="s">
        <v>146</v>
      </c>
      <c r="BS10" s="9" t="s">
        <v>147</v>
      </c>
      <c r="BT10" s="9" t="s">
        <v>148</v>
      </c>
      <c r="BU10" s="2" t="s">
        <v>149</v>
      </c>
      <c r="BV10" s="9" t="s">
        <v>150</v>
      </c>
      <c r="BW10" s="9" t="s">
        <v>151</v>
      </c>
      <c r="BX10" s="9" t="s">
        <v>152</v>
      </c>
      <c r="BY10" s="9" t="s">
        <v>153</v>
      </c>
      <c r="BZ10" s="9" t="s">
        <v>154</v>
      </c>
      <c r="CA10" s="9" t="s">
        <v>155</v>
      </c>
      <c r="CB10" s="9" t="s">
        <v>156</v>
      </c>
      <c r="CC10" s="2"/>
      <c r="CD10" s="2"/>
      <c r="CE10" s="2"/>
      <c r="CF10" s="10" t="s">
        <v>157</v>
      </c>
      <c r="CG10" s="10"/>
      <c r="CH10" s="10" t="s">
        <v>158</v>
      </c>
      <c r="CI10" s="10" t="s">
        <v>159</v>
      </c>
      <c r="CJ10" s="10"/>
      <c r="CK10" s="10"/>
      <c r="CL10" s="10"/>
      <c r="CM10" s="10"/>
      <c r="CN10" s="10"/>
      <c r="CO10" s="10"/>
      <c r="CP10" s="10"/>
      <c r="CQ10" s="10"/>
      <c r="CR10" s="10"/>
      <c r="CS10" s="10" t="s">
        <v>40</v>
      </c>
      <c r="CT10" s="10" t="s">
        <v>41</v>
      </c>
      <c r="CU10" s="10" t="s">
        <v>42</v>
      </c>
      <c r="CV10" s="2"/>
      <c r="CW10" s="2"/>
      <c r="CX10" s="2"/>
      <c r="CY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</row>
    <row r="11" spans="1:138" s="41" customFormat="1">
      <c r="B11" s="67" t="s">
        <v>161</v>
      </c>
      <c r="C11" s="67" t="s">
        <v>162</v>
      </c>
      <c r="D11" s="67" t="s">
        <v>163</v>
      </c>
      <c r="E11" s="73" t="s">
        <v>164</v>
      </c>
      <c r="F11" s="67" t="s">
        <v>165</v>
      </c>
      <c r="G11" s="74" t="s">
        <v>166</v>
      </c>
      <c r="H11" s="77"/>
      <c r="I11" s="78"/>
      <c r="J11" s="73" t="s">
        <v>167</v>
      </c>
      <c r="K11" s="74" t="s">
        <v>168</v>
      </c>
      <c r="L11" s="77"/>
      <c r="M11" s="77"/>
      <c r="N11" s="77"/>
      <c r="O11" s="77"/>
      <c r="P11" s="77"/>
      <c r="Q11" s="77"/>
      <c r="R11" s="77"/>
      <c r="S11" s="78"/>
      <c r="T11" s="67" t="s">
        <v>169</v>
      </c>
      <c r="U11" s="67"/>
      <c r="V11" s="67"/>
      <c r="W11" s="67"/>
      <c r="X11" s="67"/>
      <c r="Y11" s="67"/>
      <c r="Z11" s="67"/>
      <c r="AA11" s="67"/>
      <c r="AB11" s="74" t="s">
        <v>170</v>
      </c>
      <c r="AC11" s="77"/>
      <c r="AD11" s="77"/>
      <c r="AE11" s="77"/>
      <c r="AF11" s="77"/>
      <c r="AG11" s="77"/>
      <c r="AH11" s="77"/>
      <c r="AI11" s="77"/>
      <c r="AJ11" s="77"/>
      <c r="AK11" s="77"/>
      <c r="AL11" s="78"/>
      <c r="AM11" s="67" t="s">
        <v>171</v>
      </c>
      <c r="AN11" s="73" t="s">
        <v>172</v>
      </c>
      <c r="AO11" s="73" t="s">
        <v>173</v>
      </c>
      <c r="AP11" s="67" t="s">
        <v>174</v>
      </c>
      <c r="AQ11" s="67" t="s">
        <v>175</v>
      </c>
      <c r="AR11" s="68" t="s">
        <v>176</v>
      </c>
      <c r="AS11" s="68" t="s">
        <v>177</v>
      </c>
      <c r="AT11" s="67" t="s">
        <v>178</v>
      </c>
      <c r="AU11" s="67" t="s">
        <v>179</v>
      </c>
      <c r="AV11" s="67"/>
      <c r="AW11" s="67"/>
      <c r="AX11" s="67"/>
      <c r="AY11" s="67"/>
      <c r="AZ11" s="67"/>
      <c r="BA11" s="67"/>
      <c r="BB11" s="67"/>
      <c r="BC11" s="67"/>
      <c r="BD11" s="67"/>
      <c r="BE11" s="74" t="s">
        <v>180</v>
      </c>
      <c r="BF11" s="67" t="s">
        <v>181</v>
      </c>
      <c r="BG11" s="67"/>
      <c r="BH11" s="67"/>
      <c r="BI11" s="67"/>
      <c r="BJ11" s="67"/>
      <c r="BK11" s="67"/>
      <c r="BL11" s="74" t="s">
        <v>182</v>
      </c>
      <c r="BM11" s="77"/>
      <c r="BN11" s="77"/>
      <c r="BO11" s="78"/>
      <c r="BP11" s="82" t="s">
        <v>183</v>
      </c>
      <c r="BQ11" s="83"/>
      <c r="BR11" s="83"/>
      <c r="BS11" s="83"/>
      <c r="BT11" s="83"/>
      <c r="BU11" s="83"/>
      <c r="BV11" s="83"/>
      <c r="BW11" s="84"/>
      <c r="BX11" s="96" t="s">
        <v>184</v>
      </c>
      <c r="BY11" s="92" t="s">
        <v>185</v>
      </c>
      <c r="BZ11" s="92" t="s">
        <v>186</v>
      </c>
      <c r="CA11" s="92" t="s">
        <v>187</v>
      </c>
      <c r="CB11" s="73" t="s">
        <v>188</v>
      </c>
      <c r="CC11" s="21"/>
      <c r="CD11" s="21"/>
      <c r="CE11" s="21"/>
      <c r="CF11" s="105" t="s">
        <v>189</v>
      </c>
      <c r="CG11" s="99" t="s">
        <v>190</v>
      </c>
      <c r="CH11" s="101" t="s">
        <v>191</v>
      </c>
      <c r="CI11" s="101" t="s">
        <v>192</v>
      </c>
      <c r="CJ11" s="101" t="s">
        <v>193</v>
      </c>
      <c r="CK11" s="101" t="s">
        <v>194</v>
      </c>
      <c r="CL11" s="101" t="s">
        <v>195</v>
      </c>
      <c r="CM11" s="101" t="s">
        <v>196</v>
      </c>
      <c r="CN11" s="101" t="s">
        <v>197</v>
      </c>
      <c r="CO11" s="101" t="s">
        <v>198</v>
      </c>
      <c r="CP11" s="101" t="s">
        <v>199</v>
      </c>
      <c r="CQ11" s="101" t="s">
        <v>200</v>
      </c>
      <c r="CR11" s="101" t="s">
        <v>201</v>
      </c>
      <c r="CS11" s="72" t="s">
        <v>40</v>
      </c>
      <c r="CT11" s="72" t="s">
        <v>202</v>
      </c>
      <c r="CU11" s="72" t="s">
        <v>203</v>
      </c>
      <c r="CV11" s="72" t="s">
        <v>204</v>
      </c>
      <c r="CW11" s="89" t="s">
        <v>205</v>
      </c>
      <c r="CX11" s="70" t="s">
        <v>206</v>
      </c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1"/>
      <c r="DR11" s="113" t="s">
        <v>207</v>
      </c>
      <c r="DS11" s="113"/>
      <c r="DT11" s="113"/>
      <c r="DU11" s="113"/>
      <c r="DV11" s="113" t="s">
        <v>208</v>
      </c>
      <c r="DW11" s="113"/>
      <c r="DX11" s="113"/>
      <c r="DY11" s="113"/>
      <c r="DZ11" s="114" t="s">
        <v>209</v>
      </c>
      <c r="EA11" s="113" t="s">
        <v>210</v>
      </c>
      <c r="EB11" s="113" t="s">
        <v>211</v>
      </c>
      <c r="EC11" s="113" t="s">
        <v>212</v>
      </c>
      <c r="ED11" s="114" t="s">
        <v>213</v>
      </c>
      <c r="EE11" s="113" t="s">
        <v>214</v>
      </c>
      <c r="EF11" s="113" t="s">
        <v>215</v>
      </c>
      <c r="EG11" s="107" t="s">
        <v>171</v>
      </c>
      <c r="EH11" s="110" t="s">
        <v>216</v>
      </c>
    </row>
    <row r="12" spans="1:138" s="41" customFormat="1" ht="28.15" customHeight="1">
      <c r="B12" s="67"/>
      <c r="C12" s="67"/>
      <c r="D12" s="67"/>
      <c r="E12" s="81"/>
      <c r="F12" s="67"/>
      <c r="G12" s="75"/>
      <c r="H12" s="79"/>
      <c r="I12" s="80"/>
      <c r="J12" s="81"/>
      <c r="K12" s="76"/>
      <c r="L12" s="103"/>
      <c r="M12" s="103"/>
      <c r="N12" s="103"/>
      <c r="O12" s="103"/>
      <c r="P12" s="103"/>
      <c r="Q12" s="103"/>
      <c r="R12" s="103"/>
      <c r="S12" s="104"/>
      <c r="T12" s="67" t="s">
        <v>217</v>
      </c>
      <c r="U12" s="67"/>
      <c r="V12" s="67"/>
      <c r="W12" s="67"/>
      <c r="X12" s="67" t="s">
        <v>218</v>
      </c>
      <c r="Y12" s="67"/>
      <c r="Z12" s="67"/>
      <c r="AA12" s="67"/>
      <c r="AB12" s="76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67"/>
      <c r="AN12" s="81"/>
      <c r="AO12" s="81"/>
      <c r="AP12" s="67"/>
      <c r="AQ12" s="67"/>
      <c r="AR12" s="68"/>
      <c r="AS12" s="68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5"/>
      <c r="BF12" s="67"/>
      <c r="BG12" s="67"/>
      <c r="BH12" s="67"/>
      <c r="BI12" s="67"/>
      <c r="BJ12" s="67"/>
      <c r="BK12" s="67"/>
      <c r="BL12" s="75"/>
      <c r="BM12" s="79"/>
      <c r="BN12" s="79"/>
      <c r="BO12" s="80"/>
      <c r="BP12" s="85"/>
      <c r="BQ12" s="86"/>
      <c r="BR12" s="86"/>
      <c r="BS12" s="86"/>
      <c r="BT12" s="86"/>
      <c r="BU12" s="86"/>
      <c r="BV12" s="86"/>
      <c r="BW12" s="87"/>
      <c r="BX12" s="97"/>
      <c r="BY12" s="93"/>
      <c r="BZ12" s="93"/>
      <c r="CA12" s="93"/>
      <c r="CB12" s="81"/>
      <c r="CC12" s="21"/>
      <c r="CD12" s="21"/>
      <c r="CE12" s="21"/>
      <c r="CF12" s="105"/>
      <c r="CG12" s="99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72"/>
      <c r="CT12" s="72"/>
      <c r="CU12" s="72"/>
      <c r="CV12" s="72"/>
      <c r="CW12" s="90"/>
      <c r="CX12" s="88" t="s">
        <v>219</v>
      </c>
      <c r="CY12" s="69"/>
      <c r="CZ12" s="69"/>
      <c r="DA12" s="69"/>
      <c r="DB12" s="69"/>
      <c r="DC12" s="69"/>
      <c r="DD12" s="69"/>
      <c r="DE12" s="69"/>
      <c r="DF12" s="69"/>
      <c r="DG12" s="69"/>
      <c r="DH12" s="69" t="s">
        <v>220</v>
      </c>
      <c r="DI12" s="69"/>
      <c r="DJ12" s="69"/>
      <c r="DK12" s="69"/>
      <c r="DL12" s="69"/>
      <c r="DM12" s="69"/>
      <c r="DN12" s="69"/>
      <c r="DO12" s="69"/>
      <c r="DP12" s="69"/>
      <c r="DQ12" s="69"/>
      <c r="DR12" s="113" t="s">
        <v>219</v>
      </c>
      <c r="DS12" s="113"/>
      <c r="DT12" s="113" t="s">
        <v>220</v>
      </c>
      <c r="DU12" s="113"/>
      <c r="DV12" s="113" t="s">
        <v>219</v>
      </c>
      <c r="DW12" s="113"/>
      <c r="DX12" s="113" t="s">
        <v>220</v>
      </c>
      <c r="DY12" s="113"/>
      <c r="DZ12" s="114"/>
      <c r="EA12" s="113"/>
      <c r="EB12" s="113"/>
      <c r="EC12" s="113"/>
      <c r="ED12" s="114"/>
      <c r="EE12" s="113"/>
      <c r="EF12" s="113"/>
      <c r="EG12" s="108"/>
      <c r="EH12" s="111"/>
    </row>
    <row r="13" spans="1:138" s="11" customFormat="1" ht="94.5" customHeight="1">
      <c r="B13" s="73"/>
      <c r="C13" s="73"/>
      <c r="D13" s="73"/>
      <c r="E13" s="95"/>
      <c r="F13" s="73"/>
      <c r="G13" s="17" t="s">
        <v>221</v>
      </c>
      <c r="H13" s="17" t="s">
        <v>222</v>
      </c>
      <c r="I13" s="30" t="s">
        <v>223</v>
      </c>
      <c r="J13" s="95"/>
      <c r="K13" s="42" t="s">
        <v>224</v>
      </c>
      <c r="L13" s="42" t="s">
        <v>225</v>
      </c>
      <c r="M13" s="42" t="s">
        <v>226</v>
      </c>
      <c r="N13" s="42" t="s">
        <v>227</v>
      </c>
      <c r="O13" s="42" t="s">
        <v>228</v>
      </c>
      <c r="P13" s="42" t="s">
        <v>229</v>
      </c>
      <c r="Q13" s="42" t="s">
        <v>230</v>
      </c>
      <c r="R13" s="42" t="s">
        <v>231</v>
      </c>
      <c r="S13" s="42" t="s">
        <v>232</v>
      </c>
      <c r="T13" s="30" t="s">
        <v>233</v>
      </c>
      <c r="U13" s="30" t="s">
        <v>234</v>
      </c>
      <c r="V13" s="30" t="s">
        <v>235</v>
      </c>
      <c r="W13" s="30" t="s">
        <v>236</v>
      </c>
      <c r="X13" s="30" t="s">
        <v>233</v>
      </c>
      <c r="Y13" s="30" t="s">
        <v>234</v>
      </c>
      <c r="Z13" s="30" t="s">
        <v>235</v>
      </c>
      <c r="AA13" s="30" t="s">
        <v>236</v>
      </c>
      <c r="AB13" s="30" t="s">
        <v>237</v>
      </c>
      <c r="AC13" s="30" t="s">
        <v>238</v>
      </c>
      <c r="AD13" s="30" t="s">
        <v>239</v>
      </c>
      <c r="AE13" s="17" t="s">
        <v>240</v>
      </c>
      <c r="AF13" s="17" t="s">
        <v>241</v>
      </c>
      <c r="AG13" s="17" t="s">
        <v>242</v>
      </c>
      <c r="AH13" s="17" t="s">
        <v>243</v>
      </c>
      <c r="AI13" s="17" t="s">
        <v>244</v>
      </c>
      <c r="AJ13" s="17" t="s">
        <v>245</v>
      </c>
      <c r="AK13" s="17" t="s">
        <v>246</v>
      </c>
      <c r="AL13" s="17" t="str">
        <f>"Thưởng sinh nhật tháng "&amp;A4&amp;"/Birthday in "&amp;TEXT(A4*29,"Mmm")</f>
        <v>Thưởng sinh nhật tháng 12/Birthday in Dec</v>
      </c>
      <c r="AM13" s="73"/>
      <c r="AN13" s="81"/>
      <c r="AO13" s="81"/>
      <c r="AP13" s="67"/>
      <c r="AQ13" s="67"/>
      <c r="AR13" s="68"/>
      <c r="AS13" s="68"/>
      <c r="AT13" s="67"/>
      <c r="AU13" s="31" t="s">
        <v>247</v>
      </c>
      <c r="AV13" s="32" t="s">
        <v>248</v>
      </c>
      <c r="AW13" s="32" t="s">
        <v>249</v>
      </c>
      <c r="AX13" s="30" t="s">
        <v>250</v>
      </c>
      <c r="AY13" s="33" t="s">
        <v>251</v>
      </c>
      <c r="AZ13" s="33" t="s">
        <v>252</v>
      </c>
      <c r="BA13" s="30" t="s">
        <v>253</v>
      </c>
      <c r="BB13" s="30" t="s">
        <v>254</v>
      </c>
      <c r="BC13" s="30" t="s">
        <v>255</v>
      </c>
      <c r="BD13" s="30" t="s">
        <v>256</v>
      </c>
      <c r="BE13" s="76"/>
      <c r="BF13" s="20" t="s">
        <v>257</v>
      </c>
      <c r="BG13" s="20" t="s">
        <v>258</v>
      </c>
      <c r="BH13" s="20" t="s">
        <v>259</v>
      </c>
      <c r="BI13" s="19" t="s">
        <v>260</v>
      </c>
      <c r="BJ13" s="19" t="s">
        <v>261</v>
      </c>
      <c r="BK13" s="19" t="s">
        <v>262</v>
      </c>
      <c r="BL13" s="19" t="s">
        <v>263</v>
      </c>
      <c r="BM13" s="19" t="s">
        <v>264</v>
      </c>
      <c r="BN13" s="30" t="s">
        <v>260</v>
      </c>
      <c r="BO13" s="30" t="s">
        <v>265</v>
      </c>
      <c r="BP13" s="56" t="s">
        <v>266</v>
      </c>
      <c r="BQ13" s="55" t="s">
        <v>267</v>
      </c>
      <c r="BR13" s="55" t="s">
        <v>268</v>
      </c>
      <c r="BS13" s="55" t="s">
        <v>269</v>
      </c>
      <c r="BT13" s="55" t="s">
        <v>270</v>
      </c>
      <c r="BU13" s="55" t="s">
        <v>271</v>
      </c>
      <c r="BV13" s="55" t="s">
        <v>272</v>
      </c>
      <c r="BW13" s="17" t="s">
        <v>273</v>
      </c>
      <c r="BX13" s="98"/>
      <c r="BY13" s="94"/>
      <c r="BZ13" s="94"/>
      <c r="CA13" s="94"/>
      <c r="CB13" s="95"/>
      <c r="CC13" s="21"/>
      <c r="CD13" s="21"/>
      <c r="CE13" s="21"/>
      <c r="CF13" s="106"/>
      <c r="CG13" s="100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72"/>
      <c r="CT13" s="72"/>
      <c r="CU13" s="72"/>
      <c r="CV13" s="72"/>
      <c r="CW13" s="91"/>
      <c r="CX13" s="28" t="s">
        <v>274</v>
      </c>
      <c r="CY13" s="27" t="s">
        <v>275</v>
      </c>
      <c r="CZ13" s="50" t="s">
        <v>224</v>
      </c>
      <c r="DA13" s="50" t="s">
        <v>225</v>
      </c>
      <c r="DB13" s="50" t="s">
        <v>226</v>
      </c>
      <c r="DC13" s="50" t="s">
        <v>227</v>
      </c>
      <c r="DD13" s="50" t="s">
        <v>276</v>
      </c>
      <c r="DE13" s="50" t="s">
        <v>277</v>
      </c>
      <c r="DF13" s="50" t="s">
        <v>230</v>
      </c>
      <c r="DG13" s="51" t="s">
        <v>231</v>
      </c>
      <c r="DH13" s="29" t="s">
        <v>274</v>
      </c>
      <c r="DI13" s="27" t="s">
        <v>275</v>
      </c>
      <c r="DJ13" s="50" t="s">
        <v>224</v>
      </c>
      <c r="DK13" s="50" t="s">
        <v>225</v>
      </c>
      <c r="DL13" s="50" t="s">
        <v>226</v>
      </c>
      <c r="DM13" s="50" t="s">
        <v>227</v>
      </c>
      <c r="DN13" s="50" t="s">
        <v>276</v>
      </c>
      <c r="DO13" s="50" t="s">
        <v>277</v>
      </c>
      <c r="DP13" s="50" t="s">
        <v>230</v>
      </c>
      <c r="DQ13" s="52" t="s">
        <v>231</v>
      </c>
      <c r="DR13" s="43" t="s">
        <v>278</v>
      </c>
      <c r="DS13" s="43" t="s">
        <v>279</v>
      </c>
      <c r="DT13" s="43" t="s">
        <v>278</v>
      </c>
      <c r="DU13" s="43" t="s">
        <v>279</v>
      </c>
      <c r="DV13" s="43" t="s">
        <v>280</v>
      </c>
      <c r="DW13" s="43" t="s">
        <v>281</v>
      </c>
      <c r="DX13" s="43" t="s">
        <v>280</v>
      </c>
      <c r="DY13" s="43" t="s">
        <v>281</v>
      </c>
      <c r="DZ13" s="114"/>
      <c r="EA13" s="113"/>
      <c r="EB13" s="113"/>
      <c r="EC13" s="113"/>
      <c r="ED13" s="110"/>
      <c r="EE13" s="113"/>
      <c r="EF13" s="113"/>
      <c r="EG13" s="109"/>
      <c r="EH13" s="112"/>
    </row>
    <row r="14" spans="1:138" s="24" customFormat="1">
      <c r="A14" s="16"/>
      <c r="B14" s="18">
        <v>1</v>
      </c>
      <c r="C14" s="18">
        <v>2</v>
      </c>
      <c r="D14" s="18">
        <v>3</v>
      </c>
      <c r="E14" s="18">
        <v>4</v>
      </c>
      <c r="F14" s="18">
        <v>5</v>
      </c>
      <c r="G14" s="18">
        <v>6</v>
      </c>
      <c r="H14" s="18">
        <v>7</v>
      </c>
      <c r="I14" s="18">
        <v>8</v>
      </c>
      <c r="J14" s="18">
        <v>9</v>
      </c>
      <c r="K14" s="18">
        <v>10</v>
      </c>
      <c r="L14" s="18">
        <v>11</v>
      </c>
      <c r="M14" s="18">
        <v>12</v>
      </c>
      <c r="N14" s="18">
        <v>13</v>
      </c>
      <c r="O14" s="18">
        <v>14</v>
      </c>
      <c r="P14" s="18">
        <v>15</v>
      </c>
      <c r="Q14" s="18">
        <v>16</v>
      </c>
      <c r="R14" s="18">
        <v>17</v>
      </c>
      <c r="S14" s="18">
        <v>18</v>
      </c>
      <c r="T14" s="18">
        <v>19</v>
      </c>
      <c r="U14" s="18">
        <v>20</v>
      </c>
      <c r="V14" s="18">
        <v>21</v>
      </c>
      <c r="W14" s="18">
        <v>22</v>
      </c>
      <c r="X14" s="18">
        <v>23</v>
      </c>
      <c r="Y14" s="18">
        <v>24</v>
      </c>
      <c r="Z14" s="18">
        <v>25</v>
      </c>
      <c r="AA14" s="18">
        <v>26</v>
      </c>
      <c r="AB14" s="18">
        <v>27</v>
      </c>
      <c r="AC14" s="18">
        <v>28</v>
      </c>
      <c r="AD14" s="18">
        <v>29</v>
      </c>
      <c r="AE14" s="18">
        <v>30</v>
      </c>
      <c r="AF14" s="18">
        <v>31</v>
      </c>
      <c r="AG14" s="18">
        <v>32</v>
      </c>
      <c r="AH14" s="18">
        <v>33</v>
      </c>
      <c r="AI14" s="18">
        <v>34</v>
      </c>
      <c r="AJ14" s="18">
        <v>35</v>
      </c>
      <c r="AK14" s="18">
        <v>36</v>
      </c>
      <c r="AL14" s="18">
        <v>37</v>
      </c>
      <c r="AM14" s="18">
        <v>38</v>
      </c>
      <c r="AN14" s="18">
        <v>39</v>
      </c>
      <c r="AO14" s="18">
        <v>40</v>
      </c>
      <c r="AP14" s="18">
        <v>41</v>
      </c>
      <c r="AQ14" s="18">
        <v>42</v>
      </c>
      <c r="AR14" s="18">
        <v>43</v>
      </c>
      <c r="AS14" s="18">
        <v>44</v>
      </c>
      <c r="AT14" s="18">
        <v>45</v>
      </c>
      <c r="AU14" s="18">
        <v>46</v>
      </c>
      <c r="AV14" s="18">
        <v>47</v>
      </c>
      <c r="AW14" s="18">
        <v>48</v>
      </c>
      <c r="AX14" s="18">
        <v>49</v>
      </c>
      <c r="AY14" s="18">
        <v>50</v>
      </c>
      <c r="AZ14" s="18">
        <v>51</v>
      </c>
      <c r="BA14" s="18">
        <v>52</v>
      </c>
      <c r="BB14" s="18">
        <v>53</v>
      </c>
      <c r="BC14" s="18">
        <v>54</v>
      </c>
      <c r="BD14" s="18">
        <v>55</v>
      </c>
      <c r="BE14" s="18">
        <v>56</v>
      </c>
      <c r="BF14" s="18">
        <v>57</v>
      </c>
      <c r="BG14" s="18">
        <v>58</v>
      </c>
      <c r="BH14" s="18">
        <v>59</v>
      </c>
      <c r="BI14" s="18">
        <v>60</v>
      </c>
      <c r="BJ14" s="18">
        <v>61</v>
      </c>
      <c r="BK14" s="18">
        <v>62</v>
      </c>
      <c r="BL14" s="18">
        <v>63</v>
      </c>
      <c r="BM14" s="18">
        <v>64</v>
      </c>
      <c r="BN14" s="18">
        <v>65</v>
      </c>
      <c r="BO14" s="18">
        <v>66</v>
      </c>
      <c r="BP14" s="18">
        <v>67</v>
      </c>
      <c r="BQ14" s="18">
        <v>68</v>
      </c>
      <c r="BR14" s="18">
        <v>69</v>
      </c>
      <c r="BS14" s="18">
        <v>70</v>
      </c>
      <c r="BT14" s="18">
        <v>71</v>
      </c>
      <c r="BU14" s="18">
        <v>72</v>
      </c>
      <c r="BV14" s="18">
        <v>73</v>
      </c>
      <c r="BW14" s="18">
        <v>74</v>
      </c>
      <c r="BX14" s="18">
        <v>75</v>
      </c>
      <c r="BY14" s="18">
        <v>76</v>
      </c>
      <c r="BZ14" s="18">
        <v>77</v>
      </c>
      <c r="CA14" s="18">
        <v>78</v>
      </c>
      <c r="CB14" s="18"/>
      <c r="CC14" s="21"/>
      <c r="CD14" s="21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3"/>
      <c r="CT14" s="23"/>
      <c r="CU14" s="23"/>
      <c r="CV14" s="23"/>
      <c r="CW14" s="23"/>
      <c r="CX14" s="25"/>
      <c r="CY14" s="53"/>
      <c r="CZ14" s="53"/>
      <c r="DA14" s="53"/>
      <c r="DB14" s="53"/>
      <c r="DC14" s="53"/>
      <c r="DD14" s="53"/>
      <c r="DE14" s="25"/>
      <c r="DF14" s="25"/>
      <c r="DG14" s="25"/>
      <c r="DH14" s="25"/>
      <c r="DI14" s="53"/>
      <c r="DJ14" s="53"/>
      <c r="DK14" s="53"/>
      <c r="DL14" s="53"/>
      <c r="DM14" s="53"/>
      <c r="DN14" s="53"/>
      <c r="DO14" s="53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</row>
    <row r="15" spans="1:138">
      <c r="B15" s="36">
        <v>1</v>
      </c>
      <c r="C15" s="36" t="s">
        <v>282</v>
      </c>
      <c r="D15" s="37" t="s">
        <v>283</v>
      </c>
      <c r="E15" s="36" t="s">
        <v>284</v>
      </c>
      <c r="F15" s="36">
        <v>208</v>
      </c>
      <c r="G15" s="54">
        <f t="shared" ref="G15:G47" si="0">CX15+DH15+DR15+DT15</f>
        <v>178</v>
      </c>
      <c r="H15" s="45">
        <f t="shared" ref="H15:H47" si="1">CY15+DI15</f>
        <v>22</v>
      </c>
      <c r="I15" s="45">
        <f t="shared" ref="I15:I47" si="2">IF(AND(DV15+DX15&lt;=2,DW15+DY15&lt;=120),G15+H15+ROUND((DW15+DY15)/60,2),G15+H15)</f>
        <v>200</v>
      </c>
      <c r="J15" s="38">
        <v>22</v>
      </c>
      <c r="K15" s="45">
        <f t="shared" ref="K15:K47" si="3">CZ15+DJ15</f>
        <v>62</v>
      </c>
      <c r="L15" s="45">
        <f t="shared" ref="L15:L47" si="4">DK15+DA15</f>
        <v>6</v>
      </c>
      <c r="M15" s="45">
        <f t="shared" ref="M15:M47" si="5">DB15+DL15</f>
        <v>0</v>
      </c>
      <c r="N15" s="45">
        <f t="shared" ref="N15:N47" si="6">DC15+DM15</f>
        <v>0</v>
      </c>
      <c r="O15" s="45">
        <f t="shared" ref="O15:O47" si="7">DD15+DN15</f>
        <v>0</v>
      </c>
      <c r="P15" s="45">
        <f t="shared" ref="P15:P47" si="8">DE15+DO15</f>
        <v>0</v>
      </c>
      <c r="Q15" s="45">
        <f t="shared" ref="Q15:Q47" si="9">DF15+DP15</f>
        <v>0</v>
      </c>
      <c r="R15" s="45">
        <v>0</v>
      </c>
      <c r="S15" s="45">
        <v>0</v>
      </c>
      <c r="T15" s="38">
        <v>4267000</v>
      </c>
      <c r="U15" s="38">
        <v>800000</v>
      </c>
      <c r="V15" s="38">
        <v>0</v>
      </c>
      <c r="W15" s="38">
        <v>900000</v>
      </c>
      <c r="X15" s="38">
        <v>0</v>
      </c>
      <c r="Y15" s="38">
        <v>0</v>
      </c>
      <c r="Z15" s="38">
        <v>0</v>
      </c>
      <c r="AA15" s="38">
        <v>900000</v>
      </c>
      <c r="AB15" s="38">
        <v>0</v>
      </c>
      <c r="AC15" s="38">
        <f t="shared" ref="AC15:AC47" si="10">IF(EF15="Office",IF(I15&gt;=20*CW15,AB15,AB15*I15/F15),IF(I15&gt;=10*CW15,AB15,0))</f>
        <v>0</v>
      </c>
      <c r="AD15" s="38">
        <v>300000</v>
      </c>
      <c r="AE15" s="38">
        <f t="shared" ref="AE15:AE47" si="11">IF(CO15&gt;0,IF(CO15=1,0,CO15),IF(I15&gt;=20*CW15,AD15,IF(OR(EF15="Office",CJ15=1,CK15=1),AD15*I15/F15,0)))</f>
        <v>300000</v>
      </c>
      <c r="AF15" s="38">
        <v>300000</v>
      </c>
      <c r="AG15" s="38">
        <f t="shared" ref="AG15:AG47" si="12">IF(CP15&gt;0,IF(CP15=1,0,CP15),IF(I15&gt;=20*CW15,AF15,IF(OR(EF15="Office",CJ15=1,CK15=1),AF15*I15/F15,0)))</f>
        <v>300000</v>
      </c>
      <c r="AH15" s="38">
        <v>0</v>
      </c>
      <c r="AI15" s="38">
        <v>0</v>
      </c>
      <c r="AJ15" s="38">
        <f t="shared" ref="AJ15:AJ47" si="13">IF(CL15&gt;0,IF(CL15=1,0,CL15),CM15)</f>
        <v>500000</v>
      </c>
      <c r="AK15" s="38">
        <f t="shared" ref="AK15:AK47" si="14">J15*13000</f>
        <v>286000</v>
      </c>
      <c r="AL15" s="38">
        <v>0</v>
      </c>
      <c r="AM15" s="38">
        <f t="shared" ref="AM15:AM47" si="15">EG15</f>
        <v>3580200</v>
      </c>
      <c r="AN15" s="38">
        <v>0</v>
      </c>
      <c r="AO15" s="38">
        <f t="shared" ref="AO15:AO47" si="16">AC15+AE15+AG15+AH15+AI15+AJ15+AK15+AL15</f>
        <v>1386000</v>
      </c>
      <c r="AP15" s="39">
        <f t="shared" ref="AP15:AP47" si="17">SUM(T15:W15)</f>
        <v>5967000</v>
      </c>
      <c r="AQ15" s="39">
        <f t="shared" ref="AQ15:AQ47" si="18">SUM(X15:AA15)</f>
        <v>900000</v>
      </c>
      <c r="AR15" s="46">
        <f t="shared" ref="AR15:AR47" si="19">AP15/F15</f>
        <v>28687.5</v>
      </c>
      <c r="AS15" s="57">
        <f t="shared" ref="AS15:AS47" si="20">AQ15/F15</f>
        <v>4326.9230769230771</v>
      </c>
      <c r="AT15" s="39">
        <f t="shared" ref="AT15:AT47" si="21">ROUND(IF(DW15+DY15&lt;=120,AR15*(CX15+CY15*1.3+DR15)+IF(AS15=0,AR15,AS15)*(DH15+DI15*1.3+DT15),AR15*(CX15+CY15*1.3+DR15)+IF(AS15=0,AR15,AS15)*(DH15+DI15*1.3+DT15)),0)</f>
        <v>5926838</v>
      </c>
      <c r="AU15" s="38">
        <f t="shared" ref="AU15:AU47" si="22">ROUND(AR15*CZ15*1.5+AS15*DJ15*1.5,0)</f>
        <v>2667938</v>
      </c>
      <c r="AV15" s="38">
        <f t="shared" ref="AV15:AV47" si="23">ROUND(AR15*DA15*1.5*1.3+AS15*DK15*1.5*1.3,0)</f>
        <v>335644</v>
      </c>
      <c r="AW15" s="38">
        <f t="shared" ref="AW15:AW47" si="24">ROUND(AR15*DB15*2+AS15*DL15*2,0)</f>
        <v>0</v>
      </c>
      <c r="AX15" s="40">
        <f t="shared" ref="AX15:AX47" si="25">ROUND(AR15*DC15*2*1.3+AS15*DM15*2*1.3,0)</f>
        <v>0</v>
      </c>
      <c r="AY15" s="40">
        <f t="shared" ref="AY15:AY47" si="26">ROUND(AR15*DD15*2*1.5+AS15*DN15*2*1.5,0)</f>
        <v>0</v>
      </c>
      <c r="AZ15" s="40">
        <f t="shared" ref="AZ15:AZ47" si="27">ROUND(AR15*DE15*2*1.5*1.3+AS15*DO15*2*1.5*1.3,0)</f>
        <v>0</v>
      </c>
      <c r="BA15" s="40">
        <f t="shared" ref="BA15:BA47" si="28">ROUND(AR15*DF15*3+AS15*DP15*3,0)</f>
        <v>0</v>
      </c>
      <c r="BB15" s="40">
        <f t="shared" ref="BB15:BB47" si="29">ROUND(AR15*DG15*3*1.3+AS15*DQ15*3*1.3,0)</f>
        <v>0</v>
      </c>
      <c r="BC15" s="40">
        <v>0</v>
      </c>
      <c r="BD15" s="39">
        <f t="shared" ref="BD15:BD47" si="30">SUM(AU15:BC15)</f>
        <v>3003582</v>
      </c>
      <c r="BE15" s="39">
        <f t="shared" ref="BE15:BE47" si="31">AT15+BD15+AO15+AM15-AN15</f>
        <v>13896620</v>
      </c>
      <c r="BF15" s="39">
        <f t="shared" ref="BF15:BF47" si="32">IF(OR(CV15-DZ15-DR15/8&lt;14),IF(OR(CQ15&gt;CN15,CR15=1),AQ15,AP15),0)</f>
        <v>5967000</v>
      </c>
      <c r="BG15" s="39">
        <f t="shared" ref="BG15:BG47" si="33">IF(EA15&lt;&gt;0,BF15*17.5%,0)</f>
        <v>1044224.9999999999</v>
      </c>
      <c r="BH15" s="39">
        <f t="shared" ref="BH15:BH47" si="34">IF(EB15&lt;&gt;0,IF(OR(CQ15&gt;CN15,CR15=1),AQ15,AP15)*3%,0)</f>
        <v>179010</v>
      </c>
      <c r="BI15" s="39">
        <f t="shared" ref="BI15:BI47" si="35">IF(EC15&lt;&gt;0,BF15*1%,0)</f>
        <v>59670</v>
      </c>
      <c r="BJ15" s="39">
        <f t="shared" ref="BJ15:BJ47" si="36">IF(BY15&gt;0,BF15*2%,0)</f>
        <v>119340</v>
      </c>
      <c r="BK15" s="39">
        <f t="shared" ref="BK15:BK47" si="37">ROUND(SUM(BG15:BJ15),0)</f>
        <v>1402245</v>
      </c>
      <c r="BL15" s="38">
        <f t="shared" ref="BL15:BL47" si="38">IF(BG15&gt;0,BF15*8%,0)</f>
        <v>477360</v>
      </c>
      <c r="BM15" s="38">
        <f t="shared" ref="BM15:BM47" si="39">IF(BH15&gt;0,IF(OR(CQ15&gt;CN15,CR15=1),AQ15,AP15)*1.5%,0)</f>
        <v>89505</v>
      </c>
      <c r="BN15" s="38">
        <f t="shared" ref="BN15:BN47" si="40">IF(BI15&gt;0,BF15*1%,0)</f>
        <v>59670</v>
      </c>
      <c r="BO15" s="38">
        <f t="shared" ref="BO15:BO47" si="41">ROUND(SUM(BL15:BN15),0)</f>
        <v>626535</v>
      </c>
      <c r="BP15" s="38">
        <v>11000000</v>
      </c>
      <c r="BQ15" s="38">
        <v>0</v>
      </c>
      <c r="BR15" s="38">
        <v>4400000</v>
      </c>
      <c r="BS15" s="38">
        <f t="shared" ref="BS15:BS47" si="42">BQ15*BR15</f>
        <v>0</v>
      </c>
      <c r="BT15" s="38">
        <f t="shared" ref="BT15:BT47" si="43">AC15+AH15+AK15</f>
        <v>286000</v>
      </c>
      <c r="BU15" s="37">
        <f t="shared" ref="BU15:BU47" si="44">BE15-BT15-AR15*(CY15*0.3+CZ15*0.5+DA15*0.95+DB15*1+DC15*1.7+DD15*2+DE15*2.9+DF15*2+DG15*2.9)+EH15</f>
        <v>12368451.25</v>
      </c>
      <c r="BV15" s="38">
        <f t="shared" ref="BV15:BV47" si="45">IF(BU15-BO15-BP15-BS15&gt;0,BU15-BO15-BP15-BS15,0)</f>
        <v>741916.25</v>
      </c>
      <c r="BW15" s="38">
        <f t="shared" ref="BW15:BW47" si="46">ROUND(IF(BV15&lt;=5000000,BV15*5%,IF(AND(BV15&gt;5000000,BV15&lt;=10000000),BV15*10%-250000,IF(AND(BV15&gt;10000000,BV15&lt;=18000000),BV15*15%-750000,IF(AND(BV15&gt;18000000,BV15&lt;=32000000),BV15*20%-1650000,IF(AND(BV15&gt;32000000,BV15&lt;=52000000),BV15*25%-3250000,IF(AND(BV15&gt;52000000,BV15&lt;80000000),BV15*30%-585000,IF(BV15&gt;80000000,BV15*35%-9850000))))))),0)</f>
        <v>37096</v>
      </c>
      <c r="BX15" s="38">
        <v>0</v>
      </c>
      <c r="BY15" s="38">
        <f t="shared" ref="BY15:BY47" si="47">IF(ED15=1,EE15,IF(AND(ED15&lt;&gt;1,BL15&gt;0),EE15,0))</f>
        <v>35000</v>
      </c>
      <c r="BZ15" s="38">
        <f t="shared" ref="BZ15:BZ47" si="48">ROUND(BE15-BO15-BW15-BY15+BX15,0)</f>
        <v>13197989</v>
      </c>
      <c r="CA15" s="38">
        <f>VLOOKUP(D15,'[1]Payroll of factory (DET).1'!$B$10:$BS$38,70,0)-BZ15</f>
        <v>-1.25</v>
      </c>
      <c r="CB15" s="26">
        <v>0</v>
      </c>
      <c r="CF15" s="12">
        <f t="shared" ref="CF15:CF48" si="49">AR15*(CY15+CZ15+DA15+DB15+DC15+DD15+DE15+DF15+DG15)+BT15</f>
        <v>2867875</v>
      </c>
      <c r="CG15" s="12">
        <f t="shared" ref="CG15:CG48" si="50">AS15*(DH15+DI15+DJ15*1.5+DK15*1.95+DL15*2+DM15*2.7+DN15*3+DO15*3.9+DP15*3+DQ15*3.9)</f>
        <v>0</v>
      </c>
      <c r="CH15" s="12">
        <f t="shared" ref="CH15:CH48" si="51">AR15*(CX15+DR15)+IF(AS15=0,AR15,AS15)*(DH15+DT15)</f>
        <v>5106375</v>
      </c>
      <c r="CI15" s="12">
        <f t="shared" ref="CI15:CI48" si="52">AR15*(CY15*1.3)+IF(AS15=0,AR15,AS15)*(DI15*1.3)</f>
        <v>820462.5</v>
      </c>
      <c r="CJ15" s="12">
        <v>0</v>
      </c>
      <c r="CK15" s="12">
        <v>0</v>
      </c>
      <c r="CL15" s="12">
        <v>0</v>
      </c>
      <c r="CM15" s="12">
        <v>500000</v>
      </c>
      <c r="CN15" s="12">
        <v>45641</v>
      </c>
      <c r="CO15" s="12">
        <v>0</v>
      </c>
      <c r="CP15" s="12">
        <v>0</v>
      </c>
      <c r="CQ15" s="12"/>
      <c r="CR15" s="12">
        <v>0</v>
      </c>
      <c r="CS15" s="5" t="s">
        <v>285</v>
      </c>
      <c r="CT15" s="5">
        <v>12</v>
      </c>
      <c r="CU15" s="5">
        <v>2024</v>
      </c>
      <c r="CV15" s="5">
        <v>26</v>
      </c>
      <c r="CW15" s="5">
        <v>8</v>
      </c>
      <c r="CX15" s="48">
        <v>154</v>
      </c>
      <c r="CY15" s="49">
        <v>22</v>
      </c>
      <c r="CZ15" s="49">
        <v>62</v>
      </c>
      <c r="DA15" s="49">
        <v>6</v>
      </c>
      <c r="DB15" s="49">
        <v>0</v>
      </c>
      <c r="DC15" s="49">
        <v>0</v>
      </c>
      <c r="DD15" s="49">
        <v>0</v>
      </c>
      <c r="DE15" s="48">
        <v>0</v>
      </c>
      <c r="DF15" s="48">
        <v>0</v>
      </c>
      <c r="DG15" s="48">
        <v>0</v>
      </c>
      <c r="DH15" s="48">
        <v>0</v>
      </c>
      <c r="DI15" s="49">
        <v>0</v>
      </c>
      <c r="DJ15" s="49">
        <v>0</v>
      </c>
      <c r="DK15" s="49">
        <v>0</v>
      </c>
      <c r="DL15" s="49">
        <v>0</v>
      </c>
      <c r="DM15" s="49">
        <v>0</v>
      </c>
      <c r="DN15" s="49">
        <v>0</v>
      </c>
      <c r="DO15" s="49">
        <v>0</v>
      </c>
      <c r="DP15" s="48">
        <v>0</v>
      </c>
      <c r="DQ15" s="48">
        <v>0</v>
      </c>
      <c r="DR15" s="4">
        <v>24</v>
      </c>
      <c r="DS15" s="4">
        <v>8</v>
      </c>
      <c r="DT15" s="4"/>
      <c r="DU15" s="4"/>
      <c r="DV15" s="4"/>
      <c r="DW15" s="4"/>
      <c r="DX15" s="4"/>
      <c r="DY15" s="4"/>
      <c r="DZ15" s="4">
        <v>22</v>
      </c>
      <c r="EA15" s="4">
        <v>2</v>
      </c>
      <c r="EB15" s="4">
        <v>1</v>
      </c>
      <c r="EC15" s="4">
        <v>2</v>
      </c>
      <c r="ED15" s="4">
        <v>0</v>
      </c>
      <c r="EE15" s="4">
        <v>35000</v>
      </c>
      <c r="EF15" s="4" t="s">
        <v>286</v>
      </c>
      <c r="EG15" s="4">
        <v>3580200</v>
      </c>
      <c r="EH15" s="4">
        <v>0</v>
      </c>
    </row>
    <row r="16" spans="1:138" s="115" customFormat="1">
      <c r="B16" s="116">
        <v>2</v>
      </c>
      <c r="C16" s="116" t="s">
        <v>287</v>
      </c>
      <c r="D16" s="117" t="s">
        <v>288</v>
      </c>
      <c r="E16" s="116" t="s">
        <v>289</v>
      </c>
      <c r="F16" s="116">
        <v>208</v>
      </c>
      <c r="G16" s="118">
        <f t="shared" si="0"/>
        <v>131.5</v>
      </c>
      <c r="H16" s="119">
        <f t="shared" si="1"/>
        <v>60.5</v>
      </c>
      <c r="I16" s="119">
        <f t="shared" si="2"/>
        <v>192</v>
      </c>
      <c r="J16" s="120">
        <v>22</v>
      </c>
      <c r="K16" s="119">
        <f t="shared" si="3"/>
        <v>50.5</v>
      </c>
      <c r="L16" s="119">
        <f t="shared" si="4"/>
        <v>16.5</v>
      </c>
      <c r="M16" s="119">
        <f t="shared" si="5"/>
        <v>0</v>
      </c>
      <c r="N16" s="119">
        <f t="shared" si="6"/>
        <v>0</v>
      </c>
      <c r="O16" s="119">
        <f t="shared" si="7"/>
        <v>0</v>
      </c>
      <c r="P16" s="119">
        <f t="shared" si="8"/>
        <v>0</v>
      </c>
      <c r="Q16" s="119">
        <f t="shared" si="9"/>
        <v>0</v>
      </c>
      <c r="R16" s="119">
        <v>0</v>
      </c>
      <c r="S16" s="119">
        <v>0</v>
      </c>
      <c r="T16" s="120">
        <v>4267000</v>
      </c>
      <c r="U16" s="120">
        <v>1300000</v>
      </c>
      <c r="V16" s="120">
        <v>0</v>
      </c>
      <c r="W16" s="120">
        <v>900000</v>
      </c>
      <c r="X16" s="120">
        <v>0</v>
      </c>
      <c r="Y16" s="120">
        <v>0</v>
      </c>
      <c r="Z16" s="120">
        <v>0</v>
      </c>
      <c r="AA16" s="120">
        <v>900000</v>
      </c>
      <c r="AB16" s="120">
        <v>0</v>
      </c>
      <c r="AC16" s="120">
        <f t="shared" si="10"/>
        <v>0</v>
      </c>
      <c r="AD16" s="120">
        <v>300000</v>
      </c>
      <c r="AE16" s="120">
        <f t="shared" si="11"/>
        <v>300000</v>
      </c>
      <c r="AF16" s="120">
        <v>300000</v>
      </c>
      <c r="AG16" s="120">
        <f t="shared" si="12"/>
        <v>300000</v>
      </c>
      <c r="AH16" s="120">
        <v>0</v>
      </c>
      <c r="AI16" s="120">
        <v>20000</v>
      </c>
      <c r="AJ16" s="120">
        <f t="shared" si="13"/>
        <v>500000</v>
      </c>
      <c r="AK16" s="120">
        <f t="shared" si="14"/>
        <v>286000</v>
      </c>
      <c r="AL16" s="120">
        <v>0</v>
      </c>
      <c r="AM16" s="120">
        <f t="shared" si="15"/>
        <v>3880200</v>
      </c>
      <c r="AN16" s="120">
        <v>0</v>
      </c>
      <c r="AO16" s="120">
        <f t="shared" si="16"/>
        <v>1406000</v>
      </c>
      <c r="AP16" s="121">
        <f t="shared" si="17"/>
        <v>6467000</v>
      </c>
      <c r="AQ16" s="121">
        <f t="shared" si="18"/>
        <v>900000</v>
      </c>
      <c r="AR16" s="122">
        <f t="shared" si="19"/>
        <v>31091.346153846152</v>
      </c>
      <c r="AS16" s="123">
        <f t="shared" si="20"/>
        <v>4326.9230769230771</v>
      </c>
      <c r="AT16" s="121">
        <f t="shared" si="21"/>
        <v>6533846</v>
      </c>
      <c r="AU16" s="120">
        <f t="shared" si="22"/>
        <v>2355169</v>
      </c>
      <c r="AV16" s="120">
        <f t="shared" si="23"/>
        <v>1000364</v>
      </c>
      <c r="AW16" s="120">
        <f t="shared" si="24"/>
        <v>0</v>
      </c>
      <c r="AX16" s="124">
        <f t="shared" si="25"/>
        <v>0</v>
      </c>
      <c r="AY16" s="124">
        <f t="shared" si="26"/>
        <v>0</v>
      </c>
      <c r="AZ16" s="124">
        <f t="shared" si="27"/>
        <v>0</v>
      </c>
      <c r="BA16" s="124">
        <f t="shared" si="28"/>
        <v>0</v>
      </c>
      <c r="BB16" s="124">
        <f t="shared" si="29"/>
        <v>0</v>
      </c>
      <c r="BC16" s="124">
        <v>0</v>
      </c>
      <c r="BD16" s="121">
        <f t="shared" si="30"/>
        <v>3355533</v>
      </c>
      <c r="BE16" s="121">
        <f t="shared" si="31"/>
        <v>15175579</v>
      </c>
      <c r="BF16" s="121">
        <f t="shared" si="32"/>
        <v>6467000</v>
      </c>
      <c r="BG16" s="121">
        <f t="shared" si="33"/>
        <v>1131725</v>
      </c>
      <c r="BH16" s="121">
        <f t="shared" si="34"/>
        <v>194010</v>
      </c>
      <c r="BI16" s="121">
        <f t="shared" si="35"/>
        <v>64670</v>
      </c>
      <c r="BJ16" s="121">
        <f t="shared" si="36"/>
        <v>129340</v>
      </c>
      <c r="BK16" s="121">
        <f t="shared" si="37"/>
        <v>1519745</v>
      </c>
      <c r="BL16" s="120">
        <f t="shared" si="38"/>
        <v>517360</v>
      </c>
      <c r="BM16" s="120">
        <f t="shared" si="39"/>
        <v>97005</v>
      </c>
      <c r="BN16" s="120">
        <f t="shared" si="40"/>
        <v>64670</v>
      </c>
      <c r="BO16" s="120">
        <f t="shared" si="41"/>
        <v>679035</v>
      </c>
      <c r="BP16" s="120">
        <v>11000000</v>
      </c>
      <c r="BQ16" s="120">
        <v>1</v>
      </c>
      <c r="BR16" s="120">
        <v>4400000</v>
      </c>
      <c r="BS16" s="120">
        <f t="shared" si="42"/>
        <v>4400000</v>
      </c>
      <c r="BT16" s="120">
        <f t="shared" si="43"/>
        <v>286000</v>
      </c>
      <c r="BU16" s="117">
        <f t="shared" si="44"/>
        <v>13052857.725961538</v>
      </c>
      <c r="BV16" s="120">
        <f t="shared" si="45"/>
        <v>0</v>
      </c>
      <c r="BW16" s="120">
        <f t="shared" si="46"/>
        <v>0</v>
      </c>
      <c r="BX16" s="120">
        <v>0</v>
      </c>
      <c r="BY16" s="120">
        <f t="shared" si="47"/>
        <v>35000</v>
      </c>
      <c r="BZ16" s="120">
        <f t="shared" si="48"/>
        <v>14461544</v>
      </c>
      <c r="CA16" s="120">
        <f>VLOOKUP(D16,'[1]Payroll of factory (DET).1'!$B$10:$BS$38,70,0)-BZ16</f>
        <v>0.92788461595773697</v>
      </c>
      <c r="CB16" s="125">
        <v>0</v>
      </c>
      <c r="CC16" s="126"/>
      <c r="CD16" s="126"/>
      <c r="CE16" s="126"/>
      <c r="CF16" s="127">
        <f t="shared" si="49"/>
        <v>4250146.634615384</v>
      </c>
      <c r="CG16" s="127">
        <f t="shared" si="50"/>
        <v>0</v>
      </c>
      <c r="CH16" s="127">
        <f t="shared" si="51"/>
        <v>4088512.019230769</v>
      </c>
      <c r="CI16" s="127">
        <f t="shared" si="52"/>
        <v>2445334.375</v>
      </c>
      <c r="CJ16" s="127">
        <v>0</v>
      </c>
      <c r="CK16" s="127">
        <v>0</v>
      </c>
      <c r="CL16" s="127">
        <v>0</v>
      </c>
      <c r="CM16" s="127">
        <v>500000</v>
      </c>
      <c r="CN16" s="127">
        <v>45641</v>
      </c>
      <c r="CO16" s="127">
        <v>0</v>
      </c>
      <c r="CP16" s="127">
        <v>0</v>
      </c>
      <c r="CQ16" s="127"/>
      <c r="CR16" s="127">
        <v>0</v>
      </c>
      <c r="CS16" s="128" t="s">
        <v>285</v>
      </c>
      <c r="CT16" s="128">
        <v>12</v>
      </c>
      <c r="CU16" s="128">
        <v>2024</v>
      </c>
      <c r="CV16" s="128">
        <v>26</v>
      </c>
      <c r="CW16" s="128">
        <v>8</v>
      </c>
      <c r="CX16" s="129">
        <v>123.5</v>
      </c>
      <c r="CY16" s="130">
        <v>60.5</v>
      </c>
      <c r="CZ16" s="130">
        <v>50.5</v>
      </c>
      <c r="DA16" s="130">
        <v>16.5</v>
      </c>
      <c r="DB16" s="130">
        <v>0</v>
      </c>
      <c r="DC16" s="130">
        <v>0</v>
      </c>
      <c r="DD16" s="130">
        <v>0</v>
      </c>
      <c r="DE16" s="129">
        <v>0</v>
      </c>
      <c r="DF16" s="129">
        <v>0</v>
      </c>
      <c r="DG16" s="129">
        <v>0</v>
      </c>
      <c r="DH16" s="129">
        <v>0</v>
      </c>
      <c r="DI16" s="130">
        <v>0</v>
      </c>
      <c r="DJ16" s="130">
        <v>0</v>
      </c>
      <c r="DK16" s="130">
        <v>0</v>
      </c>
      <c r="DL16" s="130">
        <v>0</v>
      </c>
      <c r="DM16" s="130">
        <v>0</v>
      </c>
      <c r="DN16" s="130">
        <v>0</v>
      </c>
      <c r="DO16" s="130">
        <v>0</v>
      </c>
      <c r="DP16" s="129">
        <v>0</v>
      </c>
      <c r="DQ16" s="129">
        <v>0</v>
      </c>
      <c r="DR16" s="131">
        <v>8</v>
      </c>
      <c r="DS16" s="131">
        <v>16</v>
      </c>
      <c r="DT16" s="131"/>
      <c r="DU16" s="131"/>
      <c r="DV16" s="131">
        <v>0</v>
      </c>
      <c r="DW16" s="131">
        <v>0</v>
      </c>
      <c r="DX16" s="131">
        <v>0</v>
      </c>
      <c r="DY16" s="131">
        <v>0</v>
      </c>
      <c r="DZ16" s="131">
        <v>23</v>
      </c>
      <c r="EA16" s="131">
        <v>2</v>
      </c>
      <c r="EB16" s="131">
        <v>1</v>
      </c>
      <c r="EC16" s="131">
        <v>2</v>
      </c>
      <c r="ED16" s="131">
        <v>0</v>
      </c>
      <c r="EE16" s="131">
        <v>35000</v>
      </c>
      <c r="EF16" s="131" t="s">
        <v>286</v>
      </c>
      <c r="EG16" s="131">
        <v>3880200</v>
      </c>
      <c r="EH16" s="131">
        <v>0</v>
      </c>
    </row>
    <row r="17" spans="2:138">
      <c r="B17" s="36">
        <v>3</v>
      </c>
      <c r="C17" s="36" t="s">
        <v>290</v>
      </c>
      <c r="D17" s="37" t="s">
        <v>291</v>
      </c>
      <c r="E17" s="36" t="s">
        <v>292</v>
      </c>
      <c r="F17" s="36">
        <v>208</v>
      </c>
      <c r="G17" s="54">
        <f t="shared" si="0"/>
        <v>208</v>
      </c>
      <c r="H17" s="45">
        <f t="shared" si="1"/>
        <v>0</v>
      </c>
      <c r="I17" s="45">
        <f t="shared" si="2"/>
        <v>208</v>
      </c>
      <c r="J17" s="38">
        <v>0</v>
      </c>
      <c r="K17" s="45">
        <f t="shared" si="3"/>
        <v>0</v>
      </c>
      <c r="L17" s="45">
        <f t="shared" si="4"/>
        <v>0</v>
      </c>
      <c r="M17" s="45">
        <f t="shared" si="5"/>
        <v>0</v>
      </c>
      <c r="N17" s="45">
        <f t="shared" si="6"/>
        <v>0</v>
      </c>
      <c r="O17" s="45">
        <f t="shared" si="7"/>
        <v>0</v>
      </c>
      <c r="P17" s="45">
        <f t="shared" si="8"/>
        <v>0</v>
      </c>
      <c r="Q17" s="45">
        <f t="shared" si="9"/>
        <v>0</v>
      </c>
      <c r="R17" s="45">
        <v>0</v>
      </c>
      <c r="S17" s="45">
        <v>0</v>
      </c>
      <c r="T17" s="38">
        <v>4267000</v>
      </c>
      <c r="U17" s="38">
        <v>1300000</v>
      </c>
      <c r="V17" s="38">
        <v>0</v>
      </c>
      <c r="W17" s="38">
        <v>1200000</v>
      </c>
      <c r="X17" s="38">
        <v>4267000</v>
      </c>
      <c r="Y17" s="38">
        <v>1300000</v>
      </c>
      <c r="Z17" s="38">
        <v>0</v>
      </c>
      <c r="AA17" s="38">
        <v>900000</v>
      </c>
      <c r="AB17" s="38">
        <v>400000</v>
      </c>
      <c r="AC17" s="38">
        <f t="shared" si="10"/>
        <v>400000</v>
      </c>
      <c r="AD17" s="38">
        <v>300000</v>
      </c>
      <c r="AE17" s="38">
        <f t="shared" si="11"/>
        <v>300000</v>
      </c>
      <c r="AF17" s="38">
        <v>300000</v>
      </c>
      <c r="AG17" s="38">
        <f t="shared" si="12"/>
        <v>300000</v>
      </c>
      <c r="AH17" s="38">
        <v>0</v>
      </c>
      <c r="AI17" s="38">
        <v>0</v>
      </c>
      <c r="AJ17" s="38">
        <f t="shared" si="13"/>
        <v>500000</v>
      </c>
      <c r="AK17" s="38">
        <f t="shared" si="14"/>
        <v>0</v>
      </c>
      <c r="AL17" s="38">
        <v>100000</v>
      </c>
      <c r="AM17" s="38">
        <f t="shared" si="15"/>
        <v>4060200</v>
      </c>
      <c r="AN17" s="38">
        <v>0</v>
      </c>
      <c r="AO17" s="38">
        <f t="shared" si="16"/>
        <v>1600000</v>
      </c>
      <c r="AP17" s="39">
        <f t="shared" si="17"/>
        <v>6767000</v>
      </c>
      <c r="AQ17" s="39">
        <f t="shared" si="18"/>
        <v>6467000</v>
      </c>
      <c r="AR17" s="46">
        <f t="shared" si="19"/>
        <v>32533.653846153848</v>
      </c>
      <c r="AS17" s="57">
        <f t="shared" si="20"/>
        <v>31091.346153846152</v>
      </c>
      <c r="AT17" s="39">
        <f t="shared" si="21"/>
        <v>6767000</v>
      </c>
      <c r="AU17" s="38">
        <f t="shared" si="22"/>
        <v>0</v>
      </c>
      <c r="AV17" s="38">
        <f t="shared" si="23"/>
        <v>0</v>
      </c>
      <c r="AW17" s="38">
        <f t="shared" si="24"/>
        <v>0</v>
      </c>
      <c r="AX17" s="40">
        <f t="shared" si="25"/>
        <v>0</v>
      </c>
      <c r="AY17" s="40">
        <f t="shared" si="26"/>
        <v>0</v>
      </c>
      <c r="AZ17" s="40">
        <f t="shared" si="27"/>
        <v>0</v>
      </c>
      <c r="BA17" s="40">
        <f t="shared" si="28"/>
        <v>0</v>
      </c>
      <c r="BB17" s="40">
        <f t="shared" si="29"/>
        <v>0</v>
      </c>
      <c r="BC17" s="40">
        <v>0</v>
      </c>
      <c r="BD17" s="39">
        <f t="shared" si="30"/>
        <v>0</v>
      </c>
      <c r="BE17" s="39">
        <f t="shared" si="31"/>
        <v>12427200</v>
      </c>
      <c r="BF17" s="39">
        <f t="shared" si="32"/>
        <v>6767000</v>
      </c>
      <c r="BG17" s="39">
        <f t="shared" si="33"/>
        <v>1184225</v>
      </c>
      <c r="BH17" s="39">
        <f t="shared" si="34"/>
        <v>203010</v>
      </c>
      <c r="BI17" s="39">
        <f t="shared" si="35"/>
        <v>67670</v>
      </c>
      <c r="BJ17" s="39">
        <f t="shared" si="36"/>
        <v>135340</v>
      </c>
      <c r="BK17" s="39">
        <f t="shared" si="37"/>
        <v>1590245</v>
      </c>
      <c r="BL17" s="38">
        <f t="shared" si="38"/>
        <v>541360</v>
      </c>
      <c r="BM17" s="38">
        <f t="shared" si="39"/>
        <v>101505</v>
      </c>
      <c r="BN17" s="38">
        <f t="shared" si="40"/>
        <v>67670</v>
      </c>
      <c r="BO17" s="38">
        <f t="shared" si="41"/>
        <v>710535</v>
      </c>
      <c r="BP17" s="38">
        <v>11000000</v>
      </c>
      <c r="BQ17" s="38">
        <v>0</v>
      </c>
      <c r="BR17" s="38">
        <v>4400000</v>
      </c>
      <c r="BS17" s="38">
        <f t="shared" si="42"/>
        <v>0</v>
      </c>
      <c r="BT17" s="38">
        <f t="shared" si="43"/>
        <v>400000</v>
      </c>
      <c r="BU17" s="37">
        <f t="shared" si="44"/>
        <v>12027200</v>
      </c>
      <c r="BV17" s="38">
        <f t="shared" si="45"/>
        <v>316665</v>
      </c>
      <c r="BW17" s="38">
        <f t="shared" si="46"/>
        <v>15833</v>
      </c>
      <c r="BX17" s="38">
        <v>0</v>
      </c>
      <c r="BY17" s="38">
        <f t="shared" si="47"/>
        <v>35000</v>
      </c>
      <c r="BZ17" s="38">
        <f t="shared" si="48"/>
        <v>11665832</v>
      </c>
      <c r="CA17" s="38">
        <f>VLOOKUP(D17,'[1]Payroll of factory (DET).1'!$B$10:$BS$38,70,0)-BZ17</f>
        <v>0</v>
      </c>
      <c r="CB17" s="26">
        <v>0</v>
      </c>
      <c r="CF17" s="12">
        <f t="shared" si="49"/>
        <v>400000</v>
      </c>
      <c r="CG17" s="12">
        <f t="shared" si="50"/>
        <v>0</v>
      </c>
      <c r="CH17" s="12">
        <f t="shared" si="51"/>
        <v>6767000</v>
      </c>
      <c r="CI17" s="12">
        <f t="shared" si="52"/>
        <v>0</v>
      </c>
      <c r="CJ17" s="12">
        <v>0</v>
      </c>
      <c r="CK17" s="12">
        <v>0</v>
      </c>
      <c r="CL17" s="12">
        <v>0</v>
      </c>
      <c r="CM17" s="12">
        <v>500000</v>
      </c>
      <c r="CN17" s="12">
        <v>45641</v>
      </c>
      <c r="CO17" s="12">
        <v>0</v>
      </c>
      <c r="CP17" s="12">
        <v>0</v>
      </c>
      <c r="CQ17" s="12">
        <v>45627</v>
      </c>
      <c r="CR17" s="12">
        <v>0</v>
      </c>
      <c r="CS17" s="5" t="s">
        <v>285</v>
      </c>
      <c r="CT17" s="5">
        <v>12</v>
      </c>
      <c r="CU17" s="5">
        <v>2024</v>
      </c>
      <c r="CV17" s="5">
        <v>26</v>
      </c>
      <c r="CW17" s="5">
        <v>8</v>
      </c>
      <c r="CX17" s="48">
        <v>192</v>
      </c>
      <c r="CY17" s="49">
        <v>0</v>
      </c>
      <c r="CZ17" s="49">
        <v>0</v>
      </c>
      <c r="DA17" s="49">
        <v>0</v>
      </c>
      <c r="DB17" s="49">
        <v>0</v>
      </c>
      <c r="DC17" s="49">
        <v>0</v>
      </c>
      <c r="DD17" s="49">
        <v>0</v>
      </c>
      <c r="DE17" s="48">
        <v>0</v>
      </c>
      <c r="DF17" s="48">
        <v>0</v>
      </c>
      <c r="DG17" s="48">
        <v>0</v>
      </c>
      <c r="DH17" s="48">
        <v>0</v>
      </c>
      <c r="DI17" s="49">
        <v>0</v>
      </c>
      <c r="DJ17" s="49">
        <v>0</v>
      </c>
      <c r="DK17" s="49">
        <v>0</v>
      </c>
      <c r="DL17" s="49">
        <v>0</v>
      </c>
      <c r="DM17" s="49">
        <v>0</v>
      </c>
      <c r="DN17" s="49">
        <v>0</v>
      </c>
      <c r="DO17" s="49">
        <v>0</v>
      </c>
      <c r="DP17" s="48">
        <v>0</v>
      </c>
      <c r="DQ17" s="48">
        <v>0</v>
      </c>
      <c r="DR17" s="4">
        <v>16</v>
      </c>
      <c r="DS17" s="4">
        <v>0</v>
      </c>
      <c r="DT17" s="4"/>
      <c r="DU17" s="4"/>
      <c r="DV17" s="4"/>
      <c r="DW17" s="4"/>
      <c r="DX17" s="4"/>
      <c r="DY17" s="4"/>
      <c r="DZ17" s="4">
        <v>24</v>
      </c>
      <c r="EA17" s="4">
        <v>2</v>
      </c>
      <c r="EB17" s="4">
        <v>1</v>
      </c>
      <c r="EC17" s="4">
        <v>2</v>
      </c>
      <c r="ED17" s="4">
        <v>0</v>
      </c>
      <c r="EE17" s="4">
        <v>35000</v>
      </c>
      <c r="EF17" s="4" t="s">
        <v>286</v>
      </c>
      <c r="EG17" s="4">
        <v>4060200</v>
      </c>
      <c r="EH17" s="4">
        <v>0</v>
      </c>
    </row>
    <row r="18" spans="2:138">
      <c r="B18" s="36">
        <v>4</v>
      </c>
      <c r="C18" s="36" t="s">
        <v>293</v>
      </c>
      <c r="D18" s="37" t="s">
        <v>294</v>
      </c>
      <c r="E18" s="36" t="s">
        <v>284</v>
      </c>
      <c r="F18" s="36">
        <v>208</v>
      </c>
      <c r="G18" s="54">
        <f t="shared" si="0"/>
        <v>192</v>
      </c>
      <c r="H18" s="45">
        <f t="shared" si="1"/>
        <v>0</v>
      </c>
      <c r="I18" s="45">
        <f t="shared" si="2"/>
        <v>192</v>
      </c>
      <c r="J18" s="38">
        <v>21</v>
      </c>
      <c r="K18" s="45">
        <f t="shared" si="3"/>
        <v>66</v>
      </c>
      <c r="L18" s="45">
        <f t="shared" si="4"/>
        <v>0</v>
      </c>
      <c r="M18" s="45">
        <f t="shared" si="5"/>
        <v>0</v>
      </c>
      <c r="N18" s="45">
        <f t="shared" si="6"/>
        <v>0</v>
      </c>
      <c r="O18" s="45">
        <f t="shared" si="7"/>
        <v>0</v>
      </c>
      <c r="P18" s="45">
        <f t="shared" si="8"/>
        <v>0</v>
      </c>
      <c r="Q18" s="45">
        <f t="shared" si="9"/>
        <v>0</v>
      </c>
      <c r="R18" s="45">
        <v>0</v>
      </c>
      <c r="S18" s="45">
        <v>0</v>
      </c>
      <c r="T18" s="38">
        <v>4267000</v>
      </c>
      <c r="U18" s="38">
        <v>800000</v>
      </c>
      <c r="V18" s="38">
        <v>0</v>
      </c>
      <c r="W18" s="38">
        <v>900000</v>
      </c>
      <c r="X18" s="38">
        <v>0</v>
      </c>
      <c r="Y18" s="38">
        <v>0</v>
      </c>
      <c r="Z18" s="38">
        <v>0</v>
      </c>
      <c r="AA18" s="38">
        <v>900000</v>
      </c>
      <c r="AB18" s="38">
        <v>0</v>
      </c>
      <c r="AC18" s="38">
        <f t="shared" si="10"/>
        <v>0</v>
      </c>
      <c r="AD18" s="38">
        <v>300000</v>
      </c>
      <c r="AE18" s="38">
        <f t="shared" si="11"/>
        <v>300000</v>
      </c>
      <c r="AF18" s="38">
        <v>300000</v>
      </c>
      <c r="AG18" s="38">
        <f t="shared" si="12"/>
        <v>300000</v>
      </c>
      <c r="AH18" s="38">
        <v>0</v>
      </c>
      <c r="AI18" s="38">
        <v>0</v>
      </c>
      <c r="AJ18" s="38">
        <f t="shared" si="13"/>
        <v>500000</v>
      </c>
      <c r="AK18" s="38">
        <f t="shared" si="14"/>
        <v>273000</v>
      </c>
      <c r="AL18" s="38">
        <v>0</v>
      </c>
      <c r="AM18" s="38">
        <f t="shared" si="15"/>
        <v>3580200</v>
      </c>
      <c r="AN18" s="38">
        <v>0</v>
      </c>
      <c r="AO18" s="38">
        <f t="shared" si="16"/>
        <v>1373000</v>
      </c>
      <c r="AP18" s="39">
        <f t="shared" si="17"/>
        <v>5967000</v>
      </c>
      <c r="AQ18" s="39">
        <f t="shared" si="18"/>
        <v>900000</v>
      </c>
      <c r="AR18" s="46">
        <f t="shared" si="19"/>
        <v>28687.5</v>
      </c>
      <c r="AS18" s="57">
        <f t="shared" si="20"/>
        <v>4326.9230769230771</v>
      </c>
      <c r="AT18" s="39">
        <f t="shared" si="21"/>
        <v>5508000</v>
      </c>
      <c r="AU18" s="38">
        <f t="shared" si="22"/>
        <v>2840063</v>
      </c>
      <c r="AV18" s="38">
        <f t="shared" si="23"/>
        <v>0</v>
      </c>
      <c r="AW18" s="38">
        <f t="shared" si="24"/>
        <v>0</v>
      </c>
      <c r="AX18" s="40">
        <f t="shared" si="25"/>
        <v>0</v>
      </c>
      <c r="AY18" s="40">
        <f t="shared" si="26"/>
        <v>0</v>
      </c>
      <c r="AZ18" s="40">
        <f t="shared" si="27"/>
        <v>0</v>
      </c>
      <c r="BA18" s="40">
        <f t="shared" si="28"/>
        <v>0</v>
      </c>
      <c r="BB18" s="40">
        <f t="shared" si="29"/>
        <v>0</v>
      </c>
      <c r="BC18" s="40">
        <v>0</v>
      </c>
      <c r="BD18" s="39">
        <f t="shared" si="30"/>
        <v>2840063</v>
      </c>
      <c r="BE18" s="39">
        <f t="shared" si="31"/>
        <v>13301263</v>
      </c>
      <c r="BF18" s="39">
        <f t="shared" si="32"/>
        <v>5967000</v>
      </c>
      <c r="BG18" s="39">
        <f t="shared" si="33"/>
        <v>1044224.9999999999</v>
      </c>
      <c r="BH18" s="39">
        <f t="shared" si="34"/>
        <v>179010</v>
      </c>
      <c r="BI18" s="39">
        <f t="shared" si="35"/>
        <v>59670</v>
      </c>
      <c r="BJ18" s="39">
        <f t="shared" si="36"/>
        <v>119340</v>
      </c>
      <c r="BK18" s="39">
        <f t="shared" si="37"/>
        <v>1402245</v>
      </c>
      <c r="BL18" s="38">
        <f t="shared" si="38"/>
        <v>477360</v>
      </c>
      <c r="BM18" s="38">
        <f t="shared" si="39"/>
        <v>89505</v>
      </c>
      <c r="BN18" s="38">
        <f t="shared" si="40"/>
        <v>59670</v>
      </c>
      <c r="BO18" s="38">
        <f t="shared" si="41"/>
        <v>626535</v>
      </c>
      <c r="BP18" s="38">
        <v>11000000</v>
      </c>
      <c r="BQ18" s="38">
        <v>1</v>
      </c>
      <c r="BR18" s="38">
        <v>4400000</v>
      </c>
      <c r="BS18" s="38">
        <f t="shared" si="42"/>
        <v>4400000</v>
      </c>
      <c r="BT18" s="38">
        <f t="shared" si="43"/>
        <v>273000</v>
      </c>
      <c r="BU18" s="37">
        <f t="shared" si="44"/>
        <v>12081575.5</v>
      </c>
      <c r="BV18" s="38">
        <f t="shared" si="45"/>
        <v>0</v>
      </c>
      <c r="BW18" s="38">
        <f t="shared" si="46"/>
        <v>0</v>
      </c>
      <c r="BX18" s="38">
        <v>0</v>
      </c>
      <c r="BY18" s="38">
        <f t="shared" si="47"/>
        <v>35000</v>
      </c>
      <c r="BZ18" s="38">
        <f t="shared" si="48"/>
        <v>12639728</v>
      </c>
      <c r="CA18" s="38">
        <f>VLOOKUP(D18,'[1]Payroll of factory (DET).1'!$B$10:$BS$38,70,0)-BZ18</f>
        <v>-0.5</v>
      </c>
      <c r="CB18" s="26">
        <v>0</v>
      </c>
      <c r="CF18" s="12">
        <f t="shared" si="49"/>
        <v>2166375</v>
      </c>
      <c r="CG18" s="12">
        <f t="shared" si="50"/>
        <v>0</v>
      </c>
      <c r="CH18" s="12">
        <f t="shared" si="51"/>
        <v>5508000</v>
      </c>
      <c r="CI18" s="12">
        <f t="shared" si="52"/>
        <v>0</v>
      </c>
      <c r="CJ18" s="12">
        <v>0</v>
      </c>
      <c r="CK18" s="12">
        <v>0</v>
      </c>
      <c r="CL18" s="12">
        <v>0</v>
      </c>
      <c r="CM18" s="12">
        <v>500000</v>
      </c>
      <c r="CN18" s="12">
        <v>45641</v>
      </c>
      <c r="CO18" s="12">
        <v>0</v>
      </c>
      <c r="CP18" s="12">
        <v>0</v>
      </c>
      <c r="CQ18" s="12"/>
      <c r="CR18" s="12">
        <v>0</v>
      </c>
      <c r="CS18" s="5" t="s">
        <v>285</v>
      </c>
      <c r="CT18" s="5">
        <v>12</v>
      </c>
      <c r="CU18" s="5">
        <v>2024</v>
      </c>
      <c r="CV18" s="5">
        <v>26</v>
      </c>
      <c r="CW18" s="5">
        <v>8</v>
      </c>
      <c r="CX18" s="48">
        <v>184</v>
      </c>
      <c r="CY18" s="49">
        <v>0</v>
      </c>
      <c r="CZ18" s="49">
        <v>66</v>
      </c>
      <c r="DA18" s="49">
        <v>0</v>
      </c>
      <c r="DB18" s="49">
        <v>0</v>
      </c>
      <c r="DC18" s="49">
        <v>0</v>
      </c>
      <c r="DD18" s="49">
        <v>0</v>
      </c>
      <c r="DE18" s="48">
        <v>0</v>
      </c>
      <c r="DF18" s="48">
        <v>0</v>
      </c>
      <c r="DG18" s="48">
        <v>0</v>
      </c>
      <c r="DH18" s="48">
        <v>0</v>
      </c>
      <c r="DI18" s="49">
        <v>0</v>
      </c>
      <c r="DJ18" s="49">
        <v>0</v>
      </c>
      <c r="DK18" s="49">
        <v>0</v>
      </c>
      <c r="DL18" s="49">
        <v>0</v>
      </c>
      <c r="DM18" s="49">
        <v>0</v>
      </c>
      <c r="DN18" s="49">
        <v>0</v>
      </c>
      <c r="DO18" s="49">
        <v>0</v>
      </c>
      <c r="DP18" s="48">
        <v>0</v>
      </c>
      <c r="DQ18" s="48">
        <v>0</v>
      </c>
      <c r="DR18" s="4">
        <v>8</v>
      </c>
      <c r="DS18" s="4">
        <v>16</v>
      </c>
      <c r="DT18" s="4"/>
      <c r="DU18" s="4"/>
      <c r="DV18" s="4"/>
      <c r="DW18" s="4"/>
      <c r="DX18" s="4"/>
      <c r="DY18" s="4"/>
      <c r="DZ18" s="4">
        <v>23</v>
      </c>
      <c r="EA18" s="4">
        <v>2</v>
      </c>
      <c r="EB18" s="4">
        <v>1</v>
      </c>
      <c r="EC18" s="4">
        <v>2</v>
      </c>
      <c r="ED18" s="4">
        <v>0</v>
      </c>
      <c r="EE18" s="4">
        <v>35000</v>
      </c>
      <c r="EF18" s="4" t="s">
        <v>286</v>
      </c>
      <c r="EG18" s="4">
        <v>3580200</v>
      </c>
      <c r="EH18" s="4">
        <v>0</v>
      </c>
    </row>
    <row r="19" spans="2:138" s="115" customFormat="1">
      <c r="B19" s="116">
        <v>5</v>
      </c>
      <c r="C19" s="116" t="s">
        <v>295</v>
      </c>
      <c r="D19" s="117" t="s">
        <v>296</v>
      </c>
      <c r="E19" s="116" t="s">
        <v>297</v>
      </c>
      <c r="F19" s="116">
        <v>208</v>
      </c>
      <c r="G19" s="118">
        <f t="shared" si="0"/>
        <v>8</v>
      </c>
      <c r="H19" s="119">
        <f t="shared" si="1"/>
        <v>0</v>
      </c>
      <c r="I19" s="119">
        <f t="shared" si="2"/>
        <v>8</v>
      </c>
      <c r="J19" s="120">
        <v>0</v>
      </c>
      <c r="K19" s="119">
        <f t="shared" si="3"/>
        <v>0</v>
      </c>
      <c r="L19" s="119">
        <f t="shared" si="4"/>
        <v>0</v>
      </c>
      <c r="M19" s="119">
        <f t="shared" si="5"/>
        <v>0</v>
      </c>
      <c r="N19" s="119">
        <f t="shared" si="6"/>
        <v>0</v>
      </c>
      <c r="O19" s="119">
        <f t="shared" si="7"/>
        <v>0</v>
      </c>
      <c r="P19" s="119">
        <f t="shared" si="8"/>
        <v>0</v>
      </c>
      <c r="Q19" s="119">
        <f t="shared" si="9"/>
        <v>0</v>
      </c>
      <c r="R19" s="119">
        <v>0</v>
      </c>
      <c r="S19" s="119">
        <v>0</v>
      </c>
      <c r="T19" s="120">
        <v>4267000</v>
      </c>
      <c r="U19" s="120">
        <v>1300000</v>
      </c>
      <c r="V19" s="120">
        <v>0</v>
      </c>
      <c r="W19" s="120">
        <v>900000</v>
      </c>
      <c r="X19" s="120">
        <v>0</v>
      </c>
      <c r="Y19" s="120">
        <v>0</v>
      </c>
      <c r="Z19" s="120">
        <v>0</v>
      </c>
      <c r="AA19" s="120">
        <v>900000</v>
      </c>
      <c r="AB19" s="120">
        <v>0</v>
      </c>
      <c r="AC19" s="120">
        <f t="shared" si="10"/>
        <v>0</v>
      </c>
      <c r="AD19" s="120">
        <v>0</v>
      </c>
      <c r="AE19" s="120">
        <f t="shared" si="11"/>
        <v>0</v>
      </c>
      <c r="AF19" s="120">
        <v>300000</v>
      </c>
      <c r="AG19" s="120">
        <f t="shared" si="12"/>
        <v>0</v>
      </c>
      <c r="AH19" s="120">
        <v>0</v>
      </c>
      <c r="AI19" s="120">
        <v>20000</v>
      </c>
      <c r="AJ19" s="120">
        <f t="shared" si="13"/>
        <v>0</v>
      </c>
      <c r="AK19" s="120">
        <f t="shared" si="14"/>
        <v>0</v>
      </c>
      <c r="AL19" s="120">
        <v>100000</v>
      </c>
      <c r="AM19" s="120">
        <f t="shared" si="15"/>
        <v>1717800</v>
      </c>
      <c r="AN19" s="120">
        <v>0</v>
      </c>
      <c r="AO19" s="120">
        <f t="shared" si="16"/>
        <v>120000</v>
      </c>
      <c r="AP19" s="121">
        <f t="shared" si="17"/>
        <v>6467000</v>
      </c>
      <c r="AQ19" s="121">
        <f t="shared" si="18"/>
        <v>900000</v>
      </c>
      <c r="AR19" s="122">
        <f t="shared" si="19"/>
        <v>31091.346153846152</v>
      </c>
      <c r="AS19" s="123">
        <f t="shared" si="20"/>
        <v>4326.9230769230771</v>
      </c>
      <c r="AT19" s="121">
        <f t="shared" si="21"/>
        <v>248731</v>
      </c>
      <c r="AU19" s="120">
        <f t="shared" si="22"/>
        <v>0</v>
      </c>
      <c r="AV19" s="120">
        <f t="shared" si="23"/>
        <v>0</v>
      </c>
      <c r="AW19" s="120">
        <f t="shared" si="24"/>
        <v>0</v>
      </c>
      <c r="AX19" s="124">
        <f t="shared" si="25"/>
        <v>0</v>
      </c>
      <c r="AY19" s="124">
        <f t="shared" si="26"/>
        <v>0</v>
      </c>
      <c r="AZ19" s="124">
        <f t="shared" si="27"/>
        <v>0</v>
      </c>
      <c r="BA19" s="124">
        <f t="shared" si="28"/>
        <v>0</v>
      </c>
      <c r="BB19" s="124">
        <f t="shared" si="29"/>
        <v>0</v>
      </c>
      <c r="BC19" s="124">
        <v>0</v>
      </c>
      <c r="BD19" s="121">
        <f t="shared" si="30"/>
        <v>0</v>
      </c>
      <c r="BE19" s="121">
        <f t="shared" si="31"/>
        <v>2086531</v>
      </c>
      <c r="BF19" s="121">
        <f t="shared" si="32"/>
        <v>0</v>
      </c>
      <c r="BG19" s="121">
        <f t="shared" si="33"/>
        <v>0</v>
      </c>
      <c r="BH19" s="121">
        <f t="shared" si="34"/>
        <v>27000</v>
      </c>
      <c r="BI19" s="121">
        <f t="shared" si="35"/>
        <v>0</v>
      </c>
      <c r="BJ19" s="121">
        <f t="shared" si="36"/>
        <v>0</v>
      </c>
      <c r="BK19" s="121">
        <f t="shared" si="37"/>
        <v>27000</v>
      </c>
      <c r="BL19" s="120">
        <f t="shared" si="38"/>
        <v>0</v>
      </c>
      <c r="BM19" s="120">
        <f t="shared" si="39"/>
        <v>13500</v>
      </c>
      <c r="BN19" s="120">
        <f t="shared" si="40"/>
        <v>0</v>
      </c>
      <c r="BO19" s="120">
        <f t="shared" si="41"/>
        <v>13500</v>
      </c>
      <c r="BP19" s="120">
        <v>11000000</v>
      </c>
      <c r="BQ19" s="120">
        <v>0</v>
      </c>
      <c r="BR19" s="120">
        <v>4400000</v>
      </c>
      <c r="BS19" s="120">
        <f t="shared" si="42"/>
        <v>0</v>
      </c>
      <c r="BT19" s="120">
        <f t="shared" si="43"/>
        <v>0</v>
      </c>
      <c r="BU19" s="117">
        <f t="shared" si="44"/>
        <v>2086531</v>
      </c>
      <c r="BV19" s="120">
        <f t="shared" si="45"/>
        <v>0</v>
      </c>
      <c r="BW19" s="120">
        <f t="shared" si="46"/>
        <v>0</v>
      </c>
      <c r="BX19" s="120">
        <v>0</v>
      </c>
      <c r="BY19" s="120">
        <f t="shared" si="47"/>
        <v>0</v>
      </c>
      <c r="BZ19" s="120">
        <f t="shared" si="48"/>
        <v>2073031</v>
      </c>
      <c r="CA19" s="120">
        <f>VLOOKUP(D19,'[1]Payroll of factory (DET).1'!$B$10:$BS$38,70,0)-BZ19</f>
        <v>-21500.230769230751</v>
      </c>
      <c r="CB19" s="125">
        <v>0</v>
      </c>
      <c r="CC19" s="126"/>
      <c r="CD19" s="126"/>
      <c r="CE19" s="126"/>
      <c r="CF19" s="127">
        <f t="shared" si="49"/>
        <v>0</v>
      </c>
      <c r="CG19" s="127">
        <f t="shared" si="50"/>
        <v>0</v>
      </c>
      <c r="CH19" s="127">
        <f t="shared" si="51"/>
        <v>248730.76923076922</v>
      </c>
      <c r="CI19" s="127">
        <f t="shared" si="52"/>
        <v>0</v>
      </c>
      <c r="CJ19" s="127">
        <v>0</v>
      </c>
      <c r="CK19" s="127">
        <v>0</v>
      </c>
      <c r="CL19" s="127">
        <v>0</v>
      </c>
      <c r="CM19" s="127">
        <v>0</v>
      </c>
      <c r="CN19" s="127">
        <v>45641</v>
      </c>
      <c r="CO19" s="127">
        <v>0</v>
      </c>
      <c r="CP19" s="127">
        <v>0</v>
      </c>
      <c r="CQ19" s="127">
        <v>45650</v>
      </c>
      <c r="CR19" s="127">
        <v>0</v>
      </c>
      <c r="CS19" s="128" t="s">
        <v>285</v>
      </c>
      <c r="CT19" s="128">
        <v>12</v>
      </c>
      <c r="CU19" s="128">
        <v>2024</v>
      </c>
      <c r="CV19" s="128">
        <v>26</v>
      </c>
      <c r="CW19" s="128">
        <v>8</v>
      </c>
      <c r="CX19" s="129">
        <v>8</v>
      </c>
      <c r="CY19" s="130">
        <v>0</v>
      </c>
      <c r="CZ19" s="130">
        <v>0</v>
      </c>
      <c r="DA19" s="130">
        <v>0</v>
      </c>
      <c r="DB19" s="130">
        <v>0</v>
      </c>
      <c r="DC19" s="130">
        <v>0</v>
      </c>
      <c r="DD19" s="130">
        <v>0</v>
      </c>
      <c r="DE19" s="129">
        <v>0</v>
      </c>
      <c r="DF19" s="129">
        <v>0</v>
      </c>
      <c r="DG19" s="129">
        <v>0</v>
      </c>
      <c r="DH19" s="129">
        <v>0</v>
      </c>
      <c r="DI19" s="130">
        <v>0</v>
      </c>
      <c r="DJ19" s="130">
        <v>0</v>
      </c>
      <c r="DK19" s="130">
        <v>0</v>
      </c>
      <c r="DL19" s="130">
        <v>0</v>
      </c>
      <c r="DM19" s="130">
        <v>0</v>
      </c>
      <c r="DN19" s="130">
        <v>0</v>
      </c>
      <c r="DO19" s="130">
        <v>0</v>
      </c>
      <c r="DP19" s="129">
        <v>0</v>
      </c>
      <c r="DQ19" s="129">
        <v>0</v>
      </c>
      <c r="DR19" s="131">
        <v>0</v>
      </c>
      <c r="DS19" s="131">
        <v>56</v>
      </c>
      <c r="DT19" s="131">
        <v>0</v>
      </c>
      <c r="DU19" s="131">
        <v>0</v>
      </c>
      <c r="DV19" s="131"/>
      <c r="DW19" s="131"/>
      <c r="DX19" s="131"/>
      <c r="DY19" s="131"/>
      <c r="DZ19" s="131">
        <v>1</v>
      </c>
      <c r="EA19" s="131">
        <v>2</v>
      </c>
      <c r="EB19" s="131">
        <v>1</v>
      </c>
      <c r="EC19" s="131">
        <v>2</v>
      </c>
      <c r="ED19" s="131">
        <v>0</v>
      </c>
      <c r="EE19" s="131">
        <v>35000</v>
      </c>
      <c r="EF19" s="131" t="s">
        <v>286</v>
      </c>
      <c r="EG19" s="131">
        <v>1717800</v>
      </c>
      <c r="EH19" s="131">
        <v>0</v>
      </c>
    </row>
    <row r="20" spans="2:138">
      <c r="B20" s="36">
        <v>6</v>
      </c>
      <c r="C20" s="36" t="s">
        <v>298</v>
      </c>
      <c r="D20" s="37" t="s">
        <v>299</v>
      </c>
      <c r="E20" s="36" t="s">
        <v>297</v>
      </c>
      <c r="F20" s="36">
        <v>208</v>
      </c>
      <c r="G20" s="54">
        <f t="shared" si="0"/>
        <v>148</v>
      </c>
      <c r="H20" s="45">
        <f t="shared" si="1"/>
        <v>0</v>
      </c>
      <c r="I20" s="45">
        <f t="shared" si="2"/>
        <v>148</v>
      </c>
      <c r="J20" s="38">
        <v>0</v>
      </c>
      <c r="K20" s="45">
        <f t="shared" si="3"/>
        <v>0</v>
      </c>
      <c r="L20" s="45">
        <f t="shared" si="4"/>
        <v>0</v>
      </c>
      <c r="M20" s="45">
        <f t="shared" si="5"/>
        <v>0</v>
      </c>
      <c r="N20" s="45">
        <f t="shared" si="6"/>
        <v>0</v>
      </c>
      <c r="O20" s="45">
        <f t="shared" si="7"/>
        <v>0</v>
      </c>
      <c r="P20" s="45">
        <f t="shared" si="8"/>
        <v>0</v>
      </c>
      <c r="Q20" s="45">
        <f t="shared" si="9"/>
        <v>0</v>
      </c>
      <c r="R20" s="45">
        <v>0</v>
      </c>
      <c r="S20" s="45">
        <v>0</v>
      </c>
      <c r="T20" s="38">
        <v>4267000</v>
      </c>
      <c r="U20" s="38">
        <v>300000</v>
      </c>
      <c r="V20" s="38">
        <v>0</v>
      </c>
      <c r="W20" s="38">
        <v>900000</v>
      </c>
      <c r="X20" s="38">
        <v>4267000</v>
      </c>
      <c r="Y20" s="38">
        <v>300000</v>
      </c>
      <c r="Z20" s="38">
        <v>0</v>
      </c>
      <c r="AA20" s="38">
        <v>600000</v>
      </c>
      <c r="AB20" s="38">
        <v>0</v>
      </c>
      <c r="AC20" s="38">
        <f t="shared" si="10"/>
        <v>0</v>
      </c>
      <c r="AD20" s="38">
        <v>300000</v>
      </c>
      <c r="AE20" s="38">
        <f t="shared" si="11"/>
        <v>0</v>
      </c>
      <c r="AF20" s="38">
        <v>300000</v>
      </c>
      <c r="AG20" s="38">
        <f t="shared" si="12"/>
        <v>0</v>
      </c>
      <c r="AH20" s="38">
        <v>0</v>
      </c>
      <c r="AI20" s="38">
        <v>20000</v>
      </c>
      <c r="AJ20" s="38">
        <f t="shared" si="13"/>
        <v>0</v>
      </c>
      <c r="AK20" s="38">
        <f t="shared" si="14"/>
        <v>0</v>
      </c>
      <c r="AL20" s="38">
        <v>0</v>
      </c>
      <c r="AM20" s="38">
        <f t="shared" si="15"/>
        <v>1640100</v>
      </c>
      <c r="AN20" s="38">
        <v>0</v>
      </c>
      <c r="AO20" s="38">
        <f t="shared" si="16"/>
        <v>20000</v>
      </c>
      <c r="AP20" s="39">
        <f t="shared" si="17"/>
        <v>5467000</v>
      </c>
      <c r="AQ20" s="39">
        <f t="shared" si="18"/>
        <v>5167000</v>
      </c>
      <c r="AR20" s="46">
        <f t="shared" si="19"/>
        <v>26283.653846153848</v>
      </c>
      <c r="AS20" s="57">
        <f t="shared" si="20"/>
        <v>24841.346153846152</v>
      </c>
      <c r="AT20" s="39">
        <f t="shared" si="21"/>
        <v>3682288</v>
      </c>
      <c r="AU20" s="38">
        <f t="shared" si="22"/>
        <v>0</v>
      </c>
      <c r="AV20" s="38">
        <f t="shared" si="23"/>
        <v>0</v>
      </c>
      <c r="AW20" s="38">
        <f t="shared" si="24"/>
        <v>0</v>
      </c>
      <c r="AX20" s="40">
        <f t="shared" si="25"/>
        <v>0</v>
      </c>
      <c r="AY20" s="40">
        <f t="shared" si="26"/>
        <v>0</v>
      </c>
      <c r="AZ20" s="40">
        <f t="shared" si="27"/>
        <v>0</v>
      </c>
      <c r="BA20" s="40">
        <f t="shared" si="28"/>
        <v>0</v>
      </c>
      <c r="BB20" s="40">
        <f t="shared" si="29"/>
        <v>0</v>
      </c>
      <c r="BC20" s="40">
        <v>0</v>
      </c>
      <c r="BD20" s="39">
        <f t="shared" si="30"/>
        <v>0</v>
      </c>
      <c r="BE20" s="39">
        <f t="shared" si="31"/>
        <v>5342388</v>
      </c>
      <c r="BF20" s="39">
        <f t="shared" si="32"/>
        <v>5167000</v>
      </c>
      <c r="BG20" s="39">
        <f t="shared" si="33"/>
        <v>904225</v>
      </c>
      <c r="BH20" s="39">
        <f t="shared" si="34"/>
        <v>155010</v>
      </c>
      <c r="BI20" s="39">
        <f t="shared" si="35"/>
        <v>51670</v>
      </c>
      <c r="BJ20" s="39">
        <f t="shared" si="36"/>
        <v>103340</v>
      </c>
      <c r="BK20" s="39">
        <f t="shared" si="37"/>
        <v>1214245</v>
      </c>
      <c r="BL20" s="38">
        <f t="shared" si="38"/>
        <v>413360</v>
      </c>
      <c r="BM20" s="38">
        <f t="shared" si="39"/>
        <v>77505</v>
      </c>
      <c r="BN20" s="38">
        <f t="shared" si="40"/>
        <v>51670</v>
      </c>
      <c r="BO20" s="38">
        <f t="shared" si="41"/>
        <v>542535</v>
      </c>
      <c r="BP20" s="38">
        <v>11000000</v>
      </c>
      <c r="BQ20" s="38">
        <v>0</v>
      </c>
      <c r="BR20" s="38">
        <v>4400000</v>
      </c>
      <c r="BS20" s="38">
        <f t="shared" si="42"/>
        <v>0</v>
      </c>
      <c r="BT20" s="38">
        <f t="shared" si="43"/>
        <v>0</v>
      </c>
      <c r="BU20" s="37">
        <f t="shared" si="44"/>
        <v>5342388</v>
      </c>
      <c r="BV20" s="38">
        <f t="shared" si="45"/>
        <v>0</v>
      </c>
      <c r="BW20" s="38">
        <f t="shared" si="46"/>
        <v>0</v>
      </c>
      <c r="BX20" s="38">
        <v>0</v>
      </c>
      <c r="BY20" s="38">
        <f t="shared" si="47"/>
        <v>35000</v>
      </c>
      <c r="BZ20" s="38">
        <f t="shared" si="48"/>
        <v>4764853</v>
      </c>
      <c r="CA20" s="38" t="e">
        <f>VLOOKUP(D20,'[1]Payroll of factory (DET).1'!$B$10:$BS$38,70,0)-BZ20</f>
        <v>#N/A</v>
      </c>
      <c r="CB20" s="26">
        <v>0</v>
      </c>
      <c r="CF20" s="12">
        <f t="shared" si="49"/>
        <v>0</v>
      </c>
      <c r="CG20" s="12">
        <f t="shared" si="50"/>
        <v>3179692.3076923075</v>
      </c>
      <c r="CH20" s="12">
        <f t="shared" si="51"/>
        <v>3682288.4615384615</v>
      </c>
      <c r="CI20" s="12">
        <f t="shared" si="52"/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45641</v>
      </c>
      <c r="CO20" s="12">
        <v>0</v>
      </c>
      <c r="CP20" s="12">
        <v>0</v>
      </c>
      <c r="CQ20" s="12">
        <v>45648</v>
      </c>
      <c r="CR20" s="12">
        <v>0</v>
      </c>
      <c r="CS20" s="5" t="s">
        <v>285</v>
      </c>
      <c r="CT20" s="5">
        <v>12</v>
      </c>
      <c r="CU20" s="5">
        <v>2024</v>
      </c>
      <c r="CV20" s="5">
        <v>26</v>
      </c>
      <c r="CW20" s="5">
        <v>8</v>
      </c>
      <c r="CX20" s="48">
        <v>4</v>
      </c>
      <c r="CY20" s="49">
        <v>0</v>
      </c>
      <c r="CZ20" s="49">
        <v>0</v>
      </c>
      <c r="DA20" s="49">
        <v>0</v>
      </c>
      <c r="DB20" s="49">
        <v>0</v>
      </c>
      <c r="DC20" s="49">
        <v>0</v>
      </c>
      <c r="DD20" s="49">
        <v>0</v>
      </c>
      <c r="DE20" s="48">
        <v>0</v>
      </c>
      <c r="DF20" s="48">
        <v>0</v>
      </c>
      <c r="DG20" s="48">
        <v>0</v>
      </c>
      <c r="DH20" s="48">
        <v>128</v>
      </c>
      <c r="DI20" s="49">
        <v>0</v>
      </c>
      <c r="DJ20" s="49">
        <v>0</v>
      </c>
      <c r="DK20" s="49">
        <v>0</v>
      </c>
      <c r="DL20" s="49">
        <v>0</v>
      </c>
      <c r="DM20" s="49">
        <v>0</v>
      </c>
      <c r="DN20" s="49">
        <v>0</v>
      </c>
      <c r="DO20" s="49">
        <v>0</v>
      </c>
      <c r="DP20" s="48">
        <v>0</v>
      </c>
      <c r="DQ20" s="48">
        <v>0</v>
      </c>
      <c r="DR20" s="4">
        <v>0</v>
      </c>
      <c r="DS20" s="4">
        <v>16</v>
      </c>
      <c r="DT20" s="4">
        <v>16</v>
      </c>
      <c r="DU20" s="4">
        <v>0</v>
      </c>
      <c r="DV20" s="4">
        <v>1</v>
      </c>
      <c r="DW20" s="4">
        <v>295</v>
      </c>
      <c r="DX20" s="4">
        <v>0</v>
      </c>
      <c r="DY20" s="4">
        <v>0</v>
      </c>
      <c r="DZ20" s="4">
        <v>17</v>
      </c>
      <c r="EA20" s="4">
        <v>2</v>
      </c>
      <c r="EB20" s="4">
        <v>1</v>
      </c>
      <c r="EC20" s="4">
        <v>2</v>
      </c>
      <c r="ED20" s="4">
        <v>0</v>
      </c>
      <c r="EE20" s="4">
        <v>35000</v>
      </c>
      <c r="EF20" s="4" t="s">
        <v>286</v>
      </c>
      <c r="EG20" s="4">
        <v>1640100</v>
      </c>
      <c r="EH20" s="4">
        <v>0</v>
      </c>
    </row>
    <row r="21" spans="2:138">
      <c r="B21" s="36">
        <v>7</v>
      </c>
      <c r="C21" s="36" t="s">
        <v>300</v>
      </c>
      <c r="D21" s="37" t="s">
        <v>301</v>
      </c>
      <c r="E21" s="36" t="s">
        <v>289</v>
      </c>
      <c r="F21" s="36">
        <v>208</v>
      </c>
      <c r="G21" s="54">
        <f t="shared" si="0"/>
        <v>142</v>
      </c>
      <c r="H21" s="45">
        <f t="shared" si="1"/>
        <v>66</v>
      </c>
      <c r="I21" s="45">
        <f t="shared" si="2"/>
        <v>208</v>
      </c>
      <c r="J21" s="38">
        <v>22</v>
      </c>
      <c r="K21" s="45">
        <f t="shared" si="3"/>
        <v>51</v>
      </c>
      <c r="L21" s="45">
        <f t="shared" si="4"/>
        <v>17</v>
      </c>
      <c r="M21" s="45">
        <f t="shared" si="5"/>
        <v>0</v>
      </c>
      <c r="N21" s="45">
        <f t="shared" si="6"/>
        <v>0</v>
      </c>
      <c r="O21" s="45">
        <f t="shared" si="7"/>
        <v>0</v>
      </c>
      <c r="P21" s="45">
        <f t="shared" si="8"/>
        <v>0</v>
      </c>
      <c r="Q21" s="45">
        <f t="shared" si="9"/>
        <v>0</v>
      </c>
      <c r="R21" s="45">
        <v>0</v>
      </c>
      <c r="S21" s="45">
        <v>0</v>
      </c>
      <c r="T21" s="38">
        <v>4267000</v>
      </c>
      <c r="U21" s="38">
        <v>1300000</v>
      </c>
      <c r="V21" s="38">
        <v>0</v>
      </c>
      <c r="W21" s="38">
        <v>600000</v>
      </c>
      <c r="X21" s="38">
        <v>0</v>
      </c>
      <c r="Y21" s="38">
        <v>0</v>
      </c>
      <c r="Z21" s="38">
        <v>0</v>
      </c>
      <c r="AA21" s="38">
        <v>600000</v>
      </c>
      <c r="AB21" s="38">
        <v>0</v>
      </c>
      <c r="AC21" s="38">
        <f t="shared" si="10"/>
        <v>0</v>
      </c>
      <c r="AD21" s="38">
        <v>300000</v>
      </c>
      <c r="AE21" s="38">
        <f t="shared" si="11"/>
        <v>300000</v>
      </c>
      <c r="AF21" s="38">
        <v>300000</v>
      </c>
      <c r="AG21" s="38">
        <f t="shared" si="12"/>
        <v>300000</v>
      </c>
      <c r="AH21" s="38">
        <v>0</v>
      </c>
      <c r="AI21" s="38">
        <v>0</v>
      </c>
      <c r="AJ21" s="38">
        <f t="shared" si="13"/>
        <v>500000</v>
      </c>
      <c r="AK21" s="38">
        <f t="shared" si="14"/>
        <v>286000</v>
      </c>
      <c r="AL21" s="38">
        <v>0</v>
      </c>
      <c r="AM21" s="38">
        <f t="shared" si="15"/>
        <v>3700200</v>
      </c>
      <c r="AN21" s="38">
        <v>0</v>
      </c>
      <c r="AO21" s="38">
        <f t="shared" si="16"/>
        <v>1386000</v>
      </c>
      <c r="AP21" s="39">
        <f t="shared" si="17"/>
        <v>6167000</v>
      </c>
      <c r="AQ21" s="39">
        <f t="shared" si="18"/>
        <v>600000</v>
      </c>
      <c r="AR21" s="46">
        <f t="shared" si="19"/>
        <v>29649.038461538461</v>
      </c>
      <c r="AS21" s="57">
        <f t="shared" si="20"/>
        <v>2884.6153846153848</v>
      </c>
      <c r="AT21" s="39">
        <f t="shared" si="21"/>
        <v>6754051</v>
      </c>
      <c r="AU21" s="38">
        <f t="shared" si="22"/>
        <v>2268151</v>
      </c>
      <c r="AV21" s="38">
        <f t="shared" si="23"/>
        <v>982866</v>
      </c>
      <c r="AW21" s="38">
        <f t="shared" si="24"/>
        <v>0</v>
      </c>
      <c r="AX21" s="40">
        <f t="shared" si="25"/>
        <v>0</v>
      </c>
      <c r="AY21" s="40">
        <f t="shared" si="26"/>
        <v>0</v>
      </c>
      <c r="AZ21" s="40">
        <f t="shared" si="27"/>
        <v>0</v>
      </c>
      <c r="BA21" s="40">
        <f t="shared" si="28"/>
        <v>0</v>
      </c>
      <c r="BB21" s="40">
        <f t="shared" si="29"/>
        <v>0</v>
      </c>
      <c r="BC21" s="40">
        <v>0</v>
      </c>
      <c r="BD21" s="39">
        <f t="shared" si="30"/>
        <v>3251017</v>
      </c>
      <c r="BE21" s="39">
        <f t="shared" si="31"/>
        <v>15091268</v>
      </c>
      <c r="BF21" s="39">
        <f t="shared" si="32"/>
        <v>6167000</v>
      </c>
      <c r="BG21" s="39">
        <f t="shared" si="33"/>
        <v>1079225</v>
      </c>
      <c r="BH21" s="39">
        <f t="shared" si="34"/>
        <v>185010</v>
      </c>
      <c r="BI21" s="39">
        <f t="shared" si="35"/>
        <v>61670</v>
      </c>
      <c r="BJ21" s="39">
        <f t="shared" si="36"/>
        <v>123340</v>
      </c>
      <c r="BK21" s="39">
        <f t="shared" si="37"/>
        <v>1449245</v>
      </c>
      <c r="BL21" s="38">
        <f t="shared" si="38"/>
        <v>493360</v>
      </c>
      <c r="BM21" s="38">
        <f t="shared" si="39"/>
        <v>92505</v>
      </c>
      <c r="BN21" s="38">
        <f t="shared" si="40"/>
        <v>61670</v>
      </c>
      <c r="BO21" s="38">
        <f t="shared" si="41"/>
        <v>647535</v>
      </c>
      <c r="BP21" s="38">
        <v>11000000</v>
      </c>
      <c r="BQ21" s="38">
        <v>1</v>
      </c>
      <c r="BR21" s="38">
        <v>4400000</v>
      </c>
      <c r="BS21" s="38">
        <f t="shared" si="42"/>
        <v>4400000</v>
      </c>
      <c r="BT21" s="38">
        <f t="shared" si="43"/>
        <v>286000</v>
      </c>
      <c r="BU21" s="37">
        <f t="shared" si="44"/>
        <v>12983334.586538462</v>
      </c>
      <c r="BV21" s="38">
        <f t="shared" si="45"/>
        <v>0</v>
      </c>
      <c r="BW21" s="38">
        <f t="shared" si="46"/>
        <v>0</v>
      </c>
      <c r="BX21" s="38">
        <v>0</v>
      </c>
      <c r="BY21" s="38">
        <f t="shared" si="47"/>
        <v>35000</v>
      </c>
      <c r="BZ21" s="38">
        <f t="shared" si="48"/>
        <v>14408733</v>
      </c>
      <c r="CA21" s="38">
        <f>VLOOKUP(D21,'[1]Payroll of factory (DET).1'!$B$10:$BS$38,70,0)-BZ21</f>
        <v>2.8846153989434242E-2</v>
      </c>
      <c r="CB21" s="26">
        <v>0</v>
      </c>
      <c r="CF21" s="12">
        <f t="shared" si="49"/>
        <v>4258971.153846154</v>
      </c>
      <c r="CG21" s="12">
        <f t="shared" si="50"/>
        <v>0</v>
      </c>
      <c r="CH21" s="12">
        <f t="shared" si="51"/>
        <v>4210163.461538461</v>
      </c>
      <c r="CI21" s="12">
        <f t="shared" si="52"/>
        <v>2543887.5</v>
      </c>
      <c r="CJ21" s="12">
        <v>0</v>
      </c>
      <c r="CK21" s="12">
        <v>0</v>
      </c>
      <c r="CL21" s="12">
        <v>0</v>
      </c>
      <c r="CM21" s="12">
        <v>500000</v>
      </c>
      <c r="CN21" s="12">
        <v>45641</v>
      </c>
      <c r="CO21" s="12">
        <v>0</v>
      </c>
      <c r="CP21" s="12">
        <v>0</v>
      </c>
      <c r="CQ21" s="12"/>
      <c r="CR21" s="12">
        <v>0</v>
      </c>
      <c r="CS21" s="5" t="s">
        <v>285</v>
      </c>
      <c r="CT21" s="5">
        <v>12</v>
      </c>
      <c r="CU21" s="5">
        <v>2024</v>
      </c>
      <c r="CV21" s="5">
        <v>26</v>
      </c>
      <c r="CW21" s="5">
        <v>8</v>
      </c>
      <c r="CX21" s="48">
        <v>126</v>
      </c>
      <c r="CY21" s="49">
        <v>66</v>
      </c>
      <c r="CZ21" s="49">
        <v>51</v>
      </c>
      <c r="DA21" s="49">
        <v>17</v>
      </c>
      <c r="DB21" s="49">
        <v>0</v>
      </c>
      <c r="DC21" s="49">
        <v>0</v>
      </c>
      <c r="DD21" s="49">
        <v>0</v>
      </c>
      <c r="DE21" s="48">
        <v>0</v>
      </c>
      <c r="DF21" s="48">
        <v>0</v>
      </c>
      <c r="DG21" s="48">
        <v>0</v>
      </c>
      <c r="DH21" s="48">
        <v>0</v>
      </c>
      <c r="DI21" s="49">
        <v>0</v>
      </c>
      <c r="DJ21" s="49">
        <v>0</v>
      </c>
      <c r="DK21" s="49">
        <v>0</v>
      </c>
      <c r="DL21" s="49">
        <v>0</v>
      </c>
      <c r="DM21" s="49">
        <v>0</v>
      </c>
      <c r="DN21" s="49">
        <v>0</v>
      </c>
      <c r="DO21" s="49">
        <v>0</v>
      </c>
      <c r="DP21" s="48">
        <v>0</v>
      </c>
      <c r="DQ21" s="48">
        <v>0</v>
      </c>
      <c r="DR21" s="4">
        <v>16</v>
      </c>
      <c r="DS21" s="4">
        <v>0</v>
      </c>
      <c r="DT21" s="4"/>
      <c r="DU21" s="4"/>
      <c r="DV21" s="4"/>
      <c r="DW21" s="4"/>
      <c r="DX21" s="4"/>
      <c r="DY21" s="4"/>
      <c r="DZ21" s="4">
        <v>24</v>
      </c>
      <c r="EA21" s="4">
        <v>2</v>
      </c>
      <c r="EB21" s="4">
        <v>1</v>
      </c>
      <c r="EC21" s="4">
        <v>2</v>
      </c>
      <c r="ED21" s="4">
        <v>0</v>
      </c>
      <c r="EE21" s="4">
        <v>35000</v>
      </c>
      <c r="EF21" s="4" t="s">
        <v>286</v>
      </c>
      <c r="EG21" s="4">
        <v>3700200</v>
      </c>
      <c r="EH21" s="4">
        <v>0</v>
      </c>
    </row>
    <row r="22" spans="2:138">
      <c r="B22" s="36">
        <v>8</v>
      </c>
      <c r="C22" s="36" t="s">
        <v>302</v>
      </c>
      <c r="D22" s="37" t="s">
        <v>303</v>
      </c>
      <c r="E22" s="36" t="s">
        <v>304</v>
      </c>
      <c r="F22" s="36">
        <v>208</v>
      </c>
      <c r="G22" s="54">
        <f t="shared" si="0"/>
        <v>208</v>
      </c>
      <c r="H22" s="45">
        <f t="shared" si="1"/>
        <v>0</v>
      </c>
      <c r="I22" s="45">
        <f t="shared" si="2"/>
        <v>208</v>
      </c>
      <c r="J22" s="38">
        <v>0</v>
      </c>
      <c r="K22" s="45">
        <f t="shared" si="3"/>
        <v>0</v>
      </c>
      <c r="L22" s="45">
        <f t="shared" si="4"/>
        <v>0</v>
      </c>
      <c r="M22" s="45">
        <f t="shared" si="5"/>
        <v>0</v>
      </c>
      <c r="N22" s="45">
        <f t="shared" si="6"/>
        <v>0</v>
      </c>
      <c r="O22" s="45">
        <f t="shared" si="7"/>
        <v>0</v>
      </c>
      <c r="P22" s="45">
        <f t="shared" si="8"/>
        <v>0</v>
      </c>
      <c r="Q22" s="45">
        <f t="shared" si="9"/>
        <v>0</v>
      </c>
      <c r="R22" s="45">
        <v>0</v>
      </c>
      <c r="S22" s="45">
        <v>0</v>
      </c>
      <c r="T22" s="38">
        <v>4267000</v>
      </c>
      <c r="U22" s="38">
        <v>800000</v>
      </c>
      <c r="V22" s="38">
        <v>0</v>
      </c>
      <c r="W22" s="38">
        <v>600000</v>
      </c>
      <c r="X22" s="38">
        <v>0</v>
      </c>
      <c r="Y22" s="38">
        <v>0</v>
      </c>
      <c r="Z22" s="38">
        <v>0</v>
      </c>
      <c r="AA22" s="38">
        <v>600000</v>
      </c>
      <c r="AB22" s="38">
        <v>400000</v>
      </c>
      <c r="AC22" s="38">
        <f t="shared" si="10"/>
        <v>400000</v>
      </c>
      <c r="AD22" s="38">
        <v>300000</v>
      </c>
      <c r="AE22" s="38">
        <f t="shared" si="11"/>
        <v>300000</v>
      </c>
      <c r="AF22" s="38">
        <v>300000</v>
      </c>
      <c r="AG22" s="38">
        <f t="shared" si="12"/>
        <v>300000</v>
      </c>
      <c r="AH22" s="38">
        <v>0</v>
      </c>
      <c r="AI22" s="38">
        <v>0</v>
      </c>
      <c r="AJ22" s="38">
        <f t="shared" si="13"/>
        <v>500000</v>
      </c>
      <c r="AK22" s="38">
        <f t="shared" si="14"/>
        <v>0</v>
      </c>
      <c r="AL22" s="38">
        <v>0</v>
      </c>
      <c r="AM22" s="38">
        <f t="shared" si="15"/>
        <v>3400200</v>
      </c>
      <c r="AN22" s="38">
        <v>0</v>
      </c>
      <c r="AO22" s="38">
        <f t="shared" si="16"/>
        <v>1500000</v>
      </c>
      <c r="AP22" s="39">
        <f t="shared" si="17"/>
        <v>5667000</v>
      </c>
      <c r="AQ22" s="39">
        <f t="shared" si="18"/>
        <v>600000</v>
      </c>
      <c r="AR22" s="46">
        <f t="shared" si="19"/>
        <v>27245.192307692309</v>
      </c>
      <c r="AS22" s="57">
        <f t="shared" si="20"/>
        <v>2884.6153846153848</v>
      </c>
      <c r="AT22" s="39">
        <f t="shared" si="21"/>
        <v>5667000</v>
      </c>
      <c r="AU22" s="38">
        <f t="shared" si="22"/>
        <v>0</v>
      </c>
      <c r="AV22" s="38">
        <f t="shared" si="23"/>
        <v>0</v>
      </c>
      <c r="AW22" s="38">
        <f t="shared" si="24"/>
        <v>0</v>
      </c>
      <c r="AX22" s="40">
        <f t="shared" si="25"/>
        <v>0</v>
      </c>
      <c r="AY22" s="40">
        <f t="shared" si="26"/>
        <v>0</v>
      </c>
      <c r="AZ22" s="40">
        <f t="shared" si="27"/>
        <v>0</v>
      </c>
      <c r="BA22" s="40">
        <f t="shared" si="28"/>
        <v>0</v>
      </c>
      <c r="BB22" s="40">
        <f t="shared" si="29"/>
        <v>0</v>
      </c>
      <c r="BC22" s="40">
        <v>0</v>
      </c>
      <c r="BD22" s="39">
        <f t="shared" si="30"/>
        <v>0</v>
      </c>
      <c r="BE22" s="39">
        <f t="shared" si="31"/>
        <v>10567200</v>
      </c>
      <c r="BF22" s="39">
        <f t="shared" si="32"/>
        <v>5667000</v>
      </c>
      <c r="BG22" s="39">
        <f t="shared" si="33"/>
        <v>991724.99999999988</v>
      </c>
      <c r="BH22" s="39">
        <f t="shared" si="34"/>
        <v>170010</v>
      </c>
      <c r="BI22" s="39">
        <f t="shared" si="35"/>
        <v>56670</v>
      </c>
      <c r="BJ22" s="39">
        <f t="shared" si="36"/>
        <v>113340</v>
      </c>
      <c r="BK22" s="39">
        <f t="shared" si="37"/>
        <v>1331745</v>
      </c>
      <c r="BL22" s="38">
        <f t="shared" si="38"/>
        <v>453360</v>
      </c>
      <c r="BM22" s="38">
        <f t="shared" si="39"/>
        <v>85005</v>
      </c>
      <c r="BN22" s="38">
        <f t="shared" si="40"/>
        <v>56670</v>
      </c>
      <c r="BO22" s="38">
        <f t="shared" si="41"/>
        <v>595035</v>
      </c>
      <c r="BP22" s="38">
        <v>11000000</v>
      </c>
      <c r="BQ22" s="38">
        <v>0</v>
      </c>
      <c r="BR22" s="38">
        <v>4400000</v>
      </c>
      <c r="BS22" s="38">
        <f t="shared" si="42"/>
        <v>0</v>
      </c>
      <c r="BT22" s="38">
        <f t="shared" si="43"/>
        <v>400000</v>
      </c>
      <c r="BU22" s="37">
        <f t="shared" si="44"/>
        <v>10167200</v>
      </c>
      <c r="BV22" s="38">
        <f t="shared" si="45"/>
        <v>0</v>
      </c>
      <c r="BW22" s="38">
        <f t="shared" si="46"/>
        <v>0</v>
      </c>
      <c r="BX22" s="38">
        <v>0</v>
      </c>
      <c r="BY22" s="38">
        <f t="shared" si="47"/>
        <v>35000</v>
      </c>
      <c r="BZ22" s="38">
        <f t="shared" si="48"/>
        <v>9937165</v>
      </c>
      <c r="CA22" s="38">
        <f>VLOOKUP(D22,'[1]Payroll of factory (DET).1'!$B$10:$BS$38,70,0)-BZ22</f>
        <v>0</v>
      </c>
      <c r="CB22" s="26">
        <v>0</v>
      </c>
      <c r="CF22" s="12">
        <f t="shared" si="49"/>
        <v>400000</v>
      </c>
      <c r="CG22" s="12">
        <f t="shared" si="50"/>
        <v>0</v>
      </c>
      <c r="CH22" s="12">
        <f t="shared" si="51"/>
        <v>5667000</v>
      </c>
      <c r="CI22" s="12">
        <f t="shared" si="52"/>
        <v>0</v>
      </c>
      <c r="CJ22" s="12">
        <v>0</v>
      </c>
      <c r="CK22" s="12">
        <v>0</v>
      </c>
      <c r="CL22" s="12">
        <v>0</v>
      </c>
      <c r="CM22" s="12">
        <v>500000</v>
      </c>
      <c r="CN22" s="12">
        <v>45641</v>
      </c>
      <c r="CO22" s="12">
        <v>0</v>
      </c>
      <c r="CP22" s="12">
        <v>0</v>
      </c>
      <c r="CQ22" s="12"/>
      <c r="CR22" s="12">
        <v>0</v>
      </c>
      <c r="CS22" s="5" t="s">
        <v>285</v>
      </c>
      <c r="CT22" s="5">
        <v>12</v>
      </c>
      <c r="CU22" s="5">
        <v>2024</v>
      </c>
      <c r="CV22" s="5">
        <v>26</v>
      </c>
      <c r="CW22" s="5">
        <v>8</v>
      </c>
      <c r="CX22" s="48">
        <v>188</v>
      </c>
      <c r="CY22" s="49">
        <v>0</v>
      </c>
      <c r="CZ22" s="49">
        <v>0</v>
      </c>
      <c r="DA22" s="49">
        <v>0</v>
      </c>
      <c r="DB22" s="49">
        <v>0</v>
      </c>
      <c r="DC22" s="49">
        <v>0</v>
      </c>
      <c r="DD22" s="49">
        <v>0</v>
      </c>
      <c r="DE22" s="48">
        <v>0</v>
      </c>
      <c r="DF22" s="48">
        <v>0</v>
      </c>
      <c r="DG22" s="48">
        <v>0</v>
      </c>
      <c r="DH22" s="48">
        <v>0</v>
      </c>
      <c r="DI22" s="49">
        <v>0</v>
      </c>
      <c r="DJ22" s="49">
        <v>0</v>
      </c>
      <c r="DK22" s="49">
        <v>0</v>
      </c>
      <c r="DL22" s="49">
        <v>0</v>
      </c>
      <c r="DM22" s="49">
        <v>0</v>
      </c>
      <c r="DN22" s="49">
        <v>0</v>
      </c>
      <c r="DO22" s="49">
        <v>0</v>
      </c>
      <c r="DP22" s="48">
        <v>0</v>
      </c>
      <c r="DQ22" s="48">
        <v>0</v>
      </c>
      <c r="DR22" s="4">
        <v>20</v>
      </c>
      <c r="DS22" s="4">
        <v>0</v>
      </c>
      <c r="DT22" s="4"/>
      <c r="DU22" s="4"/>
      <c r="DV22" s="4"/>
      <c r="DW22" s="4"/>
      <c r="DX22" s="4"/>
      <c r="DY22" s="4"/>
      <c r="DZ22" s="4">
        <v>24</v>
      </c>
      <c r="EA22" s="4">
        <v>2</v>
      </c>
      <c r="EB22" s="4">
        <v>1</v>
      </c>
      <c r="EC22" s="4">
        <v>2</v>
      </c>
      <c r="ED22" s="4">
        <v>0</v>
      </c>
      <c r="EE22" s="4">
        <v>35000</v>
      </c>
      <c r="EF22" s="4" t="s">
        <v>286</v>
      </c>
      <c r="EG22" s="4">
        <v>3400200</v>
      </c>
      <c r="EH22" s="4">
        <v>0</v>
      </c>
    </row>
    <row r="23" spans="2:138">
      <c r="B23" s="36">
        <v>9</v>
      </c>
      <c r="C23" s="36" t="s">
        <v>305</v>
      </c>
      <c r="D23" s="37" t="s">
        <v>306</v>
      </c>
      <c r="E23" s="36" t="s">
        <v>284</v>
      </c>
      <c r="F23" s="36">
        <v>208</v>
      </c>
      <c r="G23" s="54">
        <f t="shared" si="0"/>
        <v>142</v>
      </c>
      <c r="H23" s="45">
        <f t="shared" si="1"/>
        <v>66</v>
      </c>
      <c r="I23" s="45">
        <f t="shared" si="2"/>
        <v>208</v>
      </c>
      <c r="J23" s="38">
        <v>22</v>
      </c>
      <c r="K23" s="45">
        <f t="shared" si="3"/>
        <v>51.5</v>
      </c>
      <c r="L23" s="45">
        <f t="shared" si="4"/>
        <v>17</v>
      </c>
      <c r="M23" s="45">
        <f t="shared" si="5"/>
        <v>0</v>
      </c>
      <c r="N23" s="45">
        <f t="shared" si="6"/>
        <v>0</v>
      </c>
      <c r="O23" s="45">
        <f t="shared" si="7"/>
        <v>0</v>
      </c>
      <c r="P23" s="45">
        <f t="shared" si="8"/>
        <v>0</v>
      </c>
      <c r="Q23" s="45">
        <f t="shared" si="9"/>
        <v>0</v>
      </c>
      <c r="R23" s="45">
        <v>0</v>
      </c>
      <c r="S23" s="45">
        <v>0</v>
      </c>
      <c r="T23" s="38">
        <v>4267000</v>
      </c>
      <c r="U23" s="38">
        <v>800000</v>
      </c>
      <c r="V23" s="38">
        <v>0</v>
      </c>
      <c r="W23" s="38">
        <v>600000</v>
      </c>
      <c r="X23" s="38">
        <v>0</v>
      </c>
      <c r="Y23" s="38">
        <v>0</v>
      </c>
      <c r="Z23" s="38">
        <v>0</v>
      </c>
      <c r="AA23" s="38">
        <v>600000</v>
      </c>
      <c r="AB23" s="38">
        <v>0</v>
      </c>
      <c r="AC23" s="38">
        <f t="shared" si="10"/>
        <v>0</v>
      </c>
      <c r="AD23" s="38">
        <v>300000</v>
      </c>
      <c r="AE23" s="38">
        <f t="shared" si="11"/>
        <v>300000</v>
      </c>
      <c r="AF23" s="38">
        <v>300000</v>
      </c>
      <c r="AG23" s="38">
        <f t="shared" si="12"/>
        <v>300000</v>
      </c>
      <c r="AH23" s="38">
        <v>0</v>
      </c>
      <c r="AI23" s="38">
        <v>0</v>
      </c>
      <c r="AJ23" s="38">
        <f t="shared" si="13"/>
        <v>500000</v>
      </c>
      <c r="AK23" s="38">
        <f t="shared" si="14"/>
        <v>286000</v>
      </c>
      <c r="AL23" s="38">
        <v>0</v>
      </c>
      <c r="AM23" s="38">
        <f t="shared" si="15"/>
        <v>3400200</v>
      </c>
      <c r="AN23" s="38">
        <v>0</v>
      </c>
      <c r="AO23" s="38">
        <f t="shared" si="16"/>
        <v>1386000</v>
      </c>
      <c r="AP23" s="39">
        <f t="shared" si="17"/>
        <v>5667000</v>
      </c>
      <c r="AQ23" s="39">
        <f t="shared" si="18"/>
        <v>600000</v>
      </c>
      <c r="AR23" s="46">
        <f t="shared" si="19"/>
        <v>27245.192307692309</v>
      </c>
      <c r="AS23" s="57">
        <f t="shared" si="20"/>
        <v>2884.6153846153848</v>
      </c>
      <c r="AT23" s="39">
        <f t="shared" si="21"/>
        <v>6206455</v>
      </c>
      <c r="AU23" s="38">
        <f t="shared" si="22"/>
        <v>2104691</v>
      </c>
      <c r="AV23" s="38">
        <f t="shared" si="23"/>
        <v>903178</v>
      </c>
      <c r="AW23" s="38">
        <f t="shared" si="24"/>
        <v>0</v>
      </c>
      <c r="AX23" s="40">
        <f t="shared" si="25"/>
        <v>0</v>
      </c>
      <c r="AY23" s="40">
        <f t="shared" si="26"/>
        <v>0</v>
      </c>
      <c r="AZ23" s="40">
        <f t="shared" si="27"/>
        <v>0</v>
      </c>
      <c r="BA23" s="40">
        <f t="shared" si="28"/>
        <v>0</v>
      </c>
      <c r="BB23" s="40">
        <f t="shared" si="29"/>
        <v>0</v>
      </c>
      <c r="BC23" s="40">
        <v>0</v>
      </c>
      <c r="BD23" s="39">
        <f t="shared" si="30"/>
        <v>3007869</v>
      </c>
      <c r="BE23" s="39">
        <f t="shared" si="31"/>
        <v>14000524</v>
      </c>
      <c r="BF23" s="39">
        <f t="shared" si="32"/>
        <v>5667000</v>
      </c>
      <c r="BG23" s="39">
        <f t="shared" si="33"/>
        <v>991724.99999999988</v>
      </c>
      <c r="BH23" s="39">
        <f t="shared" si="34"/>
        <v>170010</v>
      </c>
      <c r="BI23" s="39">
        <f t="shared" si="35"/>
        <v>56670</v>
      </c>
      <c r="BJ23" s="39">
        <f t="shared" si="36"/>
        <v>113340</v>
      </c>
      <c r="BK23" s="39">
        <f t="shared" si="37"/>
        <v>1331745</v>
      </c>
      <c r="BL23" s="38">
        <f t="shared" si="38"/>
        <v>453360</v>
      </c>
      <c r="BM23" s="38">
        <f t="shared" si="39"/>
        <v>85005</v>
      </c>
      <c r="BN23" s="38">
        <f t="shared" si="40"/>
        <v>56670</v>
      </c>
      <c r="BO23" s="38">
        <f t="shared" si="41"/>
        <v>595035</v>
      </c>
      <c r="BP23" s="38">
        <v>11000000</v>
      </c>
      <c r="BQ23" s="38">
        <v>1</v>
      </c>
      <c r="BR23" s="38">
        <v>4400000</v>
      </c>
      <c r="BS23" s="38">
        <f t="shared" si="42"/>
        <v>4400000</v>
      </c>
      <c r="BT23" s="38">
        <f t="shared" si="43"/>
        <v>286000</v>
      </c>
      <c r="BU23" s="37">
        <f t="shared" si="44"/>
        <v>12033495.634615384</v>
      </c>
      <c r="BV23" s="38">
        <f t="shared" si="45"/>
        <v>0</v>
      </c>
      <c r="BW23" s="38">
        <f t="shared" si="46"/>
        <v>0</v>
      </c>
      <c r="BX23" s="38">
        <v>0</v>
      </c>
      <c r="BY23" s="38">
        <f t="shared" si="47"/>
        <v>35000</v>
      </c>
      <c r="BZ23" s="38">
        <f t="shared" si="48"/>
        <v>13370489</v>
      </c>
      <c r="CA23" s="38">
        <f>VLOOKUP(D23,'[1]Payroll of factory (DET).1'!$B$10:$BS$38,70,0)-BZ23</f>
        <v>3.8461539894342422E-2</v>
      </c>
      <c r="CB23" s="26">
        <v>0</v>
      </c>
      <c r="CF23" s="12">
        <f t="shared" si="49"/>
        <v>3950478.3653846155</v>
      </c>
      <c r="CG23" s="12">
        <f t="shared" si="50"/>
        <v>0</v>
      </c>
      <c r="CH23" s="12">
        <f t="shared" si="51"/>
        <v>3868817.307692308</v>
      </c>
      <c r="CI23" s="12">
        <f t="shared" si="52"/>
        <v>2337637.5</v>
      </c>
      <c r="CJ23" s="12">
        <v>0</v>
      </c>
      <c r="CK23" s="12">
        <v>0</v>
      </c>
      <c r="CL23" s="12">
        <v>0</v>
      </c>
      <c r="CM23" s="12">
        <v>500000</v>
      </c>
      <c r="CN23" s="12">
        <v>45641</v>
      </c>
      <c r="CO23" s="12">
        <v>0</v>
      </c>
      <c r="CP23" s="12">
        <v>0</v>
      </c>
      <c r="CQ23" s="12"/>
      <c r="CR23" s="12">
        <v>0</v>
      </c>
      <c r="CS23" s="5" t="s">
        <v>285</v>
      </c>
      <c r="CT23" s="5">
        <v>12</v>
      </c>
      <c r="CU23" s="5">
        <v>2024</v>
      </c>
      <c r="CV23" s="5">
        <v>26</v>
      </c>
      <c r="CW23" s="5">
        <v>8</v>
      </c>
      <c r="CX23" s="48">
        <v>126</v>
      </c>
      <c r="CY23" s="49">
        <v>66</v>
      </c>
      <c r="CZ23" s="49">
        <v>51.5</v>
      </c>
      <c r="DA23" s="49">
        <v>17</v>
      </c>
      <c r="DB23" s="49">
        <v>0</v>
      </c>
      <c r="DC23" s="49">
        <v>0</v>
      </c>
      <c r="DD23" s="49">
        <v>0</v>
      </c>
      <c r="DE23" s="48">
        <v>0</v>
      </c>
      <c r="DF23" s="48">
        <v>0</v>
      </c>
      <c r="DG23" s="48">
        <v>0</v>
      </c>
      <c r="DH23" s="48">
        <v>0</v>
      </c>
      <c r="DI23" s="49">
        <v>0</v>
      </c>
      <c r="DJ23" s="49">
        <v>0</v>
      </c>
      <c r="DK23" s="49">
        <v>0</v>
      </c>
      <c r="DL23" s="49">
        <v>0</v>
      </c>
      <c r="DM23" s="49">
        <v>0</v>
      </c>
      <c r="DN23" s="49">
        <v>0</v>
      </c>
      <c r="DO23" s="49">
        <v>0</v>
      </c>
      <c r="DP23" s="48">
        <v>0</v>
      </c>
      <c r="DQ23" s="48">
        <v>0</v>
      </c>
      <c r="DR23" s="4">
        <v>16</v>
      </c>
      <c r="DS23" s="4">
        <v>0</v>
      </c>
      <c r="DT23" s="4"/>
      <c r="DU23" s="4"/>
      <c r="DV23" s="4">
        <v>0</v>
      </c>
      <c r="DW23" s="4">
        <v>0</v>
      </c>
      <c r="DX23" s="4">
        <v>0</v>
      </c>
      <c r="DY23" s="4">
        <v>0</v>
      </c>
      <c r="DZ23" s="4">
        <v>24</v>
      </c>
      <c r="EA23" s="4">
        <v>2</v>
      </c>
      <c r="EB23" s="4">
        <v>1</v>
      </c>
      <c r="EC23" s="4">
        <v>2</v>
      </c>
      <c r="ED23" s="4">
        <v>0</v>
      </c>
      <c r="EE23" s="4">
        <v>35000</v>
      </c>
      <c r="EF23" s="4" t="s">
        <v>286</v>
      </c>
      <c r="EG23" s="4">
        <v>3400200</v>
      </c>
      <c r="EH23" s="4">
        <v>0</v>
      </c>
    </row>
    <row r="24" spans="2:138">
      <c r="B24" s="36">
        <v>10</v>
      </c>
      <c r="C24" s="36" t="s">
        <v>307</v>
      </c>
      <c r="D24" s="37" t="s">
        <v>308</v>
      </c>
      <c r="E24" s="36" t="s">
        <v>297</v>
      </c>
      <c r="F24" s="36">
        <v>208</v>
      </c>
      <c r="G24" s="54">
        <f t="shared" si="0"/>
        <v>0</v>
      </c>
      <c r="H24" s="45">
        <f t="shared" si="1"/>
        <v>0</v>
      </c>
      <c r="I24" s="45">
        <f t="shared" si="2"/>
        <v>0</v>
      </c>
      <c r="J24" s="38">
        <v>0</v>
      </c>
      <c r="K24" s="45">
        <f t="shared" si="3"/>
        <v>0</v>
      </c>
      <c r="L24" s="45">
        <f t="shared" si="4"/>
        <v>0</v>
      </c>
      <c r="M24" s="45">
        <f t="shared" si="5"/>
        <v>0</v>
      </c>
      <c r="N24" s="45">
        <f t="shared" si="6"/>
        <v>0</v>
      </c>
      <c r="O24" s="45">
        <f t="shared" si="7"/>
        <v>0</v>
      </c>
      <c r="P24" s="45">
        <f t="shared" si="8"/>
        <v>0</v>
      </c>
      <c r="Q24" s="45">
        <f t="shared" si="9"/>
        <v>0</v>
      </c>
      <c r="R24" s="45">
        <v>0</v>
      </c>
      <c r="S24" s="45">
        <v>0</v>
      </c>
      <c r="T24" s="38">
        <v>0</v>
      </c>
      <c r="U24" s="38">
        <v>0</v>
      </c>
      <c r="V24" s="38">
        <v>0</v>
      </c>
      <c r="W24" s="38">
        <v>600000</v>
      </c>
      <c r="X24" s="38">
        <v>0</v>
      </c>
      <c r="Y24" s="38">
        <v>0</v>
      </c>
      <c r="Z24" s="38">
        <v>0</v>
      </c>
      <c r="AA24" s="38">
        <v>600000</v>
      </c>
      <c r="AB24" s="38">
        <v>0</v>
      </c>
      <c r="AC24" s="38">
        <f t="shared" si="10"/>
        <v>0</v>
      </c>
      <c r="AD24" s="38">
        <v>0</v>
      </c>
      <c r="AE24" s="38">
        <f t="shared" si="11"/>
        <v>0</v>
      </c>
      <c r="AF24" s="38">
        <v>0</v>
      </c>
      <c r="AG24" s="38">
        <f t="shared" si="12"/>
        <v>0</v>
      </c>
      <c r="AH24" s="38">
        <v>0</v>
      </c>
      <c r="AI24" s="38">
        <v>20000</v>
      </c>
      <c r="AJ24" s="38">
        <f t="shared" si="13"/>
        <v>0</v>
      </c>
      <c r="AK24" s="38">
        <f t="shared" si="14"/>
        <v>0</v>
      </c>
      <c r="AL24" s="38">
        <v>0</v>
      </c>
      <c r="AM24" s="38">
        <f t="shared" si="15"/>
        <v>0</v>
      </c>
      <c r="AN24" s="38">
        <v>0</v>
      </c>
      <c r="AO24" s="38">
        <f t="shared" si="16"/>
        <v>20000</v>
      </c>
      <c r="AP24" s="39">
        <f t="shared" si="17"/>
        <v>600000</v>
      </c>
      <c r="AQ24" s="39">
        <f t="shared" si="18"/>
        <v>600000</v>
      </c>
      <c r="AR24" s="46">
        <f t="shared" si="19"/>
        <v>2884.6153846153848</v>
      </c>
      <c r="AS24" s="57">
        <f t="shared" si="20"/>
        <v>2884.6153846153848</v>
      </c>
      <c r="AT24" s="39">
        <f t="shared" si="21"/>
        <v>0</v>
      </c>
      <c r="AU24" s="38">
        <f t="shared" si="22"/>
        <v>0</v>
      </c>
      <c r="AV24" s="38">
        <f t="shared" si="23"/>
        <v>0</v>
      </c>
      <c r="AW24" s="38">
        <f t="shared" si="24"/>
        <v>0</v>
      </c>
      <c r="AX24" s="40">
        <f t="shared" si="25"/>
        <v>0</v>
      </c>
      <c r="AY24" s="40">
        <f t="shared" si="26"/>
        <v>0</v>
      </c>
      <c r="AZ24" s="40">
        <f t="shared" si="27"/>
        <v>0</v>
      </c>
      <c r="BA24" s="40">
        <f t="shared" si="28"/>
        <v>0</v>
      </c>
      <c r="BB24" s="40">
        <f t="shared" si="29"/>
        <v>0</v>
      </c>
      <c r="BC24" s="40">
        <v>0</v>
      </c>
      <c r="BD24" s="39">
        <f t="shared" si="30"/>
        <v>0</v>
      </c>
      <c r="BE24" s="39">
        <f t="shared" si="31"/>
        <v>20000</v>
      </c>
      <c r="BF24" s="39">
        <f t="shared" si="32"/>
        <v>0</v>
      </c>
      <c r="BG24" s="39">
        <f t="shared" si="33"/>
        <v>0</v>
      </c>
      <c r="BH24" s="39">
        <f t="shared" si="34"/>
        <v>18000</v>
      </c>
      <c r="BI24" s="39">
        <f t="shared" si="35"/>
        <v>0</v>
      </c>
      <c r="BJ24" s="39">
        <f t="shared" si="36"/>
        <v>0</v>
      </c>
      <c r="BK24" s="39">
        <f t="shared" si="37"/>
        <v>18000</v>
      </c>
      <c r="BL24" s="38">
        <f t="shared" si="38"/>
        <v>0</v>
      </c>
      <c r="BM24" s="38">
        <f t="shared" si="39"/>
        <v>9000</v>
      </c>
      <c r="BN24" s="38">
        <f t="shared" si="40"/>
        <v>0</v>
      </c>
      <c r="BO24" s="38">
        <f t="shared" si="41"/>
        <v>9000</v>
      </c>
      <c r="BP24" s="38">
        <v>11000000</v>
      </c>
      <c r="BQ24" s="38">
        <v>0</v>
      </c>
      <c r="BR24" s="38">
        <v>4400000</v>
      </c>
      <c r="BS24" s="38">
        <f t="shared" si="42"/>
        <v>0</v>
      </c>
      <c r="BT24" s="38">
        <f t="shared" si="43"/>
        <v>0</v>
      </c>
      <c r="BU24" s="37">
        <f t="shared" si="44"/>
        <v>20000</v>
      </c>
      <c r="BV24" s="38">
        <f t="shared" si="45"/>
        <v>0</v>
      </c>
      <c r="BW24" s="38">
        <f t="shared" si="46"/>
        <v>0</v>
      </c>
      <c r="BX24" s="38">
        <v>0</v>
      </c>
      <c r="BY24" s="38">
        <f t="shared" si="47"/>
        <v>0</v>
      </c>
      <c r="BZ24" s="38">
        <f t="shared" si="48"/>
        <v>11000</v>
      </c>
      <c r="CA24" s="38" t="e">
        <f>VLOOKUP(D24,'[1]Payroll of factory (DET).1'!$B$10:$BS$38,70,0)-BZ24</f>
        <v>#N/A</v>
      </c>
      <c r="CB24" s="26">
        <v>0</v>
      </c>
      <c r="CF24" s="12">
        <f t="shared" si="49"/>
        <v>0</v>
      </c>
      <c r="CG24" s="12">
        <f t="shared" si="50"/>
        <v>0</v>
      </c>
      <c r="CH24" s="12">
        <f t="shared" si="51"/>
        <v>0</v>
      </c>
      <c r="CI24" s="12">
        <f t="shared" si="52"/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45641</v>
      </c>
      <c r="CO24" s="12">
        <v>0</v>
      </c>
      <c r="CP24" s="12">
        <v>0</v>
      </c>
      <c r="CQ24" s="12"/>
      <c r="CR24" s="12">
        <v>1</v>
      </c>
      <c r="CS24" s="5" t="s">
        <v>285</v>
      </c>
      <c r="CT24" s="5">
        <v>12</v>
      </c>
      <c r="CU24" s="5">
        <v>2024</v>
      </c>
      <c r="CV24" s="5">
        <v>26</v>
      </c>
      <c r="CW24" s="5">
        <v>8</v>
      </c>
      <c r="CX24" s="48">
        <v>0</v>
      </c>
      <c r="CY24" s="49">
        <v>0</v>
      </c>
      <c r="CZ24" s="49">
        <v>0</v>
      </c>
      <c r="DA24" s="49">
        <v>0</v>
      </c>
      <c r="DB24" s="49">
        <v>0</v>
      </c>
      <c r="DC24" s="49">
        <v>0</v>
      </c>
      <c r="DD24" s="49">
        <v>0</v>
      </c>
      <c r="DE24" s="48">
        <v>0</v>
      </c>
      <c r="DF24" s="48">
        <v>0</v>
      </c>
      <c r="DG24" s="48">
        <v>0</v>
      </c>
      <c r="DH24" s="48">
        <v>0</v>
      </c>
      <c r="DI24" s="49">
        <v>0</v>
      </c>
      <c r="DJ24" s="49">
        <v>0</v>
      </c>
      <c r="DK24" s="49">
        <v>0</v>
      </c>
      <c r="DL24" s="49">
        <v>0</v>
      </c>
      <c r="DM24" s="49">
        <v>0</v>
      </c>
      <c r="DN24" s="49">
        <v>0</v>
      </c>
      <c r="DO24" s="49">
        <v>0</v>
      </c>
      <c r="DP24" s="48">
        <v>0</v>
      </c>
      <c r="DQ24" s="48">
        <v>0</v>
      </c>
      <c r="DR24" s="4">
        <v>0</v>
      </c>
      <c r="DS24" s="4">
        <v>0</v>
      </c>
      <c r="DT24" s="4"/>
      <c r="DU24" s="4"/>
      <c r="DV24" s="4"/>
      <c r="DW24" s="4"/>
      <c r="DX24" s="4"/>
      <c r="DY24" s="4"/>
      <c r="DZ24" s="4">
        <v>0</v>
      </c>
      <c r="EA24" s="4">
        <v>2</v>
      </c>
      <c r="EB24" s="4">
        <v>1</v>
      </c>
      <c r="EC24" s="4">
        <v>2</v>
      </c>
      <c r="ED24" s="4">
        <v>0</v>
      </c>
      <c r="EE24" s="4">
        <v>35000</v>
      </c>
      <c r="EF24" s="4" t="s">
        <v>286</v>
      </c>
      <c r="EG24" s="4">
        <v>0</v>
      </c>
      <c r="EH24" s="4">
        <v>0</v>
      </c>
    </row>
    <row r="25" spans="2:138">
      <c r="B25" s="36">
        <v>11</v>
      </c>
      <c r="C25" s="36" t="s">
        <v>309</v>
      </c>
      <c r="D25" s="37" t="s">
        <v>310</v>
      </c>
      <c r="E25" s="36" t="s">
        <v>297</v>
      </c>
      <c r="F25" s="36">
        <v>208</v>
      </c>
      <c r="G25" s="54">
        <f t="shared" si="0"/>
        <v>126</v>
      </c>
      <c r="H25" s="45">
        <f t="shared" si="1"/>
        <v>66</v>
      </c>
      <c r="I25" s="45">
        <f t="shared" si="2"/>
        <v>192</v>
      </c>
      <c r="J25" s="38">
        <v>21</v>
      </c>
      <c r="K25" s="45">
        <f t="shared" si="3"/>
        <v>47.5</v>
      </c>
      <c r="L25" s="45">
        <f t="shared" si="4"/>
        <v>17</v>
      </c>
      <c r="M25" s="45">
        <f t="shared" si="5"/>
        <v>0</v>
      </c>
      <c r="N25" s="45">
        <f t="shared" si="6"/>
        <v>0</v>
      </c>
      <c r="O25" s="45">
        <f t="shared" si="7"/>
        <v>0</v>
      </c>
      <c r="P25" s="45">
        <f t="shared" si="8"/>
        <v>0</v>
      </c>
      <c r="Q25" s="45">
        <f t="shared" si="9"/>
        <v>0</v>
      </c>
      <c r="R25" s="45">
        <v>0</v>
      </c>
      <c r="S25" s="45">
        <v>0</v>
      </c>
      <c r="T25" s="38">
        <v>4267000</v>
      </c>
      <c r="U25" s="38">
        <v>300000</v>
      </c>
      <c r="V25" s="38">
        <v>0</v>
      </c>
      <c r="W25" s="38">
        <v>600000</v>
      </c>
      <c r="X25" s="38">
        <v>0</v>
      </c>
      <c r="Y25" s="38">
        <v>0</v>
      </c>
      <c r="Z25" s="38">
        <v>0</v>
      </c>
      <c r="AA25" s="38">
        <v>600000</v>
      </c>
      <c r="AB25" s="38">
        <v>0</v>
      </c>
      <c r="AC25" s="38">
        <f t="shared" si="10"/>
        <v>0</v>
      </c>
      <c r="AD25" s="38">
        <v>300000</v>
      </c>
      <c r="AE25" s="38">
        <f t="shared" si="11"/>
        <v>300000</v>
      </c>
      <c r="AF25" s="38">
        <v>300000</v>
      </c>
      <c r="AG25" s="38">
        <f t="shared" si="12"/>
        <v>300000</v>
      </c>
      <c r="AH25" s="38">
        <v>0</v>
      </c>
      <c r="AI25" s="38">
        <v>0</v>
      </c>
      <c r="AJ25" s="38">
        <f t="shared" si="13"/>
        <v>500000</v>
      </c>
      <c r="AK25" s="38">
        <f t="shared" si="14"/>
        <v>273000</v>
      </c>
      <c r="AL25" s="38">
        <v>0</v>
      </c>
      <c r="AM25" s="38">
        <f t="shared" si="15"/>
        <v>3100200</v>
      </c>
      <c r="AN25" s="38">
        <v>0</v>
      </c>
      <c r="AO25" s="38">
        <f t="shared" si="16"/>
        <v>1373000</v>
      </c>
      <c r="AP25" s="39">
        <f t="shared" si="17"/>
        <v>5167000</v>
      </c>
      <c r="AQ25" s="39">
        <f t="shared" si="18"/>
        <v>600000</v>
      </c>
      <c r="AR25" s="46">
        <f t="shared" si="19"/>
        <v>24841.346153846152</v>
      </c>
      <c r="AS25" s="57">
        <f t="shared" si="20"/>
        <v>2884.6153846153848</v>
      </c>
      <c r="AT25" s="39">
        <f t="shared" si="21"/>
        <v>5261397</v>
      </c>
      <c r="AU25" s="38">
        <f t="shared" si="22"/>
        <v>1769946</v>
      </c>
      <c r="AV25" s="38">
        <f t="shared" si="23"/>
        <v>823491</v>
      </c>
      <c r="AW25" s="38">
        <f t="shared" si="24"/>
        <v>0</v>
      </c>
      <c r="AX25" s="40">
        <f t="shared" si="25"/>
        <v>0</v>
      </c>
      <c r="AY25" s="40">
        <f t="shared" si="26"/>
        <v>0</v>
      </c>
      <c r="AZ25" s="40">
        <f t="shared" si="27"/>
        <v>0</v>
      </c>
      <c r="BA25" s="40">
        <f t="shared" si="28"/>
        <v>0</v>
      </c>
      <c r="BB25" s="40">
        <f t="shared" si="29"/>
        <v>0</v>
      </c>
      <c r="BC25" s="40">
        <v>0</v>
      </c>
      <c r="BD25" s="39">
        <f t="shared" si="30"/>
        <v>2593437</v>
      </c>
      <c r="BE25" s="39">
        <f t="shared" si="31"/>
        <v>12328034</v>
      </c>
      <c r="BF25" s="39">
        <f t="shared" si="32"/>
        <v>5167000</v>
      </c>
      <c r="BG25" s="39">
        <f t="shared" si="33"/>
        <v>904225</v>
      </c>
      <c r="BH25" s="39">
        <f t="shared" si="34"/>
        <v>155010</v>
      </c>
      <c r="BI25" s="39">
        <f t="shared" si="35"/>
        <v>51670</v>
      </c>
      <c r="BJ25" s="39">
        <f t="shared" si="36"/>
        <v>103340</v>
      </c>
      <c r="BK25" s="39">
        <f t="shared" si="37"/>
        <v>1214245</v>
      </c>
      <c r="BL25" s="38">
        <f t="shared" si="38"/>
        <v>413360</v>
      </c>
      <c r="BM25" s="38">
        <f t="shared" si="39"/>
        <v>77505</v>
      </c>
      <c r="BN25" s="38">
        <f t="shared" si="40"/>
        <v>51670</v>
      </c>
      <c r="BO25" s="38">
        <f t="shared" si="41"/>
        <v>542535</v>
      </c>
      <c r="BP25" s="38">
        <v>11000000</v>
      </c>
      <c r="BQ25" s="38">
        <v>0</v>
      </c>
      <c r="BR25" s="38">
        <v>4400000</v>
      </c>
      <c r="BS25" s="38">
        <f t="shared" si="42"/>
        <v>0</v>
      </c>
      <c r="BT25" s="38">
        <f t="shared" si="43"/>
        <v>273000</v>
      </c>
      <c r="BU25" s="37">
        <f t="shared" si="44"/>
        <v>10572005.634615384</v>
      </c>
      <c r="BV25" s="38">
        <f t="shared" si="45"/>
        <v>0</v>
      </c>
      <c r="BW25" s="38">
        <f t="shared" si="46"/>
        <v>0</v>
      </c>
      <c r="BX25" s="38">
        <v>0</v>
      </c>
      <c r="BY25" s="38">
        <f t="shared" si="47"/>
        <v>35000</v>
      </c>
      <c r="BZ25" s="38">
        <f t="shared" si="48"/>
        <v>11750499</v>
      </c>
      <c r="CA25" s="38">
        <f>VLOOKUP(D25,'[1]Payroll of factory (DET).1'!$B$10:$BS$38,70,0)-BZ25</f>
        <v>-0.34615384601056576</v>
      </c>
      <c r="CB25" s="26">
        <v>0</v>
      </c>
      <c r="CF25" s="12">
        <f t="shared" si="49"/>
        <v>3514795.673076923</v>
      </c>
      <c r="CG25" s="12">
        <f t="shared" si="50"/>
        <v>0</v>
      </c>
      <c r="CH25" s="12">
        <f t="shared" si="51"/>
        <v>3130009.615384615</v>
      </c>
      <c r="CI25" s="12">
        <f t="shared" si="52"/>
        <v>2131387.5</v>
      </c>
      <c r="CJ25" s="12">
        <v>0</v>
      </c>
      <c r="CK25" s="12">
        <v>0</v>
      </c>
      <c r="CL25" s="12">
        <v>0</v>
      </c>
      <c r="CM25" s="12">
        <v>500000</v>
      </c>
      <c r="CN25" s="12">
        <v>45641</v>
      </c>
      <c r="CO25" s="12">
        <v>0</v>
      </c>
      <c r="CP25" s="12">
        <v>0</v>
      </c>
      <c r="CQ25" s="12"/>
      <c r="CR25" s="12">
        <v>0</v>
      </c>
      <c r="CS25" s="5" t="s">
        <v>285</v>
      </c>
      <c r="CT25" s="5">
        <v>12</v>
      </c>
      <c r="CU25" s="5">
        <v>2024</v>
      </c>
      <c r="CV25" s="5">
        <v>26</v>
      </c>
      <c r="CW25" s="5">
        <v>8</v>
      </c>
      <c r="CX25" s="48">
        <v>126</v>
      </c>
      <c r="CY25" s="49">
        <v>66</v>
      </c>
      <c r="CZ25" s="49">
        <v>47.5</v>
      </c>
      <c r="DA25" s="49">
        <v>17</v>
      </c>
      <c r="DB25" s="49">
        <v>0</v>
      </c>
      <c r="DC25" s="49">
        <v>0</v>
      </c>
      <c r="DD25" s="49">
        <v>0</v>
      </c>
      <c r="DE25" s="48">
        <v>0</v>
      </c>
      <c r="DF25" s="48">
        <v>0</v>
      </c>
      <c r="DG25" s="48">
        <v>0</v>
      </c>
      <c r="DH25" s="48">
        <v>0</v>
      </c>
      <c r="DI25" s="49">
        <v>0</v>
      </c>
      <c r="DJ25" s="49">
        <v>0</v>
      </c>
      <c r="DK25" s="49">
        <v>0</v>
      </c>
      <c r="DL25" s="49">
        <v>0</v>
      </c>
      <c r="DM25" s="49">
        <v>0</v>
      </c>
      <c r="DN25" s="49">
        <v>0</v>
      </c>
      <c r="DO25" s="49">
        <v>0</v>
      </c>
      <c r="DP25" s="48">
        <v>0</v>
      </c>
      <c r="DQ25" s="48">
        <v>0</v>
      </c>
      <c r="DR25" s="4">
        <v>0</v>
      </c>
      <c r="DS25" s="4">
        <v>16</v>
      </c>
      <c r="DT25" s="4"/>
      <c r="DU25" s="4"/>
      <c r="DV25" s="4"/>
      <c r="DW25" s="4"/>
      <c r="DX25" s="4"/>
      <c r="DY25" s="4"/>
      <c r="DZ25" s="4">
        <v>24</v>
      </c>
      <c r="EA25" s="4">
        <v>2</v>
      </c>
      <c r="EB25" s="4">
        <v>1</v>
      </c>
      <c r="EC25" s="4">
        <v>2</v>
      </c>
      <c r="ED25" s="4">
        <v>0</v>
      </c>
      <c r="EE25" s="4">
        <v>35000</v>
      </c>
      <c r="EF25" s="4" t="s">
        <v>286</v>
      </c>
      <c r="EG25" s="4">
        <v>3100200</v>
      </c>
      <c r="EH25" s="4">
        <v>0</v>
      </c>
    </row>
    <row r="26" spans="2:138">
      <c r="B26" s="36">
        <v>12</v>
      </c>
      <c r="C26" s="36" t="s">
        <v>311</v>
      </c>
      <c r="D26" s="37" t="s">
        <v>312</v>
      </c>
      <c r="E26" s="36" t="s">
        <v>284</v>
      </c>
      <c r="F26" s="36">
        <v>208</v>
      </c>
      <c r="G26" s="54">
        <f t="shared" si="0"/>
        <v>147.5</v>
      </c>
      <c r="H26" s="45">
        <f t="shared" si="1"/>
        <v>60.5</v>
      </c>
      <c r="I26" s="45">
        <f t="shared" si="2"/>
        <v>208</v>
      </c>
      <c r="J26" s="38">
        <v>23</v>
      </c>
      <c r="K26" s="45">
        <f t="shared" si="3"/>
        <v>53</v>
      </c>
      <c r="L26" s="45">
        <f t="shared" si="4"/>
        <v>16.5</v>
      </c>
      <c r="M26" s="45">
        <f t="shared" si="5"/>
        <v>0</v>
      </c>
      <c r="N26" s="45">
        <f t="shared" si="6"/>
        <v>0</v>
      </c>
      <c r="O26" s="45">
        <f t="shared" si="7"/>
        <v>0</v>
      </c>
      <c r="P26" s="45">
        <f t="shared" si="8"/>
        <v>0</v>
      </c>
      <c r="Q26" s="45">
        <f t="shared" si="9"/>
        <v>0</v>
      </c>
      <c r="R26" s="45">
        <v>0</v>
      </c>
      <c r="S26" s="45">
        <v>0</v>
      </c>
      <c r="T26" s="38">
        <v>4267000</v>
      </c>
      <c r="U26" s="38">
        <v>800000</v>
      </c>
      <c r="V26" s="38">
        <v>0</v>
      </c>
      <c r="W26" s="38">
        <v>600000</v>
      </c>
      <c r="X26" s="38">
        <v>0</v>
      </c>
      <c r="Y26" s="38">
        <v>0</v>
      </c>
      <c r="Z26" s="38">
        <v>0</v>
      </c>
      <c r="AA26" s="38">
        <v>600000</v>
      </c>
      <c r="AB26" s="38">
        <v>0</v>
      </c>
      <c r="AC26" s="38">
        <f t="shared" si="10"/>
        <v>0</v>
      </c>
      <c r="AD26" s="38">
        <v>300000</v>
      </c>
      <c r="AE26" s="38">
        <f t="shared" si="11"/>
        <v>300000</v>
      </c>
      <c r="AF26" s="38">
        <v>300000</v>
      </c>
      <c r="AG26" s="38">
        <f t="shared" si="12"/>
        <v>300000</v>
      </c>
      <c r="AH26" s="38">
        <v>0</v>
      </c>
      <c r="AI26" s="38">
        <v>0</v>
      </c>
      <c r="AJ26" s="38">
        <f t="shared" si="13"/>
        <v>500000</v>
      </c>
      <c r="AK26" s="38">
        <f t="shared" si="14"/>
        <v>299000</v>
      </c>
      <c r="AL26" s="38">
        <v>100000</v>
      </c>
      <c r="AM26" s="38">
        <f t="shared" si="15"/>
        <v>3400200</v>
      </c>
      <c r="AN26" s="38">
        <v>0</v>
      </c>
      <c r="AO26" s="38">
        <f t="shared" si="16"/>
        <v>1499000</v>
      </c>
      <c r="AP26" s="39">
        <f t="shared" si="17"/>
        <v>5667000</v>
      </c>
      <c r="AQ26" s="39">
        <f t="shared" si="18"/>
        <v>600000</v>
      </c>
      <c r="AR26" s="46">
        <f t="shared" si="19"/>
        <v>27245.192307692309</v>
      </c>
      <c r="AS26" s="57">
        <f t="shared" si="20"/>
        <v>2884.6153846153848</v>
      </c>
      <c r="AT26" s="39">
        <f t="shared" si="21"/>
        <v>6161500</v>
      </c>
      <c r="AU26" s="38">
        <f t="shared" si="22"/>
        <v>2165993</v>
      </c>
      <c r="AV26" s="38">
        <f t="shared" si="23"/>
        <v>876614</v>
      </c>
      <c r="AW26" s="38">
        <f t="shared" si="24"/>
        <v>0</v>
      </c>
      <c r="AX26" s="40">
        <f t="shared" si="25"/>
        <v>0</v>
      </c>
      <c r="AY26" s="40">
        <f t="shared" si="26"/>
        <v>0</v>
      </c>
      <c r="AZ26" s="40">
        <f t="shared" si="27"/>
        <v>0</v>
      </c>
      <c r="BA26" s="40">
        <f t="shared" si="28"/>
        <v>0</v>
      </c>
      <c r="BB26" s="40">
        <f t="shared" si="29"/>
        <v>0</v>
      </c>
      <c r="BC26" s="40">
        <v>0</v>
      </c>
      <c r="BD26" s="39">
        <f t="shared" si="30"/>
        <v>3042607</v>
      </c>
      <c r="BE26" s="39">
        <f t="shared" si="31"/>
        <v>14103307</v>
      </c>
      <c r="BF26" s="39">
        <f t="shared" si="32"/>
        <v>5667000</v>
      </c>
      <c r="BG26" s="39">
        <f t="shared" si="33"/>
        <v>991724.99999999988</v>
      </c>
      <c r="BH26" s="39">
        <f t="shared" si="34"/>
        <v>170010</v>
      </c>
      <c r="BI26" s="39">
        <f t="shared" si="35"/>
        <v>56670</v>
      </c>
      <c r="BJ26" s="39">
        <f t="shared" si="36"/>
        <v>113340</v>
      </c>
      <c r="BK26" s="39">
        <f t="shared" si="37"/>
        <v>1331745</v>
      </c>
      <c r="BL26" s="38">
        <f t="shared" si="38"/>
        <v>453360</v>
      </c>
      <c r="BM26" s="38">
        <f t="shared" si="39"/>
        <v>85005</v>
      </c>
      <c r="BN26" s="38">
        <f t="shared" si="40"/>
        <v>56670</v>
      </c>
      <c r="BO26" s="38">
        <f t="shared" si="41"/>
        <v>595035</v>
      </c>
      <c r="BP26" s="38">
        <v>11000000</v>
      </c>
      <c r="BQ26" s="38">
        <v>1</v>
      </c>
      <c r="BR26" s="38">
        <v>4400000</v>
      </c>
      <c r="BS26" s="38">
        <f t="shared" si="42"/>
        <v>4400000</v>
      </c>
      <c r="BT26" s="38">
        <f t="shared" si="43"/>
        <v>299000</v>
      </c>
      <c r="BU26" s="37">
        <f t="shared" si="44"/>
        <v>12160740.774038462</v>
      </c>
      <c r="BV26" s="38">
        <f t="shared" si="45"/>
        <v>0</v>
      </c>
      <c r="BW26" s="38">
        <f t="shared" si="46"/>
        <v>0</v>
      </c>
      <c r="BX26" s="38">
        <v>0</v>
      </c>
      <c r="BY26" s="38">
        <f t="shared" si="47"/>
        <v>35000</v>
      </c>
      <c r="BZ26" s="38">
        <f t="shared" si="48"/>
        <v>13473272</v>
      </c>
      <c r="CA26" s="38">
        <f>VLOOKUP(D26,'[1]Payroll of factory (DET).1'!$B$10:$BS$38,70,0)-BZ26</f>
        <v>9.1346153989434242E-2</v>
      </c>
      <c r="CB26" s="26">
        <v>0</v>
      </c>
      <c r="CF26" s="12">
        <f t="shared" si="49"/>
        <v>3840875</v>
      </c>
      <c r="CG26" s="12">
        <f t="shared" si="50"/>
        <v>0</v>
      </c>
      <c r="CH26" s="12">
        <f t="shared" si="51"/>
        <v>4018665.8653846155</v>
      </c>
      <c r="CI26" s="12">
        <f t="shared" si="52"/>
        <v>2142834.375</v>
      </c>
      <c r="CJ26" s="12">
        <v>0</v>
      </c>
      <c r="CK26" s="12">
        <v>0</v>
      </c>
      <c r="CL26" s="12">
        <v>0</v>
      </c>
      <c r="CM26" s="12">
        <v>500000</v>
      </c>
      <c r="CN26" s="12">
        <v>45641</v>
      </c>
      <c r="CO26" s="12">
        <v>0</v>
      </c>
      <c r="CP26" s="12">
        <v>0</v>
      </c>
      <c r="CQ26" s="12"/>
      <c r="CR26" s="12">
        <v>0</v>
      </c>
      <c r="CS26" s="5" t="s">
        <v>285</v>
      </c>
      <c r="CT26" s="5">
        <v>12</v>
      </c>
      <c r="CU26" s="5">
        <v>2024</v>
      </c>
      <c r="CV26" s="5">
        <v>26</v>
      </c>
      <c r="CW26" s="5">
        <v>8</v>
      </c>
      <c r="CX26" s="48">
        <v>123.5</v>
      </c>
      <c r="CY26" s="49">
        <v>60.5</v>
      </c>
      <c r="CZ26" s="49">
        <v>53</v>
      </c>
      <c r="DA26" s="49">
        <v>16.5</v>
      </c>
      <c r="DB26" s="49">
        <v>0</v>
      </c>
      <c r="DC26" s="49">
        <v>0</v>
      </c>
      <c r="DD26" s="49">
        <v>0</v>
      </c>
      <c r="DE26" s="48">
        <v>0</v>
      </c>
      <c r="DF26" s="48">
        <v>0</v>
      </c>
      <c r="DG26" s="48">
        <v>0</v>
      </c>
      <c r="DH26" s="48">
        <v>0</v>
      </c>
      <c r="DI26" s="49">
        <v>0</v>
      </c>
      <c r="DJ26" s="49">
        <v>0</v>
      </c>
      <c r="DK26" s="49">
        <v>0</v>
      </c>
      <c r="DL26" s="49">
        <v>0</v>
      </c>
      <c r="DM26" s="49">
        <v>0</v>
      </c>
      <c r="DN26" s="49">
        <v>0</v>
      </c>
      <c r="DO26" s="49">
        <v>0</v>
      </c>
      <c r="DP26" s="48">
        <v>0</v>
      </c>
      <c r="DQ26" s="48">
        <v>0</v>
      </c>
      <c r="DR26" s="4">
        <v>24</v>
      </c>
      <c r="DS26" s="4">
        <v>0</v>
      </c>
      <c r="DT26" s="4"/>
      <c r="DU26" s="4"/>
      <c r="DV26" s="4">
        <v>0</v>
      </c>
      <c r="DW26" s="4">
        <v>0</v>
      </c>
      <c r="DX26" s="4">
        <v>0</v>
      </c>
      <c r="DY26" s="4">
        <v>0</v>
      </c>
      <c r="DZ26" s="4">
        <v>23</v>
      </c>
      <c r="EA26" s="4">
        <v>2</v>
      </c>
      <c r="EB26" s="4">
        <v>1</v>
      </c>
      <c r="EC26" s="4">
        <v>2</v>
      </c>
      <c r="ED26" s="4">
        <v>0</v>
      </c>
      <c r="EE26" s="4">
        <v>35000</v>
      </c>
      <c r="EF26" s="4" t="s">
        <v>286</v>
      </c>
      <c r="EG26" s="4">
        <v>3400200</v>
      </c>
      <c r="EH26" s="4">
        <v>0</v>
      </c>
    </row>
    <row r="27" spans="2:138">
      <c r="B27" s="36">
        <v>13</v>
      </c>
      <c r="C27" s="36" t="s">
        <v>313</v>
      </c>
      <c r="D27" s="37" t="s">
        <v>314</v>
      </c>
      <c r="E27" s="36" t="s">
        <v>297</v>
      </c>
      <c r="F27" s="36">
        <v>208</v>
      </c>
      <c r="G27" s="54">
        <f t="shared" si="0"/>
        <v>128</v>
      </c>
      <c r="H27" s="45">
        <f t="shared" si="1"/>
        <v>49</v>
      </c>
      <c r="I27" s="45">
        <f t="shared" si="2"/>
        <v>177</v>
      </c>
      <c r="J27" s="38">
        <v>20</v>
      </c>
      <c r="K27" s="45">
        <f t="shared" si="3"/>
        <v>48</v>
      </c>
      <c r="L27" s="45">
        <f t="shared" si="4"/>
        <v>13.5</v>
      </c>
      <c r="M27" s="45">
        <f t="shared" si="5"/>
        <v>0</v>
      </c>
      <c r="N27" s="45">
        <f t="shared" si="6"/>
        <v>0</v>
      </c>
      <c r="O27" s="45">
        <f t="shared" si="7"/>
        <v>0</v>
      </c>
      <c r="P27" s="45">
        <f t="shared" si="8"/>
        <v>0</v>
      </c>
      <c r="Q27" s="45">
        <f t="shared" si="9"/>
        <v>0</v>
      </c>
      <c r="R27" s="45">
        <v>0</v>
      </c>
      <c r="S27" s="45">
        <v>0</v>
      </c>
      <c r="T27" s="38">
        <v>4267000</v>
      </c>
      <c r="U27" s="38">
        <v>0</v>
      </c>
      <c r="V27" s="38">
        <v>0</v>
      </c>
      <c r="W27" s="38">
        <v>300000</v>
      </c>
      <c r="X27" s="38">
        <v>0</v>
      </c>
      <c r="Y27" s="38">
        <v>0</v>
      </c>
      <c r="Z27" s="38">
        <v>0</v>
      </c>
      <c r="AA27" s="38">
        <v>300000</v>
      </c>
      <c r="AB27" s="38">
        <v>0</v>
      </c>
      <c r="AC27" s="38">
        <f t="shared" si="10"/>
        <v>0</v>
      </c>
      <c r="AD27" s="38">
        <v>300000</v>
      </c>
      <c r="AE27" s="38">
        <f t="shared" si="11"/>
        <v>300000</v>
      </c>
      <c r="AF27" s="38">
        <v>300000</v>
      </c>
      <c r="AG27" s="38">
        <f t="shared" si="12"/>
        <v>300000</v>
      </c>
      <c r="AH27" s="38">
        <v>0</v>
      </c>
      <c r="AI27" s="38">
        <v>0</v>
      </c>
      <c r="AJ27" s="38">
        <f t="shared" si="13"/>
        <v>0</v>
      </c>
      <c r="AK27" s="38">
        <f t="shared" si="14"/>
        <v>260000</v>
      </c>
      <c r="AL27" s="38">
        <v>0</v>
      </c>
      <c r="AM27" s="38">
        <f t="shared" si="15"/>
        <v>2740200</v>
      </c>
      <c r="AN27" s="38">
        <v>0</v>
      </c>
      <c r="AO27" s="38">
        <f t="shared" si="16"/>
        <v>860000</v>
      </c>
      <c r="AP27" s="39">
        <f t="shared" si="17"/>
        <v>4567000</v>
      </c>
      <c r="AQ27" s="39">
        <f t="shared" si="18"/>
        <v>300000</v>
      </c>
      <c r="AR27" s="46">
        <f t="shared" si="19"/>
        <v>21956.73076923077</v>
      </c>
      <c r="AS27" s="57">
        <f t="shared" si="20"/>
        <v>1442.3076923076924</v>
      </c>
      <c r="AT27" s="39">
        <f t="shared" si="21"/>
        <v>4209105</v>
      </c>
      <c r="AU27" s="38">
        <f t="shared" si="22"/>
        <v>1580885</v>
      </c>
      <c r="AV27" s="38">
        <f t="shared" si="23"/>
        <v>578011</v>
      </c>
      <c r="AW27" s="38">
        <f t="shared" si="24"/>
        <v>0</v>
      </c>
      <c r="AX27" s="40">
        <f t="shared" si="25"/>
        <v>0</v>
      </c>
      <c r="AY27" s="40">
        <f t="shared" si="26"/>
        <v>0</v>
      </c>
      <c r="AZ27" s="40">
        <f t="shared" si="27"/>
        <v>0</v>
      </c>
      <c r="BA27" s="40">
        <f t="shared" si="28"/>
        <v>0</v>
      </c>
      <c r="BB27" s="40">
        <f t="shared" si="29"/>
        <v>0</v>
      </c>
      <c r="BC27" s="40">
        <v>0</v>
      </c>
      <c r="BD27" s="39">
        <f t="shared" si="30"/>
        <v>2158896</v>
      </c>
      <c r="BE27" s="39">
        <f t="shared" si="31"/>
        <v>9968201</v>
      </c>
      <c r="BF27" s="39">
        <f t="shared" si="32"/>
        <v>4567000</v>
      </c>
      <c r="BG27" s="39">
        <f t="shared" si="33"/>
        <v>799225</v>
      </c>
      <c r="BH27" s="39">
        <f t="shared" si="34"/>
        <v>137010</v>
      </c>
      <c r="BI27" s="39">
        <f t="shared" si="35"/>
        <v>45670</v>
      </c>
      <c r="BJ27" s="39">
        <f t="shared" si="36"/>
        <v>91340</v>
      </c>
      <c r="BK27" s="39">
        <f t="shared" si="37"/>
        <v>1073245</v>
      </c>
      <c r="BL27" s="38">
        <f t="shared" si="38"/>
        <v>365360</v>
      </c>
      <c r="BM27" s="38">
        <f t="shared" si="39"/>
        <v>68505</v>
      </c>
      <c r="BN27" s="38">
        <f t="shared" si="40"/>
        <v>45670</v>
      </c>
      <c r="BO27" s="38">
        <f t="shared" si="41"/>
        <v>479535</v>
      </c>
      <c r="BP27" s="38">
        <v>11000000</v>
      </c>
      <c r="BQ27" s="38">
        <v>0</v>
      </c>
      <c r="BR27" s="38">
        <v>4400000</v>
      </c>
      <c r="BS27" s="38">
        <f t="shared" si="42"/>
        <v>0</v>
      </c>
      <c r="BT27" s="38">
        <f t="shared" si="43"/>
        <v>260000</v>
      </c>
      <c r="BU27" s="37">
        <f t="shared" si="44"/>
        <v>8576880.447115384</v>
      </c>
      <c r="BV27" s="38">
        <f t="shared" si="45"/>
        <v>0</v>
      </c>
      <c r="BW27" s="38">
        <f t="shared" si="46"/>
        <v>0</v>
      </c>
      <c r="BX27" s="38">
        <v>0</v>
      </c>
      <c r="BY27" s="38">
        <f t="shared" si="47"/>
        <v>35000</v>
      </c>
      <c r="BZ27" s="38">
        <f t="shared" si="48"/>
        <v>9453666</v>
      </c>
      <c r="CA27" s="38">
        <f>VLOOKUP(D27,'[1]Payroll of factory (DET).1'!$B$10:$BS$38,70,0)-BZ27</f>
        <v>-13000.158653846011</v>
      </c>
      <c r="CB27" s="26">
        <v>0</v>
      </c>
      <c r="CF27" s="12">
        <f t="shared" si="49"/>
        <v>2686218.75</v>
      </c>
      <c r="CG27" s="12">
        <f t="shared" si="50"/>
        <v>0</v>
      </c>
      <c r="CH27" s="12">
        <f t="shared" si="51"/>
        <v>2810461.5384615385</v>
      </c>
      <c r="CI27" s="12">
        <f t="shared" si="52"/>
        <v>1398643.75</v>
      </c>
      <c r="CJ27" s="12">
        <v>0</v>
      </c>
      <c r="CK27" s="12">
        <v>0</v>
      </c>
      <c r="CL27" s="12">
        <v>0</v>
      </c>
      <c r="CM27" s="12">
        <v>0</v>
      </c>
      <c r="CN27" s="12">
        <v>45641</v>
      </c>
      <c r="CO27" s="12">
        <v>0</v>
      </c>
      <c r="CP27" s="12">
        <v>0</v>
      </c>
      <c r="CQ27" s="12"/>
      <c r="CR27" s="12">
        <v>0</v>
      </c>
      <c r="CS27" s="5" t="s">
        <v>285</v>
      </c>
      <c r="CT27" s="5">
        <v>12</v>
      </c>
      <c r="CU27" s="5">
        <v>2024</v>
      </c>
      <c r="CV27" s="5">
        <v>26</v>
      </c>
      <c r="CW27" s="5">
        <v>8</v>
      </c>
      <c r="CX27" s="48">
        <v>112</v>
      </c>
      <c r="CY27" s="49">
        <v>49</v>
      </c>
      <c r="CZ27" s="49">
        <v>48</v>
      </c>
      <c r="DA27" s="49">
        <v>13.5</v>
      </c>
      <c r="DB27" s="49">
        <v>0</v>
      </c>
      <c r="DC27" s="49">
        <v>0</v>
      </c>
      <c r="DD27" s="49">
        <v>0</v>
      </c>
      <c r="DE27" s="48">
        <v>0</v>
      </c>
      <c r="DF27" s="48">
        <v>0</v>
      </c>
      <c r="DG27" s="48">
        <v>0</v>
      </c>
      <c r="DH27" s="48">
        <v>0</v>
      </c>
      <c r="DI27" s="49">
        <v>0</v>
      </c>
      <c r="DJ27" s="49">
        <v>0</v>
      </c>
      <c r="DK27" s="49">
        <v>0</v>
      </c>
      <c r="DL27" s="49">
        <v>0</v>
      </c>
      <c r="DM27" s="49">
        <v>0</v>
      </c>
      <c r="DN27" s="49">
        <v>0</v>
      </c>
      <c r="DO27" s="49">
        <v>0</v>
      </c>
      <c r="DP27" s="48">
        <v>0</v>
      </c>
      <c r="DQ27" s="48">
        <v>0</v>
      </c>
      <c r="DR27" s="4">
        <v>16</v>
      </c>
      <c r="DS27" s="4">
        <v>24</v>
      </c>
      <c r="DT27" s="4"/>
      <c r="DU27" s="4"/>
      <c r="DV27" s="4">
        <v>0</v>
      </c>
      <c r="DW27" s="4">
        <v>0</v>
      </c>
      <c r="DX27" s="4">
        <v>0</v>
      </c>
      <c r="DY27" s="4">
        <v>0</v>
      </c>
      <c r="DZ27" s="4">
        <v>21</v>
      </c>
      <c r="EA27" s="4">
        <v>2</v>
      </c>
      <c r="EB27" s="4">
        <v>1</v>
      </c>
      <c r="EC27" s="4">
        <v>2</v>
      </c>
      <c r="ED27" s="4">
        <v>0</v>
      </c>
      <c r="EE27" s="4">
        <v>35000</v>
      </c>
      <c r="EF27" s="4" t="s">
        <v>286</v>
      </c>
      <c r="EG27" s="4">
        <v>2740200</v>
      </c>
      <c r="EH27" s="4">
        <v>0</v>
      </c>
    </row>
    <row r="28" spans="2:138">
      <c r="B28" s="36">
        <v>14</v>
      </c>
      <c r="C28" s="36" t="s">
        <v>315</v>
      </c>
      <c r="D28" s="37" t="s">
        <v>316</v>
      </c>
      <c r="E28" s="36" t="s">
        <v>297</v>
      </c>
      <c r="F28" s="36">
        <v>208</v>
      </c>
      <c r="G28" s="54">
        <f t="shared" si="0"/>
        <v>134</v>
      </c>
      <c r="H28" s="45">
        <f t="shared" si="1"/>
        <v>66</v>
      </c>
      <c r="I28" s="45">
        <f t="shared" si="2"/>
        <v>200</v>
      </c>
      <c r="J28" s="38">
        <v>20</v>
      </c>
      <c r="K28" s="45">
        <f t="shared" si="3"/>
        <v>44.5</v>
      </c>
      <c r="L28" s="45">
        <f t="shared" si="4"/>
        <v>17</v>
      </c>
      <c r="M28" s="45">
        <f t="shared" si="5"/>
        <v>0</v>
      </c>
      <c r="N28" s="45">
        <f t="shared" si="6"/>
        <v>0</v>
      </c>
      <c r="O28" s="45">
        <f t="shared" si="7"/>
        <v>0</v>
      </c>
      <c r="P28" s="45">
        <f t="shared" si="8"/>
        <v>0</v>
      </c>
      <c r="Q28" s="45">
        <f t="shared" si="9"/>
        <v>0</v>
      </c>
      <c r="R28" s="45">
        <v>0</v>
      </c>
      <c r="S28" s="45">
        <v>0</v>
      </c>
      <c r="T28" s="38">
        <v>4267000</v>
      </c>
      <c r="U28" s="38">
        <v>0</v>
      </c>
      <c r="V28" s="38">
        <v>0</v>
      </c>
      <c r="W28" s="38">
        <v>300000</v>
      </c>
      <c r="X28" s="38">
        <v>0</v>
      </c>
      <c r="Y28" s="38">
        <v>0</v>
      </c>
      <c r="Z28" s="38">
        <v>0</v>
      </c>
      <c r="AA28" s="38">
        <v>300000</v>
      </c>
      <c r="AB28" s="38">
        <v>0</v>
      </c>
      <c r="AC28" s="38">
        <f t="shared" si="10"/>
        <v>0</v>
      </c>
      <c r="AD28" s="38">
        <v>300000</v>
      </c>
      <c r="AE28" s="38">
        <f t="shared" si="11"/>
        <v>300000</v>
      </c>
      <c r="AF28" s="38">
        <v>300000</v>
      </c>
      <c r="AG28" s="38">
        <f t="shared" si="12"/>
        <v>300000</v>
      </c>
      <c r="AH28" s="38">
        <v>0</v>
      </c>
      <c r="AI28" s="38">
        <v>0</v>
      </c>
      <c r="AJ28" s="38">
        <f t="shared" si="13"/>
        <v>500000</v>
      </c>
      <c r="AK28" s="38">
        <f t="shared" si="14"/>
        <v>260000</v>
      </c>
      <c r="AL28" s="38">
        <v>0</v>
      </c>
      <c r="AM28" s="38">
        <f t="shared" si="15"/>
        <v>2740200</v>
      </c>
      <c r="AN28" s="38">
        <v>0</v>
      </c>
      <c r="AO28" s="38">
        <f t="shared" si="16"/>
        <v>1360000</v>
      </c>
      <c r="AP28" s="39">
        <f t="shared" si="17"/>
        <v>4567000</v>
      </c>
      <c r="AQ28" s="39">
        <f t="shared" si="18"/>
        <v>300000</v>
      </c>
      <c r="AR28" s="46">
        <f t="shared" si="19"/>
        <v>21956.73076923077</v>
      </c>
      <c r="AS28" s="57">
        <f t="shared" si="20"/>
        <v>1442.3076923076924</v>
      </c>
      <c r="AT28" s="39">
        <f t="shared" si="21"/>
        <v>4826089</v>
      </c>
      <c r="AU28" s="38">
        <f t="shared" si="22"/>
        <v>1465612</v>
      </c>
      <c r="AV28" s="38">
        <f t="shared" si="23"/>
        <v>727866</v>
      </c>
      <c r="AW28" s="38">
        <f t="shared" si="24"/>
        <v>0</v>
      </c>
      <c r="AX28" s="40">
        <f t="shared" si="25"/>
        <v>0</v>
      </c>
      <c r="AY28" s="40">
        <f t="shared" si="26"/>
        <v>0</v>
      </c>
      <c r="AZ28" s="40">
        <f t="shared" si="27"/>
        <v>0</v>
      </c>
      <c r="BA28" s="40">
        <f t="shared" si="28"/>
        <v>0</v>
      </c>
      <c r="BB28" s="40">
        <f t="shared" si="29"/>
        <v>0</v>
      </c>
      <c r="BC28" s="40">
        <v>0</v>
      </c>
      <c r="BD28" s="39">
        <f t="shared" si="30"/>
        <v>2193478</v>
      </c>
      <c r="BE28" s="39">
        <f t="shared" si="31"/>
        <v>11119767</v>
      </c>
      <c r="BF28" s="39">
        <f t="shared" si="32"/>
        <v>4567000</v>
      </c>
      <c r="BG28" s="39">
        <f t="shared" si="33"/>
        <v>799225</v>
      </c>
      <c r="BH28" s="39">
        <f t="shared" si="34"/>
        <v>137010</v>
      </c>
      <c r="BI28" s="39">
        <f t="shared" si="35"/>
        <v>45670</v>
      </c>
      <c r="BJ28" s="39">
        <f t="shared" si="36"/>
        <v>91340</v>
      </c>
      <c r="BK28" s="39">
        <f t="shared" si="37"/>
        <v>1073245</v>
      </c>
      <c r="BL28" s="38">
        <f t="shared" si="38"/>
        <v>365360</v>
      </c>
      <c r="BM28" s="38">
        <f t="shared" si="39"/>
        <v>68505</v>
      </c>
      <c r="BN28" s="38">
        <f t="shared" si="40"/>
        <v>45670</v>
      </c>
      <c r="BO28" s="38">
        <f t="shared" si="41"/>
        <v>479535</v>
      </c>
      <c r="BP28" s="38">
        <v>11000000</v>
      </c>
      <c r="BQ28" s="38">
        <v>0</v>
      </c>
      <c r="BR28" s="38">
        <v>4400000</v>
      </c>
      <c r="BS28" s="38">
        <f t="shared" si="42"/>
        <v>0</v>
      </c>
      <c r="BT28" s="38">
        <f t="shared" si="43"/>
        <v>260000</v>
      </c>
      <c r="BU28" s="37">
        <f t="shared" si="44"/>
        <v>9581885.2692307699</v>
      </c>
      <c r="BV28" s="38">
        <f t="shared" si="45"/>
        <v>0</v>
      </c>
      <c r="BW28" s="38">
        <f t="shared" si="46"/>
        <v>0</v>
      </c>
      <c r="BX28" s="38">
        <v>0</v>
      </c>
      <c r="BY28" s="38">
        <f t="shared" si="47"/>
        <v>35000</v>
      </c>
      <c r="BZ28" s="38">
        <f t="shared" si="48"/>
        <v>10605232</v>
      </c>
      <c r="CA28" s="38">
        <f>VLOOKUP(D28,'[1]Payroll of factory (DET).1'!$B$10:$BS$38,70,0)-BZ28</f>
        <v>-0.17307692393660545</v>
      </c>
      <c r="CB28" s="26">
        <v>0</v>
      </c>
      <c r="CF28" s="12">
        <f t="shared" si="49"/>
        <v>3059483.173076923</v>
      </c>
      <c r="CG28" s="12">
        <f t="shared" si="50"/>
        <v>0</v>
      </c>
      <c r="CH28" s="12">
        <f t="shared" si="51"/>
        <v>2942201.923076923</v>
      </c>
      <c r="CI28" s="12">
        <f t="shared" si="52"/>
        <v>1883887.5</v>
      </c>
      <c r="CJ28" s="12">
        <v>0</v>
      </c>
      <c r="CK28" s="12">
        <v>0</v>
      </c>
      <c r="CL28" s="12">
        <v>0</v>
      </c>
      <c r="CM28" s="12">
        <v>500000</v>
      </c>
      <c r="CN28" s="12">
        <v>45641</v>
      </c>
      <c r="CO28" s="12">
        <v>0</v>
      </c>
      <c r="CP28" s="12">
        <v>0</v>
      </c>
      <c r="CQ28" s="12"/>
      <c r="CR28" s="12">
        <v>0</v>
      </c>
      <c r="CS28" s="5" t="s">
        <v>285</v>
      </c>
      <c r="CT28" s="5">
        <v>12</v>
      </c>
      <c r="CU28" s="5">
        <v>2024</v>
      </c>
      <c r="CV28" s="5">
        <v>26</v>
      </c>
      <c r="CW28" s="5">
        <v>8</v>
      </c>
      <c r="CX28" s="48">
        <v>118</v>
      </c>
      <c r="CY28" s="49">
        <v>66</v>
      </c>
      <c r="CZ28" s="49">
        <v>44.5</v>
      </c>
      <c r="DA28" s="49">
        <v>17</v>
      </c>
      <c r="DB28" s="49">
        <v>0</v>
      </c>
      <c r="DC28" s="49">
        <v>0</v>
      </c>
      <c r="DD28" s="49">
        <v>0</v>
      </c>
      <c r="DE28" s="48">
        <v>0</v>
      </c>
      <c r="DF28" s="48">
        <v>0</v>
      </c>
      <c r="DG28" s="48">
        <v>0</v>
      </c>
      <c r="DH28" s="48">
        <v>0</v>
      </c>
      <c r="DI28" s="49">
        <v>0</v>
      </c>
      <c r="DJ28" s="49">
        <v>0</v>
      </c>
      <c r="DK28" s="49">
        <v>0</v>
      </c>
      <c r="DL28" s="49">
        <v>0</v>
      </c>
      <c r="DM28" s="49">
        <v>0</v>
      </c>
      <c r="DN28" s="49">
        <v>0</v>
      </c>
      <c r="DO28" s="49">
        <v>0</v>
      </c>
      <c r="DP28" s="48">
        <v>0</v>
      </c>
      <c r="DQ28" s="48">
        <v>0</v>
      </c>
      <c r="DR28" s="4">
        <v>16</v>
      </c>
      <c r="DS28" s="4">
        <v>8</v>
      </c>
      <c r="DT28" s="4"/>
      <c r="DU28" s="4"/>
      <c r="DV28" s="4"/>
      <c r="DW28" s="4"/>
      <c r="DX28" s="4"/>
      <c r="DY28" s="4"/>
      <c r="DZ28" s="4">
        <v>23</v>
      </c>
      <c r="EA28" s="4">
        <v>2</v>
      </c>
      <c r="EB28" s="4">
        <v>1</v>
      </c>
      <c r="EC28" s="4">
        <v>2</v>
      </c>
      <c r="ED28" s="4">
        <v>0</v>
      </c>
      <c r="EE28" s="4">
        <v>35000</v>
      </c>
      <c r="EF28" s="4" t="s">
        <v>286</v>
      </c>
      <c r="EG28" s="4">
        <v>2740200</v>
      </c>
      <c r="EH28" s="4">
        <v>0</v>
      </c>
    </row>
    <row r="29" spans="2:138">
      <c r="B29" s="36">
        <v>15</v>
      </c>
      <c r="C29" s="36" t="s">
        <v>317</v>
      </c>
      <c r="D29" s="37" t="s">
        <v>318</v>
      </c>
      <c r="E29" s="36" t="s">
        <v>297</v>
      </c>
      <c r="F29" s="36">
        <v>208</v>
      </c>
      <c r="G29" s="54">
        <f t="shared" si="0"/>
        <v>126</v>
      </c>
      <c r="H29" s="45">
        <f t="shared" si="1"/>
        <v>66</v>
      </c>
      <c r="I29" s="45">
        <f t="shared" si="2"/>
        <v>192</v>
      </c>
      <c r="J29" s="38">
        <v>19</v>
      </c>
      <c r="K29" s="45">
        <f t="shared" si="3"/>
        <v>40.5</v>
      </c>
      <c r="L29" s="45">
        <f t="shared" si="4"/>
        <v>17</v>
      </c>
      <c r="M29" s="45">
        <f t="shared" si="5"/>
        <v>0</v>
      </c>
      <c r="N29" s="45">
        <f t="shared" si="6"/>
        <v>0</v>
      </c>
      <c r="O29" s="45">
        <f t="shared" si="7"/>
        <v>0</v>
      </c>
      <c r="P29" s="45">
        <f t="shared" si="8"/>
        <v>0</v>
      </c>
      <c r="Q29" s="45">
        <f t="shared" si="9"/>
        <v>0</v>
      </c>
      <c r="R29" s="45">
        <v>0</v>
      </c>
      <c r="S29" s="45">
        <v>0</v>
      </c>
      <c r="T29" s="38">
        <v>4267000</v>
      </c>
      <c r="U29" s="38">
        <v>0</v>
      </c>
      <c r="V29" s="38">
        <v>0</v>
      </c>
      <c r="W29" s="38">
        <v>300000</v>
      </c>
      <c r="X29" s="38">
        <v>0</v>
      </c>
      <c r="Y29" s="38">
        <v>0</v>
      </c>
      <c r="Z29" s="38">
        <v>0</v>
      </c>
      <c r="AA29" s="38">
        <v>300000</v>
      </c>
      <c r="AB29" s="38">
        <v>0</v>
      </c>
      <c r="AC29" s="38">
        <f t="shared" si="10"/>
        <v>0</v>
      </c>
      <c r="AD29" s="38">
        <v>300000</v>
      </c>
      <c r="AE29" s="38">
        <f t="shared" si="11"/>
        <v>300000</v>
      </c>
      <c r="AF29" s="38">
        <v>300000</v>
      </c>
      <c r="AG29" s="38">
        <f t="shared" si="12"/>
        <v>300000</v>
      </c>
      <c r="AH29" s="38">
        <v>0</v>
      </c>
      <c r="AI29" s="38">
        <v>0</v>
      </c>
      <c r="AJ29" s="38">
        <f t="shared" si="13"/>
        <v>500000</v>
      </c>
      <c r="AK29" s="38">
        <f t="shared" si="14"/>
        <v>247000</v>
      </c>
      <c r="AL29" s="38">
        <v>0</v>
      </c>
      <c r="AM29" s="38">
        <f t="shared" si="15"/>
        <v>2740200</v>
      </c>
      <c r="AN29" s="38">
        <v>0</v>
      </c>
      <c r="AO29" s="38">
        <f t="shared" si="16"/>
        <v>1347000</v>
      </c>
      <c r="AP29" s="39">
        <f t="shared" si="17"/>
        <v>4567000</v>
      </c>
      <c r="AQ29" s="39">
        <f t="shared" si="18"/>
        <v>300000</v>
      </c>
      <c r="AR29" s="46">
        <f t="shared" si="19"/>
        <v>21956.73076923077</v>
      </c>
      <c r="AS29" s="57">
        <f t="shared" si="20"/>
        <v>1442.3076923076924</v>
      </c>
      <c r="AT29" s="39">
        <f t="shared" si="21"/>
        <v>4650436</v>
      </c>
      <c r="AU29" s="38">
        <f t="shared" si="22"/>
        <v>1333871</v>
      </c>
      <c r="AV29" s="38">
        <f t="shared" si="23"/>
        <v>727866</v>
      </c>
      <c r="AW29" s="38">
        <f t="shared" si="24"/>
        <v>0</v>
      </c>
      <c r="AX29" s="40">
        <f t="shared" si="25"/>
        <v>0</v>
      </c>
      <c r="AY29" s="40">
        <f t="shared" si="26"/>
        <v>0</v>
      </c>
      <c r="AZ29" s="40">
        <f t="shared" si="27"/>
        <v>0</v>
      </c>
      <c r="BA29" s="40">
        <f t="shared" si="28"/>
        <v>0</v>
      </c>
      <c r="BB29" s="40">
        <f t="shared" si="29"/>
        <v>0</v>
      </c>
      <c r="BC29" s="40">
        <v>0</v>
      </c>
      <c r="BD29" s="39">
        <f t="shared" si="30"/>
        <v>2061737</v>
      </c>
      <c r="BE29" s="39">
        <f t="shared" si="31"/>
        <v>10799373</v>
      </c>
      <c r="BF29" s="39">
        <f t="shared" si="32"/>
        <v>4567000</v>
      </c>
      <c r="BG29" s="39">
        <f t="shared" si="33"/>
        <v>799225</v>
      </c>
      <c r="BH29" s="39">
        <f t="shared" si="34"/>
        <v>137010</v>
      </c>
      <c r="BI29" s="39">
        <f t="shared" si="35"/>
        <v>45670</v>
      </c>
      <c r="BJ29" s="39">
        <f t="shared" si="36"/>
        <v>91340</v>
      </c>
      <c r="BK29" s="39">
        <f t="shared" si="37"/>
        <v>1073245</v>
      </c>
      <c r="BL29" s="38">
        <f t="shared" si="38"/>
        <v>365360</v>
      </c>
      <c r="BM29" s="38">
        <f t="shared" si="39"/>
        <v>68505</v>
      </c>
      <c r="BN29" s="38">
        <f t="shared" si="40"/>
        <v>45670</v>
      </c>
      <c r="BO29" s="38">
        <f t="shared" si="41"/>
        <v>479535</v>
      </c>
      <c r="BP29" s="38">
        <v>11000000</v>
      </c>
      <c r="BQ29" s="38">
        <v>0</v>
      </c>
      <c r="BR29" s="38">
        <v>4400000</v>
      </c>
      <c r="BS29" s="38">
        <f t="shared" si="42"/>
        <v>0</v>
      </c>
      <c r="BT29" s="38">
        <f t="shared" si="43"/>
        <v>247000</v>
      </c>
      <c r="BU29" s="37">
        <f t="shared" si="44"/>
        <v>9318404.7307692301</v>
      </c>
      <c r="BV29" s="38">
        <f t="shared" si="45"/>
        <v>0</v>
      </c>
      <c r="BW29" s="38">
        <f t="shared" si="46"/>
        <v>0</v>
      </c>
      <c r="BX29" s="38">
        <v>0</v>
      </c>
      <c r="BY29" s="38">
        <f t="shared" si="47"/>
        <v>35000</v>
      </c>
      <c r="BZ29" s="38">
        <f t="shared" si="48"/>
        <v>10284838</v>
      </c>
      <c r="CA29" s="38" t="e">
        <f>VLOOKUP(D29,'[1]Payroll of factory (DET).1'!$B$10:$BS$38,70,0)-BZ29</f>
        <v>#N/A</v>
      </c>
      <c r="CB29" s="26">
        <v>0</v>
      </c>
      <c r="CF29" s="12">
        <f t="shared" si="49"/>
        <v>2958656.25</v>
      </c>
      <c r="CG29" s="12">
        <f t="shared" si="50"/>
        <v>0</v>
      </c>
      <c r="CH29" s="12">
        <f t="shared" si="51"/>
        <v>2766548.076923077</v>
      </c>
      <c r="CI29" s="12">
        <f t="shared" si="52"/>
        <v>1883887.5</v>
      </c>
      <c r="CJ29" s="12">
        <v>0</v>
      </c>
      <c r="CK29" s="12">
        <v>0</v>
      </c>
      <c r="CL29" s="12">
        <v>0</v>
      </c>
      <c r="CM29" s="12">
        <v>500000</v>
      </c>
      <c r="CN29" s="12">
        <v>45641</v>
      </c>
      <c r="CO29" s="12">
        <v>0</v>
      </c>
      <c r="CP29" s="12">
        <v>0</v>
      </c>
      <c r="CQ29" s="12"/>
      <c r="CR29" s="12">
        <v>0</v>
      </c>
      <c r="CS29" s="5" t="s">
        <v>285</v>
      </c>
      <c r="CT29" s="5">
        <v>12</v>
      </c>
      <c r="CU29" s="5">
        <v>2024</v>
      </c>
      <c r="CV29" s="5">
        <v>26</v>
      </c>
      <c r="CW29" s="5">
        <v>8</v>
      </c>
      <c r="CX29" s="48">
        <v>102</v>
      </c>
      <c r="CY29" s="49">
        <v>66</v>
      </c>
      <c r="CZ29" s="49">
        <v>40.5</v>
      </c>
      <c r="DA29" s="49">
        <v>17</v>
      </c>
      <c r="DB29" s="49">
        <v>0</v>
      </c>
      <c r="DC29" s="49">
        <v>0</v>
      </c>
      <c r="DD29" s="49">
        <v>0</v>
      </c>
      <c r="DE29" s="48">
        <v>0</v>
      </c>
      <c r="DF29" s="48">
        <v>0</v>
      </c>
      <c r="DG29" s="48">
        <v>0</v>
      </c>
      <c r="DH29" s="48">
        <v>0</v>
      </c>
      <c r="DI29" s="49">
        <v>0</v>
      </c>
      <c r="DJ29" s="49">
        <v>0</v>
      </c>
      <c r="DK29" s="49">
        <v>0</v>
      </c>
      <c r="DL29" s="49">
        <v>0</v>
      </c>
      <c r="DM29" s="49">
        <v>0</v>
      </c>
      <c r="DN29" s="49">
        <v>0</v>
      </c>
      <c r="DO29" s="49">
        <v>0</v>
      </c>
      <c r="DP29" s="48">
        <v>0</v>
      </c>
      <c r="DQ29" s="48">
        <v>0</v>
      </c>
      <c r="DR29" s="4">
        <v>24</v>
      </c>
      <c r="DS29" s="4">
        <v>16</v>
      </c>
      <c r="DT29" s="4"/>
      <c r="DU29" s="4"/>
      <c r="DV29" s="4"/>
      <c r="DW29" s="4"/>
      <c r="DX29" s="4"/>
      <c r="DY29" s="4"/>
      <c r="DZ29" s="4">
        <v>21</v>
      </c>
      <c r="EA29" s="4">
        <v>2</v>
      </c>
      <c r="EB29" s="4">
        <v>1</v>
      </c>
      <c r="EC29" s="4">
        <v>2</v>
      </c>
      <c r="ED29" s="4">
        <v>0</v>
      </c>
      <c r="EE29" s="4">
        <v>35000</v>
      </c>
      <c r="EF29" s="4" t="s">
        <v>286</v>
      </c>
      <c r="EG29" s="4">
        <v>2740200</v>
      </c>
      <c r="EH29" s="4">
        <v>0</v>
      </c>
    </row>
    <row r="30" spans="2:138">
      <c r="B30" s="36">
        <v>16</v>
      </c>
      <c r="C30" s="36" t="s">
        <v>319</v>
      </c>
      <c r="D30" s="37" t="s">
        <v>320</v>
      </c>
      <c r="E30" s="36" t="s">
        <v>297</v>
      </c>
      <c r="F30" s="36">
        <v>208</v>
      </c>
      <c r="G30" s="54">
        <f t="shared" si="0"/>
        <v>126</v>
      </c>
      <c r="H30" s="45">
        <f t="shared" si="1"/>
        <v>66</v>
      </c>
      <c r="I30" s="45">
        <f t="shared" si="2"/>
        <v>192</v>
      </c>
      <c r="J30" s="38">
        <v>22</v>
      </c>
      <c r="K30" s="45">
        <f t="shared" si="3"/>
        <v>49.5</v>
      </c>
      <c r="L30" s="45">
        <f t="shared" si="4"/>
        <v>17</v>
      </c>
      <c r="M30" s="45">
        <f t="shared" si="5"/>
        <v>0</v>
      </c>
      <c r="N30" s="45">
        <f t="shared" si="6"/>
        <v>0</v>
      </c>
      <c r="O30" s="45">
        <f t="shared" si="7"/>
        <v>0</v>
      </c>
      <c r="P30" s="45">
        <f t="shared" si="8"/>
        <v>0</v>
      </c>
      <c r="Q30" s="45">
        <f t="shared" si="9"/>
        <v>0</v>
      </c>
      <c r="R30" s="45">
        <v>0</v>
      </c>
      <c r="S30" s="45">
        <v>0</v>
      </c>
      <c r="T30" s="38">
        <v>4267000</v>
      </c>
      <c r="U30" s="38">
        <v>0</v>
      </c>
      <c r="V30" s="38">
        <v>0</v>
      </c>
      <c r="W30" s="38">
        <v>300000</v>
      </c>
      <c r="X30" s="38">
        <v>0</v>
      </c>
      <c r="Y30" s="38">
        <v>0</v>
      </c>
      <c r="Z30" s="38">
        <v>0</v>
      </c>
      <c r="AA30" s="38">
        <v>300000</v>
      </c>
      <c r="AB30" s="38">
        <v>0</v>
      </c>
      <c r="AC30" s="38">
        <f t="shared" si="10"/>
        <v>0</v>
      </c>
      <c r="AD30" s="38">
        <v>300000</v>
      </c>
      <c r="AE30" s="38">
        <f t="shared" si="11"/>
        <v>300000</v>
      </c>
      <c r="AF30" s="38">
        <v>300000</v>
      </c>
      <c r="AG30" s="38">
        <f t="shared" si="12"/>
        <v>300000</v>
      </c>
      <c r="AH30" s="38">
        <v>0</v>
      </c>
      <c r="AI30" s="38">
        <v>0</v>
      </c>
      <c r="AJ30" s="38">
        <f t="shared" si="13"/>
        <v>500000</v>
      </c>
      <c r="AK30" s="38">
        <f t="shared" si="14"/>
        <v>286000</v>
      </c>
      <c r="AL30" s="38">
        <v>0</v>
      </c>
      <c r="AM30" s="38">
        <f t="shared" si="15"/>
        <v>2740200</v>
      </c>
      <c r="AN30" s="38">
        <v>0</v>
      </c>
      <c r="AO30" s="38">
        <f t="shared" si="16"/>
        <v>1386000</v>
      </c>
      <c r="AP30" s="39">
        <f t="shared" si="17"/>
        <v>4567000</v>
      </c>
      <c r="AQ30" s="39">
        <f t="shared" si="18"/>
        <v>300000</v>
      </c>
      <c r="AR30" s="46">
        <f t="shared" si="19"/>
        <v>21956.73076923077</v>
      </c>
      <c r="AS30" s="57">
        <f t="shared" si="20"/>
        <v>1442.3076923076924</v>
      </c>
      <c r="AT30" s="39">
        <f t="shared" si="21"/>
        <v>4650436</v>
      </c>
      <c r="AU30" s="38">
        <f t="shared" si="22"/>
        <v>1630287</v>
      </c>
      <c r="AV30" s="38">
        <f t="shared" si="23"/>
        <v>727866</v>
      </c>
      <c r="AW30" s="38">
        <f t="shared" si="24"/>
        <v>0</v>
      </c>
      <c r="AX30" s="40">
        <f t="shared" si="25"/>
        <v>0</v>
      </c>
      <c r="AY30" s="40">
        <f t="shared" si="26"/>
        <v>0</v>
      </c>
      <c r="AZ30" s="40">
        <f t="shared" si="27"/>
        <v>0</v>
      </c>
      <c r="BA30" s="40">
        <f t="shared" si="28"/>
        <v>0</v>
      </c>
      <c r="BB30" s="40">
        <f t="shared" si="29"/>
        <v>0</v>
      </c>
      <c r="BC30" s="40">
        <v>0</v>
      </c>
      <c r="BD30" s="39">
        <f t="shared" si="30"/>
        <v>2358153</v>
      </c>
      <c r="BE30" s="39">
        <f t="shared" si="31"/>
        <v>11134789</v>
      </c>
      <c r="BF30" s="39">
        <f t="shared" si="32"/>
        <v>4567000</v>
      </c>
      <c r="BG30" s="39">
        <f t="shared" si="33"/>
        <v>799225</v>
      </c>
      <c r="BH30" s="39">
        <f t="shared" si="34"/>
        <v>137010</v>
      </c>
      <c r="BI30" s="39">
        <f t="shared" si="35"/>
        <v>45670</v>
      </c>
      <c r="BJ30" s="39">
        <f t="shared" si="36"/>
        <v>91340</v>
      </c>
      <c r="BK30" s="39">
        <f t="shared" si="37"/>
        <v>1073245</v>
      </c>
      <c r="BL30" s="38">
        <f t="shared" si="38"/>
        <v>365360</v>
      </c>
      <c r="BM30" s="38">
        <f t="shared" si="39"/>
        <v>68505</v>
      </c>
      <c r="BN30" s="38">
        <f t="shared" si="40"/>
        <v>45670</v>
      </c>
      <c r="BO30" s="38">
        <f t="shared" si="41"/>
        <v>479535</v>
      </c>
      <c r="BP30" s="38">
        <v>11000000</v>
      </c>
      <c r="BQ30" s="38">
        <v>0</v>
      </c>
      <c r="BR30" s="38">
        <v>4400000</v>
      </c>
      <c r="BS30" s="38">
        <f t="shared" si="42"/>
        <v>0</v>
      </c>
      <c r="BT30" s="38">
        <f t="shared" si="43"/>
        <v>286000</v>
      </c>
      <c r="BU30" s="37">
        <f t="shared" si="44"/>
        <v>9516015.442307692</v>
      </c>
      <c r="BV30" s="38">
        <f t="shared" si="45"/>
        <v>0</v>
      </c>
      <c r="BW30" s="38">
        <f t="shared" si="46"/>
        <v>0</v>
      </c>
      <c r="BX30" s="38">
        <v>0</v>
      </c>
      <c r="BY30" s="38">
        <f t="shared" si="47"/>
        <v>35000</v>
      </c>
      <c r="BZ30" s="38">
        <f t="shared" si="48"/>
        <v>10620254</v>
      </c>
      <c r="CA30" s="38">
        <f>VLOOKUP(D30,'[1]Payroll of factory (DET).1'!$B$10:$BS$38,70,0)-BZ30</f>
        <v>-0.53846153803169727</v>
      </c>
      <c r="CB30" s="26">
        <v>0</v>
      </c>
      <c r="CF30" s="12">
        <f t="shared" si="49"/>
        <v>3195266.826923077</v>
      </c>
      <c r="CG30" s="12">
        <f t="shared" si="50"/>
        <v>0</v>
      </c>
      <c r="CH30" s="12">
        <f t="shared" si="51"/>
        <v>2766548.076923077</v>
      </c>
      <c r="CI30" s="12">
        <f t="shared" si="52"/>
        <v>1883887.5</v>
      </c>
      <c r="CJ30" s="12">
        <v>0</v>
      </c>
      <c r="CK30" s="12">
        <v>0</v>
      </c>
      <c r="CL30" s="12">
        <v>0</v>
      </c>
      <c r="CM30" s="12">
        <v>500000</v>
      </c>
      <c r="CN30" s="12">
        <v>45641</v>
      </c>
      <c r="CO30" s="12">
        <v>0</v>
      </c>
      <c r="CP30" s="12">
        <v>0</v>
      </c>
      <c r="CQ30" s="12"/>
      <c r="CR30" s="12">
        <v>0</v>
      </c>
      <c r="CS30" s="5" t="s">
        <v>285</v>
      </c>
      <c r="CT30" s="5">
        <v>12</v>
      </c>
      <c r="CU30" s="5">
        <v>2024</v>
      </c>
      <c r="CV30" s="5">
        <v>26</v>
      </c>
      <c r="CW30" s="5">
        <v>8</v>
      </c>
      <c r="CX30" s="48">
        <v>126</v>
      </c>
      <c r="CY30" s="49">
        <v>66</v>
      </c>
      <c r="CZ30" s="49">
        <v>49.5</v>
      </c>
      <c r="DA30" s="49">
        <v>17</v>
      </c>
      <c r="DB30" s="49">
        <v>0</v>
      </c>
      <c r="DC30" s="49">
        <v>0</v>
      </c>
      <c r="DD30" s="49">
        <v>0</v>
      </c>
      <c r="DE30" s="48">
        <v>0</v>
      </c>
      <c r="DF30" s="48">
        <v>0</v>
      </c>
      <c r="DG30" s="48">
        <v>0</v>
      </c>
      <c r="DH30" s="48">
        <v>0</v>
      </c>
      <c r="DI30" s="49">
        <v>0</v>
      </c>
      <c r="DJ30" s="49">
        <v>0</v>
      </c>
      <c r="DK30" s="49">
        <v>0</v>
      </c>
      <c r="DL30" s="49">
        <v>0</v>
      </c>
      <c r="DM30" s="49">
        <v>0</v>
      </c>
      <c r="DN30" s="49">
        <v>0</v>
      </c>
      <c r="DO30" s="49">
        <v>0</v>
      </c>
      <c r="DP30" s="48">
        <v>0</v>
      </c>
      <c r="DQ30" s="48">
        <v>0</v>
      </c>
      <c r="DR30" s="4">
        <v>0</v>
      </c>
      <c r="DS30" s="4">
        <v>16</v>
      </c>
      <c r="DT30" s="4"/>
      <c r="DU30" s="4"/>
      <c r="DV30" s="4"/>
      <c r="DW30" s="4"/>
      <c r="DX30" s="4"/>
      <c r="DY30" s="4"/>
      <c r="DZ30" s="4">
        <v>24</v>
      </c>
      <c r="EA30" s="4">
        <v>2</v>
      </c>
      <c r="EB30" s="4">
        <v>1</v>
      </c>
      <c r="EC30" s="4">
        <v>2</v>
      </c>
      <c r="ED30" s="4">
        <v>0</v>
      </c>
      <c r="EE30" s="4">
        <v>35000</v>
      </c>
      <c r="EF30" s="4" t="s">
        <v>286</v>
      </c>
      <c r="EG30" s="4">
        <v>2740200</v>
      </c>
      <c r="EH30" s="4">
        <v>0</v>
      </c>
    </row>
    <row r="31" spans="2:138">
      <c r="B31" s="36">
        <v>17</v>
      </c>
      <c r="C31" s="36" t="s">
        <v>321</v>
      </c>
      <c r="D31" s="37" t="s">
        <v>322</v>
      </c>
      <c r="E31" s="36" t="s">
        <v>297</v>
      </c>
      <c r="F31" s="36">
        <v>208</v>
      </c>
      <c r="G31" s="54">
        <f t="shared" si="0"/>
        <v>110</v>
      </c>
      <c r="H31" s="45">
        <f t="shared" si="1"/>
        <v>66</v>
      </c>
      <c r="I31" s="45">
        <f t="shared" si="2"/>
        <v>176</v>
      </c>
      <c r="J31" s="38">
        <v>19</v>
      </c>
      <c r="K31" s="45">
        <f t="shared" si="3"/>
        <v>40.5</v>
      </c>
      <c r="L31" s="45">
        <f t="shared" si="4"/>
        <v>17</v>
      </c>
      <c r="M31" s="45">
        <f t="shared" si="5"/>
        <v>0</v>
      </c>
      <c r="N31" s="45">
        <f t="shared" si="6"/>
        <v>0</v>
      </c>
      <c r="O31" s="45">
        <f t="shared" si="7"/>
        <v>0</v>
      </c>
      <c r="P31" s="45">
        <f t="shared" si="8"/>
        <v>0</v>
      </c>
      <c r="Q31" s="45">
        <f t="shared" si="9"/>
        <v>0</v>
      </c>
      <c r="R31" s="45">
        <v>0</v>
      </c>
      <c r="S31" s="45">
        <v>0</v>
      </c>
      <c r="T31" s="38">
        <v>4267000</v>
      </c>
      <c r="U31" s="38">
        <v>0</v>
      </c>
      <c r="V31" s="38">
        <v>0</v>
      </c>
      <c r="W31" s="38">
        <v>300000</v>
      </c>
      <c r="X31" s="38">
        <v>0</v>
      </c>
      <c r="Y31" s="38">
        <v>0</v>
      </c>
      <c r="Z31" s="38">
        <v>0</v>
      </c>
      <c r="AA31" s="38">
        <v>300000</v>
      </c>
      <c r="AB31" s="38">
        <v>0</v>
      </c>
      <c r="AC31" s="38">
        <f t="shared" si="10"/>
        <v>0</v>
      </c>
      <c r="AD31" s="38">
        <v>300000</v>
      </c>
      <c r="AE31" s="38">
        <f t="shared" si="11"/>
        <v>300000</v>
      </c>
      <c r="AF31" s="38">
        <v>300000</v>
      </c>
      <c r="AG31" s="38">
        <f t="shared" si="12"/>
        <v>300000</v>
      </c>
      <c r="AH31" s="38">
        <v>0</v>
      </c>
      <c r="AI31" s="38">
        <v>0</v>
      </c>
      <c r="AJ31" s="38">
        <f t="shared" si="13"/>
        <v>0</v>
      </c>
      <c r="AK31" s="38">
        <f t="shared" si="14"/>
        <v>247000</v>
      </c>
      <c r="AL31" s="38">
        <v>0</v>
      </c>
      <c r="AM31" s="38">
        <f t="shared" si="15"/>
        <v>2740200</v>
      </c>
      <c r="AN31" s="38">
        <v>0</v>
      </c>
      <c r="AO31" s="38">
        <f t="shared" si="16"/>
        <v>847000</v>
      </c>
      <c r="AP31" s="39">
        <f t="shared" si="17"/>
        <v>4567000</v>
      </c>
      <c r="AQ31" s="39">
        <f t="shared" si="18"/>
        <v>300000</v>
      </c>
      <c r="AR31" s="46">
        <f t="shared" si="19"/>
        <v>21956.73076923077</v>
      </c>
      <c r="AS31" s="57">
        <f t="shared" si="20"/>
        <v>1442.3076923076924</v>
      </c>
      <c r="AT31" s="39">
        <f t="shared" si="21"/>
        <v>4299128</v>
      </c>
      <c r="AU31" s="38">
        <f t="shared" si="22"/>
        <v>1333871</v>
      </c>
      <c r="AV31" s="38">
        <f t="shared" si="23"/>
        <v>727866</v>
      </c>
      <c r="AW31" s="38">
        <f t="shared" si="24"/>
        <v>0</v>
      </c>
      <c r="AX31" s="40">
        <f t="shared" si="25"/>
        <v>0</v>
      </c>
      <c r="AY31" s="40">
        <f t="shared" si="26"/>
        <v>0</v>
      </c>
      <c r="AZ31" s="40">
        <f t="shared" si="27"/>
        <v>0</v>
      </c>
      <c r="BA31" s="40">
        <f t="shared" si="28"/>
        <v>0</v>
      </c>
      <c r="BB31" s="40">
        <f t="shared" si="29"/>
        <v>0</v>
      </c>
      <c r="BC31" s="40">
        <v>0</v>
      </c>
      <c r="BD31" s="39">
        <f t="shared" si="30"/>
        <v>2061737</v>
      </c>
      <c r="BE31" s="39">
        <f t="shared" si="31"/>
        <v>9948065</v>
      </c>
      <c r="BF31" s="39">
        <f t="shared" si="32"/>
        <v>4567000</v>
      </c>
      <c r="BG31" s="39">
        <f t="shared" si="33"/>
        <v>799225</v>
      </c>
      <c r="BH31" s="39">
        <f t="shared" si="34"/>
        <v>137010</v>
      </c>
      <c r="BI31" s="39">
        <f t="shared" si="35"/>
        <v>45670</v>
      </c>
      <c r="BJ31" s="39">
        <f t="shared" si="36"/>
        <v>91340</v>
      </c>
      <c r="BK31" s="39">
        <f t="shared" si="37"/>
        <v>1073245</v>
      </c>
      <c r="BL31" s="38">
        <f t="shared" si="38"/>
        <v>365360</v>
      </c>
      <c r="BM31" s="38">
        <f t="shared" si="39"/>
        <v>68505</v>
      </c>
      <c r="BN31" s="38">
        <f t="shared" si="40"/>
        <v>45670</v>
      </c>
      <c r="BO31" s="38">
        <f t="shared" si="41"/>
        <v>479535</v>
      </c>
      <c r="BP31" s="38">
        <v>11000000</v>
      </c>
      <c r="BQ31" s="38">
        <v>0</v>
      </c>
      <c r="BR31" s="38">
        <v>4400000</v>
      </c>
      <c r="BS31" s="38">
        <f t="shared" si="42"/>
        <v>0</v>
      </c>
      <c r="BT31" s="38">
        <f t="shared" si="43"/>
        <v>247000</v>
      </c>
      <c r="BU31" s="37">
        <f t="shared" si="44"/>
        <v>8467096.7307692301</v>
      </c>
      <c r="BV31" s="38">
        <f t="shared" si="45"/>
        <v>0</v>
      </c>
      <c r="BW31" s="38">
        <f t="shared" si="46"/>
        <v>0</v>
      </c>
      <c r="BX31" s="38">
        <v>0</v>
      </c>
      <c r="BY31" s="38">
        <f t="shared" si="47"/>
        <v>35000</v>
      </c>
      <c r="BZ31" s="38">
        <f t="shared" si="48"/>
        <v>9433530</v>
      </c>
      <c r="CA31" s="38" t="e">
        <f>VLOOKUP(D31,'[1]Payroll of factory (DET).1'!$B$10:$BS$38,70,0)-BZ31</f>
        <v>#N/A</v>
      </c>
      <c r="CB31" s="26">
        <v>0</v>
      </c>
      <c r="CF31" s="12">
        <f t="shared" si="49"/>
        <v>2958656.25</v>
      </c>
      <c r="CG31" s="12">
        <f t="shared" si="50"/>
        <v>0</v>
      </c>
      <c r="CH31" s="12">
        <f t="shared" si="51"/>
        <v>2415240.3846153845</v>
      </c>
      <c r="CI31" s="12">
        <f t="shared" si="52"/>
        <v>1883887.5</v>
      </c>
      <c r="CJ31" s="12">
        <v>0</v>
      </c>
      <c r="CK31" s="12">
        <v>0</v>
      </c>
      <c r="CL31" s="12">
        <v>0</v>
      </c>
      <c r="CM31" s="12">
        <v>0</v>
      </c>
      <c r="CN31" s="12">
        <v>45641</v>
      </c>
      <c r="CO31" s="12">
        <v>0</v>
      </c>
      <c r="CP31" s="12">
        <v>0</v>
      </c>
      <c r="CQ31" s="12"/>
      <c r="CR31" s="12">
        <v>0</v>
      </c>
      <c r="CS31" s="5" t="s">
        <v>285</v>
      </c>
      <c r="CT31" s="5">
        <v>12</v>
      </c>
      <c r="CU31" s="5">
        <v>2024</v>
      </c>
      <c r="CV31" s="5">
        <v>26</v>
      </c>
      <c r="CW31" s="5">
        <v>8</v>
      </c>
      <c r="CX31" s="48">
        <v>106</v>
      </c>
      <c r="CY31" s="49">
        <v>66</v>
      </c>
      <c r="CZ31" s="49">
        <v>40.5</v>
      </c>
      <c r="DA31" s="49">
        <v>17</v>
      </c>
      <c r="DB31" s="49">
        <v>0</v>
      </c>
      <c r="DC31" s="49">
        <v>0</v>
      </c>
      <c r="DD31" s="49">
        <v>0</v>
      </c>
      <c r="DE31" s="48">
        <v>0</v>
      </c>
      <c r="DF31" s="48">
        <v>0</v>
      </c>
      <c r="DG31" s="48">
        <v>0</v>
      </c>
      <c r="DH31" s="48">
        <v>0</v>
      </c>
      <c r="DI31" s="49">
        <v>0</v>
      </c>
      <c r="DJ31" s="49">
        <v>0</v>
      </c>
      <c r="DK31" s="49">
        <v>0</v>
      </c>
      <c r="DL31" s="49">
        <v>0</v>
      </c>
      <c r="DM31" s="49">
        <v>0</v>
      </c>
      <c r="DN31" s="49">
        <v>0</v>
      </c>
      <c r="DO31" s="49">
        <v>0</v>
      </c>
      <c r="DP31" s="48">
        <v>0</v>
      </c>
      <c r="DQ31" s="48">
        <v>0</v>
      </c>
      <c r="DR31" s="4">
        <v>4</v>
      </c>
      <c r="DS31" s="4">
        <v>16</v>
      </c>
      <c r="DT31" s="4"/>
      <c r="DU31" s="4"/>
      <c r="DV31" s="4"/>
      <c r="DW31" s="4"/>
      <c r="DX31" s="4"/>
      <c r="DY31" s="4"/>
      <c r="DZ31" s="4">
        <v>22</v>
      </c>
      <c r="EA31" s="4">
        <v>2</v>
      </c>
      <c r="EB31" s="4">
        <v>1</v>
      </c>
      <c r="EC31" s="4">
        <v>2</v>
      </c>
      <c r="ED31" s="4">
        <v>0</v>
      </c>
      <c r="EE31" s="4">
        <v>35000</v>
      </c>
      <c r="EF31" s="4" t="s">
        <v>286</v>
      </c>
      <c r="EG31" s="4">
        <v>2740200</v>
      </c>
      <c r="EH31" s="4">
        <v>0</v>
      </c>
    </row>
    <row r="32" spans="2:138">
      <c r="B32" s="36">
        <v>18</v>
      </c>
      <c r="C32" s="36" t="s">
        <v>323</v>
      </c>
      <c r="D32" s="37" t="s">
        <v>324</v>
      </c>
      <c r="E32" s="36" t="s">
        <v>297</v>
      </c>
      <c r="F32" s="36">
        <v>208</v>
      </c>
      <c r="G32" s="54">
        <f t="shared" si="0"/>
        <v>131.5</v>
      </c>
      <c r="H32" s="45">
        <f t="shared" si="1"/>
        <v>60.5</v>
      </c>
      <c r="I32" s="45">
        <f t="shared" si="2"/>
        <v>192</v>
      </c>
      <c r="J32" s="38">
        <v>22</v>
      </c>
      <c r="K32" s="45">
        <f t="shared" si="3"/>
        <v>49.5</v>
      </c>
      <c r="L32" s="45">
        <f t="shared" si="4"/>
        <v>16.5</v>
      </c>
      <c r="M32" s="45">
        <f t="shared" si="5"/>
        <v>0</v>
      </c>
      <c r="N32" s="45">
        <f t="shared" si="6"/>
        <v>0</v>
      </c>
      <c r="O32" s="45">
        <f t="shared" si="7"/>
        <v>0</v>
      </c>
      <c r="P32" s="45">
        <f t="shared" si="8"/>
        <v>0</v>
      </c>
      <c r="Q32" s="45">
        <f t="shared" si="9"/>
        <v>0</v>
      </c>
      <c r="R32" s="45">
        <v>0</v>
      </c>
      <c r="S32" s="45">
        <v>0</v>
      </c>
      <c r="T32" s="38">
        <v>4267000</v>
      </c>
      <c r="U32" s="38">
        <v>0</v>
      </c>
      <c r="V32" s="38">
        <v>0</v>
      </c>
      <c r="W32" s="38">
        <v>300000</v>
      </c>
      <c r="X32" s="38">
        <v>0</v>
      </c>
      <c r="Y32" s="38">
        <v>0</v>
      </c>
      <c r="Z32" s="38">
        <v>0</v>
      </c>
      <c r="AA32" s="38">
        <v>300000</v>
      </c>
      <c r="AB32" s="38">
        <v>0</v>
      </c>
      <c r="AC32" s="38">
        <f t="shared" si="10"/>
        <v>0</v>
      </c>
      <c r="AD32" s="38">
        <v>300000</v>
      </c>
      <c r="AE32" s="38">
        <f t="shared" si="11"/>
        <v>300000</v>
      </c>
      <c r="AF32" s="38">
        <v>300000</v>
      </c>
      <c r="AG32" s="38">
        <f t="shared" si="12"/>
        <v>300000</v>
      </c>
      <c r="AH32" s="38">
        <v>0</v>
      </c>
      <c r="AI32" s="38">
        <v>0</v>
      </c>
      <c r="AJ32" s="38">
        <f t="shared" si="13"/>
        <v>500000</v>
      </c>
      <c r="AK32" s="38">
        <f t="shared" si="14"/>
        <v>286000</v>
      </c>
      <c r="AL32" s="38">
        <v>0</v>
      </c>
      <c r="AM32" s="38">
        <f t="shared" si="15"/>
        <v>2740200</v>
      </c>
      <c r="AN32" s="38">
        <v>0</v>
      </c>
      <c r="AO32" s="38">
        <f t="shared" si="16"/>
        <v>1386000</v>
      </c>
      <c r="AP32" s="39">
        <f t="shared" si="17"/>
        <v>4567000</v>
      </c>
      <c r="AQ32" s="39">
        <f t="shared" si="18"/>
        <v>300000</v>
      </c>
      <c r="AR32" s="46">
        <f t="shared" si="19"/>
        <v>21956.73076923077</v>
      </c>
      <c r="AS32" s="57">
        <f t="shared" si="20"/>
        <v>1442.3076923076924</v>
      </c>
      <c r="AT32" s="39">
        <f t="shared" si="21"/>
        <v>4614207</v>
      </c>
      <c r="AU32" s="38">
        <f t="shared" si="22"/>
        <v>1630287</v>
      </c>
      <c r="AV32" s="38">
        <f t="shared" si="23"/>
        <v>706458</v>
      </c>
      <c r="AW32" s="38">
        <f t="shared" si="24"/>
        <v>0</v>
      </c>
      <c r="AX32" s="40">
        <f t="shared" si="25"/>
        <v>0</v>
      </c>
      <c r="AY32" s="40">
        <f t="shared" si="26"/>
        <v>0</v>
      </c>
      <c r="AZ32" s="40">
        <f t="shared" si="27"/>
        <v>0</v>
      </c>
      <c r="BA32" s="40">
        <f t="shared" si="28"/>
        <v>0</v>
      </c>
      <c r="BB32" s="40">
        <f t="shared" si="29"/>
        <v>0</v>
      </c>
      <c r="BC32" s="40">
        <v>0</v>
      </c>
      <c r="BD32" s="39">
        <f t="shared" si="30"/>
        <v>2336745</v>
      </c>
      <c r="BE32" s="39">
        <f t="shared" si="31"/>
        <v>11077152</v>
      </c>
      <c r="BF32" s="39">
        <f t="shared" si="32"/>
        <v>4567000</v>
      </c>
      <c r="BG32" s="39">
        <f t="shared" si="33"/>
        <v>799225</v>
      </c>
      <c r="BH32" s="39">
        <f t="shared" si="34"/>
        <v>137010</v>
      </c>
      <c r="BI32" s="39">
        <f t="shared" si="35"/>
        <v>45670</v>
      </c>
      <c r="BJ32" s="39">
        <f t="shared" si="36"/>
        <v>91340</v>
      </c>
      <c r="BK32" s="39">
        <f t="shared" si="37"/>
        <v>1073245</v>
      </c>
      <c r="BL32" s="38">
        <f t="shared" si="38"/>
        <v>365360</v>
      </c>
      <c r="BM32" s="38">
        <f t="shared" si="39"/>
        <v>68505</v>
      </c>
      <c r="BN32" s="38">
        <f t="shared" si="40"/>
        <v>45670</v>
      </c>
      <c r="BO32" s="38">
        <f t="shared" si="41"/>
        <v>479535</v>
      </c>
      <c r="BP32" s="38">
        <v>11000000</v>
      </c>
      <c r="BQ32" s="38">
        <v>0</v>
      </c>
      <c r="BR32" s="38">
        <v>4400000</v>
      </c>
      <c r="BS32" s="38">
        <f t="shared" si="42"/>
        <v>0</v>
      </c>
      <c r="BT32" s="38">
        <f t="shared" si="43"/>
        <v>286000</v>
      </c>
      <c r="BU32" s="37">
        <f t="shared" si="44"/>
        <v>9505036.495192308</v>
      </c>
      <c r="BV32" s="38">
        <f t="shared" si="45"/>
        <v>0</v>
      </c>
      <c r="BW32" s="38">
        <f t="shared" si="46"/>
        <v>0</v>
      </c>
      <c r="BX32" s="38">
        <v>0</v>
      </c>
      <c r="BY32" s="38">
        <f t="shared" si="47"/>
        <v>35000</v>
      </c>
      <c r="BZ32" s="38">
        <f t="shared" si="48"/>
        <v>10562617</v>
      </c>
      <c r="CA32" s="38">
        <f>VLOOKUP(D32,'[1]Payroll of factory (DET).1'!$B$10:$BS$38,70,0)-BZ32</f>
        <v>4.3269230052828789E-2</v>
      </c>
      <c r="CB32" s="26">
        <v>0</v>
      </c>
      <c r="CF32" s="12">
        <f t="shared" si="49"/>
        <v>3063526.4423076925</v>
      </c>
      <c r="CG32" s="12">
        <f t="shared" si="50"/>
        <v>0</v>
      </c>
      <c r="CH32" s="12">
        <f t="shared" si="51"/>
        <v>2887310.096153846</v>
      </c>
      <c r="CI32" s="12">
        <f t="shared" si="52"/>
        <v>1726896.8750000002</v>
      </c>
      <c r="CJ32" s="12">
        <v>0</v>
      </c>
      <c r="CK32" s="12">
        <v>0</v>
      </c>
      <c r="CL32" s="12">
        <v>0</v>
      </c>
      <c r="CM32" s="12">
        <v>500000</v>
      </c>
      <c r="CN32" s="12">
        <v>45641</v>
      </c>
      <c r="CO32" s="12">
        <v>0</v>
      </c>
      <c r="CP32" s="12">
        <v>0</v>
      </c>
      <c r="CQ32" s="12"/>
      <c r="CR32" s="12">
        <v>0</v>
      </c>
      <c r="CS32" s="5" t="s">
        <v>285</v>
      </c>
      <c r="CT32" s="5">
        <v>12</v>
      </c>
      <c r="CU32" s="5">
        <v>2024</v>
      </c>
      <c r="CV32" s="5">
        <v>26</v>
      </c>
      <c r="CW32" s="5">
        <v>8</v>
      </c>
      <c r="CX32" s="48">
        <v>123.5</v>
      </c>
      <c r="CY32" s="49">
        <v>60.5</v>
      </c>
      <c r="CZ32" s="49">
        <v>49.5</v>
      </c>
      <c r="DA32" s="49">
        <v>16.5</v>
      </c>
      <c r="DB32" s="49">
        <v>0</v>
      </c>
      <c r="DC32" s="49">
        <v>0</v>
      </c>
      <c r="DD32" s="49">
        <v>0</v>
      </c>
      <c r="DE32" s="48">
        <v>0</v>
      </c>
      <c r="DF32" s="48">
        <v>0</v>
      </c>
      <c r="DG32" s="48">
        <v>0</v>
      </c>
      <c r="DH32" s="48">
        <v>0</v>
      </c>
      <c r="DI32" s="49">
        <v>0</v>
      </c>
      <c r="DJ32" s="49">
        <v>0</v>
      </c>
      <c r="DK32" s="49">
        <v>0</v>
      </c>
      <c r="DL32" s="49">
        <v>0</v>
      </c>
      <c r="DM32" s="49">
        <v>0</v>
      </c>
      <c r="DN32" s="49">
        <v>0</v>
      </c>
      <c r="DO32" s="49">
        <v>0</v>
      </c>
      <c r="DP32" s="48">
        <v>0</v>
      </c>
      <c r="DQ32" s="48">
        <v>0</v>
      </c>
      <c r="DR32" s="4">
        <v>8</v>
      </c>
      <c r="DS32" s="4">
        <v>16</v>
      </c>
      <c r="DT32" s="4"/>
      <c r="DU32" s="4"/>
      <c r="DV32" s="4"/>
      <c r="DW32" s="4"/>
      <c r="DX32" s="4"/>
      <c r="DY32" s="4"/>
      <c r="DZ32" s="4">
        <v>23</v>
      </c>
      <c r="EA32" s="4">
        <v>2</v>
      </c>
      <c r="EB32" s="4">
        <v>1</v>
      </c>
      <c r="EC32" s="4">
        <v>2</v>
      </c>
      <c r="ED32" s="4">
        <v>0</v>
      </c>
      <c r="EE32" s="4">
        <v>35000</v>
      </c>
      <c r="EF32" s="4" t="s">
        <v>286</v>
      </c>
      <c r="EG32" s="4">
        <v>2740200</v>
      </c>
      <c r="EH32" s="4">
        <v>0</v>
      </c>
    </row>
    <row r="33" spans="2:138">
      <c r="B33" s="36">
        <v>19</v>
      </c>
      <c r="C33" s="36" t="s">
        <v>325</v>
      </c>
      <c r="D33" s="37" t="s">
        <v>326</v>
      </c>
      <c r="E33" s="36" t="s">
        <v>304</v>
      </c>
      <c r="F33" s="36">
        <v>208</v>
      </c>
      <c r="G33" s="54">
        <f t="shared" si="0"/>
        <v>208</v>
      </c>
      <c r="H33" s="45">
        <f t="shared" si="1"/>
        <v>0</v>
      </c>
      <c r="I33" s="45">
        <f t="shared" si="2"/>
        <v>208</v>
      </c>
      <c r="J33" s="38">
        <v>0</v>
      </c>
      <c r="K33" s="45">
        <f t="shared" si="3"/>
        <v>0</v>
      </c>
      <c r="L33" s="45">
        <f t="shared" si="4"/>
        <v>0</v>
      </c>
      <c r="M33" s="45">
        <f t="shared" si="5"/>
        <v>0</v>
      </c>
      <c r="N33" s="45">
        <f t="shared" si="6"/>
        <v>0</v>
      </c>
      <c r="O33" s="45">
        <f t="shared" si="7"/>
        <v>0</v>
      </c>
      <c r="P33" s="45">
        <f t="shared" si="8"/>
        <v>0</v>
      </c>
      <c r="Q33" s="45">
        <f t="shared" si="9"/>
        <v>0</v>
      </c>
      <c r="R33" s="45">
        <v>0</v>
      </c>
      <c r="S33" s="45">
        <v>0</v>
      </c>
      <c r="T33" s="38">
        <v>4267000</v>
      </c>
      <c r="U33" s="38">
        <v>800000</v>
      </c>
      <c r="V33" s="38">
        <v>0</v>
      </c>
      <c r="W33" s="38">
        <v>300000</v>
      </c>
      <c r="X33" s="38">
        <v>0</v>
      </c>
      <c r="Y33" s="38">
        <v>0</v>
      </c>
      <c r="Z33" s="38">
        <v>0</v>
      </c>
      <c r="AA33" s="38">
        <v>300000</v>
      </c>
      <c r="AB33" s="38">
        <v>400000</v>
      </c>
      <c r="AC33" s="38">
        <f t="shared" si="10"/>
        <v>400000</v>
      </c>
      <c r="AD33" s="38">
        <v>300000</v>
      </c>
      <c r="AE33" s="38">
        <f t="shared" si="11"/>
        <v>300000</v>
      </c>
      <c r="AF33" s="38">
        <v>300000</v>
      </c>
      <c r="AG33" s="38">
        <f t="shared" si="12"/>
        <v>300000</v>
      </c>
      <c r="AH33" s="38">
        <v>0</v>
      </c>
      <c r="AI33" s="38">
        <v>0</v>
      </c>
      <c r="AJ33" s="38">
        <f t="shared" si="13"/>
        <v>500000</v>
      </c>
      <c r="AK33" s="38">
        <f t="shared" si="14"/>
        <v>0</v>
      </c>
      <c r="AL33" s="38">
        <v>0</v>
      </c>
      <c r="AM33" s="38">
        <f t="shared" si="15"/>
        <v>3220200</v>
      </c>
      <c r="AN33" s="38">
        <v>0</v>
      </c>
      <c r="AO33" s="38">
        <f t="shared" si="16"/>
        <v>1500000</v>
      </c>
      <c r="AP33" s="39">
        <f t="shared" si="17"/>
        <v>5367000</v>
      </c>
      <c r="AQ33" s="39">
        <f t="shared" si="18"/>
        <v>300000</v>
      </c>
      <c r="AR33" s="46">
        <f t="shared" si="19"/>
        <v>25802.884615384617</v>
      </c>
      <c r="AS33" s="57">
        <f t="shared" si="20"/>
        <v>1442.3076923076924</v>
      </c>
      <c r="AT33" s="39">
        <f t="shared" si="21"/>
        <v>5367000</v>
      </c>
      <c r="AU33" s="38">
        <f t="shared" si="22"/>
        <v>0</v>
      </c>
      <c r="AV33" s="38">
        <f t="shared" si="23"/>
        <v>0</v>
      </c>
      <c r="AW33" s="38">
        <f t="shared" si="24"/>
        <v>0</v>
      </c>
      <c r="AX33" s="40">
        <f t="shared" si="25"/>
        <v>0</v>
      </c>
      <c r="AY33" s="40">
        <f t="shared" si="26"/>
        <v>0</v>
      </c>
      <c r="AZ33" s="40">
        <f t="shared" si="27"/>
        <v>0</v>
      </c>
      <c r="BA33" s="40">
        <f t="shared" si="28"/>
        <v>0</v>
      </c>
      <c r="BB33" s="40">
        <f t="shared" si="29"/>
        <v>0</v>
      </c>
      <c r="BC33" s="40">
        <v>0</v>
      </c>
      <c r="BD33" s="39">
        <f t="shared" si="30"/>
        <v>0</v>
      </c>
      <c r="BE33" s="39">
        <f t="shared" si="31"/>
        <v>10087200</v>
      </c>
      <c r="BF33" s="39">
        <f t="shared" si="32"/>
        <v>5367000</v>
      </c>
      <c r="BG33" s="39">
        <f t="shared" si="33"/>
        <v>939224.99999999988</v>
      </c>
      <c r="BH33" s="39">
        <f t="shared" si="34"/>
        <v>161010</v>
      </c>
      <c r="BI33" s="39">
        <f t="shared" si="35"/>
        <v>53670</v>
      </c>
      <c r="BJ33" s="39">
        <f t="shared" si="36"/>
        <v>107340</v>
      </c>
      <c r="BK33" s="39">
        <f t="shared" si="37"/>
        <v>1261245</v>
      </c>
      <c r="BL33" s="38">
        <f t="shared" si="38"/>
        <v>429360</v>
      </c>
      <c r="BM33" s="38">
        <f t="shared" si="39"/>
        <v>80505</v>
      </c>
      <c r="BN33" s="38">
        <f t="shared" si="40"/>
        <v>53670</v>
      </c>
      <c r="BO33" s="38">
        <f t="shared" si="41"/>
        <v>563535</v>
      </c>
      <c r="BP33" s="38">
        <v>11000000</v>
      </c>
      <c r="BQ33" s="38">
        <v>0</v>
      </c>
      <c r="BR33" s="38">
        <v>4400000</v>
      </c>
      <c r="BS33" s="38">
        <f t="shared" si="42"/>
        <v>0</v>
      </c>
      <c r="BT33" s="38">
        <f t="shared" si="43"/>
        <v>400000</v>
      </c>
      <c r="BU33" s="37">
        <f t="shared" si="44"/>
        <v>9687200</v>
      </c>
      <c r="BV33" s="38">
        <f t="shared" si="45"/>
        <v>0</v>
      </c>
      <c r="BW33" s="38">
        <f t="shared" si="46"/>
        <v>0</v>
      </c>
      <c r="BX33" s="38">
        <v>0</v>
      </c>
      <c r="BY33" s="38">
        <f t="shared" si="47"/>
        <v>35000</v>
      </c>
      <c r="BZ33" s="38">
        <f t="shared" si="48"/>
        <v>9488665</v>
      </c>
      <c r="CA33" s="38">
        <f>VLOOKUP(D33,'[1]Payroll of factory (DET).1'!$B$10:$BS$38,70,0)-BZ33</f>
        <v>35000</v>
      </c>
      <c r="CB33" s="26">
        <v>0</v>
      </c>
      <c r="CF33" s="12">
        <f t="shared" si="49"/>
        <v>400000</v>
      </c>
      <c r="CG33" s="12">
        <f t="shared" si="50"/>
        <v>0</v>
      </c>
      <c r="CH33" s="12">
        <f t="shared" si="51"/>
        <v>5367000</v>
      </c>
      <c r="CI33" s="12">
        <f t="shared" si="52"/>
        <v>0</v>
      </c>
      <c r="CJ33" s="12">
        <v>0</v>
      </c>
      <c r="CK33" s="12">
        <v>0</v>
      </c>
      <c r="CL33" s="12">
        <v>0</v>
      </c>
      <c r="CM33" s="12">
        <v>500000</v>
      </c>
      <c r="CN33" s="12">
        <v>45641</v>
      </c>
      <c r="CO33" s="12">
        <v>0</v>
      </c>
      <c r="CP33" s="12">
        <v>0</v>
      </c>
      <c r="CQ33" s="12"/>
      <c r="CR33" s="12">
        <v>0</v>
      </c>
      <c r="CS33" s="5" t="s">
        <v>285</v>
      </c>
      <c r="CT33" s="5">
        <v>12</v>
      </c>
      <c r="CU33" s="5">
        <v>2024</v>
      </c>
      <c r="CV33" s="5">
        <v>26</v>
      </c>
      <c r="CW33" s="5">
        <v>8</v>
      </c>
      <c r="CX33" s="48">
        <v>192</v>
      </c>
      <c r="CY33" s="49">
        <v>0</v>
      </c>
      <c r="CZ33" s="49">
        <v>0</v>
      </c>
      <c r="DA33" s="49">
        <v>0</v>
      </c>
      <c r="DB33" s="49">
        <v>0</v>
      </c>
      <c r="DC33" s="49">
        <v>0</v>
      </c>
      <c r="DD33" s="49">
        <v>0</v>
      </c>
      <c r="DE33" s="48">
        <v>0</v>
      </c>
      <c r="DF33" s="48">
        <v>0</v>
      </c>
      <c r="DG33" s="48">
        <v>0</v>
      </c>
      <c r="DH33" s="48">
        <v>0</v>
      </c>
      <c r="DI33" s="49">
        <v>0</v>
      </c>
      <c r="DJ33" s="49">
        <v>0</v>
      </c>
      <c r="DK33" s="49">
        <v>0</v>
      </c>
      <c r="DL33" s="49">
        <v>0</v>
      </c>
      <c r="DM33" s="49">
        <v>0</v>
      </c>
      <c r="DN33" s="49">
        <v>0</v>
      </c>
      <c r="DO33" s="49">
        <v>0</v>
      </c>
      <c r="DP33" s="48">
        <v>0</v>
      </c>
      <c r="DQ33" s="48">
        <v>0</v>
      </c>
      <c r="DR33" s="4">
        <v>16</v>
      </c>
      <c r="DS33" s="4">
        <v>0</v>
      </c>
      <c r="DT33" s="4"/>
      <c r="DU33" s="4"/>
      <c r="DV33" s="4"/>
      <c r="DW33" s="4"/>
      <c r="DX33" s="4"/>
      <c r="DY33" s="4"/>
      <c r="DZ33" s="4">
        <v>24</v>
      </c>
      <c r="EA33" s="4">
        <v>2</v>
      </c>
      <c r="EB33" s="4">
        <v>1</v>
      </c>
      <c r="EC33" s="4">
        <v>2</v>
      </c>
      <c r="ED33" s="4">
        <v>1</v>
      </c>
      <c r="EE33" s="4">
        <v>35000</v>
      </c>
      <c r="EF33" s="4" t="s">
        <v>286</v>
      </c>
      <c r="EG33" s="4">
        <v>3220200</v>
      </c>
      <c r="EH33" s="4">
        <v>0</v>
      </c>
    </row>
    <row r="34" spans="2:138">
      <c r="B34" s="36">
        <v>20</v>
      </c>
      <c r="C34" s="36" t="s">
        <v>325</v>
      </c>
      <c r="D34" s="37" t="s">
        <v>326</v>
      </c>
      <c r="E34" s="36" t="s">
        <v>304</v>
      </c>
      <c r="F34" s="36">
        <v>208</v>
      </c>
      <c r="G34" s="54">
        <f t="shared" si="0"/>
        <v>208</v>
      </c>
      <c r="H34" s="45">
        <f t="shared" si="1"/>
        <v>0</v>
      </c>
      <c r="I34" s="45">
        <f t="shared" si="2"/>
        <v>208</v>
      </c>
      <c r="J34" s="38">
        <v>0</v>
      </c>
      <c r="K34" s="45">
        <f t="shared" si="3"/>
        <v>0</v>
      </c>
      <c r="L34" s="45">
        <f t="shared" si="4"/>
        <v>0</v>
      </c>
      <c r="M34" s="45">
        <f t="shared" si="5"/>
        <v>0</v>
      </c>
      <c r="N34" s="45">
        <f t="shared" si="6"/>
        <v>0</v>
      </c>
      <c r="O34" s="45">
        <f t="shared" si="7"/>
        <v>0</v>
      </c>
      <c r="P34" s="45">
        <f t="shared" si="8"/>
        <v>0</v>
      </c>
      <c r="Q34" s="45">
        <f t="shared" si="9"/>
        <v>0</v>
      </c>
      <c r="R34" s="45">
        <v>0</v>
      </c>
      <c r="S34" s="45">
        <v>0</v>
      </c>
      <c r="T34" s="38">
        <v>4267000</v>
      </c>
      <c r="U34" s="38">
        <v>800000</v>
      </c>
      <c r="V34" s="38">
        <v>0</v>
      </c>
      <c r="W34" s="38">
        <v>300000</v>
      </c>
      <c r="X34" s="38">
        <v>0</v>
      </c>
      <c r="Y34" s="38">
        <v>0</v>
      </c>
      <c r="Z34" s="38">
        <v>0</v>
      </c>
      <c r="AA34" s="38">
        <v>300000</v>
      </c>
      <c r="AB34" s="38">
        <v>400000</v>
      </c>
      <c r="AC34" s="38">
        <f t="shared" si="10"/>
        <v>400000</v>
      </c>
      <c r="AD34" s="38">
        <v>300000</v>
      </c>
      <c r="AE34" s="38">
        <f t="shared" si="11"/>
        <v>300000</v>
      </c>
      <c r="AF34" s="38">
        <v>300000</v>
      </c>
      <c r="AG34" s="38">
        <f t="shared" si="12"/>
        <v>300000</v>
      </c>
      <c r="AH34" s="38">
        <v>0</v>
      </c>
      <c r="AI34" s="38">
        <v>0</v>
      </c>
      <c r="AJ34" s="38">
        <f t="shared" si="13"/>
        <v>500000</v>
      </c>
      <c r="AK34" s="38">
        <f t="shared" si="14"/>
        <v>0</v>
      </c>
      <c r="AL34" s="38">
        <v>0</v>
      </c>
      <c r="AM34" s="38">
        <f t="shared" si="15"/>
        <v>3220200</v>
      </c>
      <c r="AN34" s="38">
        <v>0</v>
      </c>
      <c r="AO34" s="38">
        <f t="shared" si="16"/>
        <v>1500000</v>
      </c>
      <c r="AP34" s="39">
        <f t="shared" si="17"/>
        <v>5367000</v>
      </c>
      <c r="AQ34" s="39">
        <f t="shared" si="18"/>
        <v>300000</v>
      </c>
      <c r="AR34" s="46">
        <f t="shared" si="19"/>
        <v>25802.884615384617</v>
      </c>
      <c r="AS34" s="57">
        <f t="shared" si="20"/>
        <v>1442.3076923076924</v>
      </c>
      <c r="AT34" s="39">
        <f t="shared" si="21"/>
        <v>5367000</v>
      </c>
      <c r="AU34" s="38">
        <f t="shared" si="22"/>
        <v>0</v>
      </c>
      <c r="AV34" s="38">
        <f t="shared" si="23"/>
        <v>0</v>
      </c>
      <c r="AW34" s="38">
        <f t="shared" si="24"/>
        <v>0</v>
      </c>
      <c r="AX34" s="40">
        <f t="shared" si="25"/>
        <v>0</v>
      </c>
      <c r="AY34" s="40">
        <f t="shared" si="26"/>
        <v>0</v>
      </c>
      <c r="AZ34" s="40">
        <f t="shared" si="27"/>
        <v>0</v>
      </c>
      <c r="BA34" s="40">
        <f t="shared" si="28"/>
        <v>0</v>
      </c>
      <c r="BB34" s="40">
        <f t="shared" si="29"/>
        <v>0</v>
      </c>
      <c r="BC34" s="40">
        <v>0</v>
      </c>
      <c r="BD34" s="39">
        <f t="shared" si="30"/>
        <v>0</v>
      </c>
      <c r="BE34" s="39">
        <f t="shared" si="31"/>
        <v>10087200</v>
      </c>
      <c r="BF34" s="39">
        <f t="shared" si="32"/>
        <v>5367000</v>
      </c>
      <c r="BG34" s="39">
        <f t="shared" si="33"/>
        <v>939224.99999999988</v>
      </c>
      <c r="BH34" s="39">
        <f t="shared" si="34"/>
        <v>161010</v>
      </c>
      <c r="BI34" s="39">
        <f t="shared" si="35"/>
        <v>53670</v>
      </c>
      <c r="BJ34" s="39">
        <f t="shared" si="36"/>
        <v>107340</v>
      </c>
      <c r="BK34" s="39">
        <f t="shared" si="37"/>
        <v>1261245</v>
      </c>
      <c r="BL34" s="38">
        <f t="shared" si="38"/>
        <v>429360</v>
      </c>
      <c r="BM34" s="38">
        <f t="shared" si="39"/>
        <v>80505</v>
      </c>
      <c r="BN34" s="38">
        <f t="shared" si="40"/>
        <v>53670</v>
      </c>
      <c r="BO34" s="38">
        <f t="shared" si="41"/>
        <v>563535</v>
      </c>
      <c r="BP34" s="38">
        <v>11000000</v>
      </c>
      <c r="BQ34" s="38">
        <v>0</v>
      </c>
      <c r="BR34" s="38">
        <v>4400000</v>
      </c>
      <c r="BS34" s="38">
        <f t="shared" si="42"/>
        <v>0</v>
      </c>
      <c r="BT34" s="38">
        <f t="shared" si="43"/>
        <v>400000</v>
      </c>
      <c r="BU34" s="37">
        <f t="shared" si="44"/>
        <v>9687200</v>
      </c>
      <c r="BV34" s="38">
        <f t="shared" si="45"/>
        <v>0</v>
      </c>
      <c r="BW34" s="38">
        <f t="shared" si="46"/>
        <v>0</v>
      </c>
      <c r="BX34" s="38">
        <v>0</v>
      </c>
      <c r="BY34" s="38">
        <f t="shared" si="47"/>
        <v>35000</v>
      </c>
      <c r="BZ34" s="38">
        <f t="shared" si="48"/>
        <v>9488665</v>
      </c>
      <c r="CA34" s="38">
        <f>VLOOKUP(D34,'[1]Payroll of factory (DET).1'!$B$10:$BS$38,70,0)-BZ34</f>
        <v>35000</v>
      </c>
      <c r="CB34" s="26">
        <v>0</v>
      </c>
      <c r="CF34" s="12">
        <f t="shared" si="49"/>
        <v>400000</v>
      </c>
      <c r="CG34" s="12">
        <f t="shared" si="50"/>
        <v>0</v>
      </c>
      <c r="CH34" s="12">
        <f t="shared" si="51"/>
        <v>5367000</v>
      </c>
      <c r="CI34" s="12">
        <f t="shared" si="52"/>
        <v>0</v>
      </c>
      <c r="CJ34" s="12">
        <v>0</v>
      </c>
      <c r="CK34" s="12">
        <v>0</v>
      </c>
      <c r="CL34" s="12">
        <v>0</v>
      </c>
      <c r="CM34" s="12">
        <v>500000</v>
      </c>
      <c r="CN34" s="12">
        <v>45641</v>
      </c>
      <c r="CO34" s="12">
        <v>0</v>
      </c>
      <c r="CP34" s="12">
        <v>0</v>
      </c>
      <c r="CQ34" s="12"/>
      <c r="CR34" s="12">
        <v>0</v>
      </c>
      <c r="CS34" s="5" t="s">
        <v>285</v>
      </c>
      <c r="CT34" s="5">
        <v>12</v>
      </c>
      <c r="CU34" s="5">
        <v>2024</v>
      </c>
      <c r="CV34" s="5">
        <v>26</v>
      </c>
      <c r="CW34" s="5">
        <v>8</v>
      </c>
      <c r="CX34" s="48">
        <v>192</v>
      </c>
      <c r="CY34" s="49">
        <v>0</v>
      </c>
      <c r="CZ34" s="49">
        <v>0</v>
      </c>
      <c r="DA34" s="49">
        <v>0</v>
      </c>
      <c r="DB34" s="49">
        <v>0</v>
      </c>
      <c r="DC34" s="49">
        <v>0</v>
      </c>
      <c r="DD34" s="49">
        <v>0</v>
      </c>
      <c r="DE34" s="48">
        <v>0</v>
      </c>
      <c r="DF34" s="48">
        <v>0</v>
      </c>
      <c r="DG34" s="48">
        <v>0</v>
      </c>
      <c r="DH34" s="48">
        <v>0</v>
      </c>
      <c r="DI34" s="49">
        <v>0</v>
      </c>
      <c r="DJ34" s="49">
        <v>0</v>
      </c>
      <c r="DK34" s="49">
        <v>0</v>
      </c>
      <c r="DL34" s="49">
        <v>0</v>
      </c>
      <c r="DM34" s="49">
        <v>0</v>
      </c>
      <c r="DN34" s="49">
        <v>0</v>
      </c>
      <c r="DO34" s="49">
        <v>0</v>
      </c>
      <c r="DP34" s="48">
        <v>0</v>
      </c>
      <c r="DQ34" s="48">
        <v>0</v>
      </c>
      <c r="DR34" s="4">
        <v>16</v>
      </c>
      <c r="DS34" s="4">
        <v>0</v>
      </c>
      <c r="DT34" s="4"/>
      <c r="DU34" s="4"/>
      <c r="DV34" s="4"/>
      <c r="DW34" s="4"/>
      <c r="DX34" s="4"/>
      <c r="DY34" s="4"/>
      <c r="DZ34" s="4">
        <v>24</v>
      </c>
      <c r="EA34" s="4">
        <v>2</v>
      </c>
      <c r="EB34" s="4">
        <v>1</v>
      </c>
      <c r="EC34" s="4">
        <v>2</v>
      </c>
      <c r="ED34" s="4">
        <v>1</v>
      </c>
      <c r="EE34" s="4">
        <v>35000</v>
      </c>
      <c r="EF34" s="4" t="s">
        <v>286</v>
      </c>
      <c r="EG34" s="4">
        <v>3220200</v>
      </c>
      <c r="EH34" s="4">
        <v>0</v>
      </c>
    </row>
    <row r="35" spans="2:138">
      <c r="B35" s="36">
        <v>21</v>
      </c>
      <c r="C35" s="36" t="s">
        <v>325</v>
      </c>
      <c r="D35" s="37" t="s">
        <v>326</v>
      </c>
      <c r="E35" s="36" t="s">
        <v>304</v>
      </c>
      <c r="F35" s="36">
        <v>208</v>
      </c>
      <c r="G35" s="54">
        <f t="shared" si="0"/>
        <v>208</v>
      </c>
      <c r="H35" s="45">
        <f t="shared" si="1"/>
        <v>0</v>
      </c>
      <c r="I35" s="45">
        <f t="shared" si="2"/>
        <v>208</v>
      </c>
      <c r="J35" s="38">
        <v>0</v>
      </c>
      <c r="K35" s="45">
        <f t="shared" si="3"/>
        <v>0</v>
      </c>
      <c r="L35" s="45">
        <f t="shared" si="4"/>
        <v>0</v>
      </c>
      <c r="M35" s="45">
        <f t="shared" si="5"/>
        <v>0</v>
      </c>
      <c r="N35" s="45">
        <f t="shared" si="6"/>
        <v>0</v>
      </c>
      <c r="O35" s="45">
        <f t="shared" si="7"/>
        <v>0</v>
      </c>
      <c r="P35" s="45">
        <f t="shared" si="8"/>
        <v>0</v>
      </c>
      <c r="Q35" s="45">
        <f t="shared" si="9"/>
        <v>0</v>
      </c>
      <c r="R35" s="45">
        <v>0</v>
      </c>
      <c r="S35" s="45">
        <v>0</v>
      </c>
      <c r="T35" s="38">
        <v>4267000</v>
      </c>
      <c r="U35" s="38">
        <v>800000</v>
      </c>
      <c r="V35" s="38">
        <v>0</v>
      </c>
      <c r="W35" s="38">
        <v>300000</v>
      </c>
      <c r="X35" s="38">
        <v>0</v>
      </c>
      <c r="Y35" s="38">
        <v>0</v>
      </c>
      <c r="Z35" s="38">
        <v>0</v>
      </c>
      <c r="AA35" s="38">
        <v>300000</v>
      </c>
      <c r="AB35" s="38">
        <v>400000</v>
      </c>
      <c r="AC35" s="38">
        <f t="shared" si="10"/>
        <v>400000</v>
      </c>
      <c r="AD35" s="38">
        <v>300000</v>
      </c>
      <c r="AE35" s="38">
        <f t="shared" si="11"/>
        <v>300000</v>
      </c>
      <c r="AF35" s="38">
        <v>300000</v>
      </c>
      <c r="AG35" s="38">
        <f t="shared" si="12"/>
        <v>300000</v>
      </c>
      <c r="AH35" s="38">
        <v>0</v>
      </c>
      <c r="AI35" s="38">
        <v>0</v>
      </c>
      <c r="AJ35" s="38">
        <f t="shared" si="13"/>
        <v>500000</v>
      </c>
      <c r="AK35" s="38">
        <f t="shared" si="14"/>
        <v>0</v>
      </c>
      <c r="AL35" s="38">
        <v>0</v>
      </c>
      <c r="AM35" s="38">
        <f t="shared" si="15"/>
        <v>3220200</v>
      </c>
      <c r="AN35" s="38">
        <v>0</v>
      </c>
      <c r="AO35" s="38">
        <f t="shared" si="16"/>
        <v>1500000</v>
      </c>
      <c r="AP35" s="39">
        <f t="shared" si="17"/>
        <v>5367000</v>
      </c>
      <c r="AQ35" s="39">
        <f t="shared" si="18"/>
        <v>300000</v>
      </c>
      <c r="AR35" s="46">
        <f t="shared" si="19"/>
        <v>25802.884615384617</v>
      </c>
      <c r="AS35" s="57">
        <f t="shared" si="20"/>
        <v>1442.3076923076924</v>
      </c>
      <c r="AT35" s="39">
        <f t="shared" si="21"/>
        <v>5367000</v>
      </c>
      <c r="AU35" s="38">
        <f t="shared" si="22"/>
        <v>0</v>
      </c>
      <c r="AV35" s="38">
        <f t="shared" si="23"/>
        <v>0</v>
      </c>
      <c r="AW35" s="38">
        <f t="shared" si="24"/>
        <v>0</v>
      </c>
      <c r="AX35" s="40">
        <f t="shared" si="25"/>
        <v>0</v>
      </c>
      <c r="AY35" s="40">
        <f t="shared" si="26"/>
        <v>0</v>
      </c>
      <c r="AZ35" s="40">
        <f t="shared" si="27"/>
        <v>0</v>
      </c>
      <c r="BA35" s="40">
        <f t="shared" si="28"/>
        <v>0</v>
      </c>
      <c r="BB35" s="40">
        <f t="shared" si="29"/>
        <v>0</v>
      </c>
      <c r="BC35" s="40">
        <v>0</v>
      </c>
      <c r="BD35" s="39">
        <f t="shared" si="30"/>
        <v>0</v>
      </c>
      <c r="BE35" s="39">
        <f t="shared" si="31"/>
        <v>10087200</v>
      </c>
      <c r="BF35" s="39">
        <f t="shared" si="32"/>
        <v>5367000</v>
      </c>
      <c r="BG35" s="39">
        <f t="shared" si="33"/>
        <v>939224.99999999988</v>
      </c>
      <c r="BH35" s="39">
        <f t="shared" si="34"/>
        <v>161010</v>
      </c>
      <c r="BI35" s="39">
        <f t="shared" si="35"/>
        <v>53670</v>
      </c>
      <c r="BJ35" s="39">
        <f t="shared" si="36"/>
        <v>107340</v>
      </c>
      <c r="BK35" s="39">
        <f t="shared" si="37"/>
        <v>1261245</v>
      </c>
      <c r="BL35" s="38">
        <f t="shared" si="38"/>
        <v>429360</v>
      </c>
      <c r="BM35" s="38">
        <f t="shared" si="39"/>
        <v>80505</v>
      </c>
      <c r="BN35" s="38">
        <f t="shared" si="40"/>
        <v>53670</v>
      </c>
      <c r="BO35" s="38">
        <f t="shared" si="41"/>
        <v>563535</v>
      </c>
      <c r="BP35" s="38">
        <v>11000000</v>
      </c>
      <c r="BQ35" s="38">
        <v>0</v>
      </c>
      <c r="BR35" s="38">
        <v>4400000</v>
      </c>
      <c r="BS35" s="38">
        <f t="shared" si="42"/>
        <v>0</v>
      </c>
      <c r="BT35" s="38">
        <f t="shared" si="43"/>
        <v>400000</v>
      </c>
      <c r="BU35" s="37">
        <f t="shared" si="44"/>
        <v>9687200</v>
      </c>
      <c r="BV35" s="38">
        <f t="shared" si="45"/>
        <v>0</v>
      </c>
      <c r="BW35" s="38">
        <f t="shared" si="46"/>
        <v>0</v>
      </c>
      <c r="BX35" s="38">
        <v>0</v>
      </c>
      <c r="BY35" s="38">
        <f t="shared" si="47"/>
        <v>35000</v>
      </c>
      <c r="BZ35" s="38">
        <f t="shared" si="48"/>
        <v>9488665</v>
      </c>
      <c r="CA35" s="38">
        <f>VLOOKUP(D35,'[1]Payroll of factory (DET).1'!$B$10:$BS$38,70,0)-BZ35</f>
        <v>35000</v>
      </c>
      <c r="CB35" s="26">
        <v>0</v>
      </c>
      <c r="CF35" s="12">
        <f t="shared" si="49"/>
        <v>400000</v>
      </c>
      <c r="CG35" s="12">
        <f t="shared" si="50"/>
        <v>0</v>
      </c>
      <c r="CH35" s="12">
        <f t="shared" si="51"/>
        <v>5367000</v>
      </c>
      <c r="CI35" s="12">
        <f t="shared" si="52"/>
        <v>0</v>
      </c>
      <c r="CJ35" s="12">
        <v>0</v>
      </c>
      <c r="CK35" s="12">
        <v>0</v>
      </c>
      <c r="CL35" s="12">
        <v>0</v>
      </c>
      <c r="CM35" s="12">
        <v>500000</v>
      </c>
      <c r="CN35" s="12">
        <v>45641</v>
      </c>
      <c r="CO35" s="12">
        <v>0</v>
      </c>
      <c r="CP35" s="12">
        <v>0</v>
      </c>
      <c r="CQ35" s="12"/>
      <c r="CR35" s="12">
        <v>0</v>
      </c>
      <c r="CS35" s="5" t="s">
        <v>285</v>
      </c>
      <c r="CT35" s="5">
        <v>12</v>
      </c>
      <c r="CU35" s="5">
        <v>2024</v>
      </c>
      <c r="CV35" s="5">
        <v>26</v>
      </c>
      <c r="CW35" s="5">
        <v>8</v>
      </c>
      <c r="CX35" s="48">
        <v>192</v>
      </c>
      <c r="CY35" s="49">
        <v>0</v>
      </c>
      <c r="CZ35" s="49">
        <v>0</v>
      </c>
      <c r="DA35" s="49">
        <v>0</v>
      </c>
      <c r="DB35" s="49">
        <v>0</v>
      </c>
      <c r="DC35" s="49">
        <v>0</v>
      </c>
      <c r="DD35" s="49">
        <v>0</v>
      </c>
      <c r="DE35" s="48">
        <v>0</v>
      </c>
      <c r="DF35" s="48">
        <v>0</v>
      </c>
      <c r="DG35" s="48">
        <v>0</v>
      </c>
      <c r="DH35" s="48">
        <v>0</v>
      </c>
      <c r="DI35" s="49">
        <v>0</v>
      </c>
      <c r="DJ35" s="49">
        <v>0</v>
      </c>
      <c r="DK35" s="49">
        <v>0</v>
      </c>
      <c r="DL35" s="49">
        <v>0</v>
      </c>
      <c r="DM35" s="49">
        <v>0</v>
      </c>
      <c r="DN35" s="49">
        <v>0</v>
      </c>
      <c r="DO35" s="49">
        <v>0</v>
      </c>
      <c r="DP35" s="48">
        <v>0</v>
      </c>
      <c r="DQ35" s="48">
        <v>0</v>
      </c>
      <c r="DR35" s="4">
        <v>16</v>
      </c>
      <c r="DS35" s="4">
        <v>0</v>
      </c>
      <c r="DT35" s="4"/>
      <c r="DU35" s="4"/>
      <c r="DV35" s="4"/>
      <c r="DW35" s="4"/>
      <c r="DX35" s="4"/>
      <c r="DY35" s="4"/>
      <c r="DZ35" s="4">
        <v>24</v>
      </c>
      <c r="EA35" s="4">
        <v>2</v>
      </c>
      <c r="EB35" s="4">
        <v>1</v>
      </c>
      <c r="EC35" s="4">
        <v>2</v>
      </c>
      <c r="ED35" s="4">
        <v>1</v>
      </c>
      <c r="EE35" s="4">
        <v>35000</v>
      </c>
      <c r="EF35" s="4" t="s">
        <v>286</v>
      </c>
      <c r="EG35" s="4">
        <v>3220200</v>
      </c>
      <c r="EH35" s="4">
        <v>0</v>
      </c>
    </row>
    <row r="36" spans="2:138">
      <c r="B36" s="36">
        <v>22</v>
      </c>
      <c r="C36" s="36" t="s">
        <v>325</v>
      </c>
      <c r="D36" s="37" t="s">
        <v>326</v>
      </c>
      <c r="E36" s="36" t="s">
        <v>304</v>
      </c>
      <c r="F36" s="36">
        <v>208</v>
      </c>
      <c r="G36" s="54">
        <f t="shared" si="0"/>
        <v>208</v>
      </c>
      <c r="H36" s="45">
        <f t="shared" si="1"/>
        <v>0</v>
      </c>
      <c r="I36" s="45">
        <f t="shared" si="2"/>
        <v>208</v>
      </c>
      <c r="J36" s="38">
        <v>0</v>
      </c>
      <c r="K36" s="45">
        <f t="shared" si="3"/>
        <v>0</v>
      </c>
      <c r="L36" s="45">
        <f t="shared" si="4"/>
        <v>0</v>
      </c>
      <c r="M36" s="45">
        <f t="shared" si="5"/>
        <v>0</v>
      </c>
      <c r="N36" s="45">
        <f t="shared" si="6"/>
        <v>0</v>
      </c>
      <c r="O36" s="45">
        <f t="shared" si="7"/>
        <v>0</v>
      </c>
      <c r="P36" s="45">
        <f t="shared" si="8"/>
        <v>0</v>
      </c>
      <c r="Q36" s="45">
        <f t="shared" si="9"/>
        <v>0</v>
      </c>
      <c r="R36" s="45">
        <v>0</v>
      </c>
      <c r="S36" s="45">
        <v>0</v>
      </c>
      <c r="T36" s="38">
        <v>4267000</v>
      </c>
      <c r="U36" s="38">
        <v>800000</v>
      </c>
      <c r="V36" s="38">
        <v>0</v>
      </c>
      <c r="W36" s="38">
        <v>300000</v>
      </c>
      <c r="X36" s="38">
        <v>0</v>
      </c>
      <c r="Y36" s="38">
        <v>0</v>
      </c>
      <c r="Z36" s="38">
        <v>0</v>
      </c>
      <c r="AA36" s="38">
        <v>300000</v>
      </c>
      <c r="AB36" s="38">
        <v>400000</v>
      </c>
      <c r="AC36" s="38">
        <f t="shared" si="10"/>
        <v>400000</v>
      </c>
      <c r="AD36" s="38">
        <v>300000</v>
      </c>
      <c r="AE36" s="38">
        <f t="shared" si="11"/>
        <v>300000</v>
      </c>
      <c r="AF36" s="38">
        <v>300000</v>
      </c>
      <c r="AG36" s="38">
        <f t="shared" si="12"/>
        <v>300000</v>
      </c>
      <c r="AH36" s="38">
        <v>0</v>
      </c>
      <c r="AI36" s="38">
        <v>0</v>
      </c>
      <c r="AJ36" s="38">
        <f t="shared" si="13"/>
        <v>500000</v>
      </c>
      <c r="AK36" s="38">
        <f t="shared" si="14"/>
        <v>0</v>
      </c>
      <c r="AL36" s="38">
        <v>0</v>
      </c>
      <c r="AM36" s="38">
        <f t="shared" si="15"/>
        <v>3220200</v>
      </c>
      <c r="AN36" s="38">
        <v>0</v>
      </c>
      <c r="AO36" s="38">
        <f t="shared" si="16"/>
        <v>1500000</v>
      </c>
      <c r="AP36" s="39">
        <f t="shared" si="17"/>
        <v>5367000</v>
      </c>
      <c r="AQ36" s="39">
        <f t="shared" si="18"/>
        <v>300000</v>
      </c>
      <c r="AR36" s="46">
        <f t="shared" si="19"/>
        <v>25802.884615384617</v>
      </c>
      <c r="AS36" s="57">
        <f t="shared" si="20"/>
        <v>1442.3076923076924</v>
      </c>
      <c r="AT36" s="39">
        <f t="shared" si="21"/>
        <v>5367000</v>
      </c>
      <c r="AU36" s="38">
        <f t="shared" si="22"/>
        <v>0</v>
      </c>
      <c r="AV36" s="38">
        <f t="shared" si="23"/>
        <v>0</v>
      </c>
      <c r="AW36" s="38">
        <f t="shared" si="24"/>
        <v>0</v>
      </c>
      <c r="AX36" s="40">
        <f t="shared" si="25"/>
        <v>0</v>
      </c>
      <c r="AY36" s="40">
        <f t="shared" si="26"/>
        <v>0</v>
      </c>
      <c r="AZ36" s="40">
        <f t="shared" si="27"/>
        <v>0</v>
      </c>
      <c r="BA36" s="40">
        <f t="shared" si="28"/>
        <v>0</v>
      </c>
      <c r="BB36" s="40">
        <f t="shared" si="29"/>
        <v>0</v>
      </c>
      <c r="BC36" s="40">
        <v>0</v>
      </c>
      <c r="BD36" s="39">
        <f t="shared" si="30"/>
        <v>0</v>
      </c>
      <c r="BE36" s="39">
        <f t="shared" si="31"/>
        <v>10087200</v>
      </c>
      <c r="BF36" s="39">
        <f t="shared" si="32"/>
        <v>5367000</v>
      </c>
      <c r="BG36" s="39">
        <f t="shared" si="33"/>
        <v>939224.99999999988</v>
      </c>
      <c r="BH36" s="39">
        <f t="shared" si="34"/>
        <v>161010</v>
      </c>
      <c r="BI36" s="39">
        <f t="shared" si="35"/>
        <v>53670</v>
      </c>
      <c r="BJ36" s="39">
        <f t="shared" si="36"/>
        <v>107340</v>
      </c>
      <c r="BK36" s="39">
        <f t="shared" si="37"/>
        <v>1261245</v>
      </c>
      <c r="BL36" s="38">
        <f t="shared" si="38"/>
        <v>429360</v>
      </c>
      <c r="BM36" s="38">
        <f t="shared" si="39"/>
        <v>80505</v>
      </c>
      <c r="BN36" s="38">
        <f t="shared" si="40"/>
        <v>53670</v>
      </c>
      <c r="BO36" s="38">
        <f t="shared" si="41"/>
        <v>563535</v>
      </c>
      <c r="BP36" s="38">
        <v>11000000</v>
      </c>
      <c r="BQ36" s="38">
        <v>0</v>
      </c>
      <c r="BR36" s="38">
        <v>4400000</v>
      </c>
      <c r="BS36" s="38">
        <f t="shared" si="42"/>
        <v>0</v>
      </c>
      <c r="BT36" s="38">
        <f t="shared" si="43"/>
        <v>400000</v>
      </c>
      <c r="BU36" s="37">
        <f t="shared" si="44"/>
        <v>9687200</v>
      </c>
      <c r="BV36" s="38">
        <f t="shared" si="45"/>
        <v>0</v>
      </c>
      <c r="BW36" s="38">
        <f t="shared" si="46"/>
        <v>0</v>
      </c>
      <c r="BX36" s="38">
        <v>0</v>
      </c>
      <c r="BY36" s="38">
        <f t="shared" si="47"/>
        <v>35000</v>
      </c>
      <c r="BZ36" s="38">
        <f t="shared" si="48"/>
        <v>9488665</v>
      </c>
      <c r="CA36" s="38">
        <f>VLOOKUP(D36,'[1]Payroll of factory (DET).1'!$B$10:$BS$38,70,0)-BZ36</f>
        <v>35000</v>
      </c>
      <c r="CB36" s="26">
        <v>0</v>
      </c>
      <c r="CF36" s="12">
        <f t="shared" si="49"/>
        <v>400000</v>
      </c>
      <c r="CG36" s="12">
        <f t="shared" si="50"/>
        <v>0</v>
      </c>
      <c r="CH36" s="12">
        <f t="shared" si="51"/>
        <v>5367000</v>
      </c>
      <c r="CI36" s="12">
        <f t="shared" si="52"/>
        <v>0</v>
      </c>
      <c r="CJ36" s="12">
        <v>0</v>
      </c>
      <c r="CK36" s="12">
        <v>0</v>
      </c>
      <c r="CL36" s="12">
        <v>0</v>
      </c>
      <c r="CM36" s="12">
        <v>500000</v>
      </c>
      <c r="CN36" s="12">
        <v>45641</v>
      </c>
      <c r="CO36" s="12">
        <v>0</v>
      </c>
      <c r="CP36" s="12">
        <v>0</v>
      </c>
      <c r="CQ36" s="12"/>
      <c r="CR36" s="12">
        <v>0</v>
      </c>
      <c r="CS36" s="5" t="s">
        <v>285</v>
      </c>
      <c r="CT36" s="5">
        <v>12</v>
      </c>
      <c r="CU36" s="5">
        <v>2024</v>
      </c>
      <c r="CV36" s="5">
        <v>26</v>
      </c>
      <c r="CW36" s="5">
        <v>8</v>
      </c>
      <c r="CX36" s="48">
        <v>192</v>
      </c>
      <c r="CY36" s="49">
        <v>0</v>
      </c>
      <c r="CZ36" s="49">
        <v>0</v>
      </c>
      <c r="DA36" s="49">
        <v>0</v>
      </c>
      <c r="DB36" s="49">
        <v>0</v>
      </c>
      <c r="DC36" s="49">
        <v>0</v>
      </c>
      <c r="DD36" s="49">
        <v>0</v>
      </c>
      <c r="DE36" s="48">
        <v>0</v>
      </c>
      <c r="DF36" s="48">
        <v>0</v>
      </c>
      <c r="DG36" s="48">
        <v>0</v>
      </c>
      <c r="DH36" s="48">
        <v>0</v>
      </c>
      <c r="DI36" s="49">
        <v>0</v>
      </c>
      <c r="DJ36" s="49">
        <v>0</v>
      </c>
      <c r="DK36" s="49">
        <v>0</v>
      </c>
      <c r="DL36" s="49">
        <v>0</v>
      </c>
      <c r="DM36" s="49">
        <v>0</v>
      </c>
      <c r="DN36" s="49">
        <v>0</v>
      </c>
      <c r="DO36" s="49">
        <v>0</v>
      </c>
      <c r="DP36" s="48">
        <v>0</v>
      </c>
      <c r="DQ36" s="48">
        <v>0</v>
      </c>
      <c r="DR36" s="4">
        <v>16</v>
      </c>
      <c r="DS36" s="4">
        <v>0</v>
      </c>
      <c r="DT36" s="4"/>
      <c r="DU36" s="4"/>
      <c r="DV36" s="4"/>
      <c r="DW36" s="4"/>
      <c r="DX36" s="4"/>
      <c r="DY36" s="4"/>
      <c r="DZ36" s="4">
        <v>24</v>
      </c>
      <c r="EA36" s="4">
        <v>2</v>
      </c>
      <c r="EB36" s="4">
        <v>1</v>
      </c>
      <c r="EC36" s="4">
        <v>2</v>
      </c>
      <c r="ED36" s="4">
        <v>1</v>
      </c>
      <c r="EE36" s="4">
        <v>35000</v>
      </c>
      <c r="EF36" s="4" t="s">
        <v>286</v>
      </c>
      <c r="EG36" s="4">
        <v>3220200</v>
      </c>
      <c r="EH36" s="4">
        <v>0</v>
      </c>
    </row>
    <row r="37" spans="2:138">
      <c r="B37" s="36">
        <v>23</v>
      </c>
      <c r="C37" s="36" t="s">
        <v>327</v>
      </c>
      <c r="D37" s="37" t="s">
        <v>328</v>
      </c>
      <c r="E37" s="36" t="s">
        <v>297</v>
      </c>
      <c r="F37" s="36">
        <v>208</v>
      </c>
      <c r="G37" s="54">
        <f t="shared" si="0"/>
        <v>134.5</v>
      </c>
      <c r="H37" s="45">
        <f t="shared" si="1"/>
        <v>49.5</v>
      </c>
      <c r="I37" s="45">
        <f t="shared" si="2"/>
        <v>184</v>
      </c>
      <c r="J37" s="38">
        <v>21</v>
      </c>
      <c r="K37" s="45">
        <f t="shared" si="3"/>
        <v>49.5</v>
      </c>
      <c r="L37" s="45">
        <f t="shared" si="4"/>
        <v>13.5</v>
      </c>
      <c r="M37" s="45">
        <f t="shared" si="5"/>
        <v>0</v>
      </c>
      <c r="N37" s="45">
        <f t="shared" si="6"/>
        <v>0</v>
      </c>
      <c r="O37" s="45">
        <f t="shared" si="7"/>
        <v>0</v>
      </c>
      <c r="P37" s="45">
        <f t="shared" si="8"/>
        <v>0</v>
      </c>
      <c r="Q37" s="45">
        <f t="shared" si="9"/>
        <v>0</v>
      </c>
      <c r="R37" s="45">
        <v>0</v>
      </c>
      <c r="S37" s="45">
        <v>0</v>
      </c>
      <c r="T37" s="38">
        <v>4064000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38">
        <f t="shared" si="10"/>
        <v>0</v>
      </c>
      <c r="AD37" s="38">
        <v>300000</v>
      </c>
      <c r="AE37" s="38">
        <f t="shared" si="11"/>
        <v>300000</v>
      </c>
      <c r="AF37" s="38">
        <v>300000</v>
      </c>
      <c r="AG37" s="38">
        <f t="shared" si="12"/>
        <v>300000</v>
      </c>
      <c r="AH37" s="38">
        <v>0</v>
      </c>
      <c r="AI37" s="38">
        <v>0</v>
      </c>
      <c r="AJ37" s="38">
        <f t="shared" si="13"/>
        <v>500000</v>
      </c>
      <c r="AK37" s="38">
        <f t="shared" si="14"/>
        <v>273000</v>
      </c>
      <c r="AL37" s="38">
        <v>0</v>
      </c>
      <c r="AM37" s="38">
        <f t="shared" si="15"/>
        <v>2438400</v>
      </c>
      <c r="AN37" s="38">
        <v>0</v>
      </c>
      <c r="AO37" s="38">
        <f t="shared" si="16"/>
        <v>1373000</v>
      </c>
      <c r="AP37" s="39">
        <f t="shared" si="17"/>
        <v>4064000</v>
      </c>
      <c r="AQ37" s="39">
        <f t="shared" si="18"/>
        <v>0</v>
      </c>
      <c r="AR37" s="46">
        <f t="shared" si="19"/>
        <v>19538.461538461539</v>
      </c>
      <c r="AS37" s="57">
        <f t="shared" si="20"/>
        <v>0</v>
      </c>
      <c r="AT37" s="39">
        <f t="shared" si="21"/>
        <v>3885223</v>
      </c>
      <c r="AU37" s="38">
        <f t="shared" si="22"/>
        <v>1450731</v>
      </c>
      <c r="AV37" s="38">
        <f t="shared" si="23"/>
        <v>514350</v>
      </c>
      <c r="AW37" s="38">
        <f t="shared" si="24"/>
        <v>0</v>
      </c>
      <c r="AX37" s="40">
        <f t="shared" si="25"/>
        <v>0</v>
      </c>
      <c r="AY37" s="40">
        <f t="shared" si="26"/>
        <v>0</v>
      </c>
      <c r="AZ37" s="40">
        <f t="shared" si="27"/>
        <v>0</v>
      </c>
      <c r="BA37" s="40">
        <f t="shared" si="28"/>
        <v>0</v>
      </c>
      <c r="BB37" s="40">
        <f t="shared" si="29"/>
        <v>0</v>
      </c>
      <c r="BC37" s="40">
        <v>0</v>
      </c>
      <c r="BD37" s="39">
        <f t="shared" si="30"/>
        <v>1965081</v>
      </c>
      <c r="BE37" s="39">
        <f t="shared" si="31"/>
        <v>9661704</v>
      </c>
      <c r="BF37" s="39">
        <f t="shared" si="32"/>
        <v>4064000</v>
      </c>
      <c r="BG37" s="39">
        <f t="shared" si="33"/>
        <v>711200</v>
      </c>
      <c r="BH37" s="39">
        <f t="shared" si="34"/>
        <v>121920</v>
      </c>
      <c r="BI37" s="39">
        <f t="shared" si="35"/>
        <v>40640</v>
      </c>
      <c r="BJ37" s="39">
        <f t="shared" si="36"/>
        <v>81280</v>
      </c>
      <c r="BK37" s="39">
        <f t="shared" si="37"/>
        <v>955040</v>
      </c>
      <c r="BL37" s="38">
        <f t="shared" si="38"/>
        <v>325120</v>
      </c>
      <c r="BM37" s="38">
        <f t="shared" si="39"/>
        <v>60960</v>
      </c>
      <c r="BN37" s="38">
        <f t="shared" si="40"/>
        <v>40640</v>
      </c>
      <c r="BO37" s="38">
        <f t="shared" si="41"/>
        <v>426720</v>
      </c>
      <c r="BP37" s="38">
        <v>11000000</v>
      </c>
      <c r="BQ37" s="38">
        <v>0</v>
      </c>
      <c r="BR37" s="38">
        <v>4400000</v>
      </c>
      <c r="BS37" s="38">
        <f t="shared" si="42"/>
        <v>0</v>
      </c>
      <c r="BT37" s="38">
        <f t="shared" si="43"/>
        <v>273000</v>
      </c>
      <c r="BU37" s="37">
        <f t="shared" si="44"/>
        <v>8364400.153846154</v>
      </c>
      <c r="BV37" s="38">
        <f t="shared" si="45"/>
        <v>0</v>
      </c>
      <c r="BW37" s="38">
        <f t="shared" si="46"/>
        <v>0</v>
      </c>
      <c r="BX37" s="38">
        <v>0</v>
      </c>
      <c r="BY37" s="38">
        <f t="shared" si="47"/>
        <v>35000</v>
      </c>
      <c r="BZ37" s="38">
        <f t="shared" si="48"/>
        <v>9199984</v>
      </c>
      <c r="CA37" s="38">
        <f>VLOOKUP(D37,'[1]Payroll of factory (DET).1'!$B$10:$BS$38,70,0)-BZ37</f>
        <v>-0.15384615212678909</v>
      </c>
      <c r="CB37" s="26">
        <v>0</v>
      </c>
      <c r="CF37" s="12">
        <f t="shared" si="49"/>
        <v>2471076.923076923</v>
      </c>
      <c r="CG37" s="12">
        <f t="shared" si="50"/>
        <v>0</v>
      </c>
      <c r="CH37" s="12">
        <f t="shared" si="51"/>
        <v>2627923.076923077</v>
      </c>
      <c r="CI37" s="12">
        <f t="shared" si="52"/>
        <v>1257300.0000000002</v>
      </c>
      <c r="CJ37" s="12">
        <v>0</v>
      </c>
      <c r="CK37" s="12">
        <v>0</v>
      </c>
      <c r="CL37" s="12">
        <v>0</v>
      </c>
      <c r="CM37" s="12">
        <v>500000</v>
      </c>
      <c r="CN37" s="12">
        <v>45641</v>
      </c>
      <c r="CO37" s="12">
        <v>0</v>
      </c>
      <c r="CP37" s="12">
        <v>0</v>
      </c>
      <c r="CQ37" s="12"/>
      <c r="CR37" s="12">
        <v>0</v>
      </c>
      <c r="CS37" s="5" t="s">
        <v>285</v>
      </c>
      <c r="CT37" s="5">
        <v>12</v>
      </c>
      <c r="CU37" s="5">
        <v>2024</v>
      </c>
      <c r="CV37" s="5">
        <v>26</v>
      </c>
      <c r="CW37" s="5">
        <v>8</v>
      </c>
      <c r="CX37" s="48">
        <v>118.5</v>
      </c>
      <c r="CY37" s="49">
        <v>49.5</v>
      </c>
      <c r="CZ37" s="49">
        <v>49.5</v>
      </c>
      <c r="DA37" s="49">
        <v>13.5</v>
      </c>
      <c r="DB37" s="49">
        <v>0</v>
      </c>
      <c r="DC37" s="49">
        <v>0</v>
      </c>
      <c r="DD37" s="49">
        <v>0</v>
      </c>
      <c r="DE37" s="48">
        <v>0</v>
      </c>
      <c r="DF37" s="48">
        <v>0</v>
      </c>
      <c r="DG37" s="48">
        <v>0</v>
      </c>
      <c r="DH37" s="48">
        <v>0</v>
      </c>
      <c r="DI37" s="49">
        <v>0</v>
      </c>
      <c r="DJ37" s="49">
        <v>0</v>
      </c>
      <c r="DK37" s="49">
        <v>0</v>
      </c>
      <c r="DL37" s="49">
        <v>0</v>
      </c>
      <c r="DM37" s="49">
        <v>0</v>
      </c>
      <c r="DN37" s="49">
        <v>0</v>
      </c>
      <c r="DO37" s="49">
        <v>0</v>
      </c>
      <c r="DP37" s="48">
        <v>0</v>
      </c>
      <c r="DQ37" s="48">
        <v>0</v>
      </c>
      <c r="DR37" s="4">
        <v>16</v>
      </c>
      <c r="DS37" s="4">
        <v>24</v>
      </c>
      <c r="DT37" s="4"/>
      <c r="DU37" s="4"/>
      <c r="DV37" s="4">
        <v>0</v>
      </c>
      <c r="DW37" s="4">
        <v>0</v>
      </c>
      <c r="DX37" s="4">
        <v>0</v>
      </c>
      <c r="DY37" s="4">
        <v>0</v>
      </c>
      <c r="DZ37" s="4">
        <v>21</v>
      </c>
      <c r="EA37" s="4">
        <v>2</v>
      </c>
      <c r="EB37" s="4">
        <v>1</v>
      </c>
      <c r="EC37" s="4">
        <v>2</v>
      </c>
      <c r="ED37" s="4">
        <v>0</v>
      </c>
      <c r="EE37" s="4">
        <v>35000</v>
      </c>
      <c r="EF37" s="4" t="s">
        <v>286</v>
      </c>
      <c r="EG37" s="4">
        <v>2438400</v>
      </c>
      <c r="EH37" s="4">
        <v>0</v>
      </c>
    </row>
    <row r="38" spans="2:138">
      <c r="B38" s="36">
        <v>24</v>
      </c>
      <c r="C38" s="36" t="s">
        <v>329</v>
      </c>
      <c r="D38" s="37" t="s">
        <v>330</v>
      </c>
      <c r="E38" s="36" t="s">
        <v>297</v>
      </c>
      <c r="F38" s="36">
        <v>208</v>
      </c>
      <c r="G38" s="54">
        <f t="shared" si="0"/>
        <v>75.5</v>
      </c>
      <c r="H38" s="45">
        <f t="shared" si="1"/>
        <v>60.5</v>
      </c>
      <c r="I38" s="45">
        <f t="shared" si="2"/>
        <v>136</v>
      </c>
      <c r="J38" s="38">
        <v>17</v>
      </c>
      <c r="K38" s="45">
        <f t="shared" si="3"/>
        <v>34.5</v>
      </c>
      <c r="L38" s="45">
        <f t="shared" si="4"/>
        <v>16.5</v>
      </c>
      <c r="M38" s="45">
        <f t="shared" si="5"/>
        <v>0</v>
      </c>
      <c r="N38" s="45">
        <f t="shared" si="6"/>
        <v>0</v>
      </c>
      <c r="O38" s="45">
        <f t="shared" si="7"/>
        <v>0</v>
      </c>
      <c r="P38" s="45">
        <f t="shared" si="8"/>
        <v>0</v>
      </c>
      <c r="Q38" s="45">
        <f t="shared" si="9"/>
        <v>0</v>
      </c>
      <c r="R38" s="45">
        <v>0</v>
      </c>
      <c r="S38" s="45">
        <v>0</v>
      </c>
      <c r="T38" s="38">
        <v>4064000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8">
        <f t="shared" si="10"/>
        <v>0</v>
      </c>
      <c r="AD38" s="38">
        <v>300000</v>
      </c>
      <c r="AE38" s="38">
        <f t="shared" si="11"/>
        <v>0</v>
      </c>
      <c r="AF38" s="38">
        <v>300000</v>
      </c>
      <c r="AG38" s="38">
        <f t="shared" si="12"/>
        <v>0</v>
      </c>
      <c r="AH38" s="38">
        <v>0</v>
      </c>
      <c r="AI38" s="38">
        <v>0</v>
      </c>
      <c r="AJ38" s="38">
        <f t="shared" si="13"/>
        <v>0</v>
      </c>
      <c r="AK38" s="38">
        <f t="shared" si="14"/>
        <v>221000</v>
      </c>
      <c r="AL38" s="38">
        <v>0</v>
      </c>
      <c r="AM38" s="38">
        <f t="shared" si="15"/>
        <v>2438400</v>
      </c>
      <c r="AN38" s="38">
        <v>0</v>
      </c>
      <c r="AO38" s="38">
        <f t="shared" si="16"/>
        <v>221000</v>
      </c>
      <c r="AP38" s="39">
        <f t="shared" si="17"/>
        <v>4064000</v>
      </c>
      <c r="AQ38" s="39">
        <f t="shared" si="18"/>
        <v>0</v>
      </c>
      <c r="AR38" s="46">
        <f t="shared" si="19"/>
        <v>19538.461538461539</v>
      </c>
      <c r="AS38" s="57">
        <f t="shared" si="20"/>
        <v>0</v>
      </c>
      <c r="AT38" s="39">
        <f t="shared" si="21"/>
        <v>3011854</v>
      </c>
      <c r="AU38" s="38">
        <f t="shared" si="22"/>
        <v>1011115</v>
      </c>
      <c r="AV38" s="38">
        <f t="shared" si="23"/>
        <v>628650</v>
      </c>
      <c r="AW38" s="38">
        <f t="shared" si="24"/>
        <v>0</v>
      </c>
      <c r="AX38" s="40">
        <f t="shared" si="25"/>
        <v>0</v>
      </c>
      <c r="AY38" s="40">
        <f t="shared" si="26"/>
        <v>0</v>
      </c>
      <c r="AZ38" s="40">
        <f t="shared" si="27"/>
        <v>0</v>
      </c>
      <c r="BA38" s="40">
        <f t="shared" si="28"/>
        <v>0</v>
      </c>
      <c r="BB38" s="40">
        <f t="shared" si="29"/>
        <v>0</v>
      </c>
      <c r="BC38" s="40">
        <v>0</v>
      </c>
      <c r="BD38" s="39">
        <f t="shared" si="30"/>
        <v>1639765</v>
      </c>
      <c r="BE38" s="39">
        <f t="shared" si="31"/>
        <v>7311019</v>
      </c>
      <c r="BF38" s="39">
        <f t="shared" si="32"/>
        <v>4064000</v>
      </c>
      <c r="BG38" s="39">
        <f t="shared" si="33"/>
        <v>711200</v>
      </c>
      <c r="BH38" s="39">
        <f t="shared" si="34"/>
        <v>121920</v>
      </c>
      <c r="BI38" s="39">
        <f t="shared" si="35"/>
        <v>40640</v>
      </c>
      <c r="BJ38" s="39">
        <f t="shared" si="36"/>
        <v>81280</v>
      </c>
      <c r="BK38" s="39">
        <f t="shared" si="37"/>
        <v>955040</v>
      </c>
      <c r="BL38" s="38">
        <f t="shared" si="38"/>
        <v>325120</v>
      </c>
      <c r="BM38" s="38">
        <f t="shared" si="39"/>
        <v>60960</v>
      </c>
      <c r="BN38" s="38">
        <f t="shared" si="40"/>
        <v>40640</v>
      </c>
      <c r="BO38" s="38">
        <f t="shared" si="41"/>
        <v>426720</v>
      </c>
      <c r="BP38" s="38">
        <v>11000000</v>
      </c>
      <c r="BQ38" s="38">
        <v>0</v>
      </c>
      <c r="BR38" s="38">
        <v>4400000</v>
      </c>
      <c r="BS38" s="38">
        <f t="shared" si="42"/>
        <v>0</v>
      </c>
      <c r="BT38" s="38">
        <f t="shared" si="43"/>
        <v>221000</v>
      </c>
      <c r="BU38" s="37">
        <f t="shared" si="44"/>
        <v>6092092.076923077</v>
      </c>
      <c r="BV38" s="38">
        <f t="shared" si="45"/>
        <v>0</v>
      </c>
      <c r="BW38" s="38">
        <f t="shared" si="46"/>
        <v>0</v>
      </c>
      <c r="BX38" s="38">
        <v>0</v>
      </c>
      <c r="BY38" s="38">
        <f t="shared" si="47"/>
        <v>35000</v>
      </c>
      <c r="BZ38" s="38">
        <f t="shared" si="48"/>
        <v>6849299</v>
      </c>
      <c r="CA38" s="38">
        <f>VLOOKUP(D38,'[1]Payroll of factory (DET).1'!$B$10:$BS$38,70,0)-BZ38</f>
        <v>0.23076923098415136</v>
      </c>
      <c r="CB38" s="26">
        <v>0</v>
      </c>
      <c r="CF38" s="12">
        <f t="shared" si="49"/>
        <v>2399538.4615384615</v>
      </c>
      <c r="CG38" s="12">
        <f t="shared" si="50"/>
        <v>0</v>
      </c>
      <c r="CH38" s="12">
        <f t="shared" si="51"/>
        <v>1475153.8461538462</v>
      </c>
      <c r="CI38" s="12">
        <f t="shared" si="52"/>
        <v>1536700.0000000002</v>
      </c>
      <c r="CJ38" s="12">
        <v>0</v>
      </c>
      <c r="CK38" s="12">
        <v>0</v>
      </c>
      <c r="CL38" s="12">
        <v>0</v>
      </c>
      <c r="CM38" s="12">
        <v>0</v>
      </c>
      <c r="CN38" s="12">
        <v>45641</v>
      </c>
      <c r="CO38" s="12">
        <v>0</v>
      </c>
      <c r="CP38" s="12">
        <v>0</v>
      </c>
      <c r="CQ38" s="12"/>
      <c r="CR38" s="12">
        <v>0</v>
      </c>
      <c r="CS38" s="5" t="s">
        <v>285</v>
      </c>
      <c r="CT38" s="5">
        <v>12</v>
      </c>
      <c r="CU38" s="5">
        <v>2024</v>
      </c>
      <c r="CV38" s="5">
        <v>26</v>
      </c>
      <c r="CW38" s="5">
        <v>8</v>
      </c>
      <c r="CX38" s="48">
        <v>75.5</v>
      </c>
      <c r="CY38" s="49">
        <v>60.5</v>
      </c>
      <c r="CZ38" s="49">
        <v>34.5</v>
      </c>
      <c r="DA38" s="49">
        <v>16.5</v>
      </c>
      <c r="DB38" s="49">
        <v>0</v>
      </c>
      <c r="DC38" s="49">
        <v>0</v>
      </c>
      <c r="DD38" s="49">
        <v>0</v>
      </c>
      <c r="DE38" s="48">
        <v>0</v>
      </c>
      <c r="DF38" s="48">
        <v>0</v>
      </c>
      <c r="DG38" s="48">
        <v>0</v>
      </c>
      <c r="DH38" s="48">
        <v>0</v>
      </c>
      <c r="DI38" s="49">
        <v>0</v>
      </c>
      <c r="DJ38" s="49">
        <v>0</v>
      </c>
      <c r="DK38" s="49">
        <v>0</v>
      </c>
      <c r="DL38" s="49">
        <v>0</v>
      </c>
      <c r="DM38" s="49">
        <v>0</v>
      </c>
      <c r="DN38" s="49">
        <v>0</v>
      </c>
      <c r="DO38" s="49">
        <v>0</v>
      </c>
      <c r="DP38" s="48">
        <v>0</v>
      </c>
      <c r="DQ38" s="48">
        <v>0</v>
      </c>
      <c r="DR38" s="4">
        <v>0</v>
      </c>
      <c r="DS38" s="4">
        <v>24</v>
      </c>
      <c r="DT38" s="4"/>
      <c r="DU38" s="4"/>
      <c r="DV38" s="4">
        <v>0</v>
      </c>
      <c r="DW38" s="4">
        <v>0</v>
      </c>
      <c r="DX38" s="4">
        <v>0</v>
      </c>
      <c r="DY38" s="4">
        <v>0</v>
      </c>
      <c r="DZ38" s="4">
        <v>17</v>
      </c>
      <c r="EA38" s="4">
        <v>2</v>
      </c>
      <c r="EB38" s="4">
        <v>1</v>
      </c>
      <c r="EC38" s="4">
        <v>2</v>
      </c>
      <c r="ED38" s="4">
        <v>0</v>
      </c>
      <c r="EE38" s="4">
        <v>35000</v>
      </c>
      <c r="EF38" s="4" t="s">
        <v>286</v>
      </c>
      <c r="EG38" s="4">
        <v>2438400</v>
      </c>
      <c r="EH38" s="4">
        <v>0</v>
      </c>
    </row>
    <row r="39" spans="2:138">
      <c r="B39" s="36">
        <v>25</v>
      </c>
      <c r="C39" s="36" t="s">
        <v>331</v>
      </c>
      <c r="D39" s="37" t="s">
        <v>332</v>
      </c>
      <c r="E39" s="36" t="s">
        <v>297</v>
      </c>
      <c r="F39" s="36">
        <v>208</v>
      </c>
      <c r="G39" s="54">
        <f t="shared" si="0"/>
        <v>131.5</v>
      </c>
      <c r="H39" s="45">
        <f t="shared" si="1"/>
        <v>60.5</v>
      </c>
      <c r="I39" s="45">
        <f t="shared" si="2"/>
        <v>192</v>
      </c>
      <c r="J39" s="38">
        <v>20</v>
      </c>
      <c r="K39" s="45">
        <f t="shared" si="3"/>
        <v>45</v>
      </c>
      <c r="L39" s="45">
        <f t="shared" si="4"/>
        <v>16.5</v>
      </c>
      <c r="M39" s="45">
        <f t="shared" si="5"/>
        <v>0</v>
      </c>
      <c r="N39" s="45">
        <f t="shared" si="6"/>
        <v>0</v>
      </c>
      <c r="O39" s="45">
        <f t="shared" si="7"/>
        <v>0</v>
      </c>
      <c r="P39" s="45">
        <f t="shared" si="8"/>
        <v>0</v>
      </c>
      <c r="Q39" s="45">
        <f t="shared" si="9"/>
        <v>0</v>
      </c>
      <c r="R39" s="45">
        <v>0</v>
      </c>
      <c r="S39" s="45">
        <v>0</v>
      </c>
      <c r="T39" s="38">
        <v>4064000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38">
        <f t="shared" si="10"/>
        <v>0</v>
      </c>
      <c r="AD39" s="38">
        <v>300000</v>
      </c>
      <c r="AE39" s="38">
        <f t="shared" si="11"/>
        <v>300000</v>
      </c>
      <c r="AF39" s="38">
        <v>300000</v>
      </c>
      <c r="AG39" s="38">
        <f t="shared" si="12"/>
        <v>300000</v>
      </c>
      <c r="AH39" s="38">
        <v>0</v>
      </c>
      <c r="AI39" s="38">
        <v>0</v>
      </c>
      <c r="AJ39" s="38">
        <f t="shared" si="13"/>
        <v>500000</v>
      </c>
      <c r="AK39" s="38">
        <f t="shared" si="14"/>
        <v>260000</v>
      </c>
      <c r="AL39" s="38">
        <v>0</v>
      </c>
      <c r="AM39" s="38">
        <f t="shared" si="15"/>
        <v>2133600</v>
      </c>
      <c r="AN39" s="38">
        <v>0</v>
      </c>
      <c r="AO39" s="38">
        <f t="shared" si="16"/>
        <v>1360000</v>
      </c>
      <c r="AP39" s="39">
        <f t="shared" si="17"/>
        <v>4064000</v>
      </c>
      <c r="AQ39" s="39">
        <f t="shared" si="18"/>
        <v>0</v>
      </c>
      <c r="AR39" s="46">
        <f t="shared" si="19"/>
        <v>19538.461538461539</v>
      </c>
      <c r="AS39" s="57">
        <f t="shared" si="20"/>
        <v>0</v>
      </c>
      <c r="AT39" s="39">
        <f t="shared" si="21"/>
        <v>4106008</v>
      </c>
      <c r="AU39" s="38">
        <f t="shared" si="22"/>
        <v>1318846</v>
      </c>
      <c r="AV39" s="38">
        <f t="shared" si="23"/>
        <v>628650</v>
      </c>
      <c r="AW39" s="38">
        <f t="shared" si="24"/>
        <v>0</v>
      </c>
      <c r="AX39" s="40">
        <f t="shared" si="25"/>
        <v>0</v>
      </c>
      <c r="AY39" s="40">
        <f t="shared" si="26"/>
        <v>0</v>
      </c>
      <c r="AZ39" s="40">
        <f t="shared" si="27"/>
        <v>0</v>
      </c>
      <c r="BA39" s="40">
        <f t="shared" si="28"/>
        <v>0</v>
      </c>
      <c r="BB39" s="40">
        <f t="shared" si="29"/>
        <v>0</v>
      </c>
      <c r="BC39" s="40">
        <v>0</v>
      </c>
      <c r="BD39" s="39">
        <f t="shared" si="30"/>
        <v>1947496</v>
      </c>
      <c r="BE39" s="39">
        <f t="shared" si="31"/>
        <v>9547104</v>
      </c>
      <c r="BF39" s="39">
        <f t="shared" si="32"/>
        <v>4064000</v>
      </c>
      <c r="BG39" s="39">
        <f t="shared" si="33"/>
        <v>711200</v>
      </c>
      <c r="BH39" s="39">
        <f t="shared" si="34"/>
        <v>121920</v>
      </c>
      <c r="BI39" s="39">
        <f t="shared" si="35"/>
        <v>40640</v>
      </c>
      <c r="BJ39" s="39">
        <f t="shared" si="36"/>
        <v>81280</v>
      </c>
      <c r="BK39" s="39">
        <f t="shared" si="37"/>
        <v>955040</v>
      </c>
      <c r="BL39" s="38">
        <f t="shared" si="38"/>
        <v>325120</v>
      </c>
      <c r="BM39" s="38">
        <f t="shared" si="39"/>
        <v>60960</v>
      </c>
      <c r="BN39" s="38">
        <f t="shared" si="40"/>
        <v>40640</v>
      </c>
      <c r="BO39" s="38">
        <f t="shared" si="41"/>
        <v>426720</v>
      </c>
      <c r="BP39" s="38">
        <v>11000000</v>
      </c>
      <c r="BQ39" s="38">
        <v>0</v>
      </c>
      <c r="BR39" s="38">
        <v>4400000</v>
      </c>
      <c r="BS39" s="38">
        <f t="shared" si="42"/>
        <v>0</v>
      </c>
      <c r="BT39" s="38">
        <f t="shared" si="43"/>
        <v>260000</v>
      </c>
      <c r="BU39" s="37">
        <f t="shared" si="44"/>
        <v>8186600.153846154</v>
      </c>
      <c r="BV39" s="38">
        <f t="shared" si="45"/>
        <v>0</v>
      </c>
      <c r="BW39" s="38">
        <f t="shared" si="46"/>
        <v>0</v>
      </c>
      <c r="BX39" s="38">
        <v>0</v>
      </c>
      <c r="BY39" s="38">
        <f t="shared" si="47"/>
        <v>35000</v>
      </c>
      <c r="BZ39" s="38">
        <f t="shared" si="48"/>
        <v>9085384</v>
      </c>
      <c r="CA39" s="38">
        <f>VLOOKUP(D39,'[1]Payroll of factory (DET).1'!$B$10:$BS$38,70,0)-BZ39</f>
        <v>-0.15384615398943424</v>
      </c>
      <c r="CB39" s="26">
        <v>0</v>
      </c>
      <c r="CF39" s="12">
        <f t="shared" si="49"/>
        <v>2643692.307692308</v>
      </c>
      <c r="CG39" s="12">
        <f t="shared" si="50"/>
        <v>0</v>
      </c>
      <c r="CH39" s="12">
        <f t="shared" si="51"/>
        <v>2569307.6923076925</v>
      </c>
      <c r="CI39" s="12">
        <f t="shared" si="52"/>
        <v>1536700.0000000002</v>
      </c>
      <c r="CJ39" s="12">
        <v>0</v>
      </c>
      <c r="CK39" s="12">
        <v>0</v>
      </c>
      <c r="CL39" s="12">
        <v>0</v>
      </c>
      <c r="CM39" s="12">
        <v>500000</v>
      </c>
      <c r="CN39" s="12">
        <v>45641</v>
      </c>
      <c r="CO39" s="12">
        <v>0</v>
      </c>
      <c r="CP39" s="12">
        <v>0</v>
      </c>
      <c r="CQ39" s="12"/>
      <c r="CR39" s="12">
        <v>0</v>
      </c>
      <c r="CS39" s="5" t="s">
        <v>285</v>
      </c>
      <c r="CT39" s="5">
        <v>12</v>
      </c>
      <c r="CU39" s="5">
        <v>2024</v>
      </c>
      <c r="CV39" s="5">
        <v>26</v>
      </c>
      <c r="CW39" s="5">
        <v>8</v>
      </c>
      <c r="CX39" s="48">
        <v>107.5</v>
      </c>
      <c r="CY39" s="49">
        <v>60.5</v>
      </c>
      <c r="CZ39" s="49">
        <v>45</v>
      </c>
      <c r="DA39" s="49">
        <v>16.5</v>
      </c>
      <c r="DB39" s="49">
        <v>0</v>
      </c>
      <c r="DC39" s="49">
        <v>0</v>
      </c>
      <c r="DD39" s="49">
        <v>0</v>
      </c>
      <c r="DE39" s="48">
        <v>0</v>
      </c>
      <c r="DF39" s="48">
        <v>0</v>
      </c>
      <c r="DG39" s="48">
        <v>0</v>
      </c>
      <c r="DH39" s="48">
        <v>0</v>
      </c>
      <c r="DI39" s="49">
        <v>0</v>
      </c>
      <c r="DJ39" s="49">
        <v>0</v>
      </c>
      <c r="DK39" s="49">
        <v>0</v>
      </c>
      <c r="DL39" s="49">
        <v>0</v>
      </c>
      <c r="DM39" s="49">
        <v>0</v>
      </c>
      <c r="DN39" s="49">
        <v>0</v>
      </c>
      <c r="DO39" s="49">
        <v>0</v>
      </c>
      <c r="DP39" s="48">
        <v>0</v>
      </c>
      <c r="DQ39" s="48">
        <v>0</v>
      </c>
      <c r="DR39" s="4">
        <v>24</v>
      </c>
      <c r="DS39" s="4">
        <v>16</v>
      </c>
      <c r="DT39" s="4"/>
      <c r="DU39" s="4"/>
      <c r="DV39" s="4">
        <v>0</v>
      </c>
      <c r="DW39" s="4">
        <v>0</v>
      </c>
      <c r="DX39" s="4">
        <v>0</v>
      </c>
      <c r="DY39" s="4">
        <v>0</v>
      </c>
      <c r="DZ39" s="4">
        <v>21</v>
      </c>
      <c r="EA39" s="4">
        <v>2</v>
      </c>
      <c r="EB39" s="4">
        <v>1</v>
      </c>
      <c r="EC39" s="4">
        <v>2</v>
      </c>
      <c r="ED39" s="4">
        <v>0</v>
      </c>
      <c r="EE39" s="4">
        <v>35000</v>
      </c>
      <c r="EF39" s="4" t="s">
        <v>286</v>
      </c>
      <c r="EG39" s="4">
        <v>2133600</v>
      </c>
      <c r="EH39" s="4">
        <v>0</v>
      </c>
    </row>
    <row r="40" spans="2:138">
      <c r="B40" s="36">
        <v>26</v>
      </c>
      <c r="C40" s="36" t="s">
        <v>333</v>
      </c>
      <c r="D40" s="37" t="s">
        <v>334</v>
      </c>
      <c r="E40" s="36" t="s">
        <v>297</v>
      </c>
      <c r="F40" s="36">
        <v>208</v>
      </c>
      <c r="G40" s="54">
        <f t="shared" si="0"/>
        <v>123.5</v>
      </c>
      <c r="H40" s="45">
        <f t="shared" si="1"/>
        <v>60.5</v>
      </c>
      <c r="I40" s="45">
        <f t="shared" si="2"/>
        <v>184</v>
      </c>
      <c r="J40" s="38">
        <v>20</v>
      </c>
      <c r="K40" s="45">
        <f t="shared" si="3"/>
        <v>43.5</v>
      </c>
      <c r="L40" s="45">
        <f t="shared" si="4"/>
        <v>16.5</v>
      </c>
      <c r="M40" s="45">
        <f t="shared" si="5"/>
        <v>0</v>
      </c>
      <c r="N40" s="45">
        <f t="shared" si="6"/>
        <v>0</v>
      </c>
      <c r="O40" s="45">
        <f t="shared" si="7"/>
        <v>0</v>
      </c>
      <c r="P40" s="45">
        <f t="shared" si="8"/>
        <v>0</v>
      </c>
      <c r="Q40" s="45">
        <f t="shared" si="9"/>
        <v>0</v>
      </c>
      <c r="R40" s="45">
        <v>0</v>
      </c>
      <c r="S40" s="45">
        <v>0</v>
      </c>
      <c r="T40" s="38">
        <v>4064000</v>
      </c>
      <c r="U40" s="38">
        <v>0</v>
      </c>
      <c r="V40" s="38">
        <v>0</v>
      </c>
      <c r="W40" s="38">
        <v>0</v>
      </c>
      <c r="X40" s="38">
        <v>0</v>
      </c>
      <c r="Y40" s="38">
        <v>0</v>
      </c>
      <c r="Z40" s="38">
        <v>0</v>
      </c>
      <c r="AA40" s="38">
        <v>0</v>
      </c>
      <c r="AB40" s="38">
        <v>0</v>
      </c>
      <c r="AC40" s="38">
        <f t="shared" si="10"/>
        <v>0</v>
      </c>
      <c r="AD40" s="38">
        <v>300000</v>
      </c>
      <c r="AE40" s="38">
        <f t="shared" si="11"/>
        <v>300000</v>
      </c>
      <c r="AF40" s="38">
        <v>300000</v>
      </c>
      <c r="AG40" s="38">
        <f t="shared" si="12"/>
        <v>300000</v>
      </c>
      <c r="AH40" s="38">
        <v>0</v>
      </c>
      <c r="AI40" s="38">
        <v>0</v>
      </c>
      <c r="AJ40" s="38">
        <f t="shared" si="13"/>
        <v>500000</v>
      </c>
      <c r="AK40" s="38">
        <f t="shared" si="14"/>
        <v>260000</v>
      </c>
      <c r="AL40" s="38">
        <v>100000</v>
      </c>
      <c r="AM40" s="38">
        <f t="shared" si="15"/>
        <v>1930400</v>
      </c>
      <c r="AN40" s="38">
        <v>0</v>
      </c>
      <c r="AO40" s="38">
        <f t="shared" si="16"/>
        <v>1460000</v>
      </c>
      <c r="AP40" s="39">
        <f t="shared" si="17"/>
        <v>4064000</v>
      </c>
      <c r="AQ40" s="39">
        <f t="shared" si="18"/>
        <v>0</v>
      </c>
      <c r="AR40" s="46">
        <f t="shared" si="19"/>
        <v>19538.461538461539</v>
      </c>
      <c r="AS40" s="57">
        <f t="shared" si="20"/>
        <v>0</v>
      </c>
      <c r="AT40" s="39">
        <f t="shared" si="21"/>
        <v>3949700</v>
      </c>
      <c r="AU40" s="38">
        <f t="shared" si="22"/>
        <v>1274885</v>
      </c>
      <c r="AV40" s="38">
        <f t="shared" si="23"/>
        <v>628650</v>
      </c>
      <c r="AW40" s="38">
        <f t="shared" si="24"/>
        <v>0</v>
      </c>
      <c r="AX40" s="40">
        <f t="shared" si="25"/>
        <v>0</v>
      </c>
      <c r="AY40" s="40">
        <f t="shared" si="26"/>
        <v>0</v>
      </c>
      <c r="AZ40" s="40">
        <f t="shared" si="27"/>
        <v>0</v>
      </c>
      <c r="BA40" s="40">
        <f t="shared" si="28"/>
        <v>0</v>
      </c>
      <c r="BB40" s="40">
        <f t="shared" si="29"/>
        <v>0</v>
      </c>
      <c r="BC40" s="40">
        <v>0</v>
      </c>
      <c r="BD40" s="39">
        <f t="shared" si="30"/>
        <v>1903535</v>
      </c>
      <c r="BE40" s="39">
        <f t="shared" si="31"/>
        <v>9243635</v>
      </c>
      <c r="BF40" s="39">
        <f t="shared" si="32"/>
        <v>4064000</v>
      </c>
      <c r="BG40" s="39">
        <f t="shared" si="33"/>
        <v>711200</v>
      </c>
      <c r="BH40" s="39">
        <f t="shared" si="34"/>
        <v>121920</v>
      </c>
      <c r="BI40" s="39">
        <f t="shared" si="35"/>
        <v>40640</v>
      </c>
      <c r="BJ40" s="39">
        <f t="shared" si="36"/>
        <v>81280</v>
      </c>
      <c r="BK40" s="39">
        <f t="shared" si="37"/>
        <v>955040</v>
      </c>
      <c r="BL40" s="38">
        <f t="shared" si="38"/>
        <v>325120</v>
      </c>
      <c r="BM40" s="38">
        <f t="shared" si="39"/>
        <v>60960</v>
      </c>
      <c r="BN40" s="38">
        <f t="shared" si="40"/>
        <v>40640</v>
      </c>
      <c r="BO40" s="38">
        <f t="shared" si="41"/>
        <v>426720</v>
      </c>
      <c r="BP40" s="38">
        <v>11000000</v>
      </c>
      <c r="BQ40" s="38">
        <v>0</v>
      </c>
      <c r="BR40" s="38">
        <v>4400000</v>
      </c>
      <c r="BS40" s="38">
        <f t="shared" si="42"/>
        <v>0</v>
      </c>
      <c r="BT40" s="38">
        <f t="shared" si="43"/>
        <v>260000</v>
      </c>
      <c r="BU40" s="37">
        <f t="shared" si="44"/>
        <v>7897785</v>
      </c>
      <c r="BV40" s="38">
        <f t="shared" si="45"/>
        <v>0</v>
      </c>
      <c r="BW40" s="38">
        <f t="shared" si="46"/>
        <v>0</v>
      </c>
      <c r="BX40" s="38">
        <v>0</v>
      </c>
      <c r="BY40" s="38">
        <f t="shared" si="47"/>
        <v>35000</v>
      </c>
      <c r="BZ40" s="38">
        <f t="shared" si="48"/>
        <v>8781915</v>
      </c>
      <c r="CA40" s="38">
        <f>VLOOKUP(D40,'[1]Payroll of factory (DET).1'!$B$10:$BS$38,70,0)-BZ40</f>
        <v>-0.38461538404226303</v>
      </c>
      <c r="CB40" s="26">
        <v>0</v>
      </c>
      <c r="CF40" s="12">
        <f t="shared" si="49"/>
        <v>2614384.6153846155</v>
      </c>
      <c r="CG40" s="12">
        <f t="shared" si="50"/>
        <v>0</v>
      </c>
      <c r="CH40" s="12">
        <f t="shared" si="51"/>
        <v>2413000</v>
      </c>
      <c r="CI40" s="12">
        <f t="shared" si="52"/>
        <v>1536700.0000000002</v>
      </c>
      <c r="CJ40" s="12">
        <v>0</v>
      </c>
      <c r="CK40" s="12">
        <v>0</v>
      </c>
      <c r="CL40" s="12">
        <v>0</v>
      </c>
      <c r="CM40" s="12">
        <v>500000</v>
      </c>
      <c r="CN40" s="12">
        <v>45641</v>
      </c>
      <c r="CO40" s="12">
        <v>0</v>
      </c>
      <c r="CP40" s="12">
        <v>0</v>
      </c>
      <c r="CQ40" s="12"/>
      <c r="CR40" s="12">
        <v>0</v>
      </c>
      <c r="CS40" s="5" t="s">
        <v>285</v>
      </c>
      <c r="CT40" s="5">
        <v>12</v>
      </c>
      <c r="CU40" s="5">
        <v>2024</v>
      </c>
      <c r="CV40" s="5">
        <v>26</v>
      </c>
      <c r="CW40" s="5">
        <v>8</v>
      </c>
      <c r="CX40" s="48">
        <v>107.5</v>
      </c>
      <c r="CY40" s="49">
        <v>60.5</v>
      </c>
      <c r="CZ40" s="49">
        <v>43.5</v>
      </c>
      <c r="DA40" s="49">
        <v>16.5</v>
      </c>
      <c r="DB40" s="49">
        <v>0</v>
      </c>
      <c r="DC40" s="49">
        <v>0</v>
      </c>
      <c r="DD40" s="49">
        <v>0</v>
      </c>
      <c r="DE40" s="48">
        <v>0</v>
      </c>
      <c r="DF40" s="48">
        <v>0</v>
      </c>
      <c r="DG40" s="48">
        <v>0</v>
      </c>
      <c r="DH40" s="48">
        <v>0</v>
      </c>
      <c r="DI40" s="49">
        <v>0</v>
      </c>
      <c r="DJ40" s="49">
        <v>0</v>
      </c>
      <c r="DK40" s="49">
        <v>0</v>
      </c>
      <c r="DL40" s="49">
        <v>0</v>
      </c>
      <c r="DM40" s="49">
        <v>0</v>
      </c>
      <c r="DN40" s="49">
        <v>0</v>
      </c>
      <c r="DO40" s="49">
        <v>0</v>
      </c>
      <c r="DP40" s="48">
        <v>0</v>
      </c>
      <c r="DQ40" s="48">
        <v>0</v>
      </c>
      <c r="DR40" s="4">
        <v>16</v>
      </c>
      <c r="DS40" s="4">
        <v>24</v>
      </c>
      <c r="DT40" s="4"/>
      <c r="DU40" s="4"/>
      <c r="DV40" s="4">
        <v>0</v>
      </c>
      <c r="DW40" s="4">
        <v>0</v>
      </c>
      <c r="DX40" s="4">
        <v>0</v>
      </c>
      <c r="DY40" s="4">
        <v>0</v>
      </c>
      <c r="DZ40" s="4">
        <v>21</v>
      </c>
      <c r="EA40" s="4">
        <v>2</v>
      </c>
      <c r="EB40" s="4">
        <v>1</v>
      </c>
      <c r="EC40" s="4">
        <v>2</v>
      </c>
      <c r="ED40" s="4">
        <v>0</v>
      </c>
      <c r="EE40" s="4">
        <v>35000</v>
      </c>
      <c r="EF40" s="4" t="s">
        <v>286</v>
      </c>
      <c r="EG40" s="4">
        <v>1930400</v>
      </c>
      <c r="EH40" s="4">
        <v>0</v>
      </c>
    </row>
    <row r="41" spans="2:138">
      <c r="B41" s="36">
        <v>27</v>
      </c>
      <c r="C41" s="36" t="s">
        <v>335</v>
      </c>
      <c r="D41" s="37" t="s">
        <v>336</v>
      </c>
      <c r="E41" s="36" t="s">
        <v>297</v>
      </c>
      <c r="F41" s="36">
        <v>208</v>
      </c>
      <c r="G41" s="54">
        <f t="shared" si="0"/>
        <v>129</v>
      </c>
      <c r="H41" s="45">
        <f t="shared" si="1"/>
        <v>55</v>
      </c>
      <c r="I41" s="45">
        <f t="shared" si="2"/>
        <v>184</v>
      </c>
      <c r="J41" s="38">
        <v>22</v>
      </c>
      <c r="K41" s="45">
        <f t="shared" si="3"/>
        <v>51.5</v>
      </c>
      <c r="L41" s="45">
        <f t="shared" si="4"/>
        <v>15</v>
      </c>
      <c r="M41" s="45">
        <f t="shared" si="5"/>
        <v>0</v>
      </c>
      <c r="N41" s="45">
        <f t="shared" si="6"/>
        <v>0</v>
      </c>
      <c r="O41" s="45">
        <f t="shared" si="7"/>
        <v>0</v>
      </c>
      <c r="P41" s="45">
        <f t="shared" si="8"/>
        <v>0</v>
      </c>
      <c r="Q41" s="45">
        <f t="shared" si="9"/>
        <v>0</v>
      </c>
      <c r="R41" s="45">
        <v>0</v>
      </c>
      <c r="S41" s="45">
        <v>0</v>
      </c>
      <c r="T41" s="38">
        <v>4064000</v>
      </c>
      <c r="U41" s="38">
        <v>0</v>
      </c>
      <c r="V41" s="38">
        <v>0</v>
      </c>
      <c r="W41" s="38">
        <v>0</v>
      </c>
      <c r="X41" s="38">
        <v>0</v>
      </c>
      <c r="Y41" s="38">
        <v>0</v>
      </c>
      <c r="Z41" s="38">
        <v>0</v>
      </c>
      <c r="AA41" s="38">
        <v>0</v>
      </c>
      <c r="AB41" s="38">
        <v>0</v>
      </c>
      <c r="AC41" s="38">
        <f t="shared" si="10"/>
        <v>0</v>
      </c>
      <c r="AD41" s="38">
        <v>300000</v>
      </c>
      <c r="AE41" s="38">
        <f t="shared" si="11"/>
        <v>300000</v>
      </c>
      <c r="AF41" s="38">
        <v>300000</v>
      </c>
      <c r="AG41" s="38">
        <f t="shared" si="12"/>
        <v>300000</v>
      </c>
      <c r="AH41" s="38">
        <v>0</v>
      </c>
      <c r="AI41" s="38">
        <v>0</v>
      </c>
      <c r="AJ41" s="38">
        <f t="shared" si="13"/>
        <v>500000</v>
      </c>
      <c r="AK41" s="38">
        <f t="shared" si="14"/>
        <v>286000</v>
      </c>
      <c r="AL41" s="38">
        <v>0</v>
      </c>
      <c r="AM41" s="38">
        <f t="shared" si="15"/>
        <v>1930400</v>
      </c>
      <c r="AN41" s="38">
        <v>0</v>
      </c>
      <c r="AO41" s="38">
        <f t="shared" si="16"/>
        <v>1386000</v>
      </c>
      <c r="AP41" s="39">
        <f t="shared" si="17"/>
        <v>4064000</v>
      </c>
      <c r="AQ41" s="39">
        <f t="shared" si="18"/>
        <v>0</v>
      </c>
      <c r="AR41" s="46">
        <f t="shared" si="19"/>
        <v>19538.461538461539</v>
      </c>
      <c r="AS41" s="57">
        <f t="shared" si="20"/>
        <v>0</v>
      </c>
      <c r="AT41" s="39">
        <f t="shared" si="21"/>
        <v>3917462</v>
      </c>
      <c r="AU41" s="38">
        <f t="shared" si="22"/>
        <v>1509346</v>
      </c>
      <c r="AV41" s="38">
        <f t="shared" si="23"/>
        <v>571500</v>
      </c>
      <c r="AW41" s="38">
        <f t="shared" si="24"/>
        <v>0</v>
      </c>
      <c r="AX41" s="40">
        <f t="shared" si="25"/>
        <v>0</v>
      </c>
      <c r="AY41" s="40">
        <f t="shared" si="26"/>
        <v>0</v>
      </c>
      <c r="AZ41" s="40">
        <f t="shared" si="27"/>
        <v>0</v>
      </c>
      <c r="BA41" s="40">
        <f t="shared" si="28"/>
        <v>0</v>
      </c>
      <c r="BB41" s="40">
        <f t="shared" si="29"/>
        <v>0</v>
      </c>
      <c r="BC41" s="40">
        <v>0</v>
      </c>
      <c r="BD41" s="39">
        <f t="shared" si="30"/>
        <v>2080846</v>
      </c>
      <c r="BE41" s="39">
        <f t="shared" si="31"/>
        <v>9314708</v>
      </c>
      <c r="BF41" s="39">
        <f t="shared" si="32"/>
        <v>4064000</v>
      </c>
      <c r="BG41" s="39">
        <f t="shared" si="33"/>
        <v>711200</v>
      </c>
      <c r="BH41" s="39">
        <f t="shared" si="34"/>
        <v>121920</v>
      </c>
      <c r="BI41" s="39">
        <f t="shared" si="35"/>
        <v>40640</v>
      </c>
      <c r="BJ41" s="39">
        <f t="shared" si="36"/>
        <v>81280</v>
      </c>
      <c r="BK41" s="39">
        <f t="shared" si="37"/>
        <v>955040</v>
      </c>
      <c r="BL41" s="38">
        <f t="shared" si="38"/>
        <v>325120</v>
      </c>
      <c r="BM41" s="38">
        <f t="shared" si="39"/>
        <v>60960</v>
      </c>
      <c r="BN41" s="38">
        <f t="shared" si="40"/>
        <v>40640</v>
      </c>
      <c r="BO41" s="38">
        <f t="shared" si="41"/>
        <v>426720</v>
      </c>
      <c r="BP41" s="38">
        <v>11000000</v>
      </c>
      <c r="BQ41" s="38">
        <v>0</v>
      </c>
      <c r="BR41" s="38">
        <v>4400000</v>
      </c>
      <c r="BS41" s="38">
        <f t="shared" si="42"/>
        <v>0</v>
      </c>
      <c r="BT41" s="38">
        <f t="shared" si="43"/>
        <v>286000</v>
      </c>
      <c r="BU41" s="37">
        <f t="shared" si="44"/>
        <v>7924784.923076923</v>
      </c>
      <c r="BV41" s="38">
        <f t="shared" si="45"/>
        <v>0</v>
      </c>
      <c r="BW41" s="38">
        <f t="shared" si="46"/>
        <v>0</v>
      </c>
      <c r="BX41" s="38">
        <v>0</v>
      </c>
      <c r="BY41" s="38">
        <f t="shared" si="47"/>
        <v>35000</v>
      </c>
      <c r="BZ41" s="38">
        <f t="shared" si="48"/>
        <v>8852988</v>
      </c>
      <c r="CA41" s="38">
        <f>VLOOKUP(D41,'[1]Payroll of factory (DET).1'!$B$10:$BS$38,70,0)-BZ41</f>
        <v>-0.30769230797886848</v>
      </c>
      <c r="CB41" s="26">
        <v>0</v>
      </c>
      <c r="CF41" s="12">
        <f t="shared" si="49"/>
        <v>2659923.076923077</v>
      </c>
      <c r="CG41" s="12">
        <f t="shared" si="50"/>
        <v>0</v>
      </c>
      <c r="CH41" s="12">
        <f t="shared" si="51"/>
        <v>2520461.5384615385</v>
      </c>
      <c r="CI41" s="12">
        <f t="shared" si="52"/>
        <v>1397000</v>
      </c>
      <c r="CJ41" s="12">
        <v>0</v>
      </c>
      <c r="CK41" s="12">
        <v>0</v>
      </c>
      <c r="CL41" s="12">
        <v>0</v>
      </c>
      <c r="CM41" s="12">
        <v>500000</v>
      </c>
      <c r="CN41" s="12">
        <v>45641</v>
      </c>
      <c r="CO41" s="12">
        <v>0</v>
      </c>
      <c r="CP41" s="12">
        <v>0</v>
      </c>
      <c r="CQ41" s="12"/>
      <c r="CR41" s="12">
        <v>0</v>
      </c>
      <c r="CS41" s="5" t="s">
        <v>285</v>
      </c>
      <c r="CT41" s="5">
        <v>12</v>
      </c>
      <c r="CU41" s="5">
        <v>2024</v>
      </c>
      <c r="CV41" s="5">
        <v>26</v>
      </c>
      <c r="CW41" s="5">
        <v>8</v>
      </c>
      <c r="CX41" s="48">
        <v>121</v>
      </c>
      <c r="CY41" s="49">
        <v>55</v>
      </c>
      <c r="CZ41" s="49">
        <v>51.5</v>
      </c>
      <c r="DA41" s="49">
        <v>15</v>
      </c>
      <c r="DB41" s="49">
        <v>0</v>
      </c>
      <c r="DC41" s="49">
        <v>0</v>
      </c>
      <c r="DD41" s="49">
        <v>0</v>
      </c>
      <c r="DE41" s="48">
        <v>0</v>
      </c>
      <c r="DF41" s="48">
        <v>0</v>
      </c>
      <c r="DG41" s="48">
        <v>0</v>
      </c>
      <c r="DH41" s="48">
        <v>0</v>
      </c>
      <c r="DI41" s="49">
        <v>0</v>
      </c>
      <c r="DJ41" s="49">
        <v>0</v>
      </c>
      <c r="DK41" s="49">
        <v>0</v>
      </c>
      <c r="DL41" s="49">
        <v>0</v>
      </c>
      <c r="DM41" s="49">
        <v>0</v>
      </c>
      <c r="DN41" s="49">
        <v>0</v>
      </c>
      <c r="DO41" s="49">
        <v>0</v>
      </c>
      <c r="DP41" s="48">
        <v>0</v>
      </c>
      <c r="DQ41" s="48">
        <v>0</v>
      </c>
      <c r="DR41" s="4">
        <v>8</v>
      </c>
      <c r="DS41" s="4">
        <v>24</v>
      </c>
      <c r="DT41" s="4"/>
      <c r="DU41" s="4"/>
      <c r="DV41" s="4">
        <v>0</v>
      </c>
      <c r="DW41" s="4">
        <v>0</v>
      </c>
      <c r="DX41" s="4">
        <v>0</v>
      </c>
      <c r="DY41" s="4">
        <v>0</v>
      </c>
      <c r="DZ41" s="4">
        <v>22</v>
      </c>
      <c r="EA41" s="4">
        <v>2</v>
      </c>
      <c r="EB41" s="4">
        <v>1</v>
      </c>
      <c r="EC41" s="4">
        <v>2</v>
      </c>
      <c r="ED41" s="4">
        <v>0</v>
      </c>
      <c r="EE41" s="4">
        <v>35000</v>
      </c>
      <c r="EF41" s="4" t="s">
        <v>286</v>
      </c>
      <c r="EG41" s="4">
        <v>1930400</v>
      </c>
      <c r="EH41" s="4">
        <v>0</v>
      </c>
    </row>
    <row r="42" spans="2:138">
      <c r="B42" s="36">
        <v>28</v>
      </c>
      <c r="C42" s="36" t="s">
        <v>337</v>
      </c>
      <c r="D42" s="37" t="s">
        <v>338</v>
      </c>
      <c r="E42" s="36" t="s">
        <v>297</v>
      </c>
      <c r="F42" s="36">
        <v>208</v>
      </c>
      <c r="G42" s="54">
        <f t="shared" si="0"/>
        <v>142</v>
      </c>
      <c r="H42" s="45">
        <f t="shared" si="1"/>
        <v>66</v>
      </c>
      <c r="I42" s="45">
        <f t="shared" si="2"/>
        <v>208</v>
      </c>
      <c r="J42" s="38">
        <v>22</v>
      </c>
      <c r="K42" s="45">
        <f t="shared" si="3"/>
        <v>49.5</v>
      </c>
      <c r="L42" s="45">
        <f t="shared" si="4"/>
        <v>17</v>
      </c>
      <c r="M42" s="45">
        <f t="shared" si="5"/>
        <v>0</v>
      </c>
      <c r="N42" s="45">
        <f t="shared" si="6"/>
        <v>0</v>
      </c>
      <c r="O42" s="45">
        <f t="shared" si="7"/>
        <v>0</v>
      </c>
      <c r="P42" s="45">
        <f t="shared" si="8"/>
        <v>0</v>
      </c>
      <c r="Q42" s="45">
        <f t="shared" si="9"/>
        <v>0</v>
      </c>
      <c r="R42" s="45">
        <v>0</v>
      </c>
      <c r="S42" s="45">
        <v>0</v>
      </c>
      <c r="T42" s="38">
        <v>4064000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38">
        <f t="shared" si="10"/>
        <v>0</v>
      </c>
      <c r="AD42" s="38">
        <v>300000</v>
      </c>
      <c r="AE42" s="38">
        <f t="shared" si="11"/>
        <v>300000</v>
      </c>
      <c r="AF42" s="38">
        <v>300000</v>
      </c>
      <c r="AG42" s="38">
        <f t="shared" si="12"/>
        <v>300000</v>
      </c>
      <c r="AH42" s="38">
        <v>0</v>
      </c>
      <c r="AI42" s="38">
        <v>20000</v>
      </c>
      <c r="AJ42" s="38">
        <f t="shared" si="13"/>
        <v>500000</v>
      </c>
      <c r="AK42" s="38">
        <f t="shared" si="14"/>
        <v>286000</v>
      </c>
      <c r="AL42" s="38">
        <v>0</v>
      </c>
      <c r="AM42" s="38">
        <f t="shared" si="15"/>
        <v>1828800</v>
      </c>
      <c r="AN42" s="38">
        <v>0</v>
      </c>
      <c r="AO42" s="38">
        <f t="shared" si="16"/>
        <v>1406000</v>
      </c>
      <c r="AP42" s="39">
        <f t="shared" si="17"/>
        <v>4064000</v>
      </c>
      <c r="AQ42" s="39">
        <f t="shared" si="18"/>
        <v>0</v>
      </c>
      <c r="AR42" s="46">
        <f t="shared" si="19"/>
        <v>19538.461538461539</v>
      </c>
      <c r="AS42" s="57">
        <f t="shared" si="20"/>
        <v>0</v>
      </c>
      <c r="AT42" s="39">
        <f t="shared" si="21"/>
        <v>4450862</v>
      </c>
      <c r="AU42" s="38">
        <f t="shared" si="22"/>
        <v>1450731</v>
      </c>
      <c r="AV42" s="38">
        <f t="shared" si="23"/>
        <v>647700</v>
      </c>
      <c r="AW42" s="38">
        <f t="shared" si="24"/>
        <v>0</v>
      </c>
      <c r="AX42" s="40">
        <f t="shared" si="25"/>
        <v>0</v>
      </c>
      <c r="AY42" s="40">
        <f t="shared" si="26"/>
        <v>0</v>
      </c>
      <c r="AZ42" s="40">
        <f t="shared" si="27"/>
        <v>0</v>
      </c>
      <c r="BA42" s="40">
        <f t="shared" si="28"/>
        <v>0</v>
      </c>
      <c r="BB42" s="40">
        <f t="shared" si="29"/>
        <v>0</v>
      </c>
      <c r="BC42" s="40">
        <v>0</v>
      </c>
      <c r="BD42" s="39">
        <f t="shared" si="30"/>
        <v>2098431</v>
      </c>
      <c r="BE42" s="39">
        <f t="shared" si="31"/>
        <v>9784093</v>
      </c>
      <c r="BF42" s="39">
        <f t="shared" si="32"/>
        <v>4064000</v>
      </c>
      <c r="BG42" s="39">
        <f t="shared" si="33"/>
        <v>711200</v>
      </c>
      <c r="BH42" s="39">
        <f t="shared" si="34"/>
        <v>121920</v>
      </c>
      <c r="BI42" s="39">
        <f t="shared" si="35"/>
        <v>40640</v>
      </c>
      <c r="BJ42" s="39">
        <f t="shared" si="36"/>
        <v>81280</v>
      </c>
      <c r="BK42" s="39">
        <f t="shared" si="37"/>
        <v>955040</v>
      </c>
      <c r="BL42" s="38">
        <f t="shared" si="38"/>
        <v>325120</v>
      </c>
      <c r="BM42" s="38">
        <f t="shared" si="39"/>
        <v>60960</v>
      </c>
      <c r="BN42" s="38">
        <f t="shared" si="40"/>
        <v>40640</v>
      </c>
      <c r="BO42" s="38">
        <f t="shared" si="41"/>
        <v>426720</v>
      </c>
      <c r="BP42" s="38">
        <v>11000000</v>
      </c>
      <c r="BQ42" s="38">
        <v>0</v>
      </c>
      <c r="BR42" s="38">
        <v>4400000</v>
      </c>
      <c r="BS42" s="38">
        <f t="shared" si="42"/>
        <v>0</v>
      </c>
      <c r="BT42" s="38">
        <f t="shared" si="43"/>
        <v>286000</v>
      </c>
      <c r="BU42" s="37">
        <f t="shared" si="44"/>
        <v>8312108.384615385</v>
      </c>
      <c r="BV42" s="38">
        <f t="shared" si="45"/>
        <v>0</v>
      </c>
      <c r="BW42" s="38">
        <f t="shared" si="46"/>
        <v>0</v>
      </c>
      <c r="BX42" s="38">
        <v>0</v>
      </c>
      <c r="BY42" s="38">
        <f t="shared" si="47"/>
        <v>35000</v>
      </c>
      <c r="BZ42" s="38">
        <f t="shared" si="48"/>
        <v>9322373</v>
      </c>
      <c r="CA42" s="38">
        <f>VLOOKUP(D42,'[1]Payroll of factory (DET).1'!$B$10:$BS$38,70,0)-BZ42</f>
        <v>-0.69230769202113152</v>
      </c>
      <c r="CB42" s="26">
        <v>0</v>
      </c>
      <c r="CF42" s="12">
        <f t="shared" si="49"/>
        <v>2874846.153846154</v>
      </c>
      <c r="CG42" s="12">
        <f t="shared" si="50"/>
        <v>0</v>
      </c>
      <c r="CH42" s="12">
        <f t="shared" si="51"/>
        <v>2774461.5384615385</v>
      </c>
      <c r="CI42" s="12">
        <f t="shared" si="52"/>
        <v>1676400</v>
      </c>
      <c r="CJ42" s="12">
        <v>0</v>
      </c>
      <c r="CK42" s="12">
        <v>0</v>
      </c>
      <c r="CL42" s="12">
        <v>0</v>
      </c>
      <c r="CM42" s="12">
        <v>500000</v>
      </c>
      <c r="CN42" s="12">
        <v>45641</v>
      </c>
      <c r="CO42" s="12">
        <v>0</v>
      </c>
      <c r="CP42" s="12">
        <v>0</v>
      </c>
      <c r="CQ42" s="12"/>
      <c r="CR42" s="12">
        <v>0</v>
      </c>
      <c r="CS42" s="5" t="s">
        <v>285</v>
      </c>
      <c r="CT42" s="5">
        <v>12</v>
      </c>
      <c r="CU42" s="5">
        <v>2024</v>
      </c>
      <c r="CV42" s="5">
        <v>26</v>
      </c>
      <c r="CW42" s="5">
        <v>8</v>
      </c>
      <c r="CX42" s="48">
        <v>126</v>
      </c>
      <c r="CY42" s="49">
        <v>66</v>
      </c>
      <c r="CZ42" s="49">
        <v>49.5</v>
      </c>
      <c r="DA42" s="49">
        <v>17</v>
      </c>
      <c r="DB42" s="49">
        <v>0</v>
      </c>
      <c r="DC42" s="49">
        <v>0</v>
      </c>
      <c r="DD42" s="49">
        <v>0</v>
      </c>
      <c r="DE42" s="48">
        <v>0</v>
      </c>
      <c r="DF42" s="48">
        <v>0</v>
      </c>
      <c r="DG42" s="48">
        <v>0</v>
      </c>
      <c r="DH42" s="48">
        <v>0</v>
      </c>
      <c r="DI42" s="49">
        <v>0</v>
      </c>
      <c r="DJ42" s="49">
        <v>0</v>
      </c>
      <c r="DK42" s="49">
        <v>0</v>
      </c>
      <c r="DL42" s="49">
        <v>0</v>
      </c>
      <c r="DM42" s="49">
        <v>0</v>
      </c>
      <c r="DN42" s="49">
        <v>0</v>
      </c>
      <c r="DO42" s="49">
        <v>0</v>
      </c>
      <c r="DP42" s="48">
        <v>0</v>
      </c>
      <c r="DQ42" s="48">
        <v>0</v>
      </c>
      <c r="DR42" s="4">
        <v>16</v>
      </c>
      <c r="DS42" s="4">
        <v>0</v>
      </c>
      <c r="DT42" s="4"/>
      <c r="DU42" s="4"/>
      <c r="DV42" s="4"/>
      <c r="DW42" s="4"/>
      <c r="DX42" s="4"/>
      <c r="DY42" s="4"/>
      <c r="DZ42" s="4">
        <v>24</v>
      </c>
      <c r="EA42" s="4">
        <v>2</v>
      </c>
      <c r="EB42" s="4">
        <v>1</v>
      </c>
      <c r="EC42" s="4">
        <v>2</v>
      </c>
      <c r="ED42" s="4">
        <v>0</v>
      </c>
      <c r="EE42" s="4">
        <v>35000</v>
      </c>
      <c r="EF42" s="4" t="s">
        <v>286</v>
      </c>
      <c r="EG42" s="4">
        <v>1828800</v>
      </c>
      <c r="EH42" s="4">
        <v>0</v>
      </c>
    </row>
    <row r="43" spans="2:138">
      <c r="B43" s="36">
        <v>29</v>
      </c>
      <c r="C43" s="36" t="s">
        <v>339</v>
      </c>
      <c r="D43" s="37" t="s">
        <v>340</v>
      </c>
      <c r="E43" s="36" t="s">
        <v>297</v>
      </c>
      <c r="F43" s="36">
        <v>208</v>
      </c>
      <c r="G43" s="54">
        <f t="shared" si="0"/>
        <v>118.5</v>
      </c>
      <c r="H43" s="45">
        <f t="shared" si="1"/>
        <v>49.5</v>
      </c>
      <c r="I43" s="45">
        <f t="shared" si="2"/>
        <v>168</v>
      </c>
      <c r="J43" s="38">
        <v>18</v>
      </c>
      <c r="K43" s="45">
        <f t="shared" si="3"/>
        <v>40.5</v>
      </c>
      <c r="L43" s="45">
        <f t="shared" si="4"/>
        <v>13.5</v>
      </c>
      <c r="M43" s="45">
        <f t="shared" si="5"/>
        <v>0</v>
      </c>
      <c r="N43" s="45">
        <f t="shared" si="6"/>
        <v>0</v>
      </c>
      <c r="O43" s="45">
        <f t="shared" si="7"/>
        <v>0</v>
      </c>
      <c r="P43" s="45">
        <f t="shared" si="8"/>
        <v>0</v>
      </c>
      <c r="Q43" s="45">
        <f t="shared" si="9"/>
        <v>0</v>
      </c>
      <c r="R43" s="45">
        <v>0</v>
      </c>
      <c r="S43" s="45">
        <v>0</v>
      </c>
      <c r="T43" s="38">
        <v>4064000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  <c r="AA43" s="38">
        <v>0</v>
      </c>
      <c r="AB43" s="38">
        <v>0</v>
      </c>
      <c r="AC43" s="38">
        <f t="shared" si="10"/>
        <v>0</v>
      </c>
      <c r="AD43" s="38">
        <v>300000</v>
      </c>
      <c r="AE43" s="38">
        <f t="shared" si="11"/>
        <v>300000</v>
      </c>
      <c r="AF43" s="38">
        <v>300000</v>
      </c>
      <c r="AG43" s="38">
        <f t="shared" si="12"/>
        <v>300000</v>
      </c>
      <c r="AH43" s="38">
        <v>0</v>
      </c>
      <c r="AI43" s="38">
        <v>0</v>
      </c>
      <c r="AJ43" s="38">
        <f t="shared" si="13"/>
        <v>0</v>
      </c>
      <c r="AK43" s="38">
        <f t="shared" si="14"/>
        <v>234000</v>
      </c>
      <c r="AL43" s="38">
        <v>0</v>
      </c>
      <c r="AM43" s="38">
        <f t="shared" si="15"/>
        <v>1828800</v>
      </c>
      <c r="AN43" s="38">
        <v>0</v>
      </c>
      <c r="AO43" s="38">
        <f t="shared" si="16"/>
        <v>834000</v>
      </c>
      <c r="AP43" s="39">
        <f t="shared" si="17"/>
        <v>4064000</v>
      </c>
      <c r="AQ43" s="39">
        <f t="shared" si="18"/>
        <v>0</v>
      </c>
      <c r="AR43" s="46">
        <f t="shared" si="19"/>
        <v>19538.461538461539</v>
      </c>
      <c r="AS43" s="57">
        <f t="shared" si="20"/>
        <v>0</v>
      </c>
      <c r="AT43" s="39">
        <f t="shared" si="21"/>
        <v>3572608</v>
      </c>
      <c r="AU43" s="38">
        <f t="shared" si="22"/>
        <v>1186962</v>
      </c>
      <c r="AV43" s="38">
        <f t="shared" si="23"/>
        <v>514350</v>
      </c>
      <c r="AW43" s="38">
        <f t="shared" si="24"/>
        <v>0</v>
      </c>
      <c r="AX43" s="40">
        <f t="shared" si="25"/>
        <v>0</v>
      </c>
      <c r="AY43" s="40">
        <f t="shared" si="26"/>
        <v>0</v>
      </c>
      <c r="AZ43" s="40">
        <f t="shared" si="27"/>
        <v>0</v>
      </c>
      <c r="BA43" s="40">
        <f t="shared" si="28"/>
        <v>0</v>
      </c>
      <c r="BB43" s="40">
        <f t="shared" si="29"/>
        <v>0</v>
      </c>
      <c r="BC43" s="40">
        <v>0</v>
      </c>
      <c r="BD43" s="39">
        <f t="shared" si="30"/>
        <v>1701312</v>
      </c>
      <c r="BE43" s="39">
        <f t="shared" si="31"/>
        <v>7936720</v>
      </c>
      <c r="BF43" s="39">
        <f t="shared" si="32"/>
        <v>4064000</v>
      </c>
      <c r="BG43" s="39">
        <f t="shared" si="33"/>
        <v>711200</v>
      </c>
      <c r="BH43" s="39">
        <f t="shared" si="34"/>
        <v>121920</v>
      </c>
      <c r="BI43" s="39">
        <f t="shared" si="35"/>
        <v>40640</v>
      </c>
      <c r="BJ43" s="39">
        <f t="shared" si="36"/>
        <v>81280</v>
      </c>
      <c r="BK43" s="39">
        <f t="shared" si="37"/>
        <v>955040</v>
      </c>
      <c r="BL43" s="38">
        <f t="shared" si="38"/>
        <v>325120</v>
      </c>
      <c r="BM43" s="38">
        <f t="shared" si="39"/>
        <v>60960</v>
      </c>
      <c r="BN43" s="38">
        <f t="shared" si="40"/>
        <v>40640</v>
      </c>
      <c r="BO43" s="38">
        <f t="shared" si="41"/>
        <v>426720</v>
      </c>
      <c r="BP43" s="38">
        <v>11000000</v>
      </c>
      <c r="BQ43" s="38">
        <v>0</v>
      </c>
      <c r="BR43" s="38">
        <v>4400000</v>
      </c>
      <c r="BS43" s="38">
        <f t="shared" si="42"/>
        <v>0</v>
      </c>
      <c r="BT43" s="38">
        <f t="shared" si="43"/>
        <v>234000</v>
      </c>
      <c r="BU43" s="37">
        <f t="shared" si="44"/>
        <v>6766339.230769231</v>
      </c>
      <c r="BV43" s="38">
        <f t="shared" si="45"/>
        <v>0</v>
      </c>
      <c r="BW43" s="38">
        <f t="shared" si="46"/>
        <v>0</v>
      </c>
      <c r="BX43" s="38">
        <v>0</v>
      </c>
      <c r="BY43" s="38">
        <f t="shared" si="47"/>
        <v>35000</v>
      </c>
      <c r="BZ43" s="38">
        <f t="shared" si="48"/>
        <v>7475000</v>
      </c>
      <c r="CA43" s="38">
        <f>VLOOKUP(D43,'[1]Payroll of factory (DET).1'!$B$10:$BS$38,70,0)-BZ43</f>
        <v>-0.76923076808452606</v>
      </c>
      <c r="CB43" s="26">
        <v>0</v>
      </c>
      <c r="CF43" s="12">
        <f t="shared" si="49"/>
        <v>2256230.769230769</v>
      </c>
      <c r="CG43" s="12">
        <f t="shared" si="50"/>
        <v>0</v>
      </c>
      <c r="CH43" s="12">
        <f t="shared" si="51"/>
        <v>2315307.6923076925</v>
      </c>
      <c r="CI43" s="12">
        <f t="shared" si="52"/>
        <v>1257300.0000000002</v>
      </c>
      <c r="CJ43" s="12">
        <v>0</v>
      </c>
      <c r="CK43" s="12">
        <v>0</v>
      </c>
      <c r="CL43" s="12">
        <v>0</v>
      </c>
      <c r="CM43" s="12">
        <v>0</v>
      </c>
      <c r="CN43" s="12">
        <v>45641</v>
      </c>
      <c r="CO43" s="12">
        <v>0</v>
      </c>
      <c r="CP43" s="12">
        <v>0</v>
      </c>
      <c r="CQ43" s="12"/>
      <c r="CR43" s="12">
        <v>0</v>
      </c>
      <c r="CS43" s="5" t="s">
        <v>285</v>
      </c>
      <c r="CT43" s="5">
        <v>12</v>
      </c>
      <c r="CU43" s="5">
        <v>2024</v>
      </c>
      <c r="CV43" s="5">
        <v>26</v>
      </c>
      <c r="CW43" s="5">
        <v>8</v>
      </c>
      <c r="CX43" s="48">
        <v>102.5</v>
      </c>
      <c r="CY43" s="49">
        <v>49.5</v>
      </c>
      <c r="CZ43" s="49">
        <v>40.5</v>
      </c>
      <c r="DA43" s="49">
        <v>13.5</v>
      </c>
      <c r="DB43" s="49">
        <v>0</v>
      </c>
      <c r="DC43" s="49">
        <v>0</v>
      </c>
      <c r="DD43" s="49">
        <v>0</v>
      </c>
      <c r="DE43" s="48">
        <v>0</v>
      </c>
      <c r="DF43" s="48">
        <v>0</v>
      </c>
      <c r="DG43" s="48">
        <v>0</v>
      </c>
      <c r="DH43" s="48">
        <v>0</v>
      </c>
      <c r="DI43" s="49">
        <v>0</v>
      </c>
      <c r="DJ43" s="49">
        <v>0</v>
      </c>
      <c r="DK43" s="49">
        <v>0</v>
      </c>
      <c r="DL43" s="49">
        <v>0</v>
      </c>
      <c r="DM43" s="49">
        <v>0</v>
      </c>
      <c r="DN43" s="49">
        <v>0</v>
      </c>
      <c r="DO43" s="49">
        <v>0</v>
      </c>
      <c r="DP43" s="48">
        <v>0</v>
      </c>
      <c r="DQ43" s="48">
        <v>0</v>
      </c>
      <c r="DR43" s="4">
        <v>16</v>
      </c>
      <c r="DS43" s="4">
        <v>24</v>
      </c>
      <c r="DT43" s="4"/>
      <c r="DU43" s="4"/>
      <c r="DV43" s="4"/>
      <c r="DW43" s="4"/>
      <c r="DX43" s="4"/>
      <c r="DY43" s="4"/>
      <c r="DZ43" s="4">
        <v>19</v>
      </c>
      <c r="EA43" s="4">
        <v>2</v>
      </c>
      <c r="EB43" s="4">
        <v>1</v>
      </c>
      <c r="EC43" s="4">
        <v>2</v>
      </c>
      <c r="ED43" s="4">
        <v>0</v>
      </c>
      <c r="EE43" s="4">
        <v>35000</v>
      </c>
      <c r="EF43" s="4" t="s">
        <v>286</v>
      </c>
      <c r="EG43" s="4">
        <v>1828800</v>
      </c>
      <c r="EH43" s="4">
        <v>0</v>
      </c>
    </row>
    <row r="44" spans="2:138">
      <c r="B44" s="36">
        <v>30</v>
      </c>
      <c r="C44" s="36" t="s">
        <v>341</v>
      </c>
      <c r="D44" s="37" t="s">
        <v>342</v>
      </c>
      <c r="E44" s="36" t="s">
        <v>297</v>
      </c>
      <c r="F44" s="36">
        <v>208</v>
      </c>
      <c r="G44" s="54">
        <f t="shared" si="0"/>
        <v>117</v>
      </c>
      <c r="H44" s="45">
        <f t="shared" si="1"/>
        <v>55</v>
      </c>
      <c r="I44" s="45">
        <f t="shared" si="2"/>
        <v>172</v>
      </c>
      <c r="J44" s="38">
        <v>19</v>
      </c>
      <c r="K44" s="45">
        <f t="shared" si="3"/>
        <v>42</v>
      </c>
      <c r="L44" s="45">
        <f t="shared" si="4"/>
        <v>15</v>
      </c>
      <c r="M44" s="45">
        <f t="shared" si="5"/>
        <v>0</v>
      </c>
      <c r="N44" s="45">
        <f t="shared" si="6"/>
        <v>0</v>
      </c>
      <c r="O44" s="45">
        <f t="shared" si="7"/>
        <v>0</v>
      </c>
      <c r="P44" s="45">
        <f t="shared" si="8"/>
        <v>0</v>
      </c>
      <c r="Q44" s="45">
        <f t="shared" si="9"/>
        <v>0</v>
      </c>
      <c r="R44" s="45">
        <v>0</v>
      </c>
      <c r="S44" s="45">
        <v>0</v>
      </c>
      <c r="T44" s="38">
        <v>4064000</v>
      </c>
      <c r="U44" s="38">
        <v>0</v>
      </c>
      <c r="V44" s="38">
        <v>0</v>
      </c>
      <c r="W44" s="38">
        <v>0</v>
      </c>
      <c r="X44" s="38">
        <v>0</v>
      </c>
      <c r="Y44" s="38">
        <v>0</v>
      </c>
      <c r="Z44" s="38">
        <v>0</v>
      </c>
      <c r="AA44" s="38">
        <v>0</v>
      </c>
      <c r="AB44" s="38">
        <v>0</v>
      </c>
      <c r="AC44" s="38">
        <f t="shared" si="10"/>
        <v>0</v>
      </c>
      <c r="AD44" s="38">
        <v>300000</v>
      </c>
      <c r="AE44" s="38">
        <f t="shared" si="11"/>
        <v>300000</v>
      </c>
      <c r="AF44" s="38">
        <v>300000</v>
      </c>
      <c r="AG44" s="38">
        <f t="shared" si="12"/>
        <v>300000</v>
      </c>
      <c r="AH44" s="38">
        <v>0</v>
      </c>
      <c r="AI44" s="38">
        <v>0</v>
      </c>
      <c r="AJ44" s="38">
        <f t="shared" si="13"/>
        <v>0</v>
      </c>
      <c r="AK44" s="38">
        <f t="shared" si="14"/>
        <v>247000</v>
      </c>
      <c r="AL44" s="38">
        <v>0</v>
      </c>
      <c r="AM44" s="38">
        <f t="shared" si="15"/>
        <v>1828800</v>
      </c>
      <c r="AN44" s="38">
        <v>0</v>
      </c>
      <c r="AO44" s="38">
        <f t="shared" si="16"/>
        <v>847000</v>
      </c>
      <c r="AP44" s="39">
        <f t="shared" si="17"/>
        <v>4064000</v>
      </c>
      <c r="AQ44" s="39">
        <f t="shared" si="18"/>
        <v>0</v>
      </c>
      <c r="AR44" s="46">
        <f t="shared" si="19"/>
        <v>19538.461538461539</v>
      </c>
      <c r="AS44" s="57">
        <f t="shared" si="20"/>
        <v>0</v>
      </c>
      <c r="AT44" s="39">
        <f t="shared" si="21"/>
        <v>3683000</v>
      </c>
      <c r="AU44" s="38">
        <f t="shared" si="22"/>
        <v>1230923</v>
      </c>
      <c r="AV44" s="38">
        <f t="shared" si="23"/>
        <v>571500</v>
      </c>
      <c r="AW44" s="38">
        <f t="shared" si="24"/>
        <v>0</v>
      </c>
      <c r="AX44" s="40">
        <f t="shared" si="25"/>
        <v>0</v>
      </c>
      <c r="AY44" s="40">
        <f t="shared" si="26"/>
        <v>0</v>
      </c>
      <c r="AZ44" s="40">
        <f t="shared" si="27"/>
        <v>0</v>
      </c>
      <c r="BA44" s="40">
        <f t="shared" si="28"/>
        <v>0</v>
      </c>
      <c r="BB44" s="40">
        <f t="shared" si="29"/>
        <v>0</v>
      </c>
      <c r="BC44" s="40">
        <v>0</v>
      </c>
      <c r="BD44" s="39">
        <f t="shared" si="30"/>
        <v>1802423</v>
      </c>
      <c r="BE44" s="39">
        <f t="shared" si="31"/>
        <v>8161223</v>
      </c>
      <c r="BF44" s="39">
        <f t="shared" si="32"/>
        <v>4064000</v>
      </c>
      <c r="BG44" s="39">
        <f t="shared" si="33"/>
        <v>711200</v>
      </c>
      <c r="BH44" s="39">
        <f t="shared" si="34"/>
        <v>121920</v>
      </c>
      <c r="BI44" s="39">
        <f t="shared" si="35"/>
        <v>40640</v>
      </c>
      <c r="BJ44" s="39">
        <f t="shared" si="36"/>
        <v>81280</v>
      </c>
      <c r="BK44" s="39">
        <f t="shared" si="37"/>
        <v>955040</v>
      </c>
      <c r="BL44" s="38">
        <f t="shared" si="38"/>
        <v>325120</v>
      </c>
      <c r="BM44" s="38">
        <f t="shared" si="39"/>
        <v>60960</v>
      </c>
      <c r="BN44" s="38">
        <f t="shared" si="40"/>
        <v>40640</v>
      </c>
      <c r="BO44" s="38">
        <f t="shared" si="41"/>
        <v>426720</v>
      </c>
      <c r="BP44" s="38">
        <v>11000000</v>
      </c>
      <c r="BQ44" s="38">
        <v>0</v>
      </c>
      <c r="BR44" s="38">
        <v>4400000</v>
      </c>
      <c r="BS44" s="38">
        <f t="shared" si="42"/>
        <v>0</v>
      </c>
      <c r="BT44" s="38">
        <f t="shared" si="43"/>
        <v>247000</v>
      </c>
      <c r="BU44" s="37">
        <f t="shared" si="44"/>
        <v>6903107.615384615</v>
      </c>
      <c r="BV44" s="38">
        <f t="shared" si="45"/>
        <v>0</v>
      </c>
      <c r="BW44" s="38">
        <f t="shared" si="46"/>
        <v>0</v>
      </c>
      <c r="BX44" s="38">
        <v>0</v>
      </c>
      <c r="BY44" s="38">
        <f t="shared" si="47"/>
        <v>35000</v>
      </c>
      <c r="BZ44" s="38">
        <f t="shared" si="48"/>
        <v>7699503</v>
      </c>
      <c r="CA44" s="38">
        <f>VLOOKUP(D44,'[1]Payroll of factory (DET).1'!$B$10:$BS$38,70,0)-BZ44</f>
        <v>7.6923076994717121E-2</v>
      </c>
      <c r="CB44" s="26">
        <v>0</v>
      </c>
      <c r="CF44" s="12">
        <f t="shared" si="49"/>
        <v>2435307.6923076925</v>
      </c>
      <c r="CG44" s="12">
        <f t="shared" si="50"/>
        <v>0</v>
      </c>
      <c r="CH44" s="12">
        <f t="shared" si="51"/>
        <v>2286000</v>
      </c>
      <c r="CI44" s="12">
        <f t="shared" si="52"/>
        <v>1397000</v>
      </c>
      <c r="CJ44" s="12">
        <v>0</v>
      </c>
      <c r="CK44" s="12">
        <v>0</v>
      </c>
      <c r="CL44" s="12">
        <v>0</v>
      </c>
      <c r="CM44" s="12">
        <v>0</v>
      </c>
      <c r="CN44" s="12">
        <v>45641</v>
      </c>
      <c r="CO44" s="12">
        <v>0</v>
      </c>
      <c r="CP44" s="12">
        <v>0</v>
      </c>
      <c r="CQ44" s="12"/>
      <c r="CR44" s="12">
        <v>0</v>
      </c>
      <c r="CS44" s="5" t="s">
        <v>285</v>
      </c>
      <c r="CT44" s="5">
        <v>12</v>
      </c>
      <c r="CU44" s="5">
        <v>2024</v>
      </c>
      <c r="CV44" s="5">
        <v>26</v>
      </c>
      <c r="CW44" s="5">
        <v>8</v>
      </c>
      <c r="CX44" s="48">
        <v>109</v>
      </c>
      <c r="CY44" s="49">
        <v>55</v>
      </c>
      <c r="CZ44" s="49">
        <v>42</v>
      </c>
      <c r="DA44" s="49">
        <v>15</v>
      </c>
      <c r="DB44" s="49">
        <v>0</v>
      </c>
      <c r="DC44" s="49">
        <v>0</v>
      </c>
      <c r="DD44" s="49">
        <v>0</v>
      </c>
      <c r="DE44" s="48">
        <v>0</v>
      </c>
      <c r="DF44" s="48">
        <v>0</v>
      </c>
      <c r="DG44" s="48">
        <v>0</v>
      </c>
      <c r="DH44" s="48">
        <v>0</v>
      </c>
      <c r="DI44" s="49">
        <v>0</v>
      </c>
      <c r="DJ44" s="49">
        <v>0</v>
      </c>
      <c r="DK44" s="49">
        <v>0</v>
      </c>
      <c r="DL44" s="49">
        <v>0</v>
      </c>
      <c r="DM44" s="49">
        <v>0</v>
      </c>
      <c r="DN44" s="49">
        <v>0</v>
      </c>
      <c r="DO44" s="49">
        <v>0</v>
      </c>
      <c r="DP44" s="48">
        <v>0</v>
      </c>
      <c r="DQ44" s="48">
        <v>0</v>
      </c>
      <c r="DR44" s="4">
        <v>8</v>
      </c>
      <c r="DS44" s="4">
        <v>32</v>
      </c>
      <c r="DT44" s="4"/>
      <c r="DU44" s="4"/>
      <c r="DV44" s="4">
        <v>1</v>
      </c>
      <c r="DW44" s="4">
        <v>300</v>
      </c>
      <c r="DX44" s="4">
        <v>0</v>
      </c>
      <c r="DY44" s="4">
        <v>0</v>
      </c>
      <c r="DZ44" s="4">
        <v>21</v>
      </c>
      <c r="EA44" s="4">
        <v>2</v>
      </c>
      <c r="EB44" s="4">
        <v>1</v>
      </c>
      <c r="EC44" s="4">
        <v>2</v>
      </c>
      <c r="ED44" s="4">
        <v>0</v>
      </c>
      <c r="EE44" s="4">
        <v>35000</v>
      </c>
      <c r="EF44" s="4" t="s">
        <v>286</v>
      </c>
      <c r="EG44" s="4">
        <v>1828800</v>
      </c>
      <c r="EH44" s="4">
        <v>0</v>
      </c>
    </row>
    <row r="45" spans="2:138">
      <c r="B45" s="36">
        <v>31</v>
      </c>
      <c r="C45" s="36" t="s">
        <v>343</v>
      </c>
      <c r="D45" s="37" t="s">
        <v>344</v>
      </c>
      <c r="E45" s="36" t="s">
        <v>297</v>
      </c>
      <c r="F45" s="36">
        <v>208</v>
      </c>
      <c r="G45" s="54">
        <f t="shared" si="0"/>
        <v>184</v>
      </c>
      <c r="H45" s="45">
        <f t="shared" si="1"/>
        <v>0</v>
      </c>
      <c r="I45" s="45">
        <f t="shared" si="2"/>
        <v>184</v>
      </c>
      <c r="J45" s="38">
        <v>20</v>
      </c>
      <c r="K45" s="45">
        <f t="shared" si="3"/>
        <v>61</v>
      </c>
      <c r="L45" s="45">
        <f t="shared" si="4"/>
        <v>0</v>
      </c>
      <c r="M45" s="45">
        <f t="shared" si="5"/>
        <v>0</v>
      </c>
      <c r="N45" s="45">
        <f t="shared" si="6"/>
        <v>0</v>
      </c>
      <c r="O45" s="45">
        <f t="shared" si="7"/>
        <v>0</v>
      </c>
      <c r="P45" s="45">
        <f t="shared" si="8"/>
        <v>0</v>
      </c>
      <c r="Q45" s="45">
        <f t="shared" si="9"/>
        <v>0</v>
      </c>
      <c r="R45" s="45">
        <v>0</v>
      </c>
      <c r="S45" s="45">
        <v>0</v>
      </c>
      <c r="T45" s="38">
        <v>4267000</v>
      </c>
      <c r="U45" s="38">
        <v>0</v>
      </c>
      <c r="V45" s="38">
        <v>0</v>
      </c>
      <c r="W45" s="38">
        <v>600000</v>
      </c>
      <c r="X45" s="38">
        <v>0</v>
      </c>
      <c r="Y45" s="38">
        <v>0</v>
      </c>
      <c r="Z45" s="38">
        <v>0</v>
      </c>
      <c r="AA45" s="38">
        <v>600000</v>
      </c>
      <c r="AB45" s="38">
        <v>0</v>
      </c>
      <c r="AC45" s="38">
        <f t="shared" si="10"/>
        <v>0</v>
      </c>
      <c r="AD45" s="38">
        <v>300000</v>
      </c>
      <c r="AE45" s="38">
        <f t="shared" si="11"/>
        <v>300000</v>
      </c>
      <c r="AF45" s="38">
        <v>300000</v>
      </c>
      <c r="AG45" s="38">
        <f t="shared" si="12"/>
        <v>300000</v>
      </c>
      <c r="AH45" s="38">
        <v>0</v>
      </c>
      <c r="AI45" s="38">
        <v>20000</v>
      </c>
      <c r="AJ45" s="38">
        <f t="shared" si="13"/>
        <v>0</v>
      </c>
      <c r="AK45" s="38">
        <f t="shared" si="14"/>
        <v>260000</v>
      </c>
      <c r="AL45" s="38">
        <v>0</v>
      </c>
      <c r="AM45" s="38">
        <f t="shared" si="15"/>
        <v>2068475</v>
      </c>
      <c r="AN45" s="38">
        <v>0</v>
      </c>
      <c r="AO45" s="38">
        <f t="shared" si="16"/>
        <v>880000</v>
      </c>
      <c r="AP45" s="39">
        <f t="shared" si="17"/>
        <v>4867000</v>
      </c>
      <c r="AQ45" s="39">
        <f t="shared" si="18"/>
        <v>600000</v>
      </c>
      <c r="AR45" s="46">
        <f t="shared" si="19"/>
        <v>23399.038461538461</v>
      </c>
      <c r="AS45" s="57">
        <f t="shared" si="20"/>
        <v>2884.6153846153848</v>
      </c>
      <c r="AT45" s="39">
        <f t="shared" si="21"/>
        <v>4305423</v>
      </c>
      <c r="AU45" s="38">
        <f t="shared" si="22"/>
        <v>2141012</v>
      </c>
      <c r="AV45" s="38">
        <f t="shared" si="23"/>
        <v>0</v>
      </c>
      <c r="AW45" s="38">
        <f t="shared" si="24"/>
        <v>0</v>
      </c>
      <c r="AX45" s="40">
        <f t="shared" si="25"/>
        <v>0</v>
      </c>
      <c r="AY45" s="40">
        <f t="shared" si="26"/>
        <v>0</v>
      </c>
      <c r="AZ45" s="40">
        <f t="shared" si="27"/>
        <v>0</v>
      </c>
      <c r="BA45" s="40">
        <f t="shared" si="28"/>
        <v>0</v>
      </c>
      <c r="BB45" s="40">
        <f t="shared" si="29"/>
        <v>0</v>
      </c>
      <c r="BC45" s="40">
        <v>0</v>
      </c>
      <c r="BD45" s="39">
        <f t="shared" si="30"/>
        <v>2141012</v>
      </c>
      <c r="BE45" s="39">
        <f t="shared" si="31"/>
        <v>9394910</v>
      </c>
      <c r="BF45" s="39">
        <f t="shared" si="32"/>
        <v>4867000</v>
      </c>
      <c r="BG45" s="39">
        <f t="shared" si="33"/>
        <v>851725</v>
      </c>
      <c r="BH45" s="39">
        <f t="shared" si="34"/>
        <v>146010</v>
      </c>
      <c r="BI45" s="39">
        <f t="shared" si="35"/>
        <v>48670</v>
      </c>
      <c r="BJ45" s="39">
        <f t="shared" si="36"/>
        <v>97340</v>
      </c>
      <c r="BK45" s="39">
        <f t="shared" si="37"/>
        <v>1143745</v>
      </c>
      <c r="BL45" s="38">
        <f t="shared" si="38"/>
        <v>389360</v>
      </c>
      <c r="BM45" s="38">
        <f t="shared" si="39"/>
        <v>73005</v>
      </c>
      <c r="BN45" s="38">
        <f t="shared" si="40"/>
        <v>48670</v>
      </c>
      <c r="BO45" s="38">
        <f t="shared" si="41"/>
        <v>511035</v>
      </c>
      <c r="BP45" s="38">
        <v>11000000</v>
      </c>
      <c r="BQ45" s="38">
        <v>0</v>
      </c>
      <c r="BR45" s="38">
        <v>4400000</v>
      </c>
      <c r="BS45" s="38">
        <f t="shared" si="42"/>
        <v>0</v>
      </c>
      <c r="BT45" s="38">
        <f t="shared" si="43"/>
        <v>260000</v>
      </c>
      <c r="BU45" s="37">
        <f t="shared" si="44"/>
        <v>8421239.3269230761</v>
      </c>
      <c r="BV45" s="38">
        <f t="shared" si="45"/>
        <v>0</v>
      </c>
      <c r="BW45" s="38">
        <f t="shared" si="46"/>
        <v>0</v>
      </c>
      <c r="BX45" s="38">
        <v>0</v>
      </c>
      <c r="BY45" s="38">
        <f t="shared" si="47"/>
        <v>35000</v>
      </c>
      <c r="BZ45" s="38">
        <f t="shared" si="48"/>
        <v>8848875</v>
      </c>
      <c r="CA45" s="38">
        <f>VLOOKUP(D45,'[1]Payroll of factory (DET).1'!$B$10:$BS$38,70,0)-BZ45</f>
        <v>9.6153846010565758E-2</v>
      </c>
      <c r="CB45" s="26">
        <v>0</v>
      </c>
      <c r="CF45" s="12">
        <f t="shared" si="49"/>
        <v>1687341.346153846</v>
      </c>
      <c r="CG45" s="12">
        <f t="shared" si="50"/>
        <v>0</v>
      </c>
      <c r="CH45" s="12">
        <f t="shared" si="51"/>
        <v>4305423.076923077</v>
      </c>
      <c r="CI45" s="12">
        <f t="shared" si="52"/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45641</v>
      </c>
      <c r="CO45" s="12">
        <v>0</v>
      </c>
      <c r="CP45" s="12">
        <v>0</v>
      </c>
      <c r="CQ45" s="12"/>
      <c r="CR45" s="12">
        <v>0</v>
      </c>
      <c r="CS45" s="5" t="s">
        <v>285</v>
      </c>
      <c r="CT45" s="5">
        <v>12</v>
      </c>
      <c r="CU45" s="5">
        <v>2024</v>
      </c>
      <c r="CV45" s="5">
        <v>26</v>
      </c>
      <c r="CW45" s="5">
        <v>8</v>
      </c>
      <c r="CX45" s="48">
        <v>176</v>
      </c>
      <c r="CY45" s="49">
        <v>0</v>
      </c>
      <c r="CZ45" s="49">
        <v>61</v>
      </c>
      <c r="DA45" s="49">
        <v>0</v>
      </c>
      <c r="DB45" s="49">
        <v>0</v>
      </c>
      <c r="DC45" s="49">
        <v>0</v>
      </c>
      <c r="DD45" s="49">
        <v>0</v>
      </c>
      <c r="DE45" s="48">
        <v>0</v>
      </c>
      <c r="DF45" s="48">
        <v>0</v>
      </c>
      <c r="DG45" s="48">
        <v>0</v>
      </c>
      <c r="DH45" s="48">
        <v>0</v>
      </c>
      <c r="DI45" s="49">
        <v>0</v>
      </c>
      <c r="DJ45" s="49">
        <v>0</v>
      </c>
      <c r="DK45" s="49">
        <v>0</v>
      </c>
      <c r="DL45" s="49">
        <v>0</v>
      </c>
      <c r="DM45" s="49">
        <v>0</v>
      </c>
      <c r="DN45" s="49">
        <v>0</v>
      </c>
      <c r="DO45" s="49">
        <v>0</v>
      </c>
      <c r="DP45" s="48">
        <v>0</v>
      </c>
      <c r="DQ45" s="48">
        <v>0</v>
      </c>
      <c r="DR45" s="4">
        <v>8</v>
      </c>
      <c r="DS45" s="4">
        <v>16</v>
      </c>
      <c r="DT45" s="4"/>
      <c r="DU45" s="4"/>
      <c r="DV45" s="4"/>
      <c r="DW45" s="4"/>
      <c r="DX45" s="4"/>
      <c r="DY45" s="4"/>
      <c r="DZ45" s="4">
        <v>22</v>
      </c>
      <c r="EA45" s="4">
        <v>2</v>
      </c>
      <c r="EB45" s="4">
        <v>1</v>
      </c>
      <c r="EC45" s="4">
        <v>2</v>
      </c>
      <c r="ED45" s="4">
        <v>0</v>
      </c>
      <c r="EE45" s="4">
        <v>35000</v>
      </c>
      <c r="EF45" s="4" t="s">
        <v>286</v>
      </c>
      <c r="EG45" s="4">
        <v>2068475</v>
      </c>
      <c r="EH45" s="4">
        <v>0</v>
      </c>
    </row>
    <row r="46" spans="2:138">
      <c r="B46" s="36">
        <v>32</v>
      </c>
      <c r="C46" s="36" t="s">
        <v>345</v>
      </c>
      <c r="D46" s="37" t="s">
        <v>346</v>
      </c>
      <c r="E46" s="36" t="s">
        <v>297</v>
      </c>
      <c r="F46" s="36">
        <v>208</v>
      </c>
      <c r="G46" s="54">
        <f t="shared" si="0"/>
        <v>192</v>
      </c>
      <c r="H46" s="45">
        <f t="shared" si="1"/>
        <v>0</v>
      </c>
      <c r="I46" s="45">
        <f t="shared" si="2"/>
        <v>192</v>
      </c>
      <c r="J46" s="38">
        <v>21</v>
      </c>
      <c r="K46" s="45">
        <f t="shared" si="3"/>
        <v>63</v>
      </c>
      <c r="L46" s="45">
        <f t="shared" si="4"/>
        <v>0</v>
      </c>
      <c r="M46" s="45">
        <f t="shared" si="5"/>
        <v>0</v>
      </c>
      <c r="N46" s="45">
        <f t="shared" si="6"/>
        <v>0</v>
      </c>
      <c r="O46" s="45">
        <f t="shared" si="7"/>
        <v>0</v>
      </c>
      <c r="P46" s="45">
        <f t="shared" si="8"/>
        <v>0</v>
      </c>
      <c r="Q46" s="45">
        <f t="shared" si="9"/>
        <v>0</v>
      </c>
      <c r="R46" s="45">
        <v>0</v>
      </c>
      <c r="S46" s="45">
        <v>0</v>
      </c>
      <c r="T46" s="38">
        <v>4064000</v>
      </c>
      <c r="U46" s="38">
        <v>0</v>
      </c>
      <c r="V46" s="38">
        <v>0</v>
      </c>
      <c r="W46" s="38">
        <v>0</v>
      </c>
      <c r="X46" s="38">
        <v>0</v>
      </c>
      <c r="Y46" s="38">
        <v>0</v>
      </c>
      <c r="Z46" s="38">
        <v>0</v>
      </c>
      <c r="AA46" s="38">
        <v>0</v>
      </c>
      <c r="AB46" s="38">
        <v>0</v>
      </c>
      <c r="AC46" s="38">
        <f t="shared" si="10"/>
        <v>0</v>
      </c>
      <c r="AD46" s="38">
        <v>300000</v>
      </c>
      <c r="AE46" s="38">
        <f t="shared" si="11"/>
        <v>300000</v>
      </c>
      <c r="AF46" s="38">
        <v>300000</v>
      </c>
      <c r="AG46" s="38">
        <f t="shared" si="12"/>
        <v>300000</v>
      </c>
      <c r="AH46" s="38">
        <v>0</v>
      </c>
      <c r="AI46" s="38">
        <v>20000</v>
      </c>
      <c r="AJ46" s="38">
        <f t="shared" si="13"/>
        <v>500000</v>
      </c>
      <c r="AK46" s="38">
        <f t="shared" si="14"/>
        <v>273000</v>
      </c>
      <c r="AL46" s="38">
        <v>0</v>
      </c>
      <c r="AM46" s="38">
        <f t="shared" si="15"/>
        <v>1320800</v>
      </c>
      <c r="AN46" s="38">
        <v>0</v>
      </c>
      <c r="AO46" s="38">
        <f t="shared" si="16"/>
        <v>1393000</v>
      </c>
      <c r="AP46" s="39">
        <f t="shared" si="17"/>
        <v>4064000</v>
      </c>
      <c r="AQ46" s="39">
        <f t="shared" si="18"/>
        <v>0</v>
      </c>
      <c r="AR46" s="46">
        <f t="shared" si="19"/>
        <v>19538.461538461539</v>
      </c>
      <c r="AS46" s="57">
        <f t="shared" si="20"/>
        <v>0</v>
      </c>
      <c r="AT46" s="39">
        <f t="shared" si="21"/>
        <v>3751385</v>
      </c>
      <c r="AU46" s="38">
        <f t="shared" si="22"/>
        <v>1846385</v>
      </c>
      <c r="AV46" s="38">
        <f t="shared" si="23"/>
        <v>0</v>
      </c>
      <c r="AW46" s="38">
        <f t="shared" si="24"/>
        <v>0</v>
      </c>
      <c r="AX46" s="40">
        <f t="shared" si="25"/>
        <v>0</v>
      </c>
      <c r="AY46" s="40">
        <f t="shared" si="26"/>
        <v>0</v>
      </c>
      <c r="AZ46" s="40">
        <f t="shared" si="27"/>
        <v>0</v>
      </c>
      <c r="BA46" s="40">
        <f t="shared" si="28"/>
        <v>0</v>
      </c>
      <c r="BB46" s="40">
        <f t="shared" si="29"/>
        <v>0</v>
      </c>
      <c r="BC46" s="40">
        <v>0</v>
      </c>
      <c r="BD46" s="39">
        <f t="shared" si="30"/>
        <v>1846385</v>
      </c>
      <c r="BE46" s="39">
        <f t="shared" si="31"/>
        <v>8311570</v>
      </c>
      <c r="BF46" s="39">
        <f t="shared" si="32"/>
        <v>4064000</v>
      </c>
      <c r="BG46" s="39">
        <f t="shared" si="33"/>
        <v>711200</v>
      </c>
      <c r="BH46" s="39">
        <f t="shared" si="34"/>
        <v>121920</v>
      </c>
      <c r="BI46" s="39">
        <f t="shared" si="35"/>
        <v>40640</v>
      </c>
      <c r="BJ46" s="39">
        <f t="shared" si="36"/>
        <v>81280</v>
      </c>
      <c r="BK46" s="39">
        <f t="shared" si="37"/>
        <v>955040</v>
      </c>
      <c r="BL46" s="38">
        <f t="shared" si="38"/>
        <v>325120</v>
      </c>
      <c r="BM46" s="38">
        <f t="shared" si="39"/>
        <v>60960</v>
      </c>
      <c r="BN46" s="38">
        <f t="shared" si="40"/>
        <v>40640</v>
      </c>
      <c r="BO46" s="38">
        <f t="shared" si="41"/>
        <v>426720</v>
      </c>
      <c r="BP46" s="38">
        <v>11000000</v>
      </c>
      <c r="BQ46" s="38">
        <v>0</v>
      </c>
      <c r="BR46" s="38">
        <v>4400000</v>
      </c>
      <c r="BS46" s="38">
        <f t="shared" si="42"/>
        <v>0</v>
      </c>
      <c r="BT46" s="38">
        <f t="shared" si="43"/>
        <v>273000</v>
      </c>
      <c r="BU46" s="37">
        <f t="shared" si="44"/>
        <v>7423108.461538462</v>
      </c>
      <c r="BV46" s="38">
        <f t="shared" si="45"/>
        <v>0</v>
      </c>
      <c r="BW46" s="38">
        <f t="shared" si="46"/>
        <v>0</v>
      </c>
      <c r="BX46" s="38">
        <v>0</v>
      </c>
      <c r="BY46" s="38">
        <f t="shared" si="47"/>
        <v>35000</v>
      </c>
      <c r="BZ46" s="38">
        <f t="shared" si="48"/>
        <v>7849850</v>
      </c>
      <c r="CA46" s="38">
        <f>VLOOKUP(D46,'[1]Payroll of factory (DET).1'!$B$10:$BS$38,70,0)-BZ46</f>
        <v>-0.76923076808452606</v>
      </c>
      <c r="CB46" s="26">
        <v>0</v>
      </c>
      <c r="CF46" s="12">
        <f t="shared" si="49"/>
        <v>1503923.076923077</v>
      </c>
      <c r="CG46" s="12">
        <f t="shared" si="50"/>
        <v>0</v>
      </c>
      <c r="CH46" s="12">
        <f t="shared" si="51"/>
        <v>3751384.6153846155</v>
      </c>
      <c r="CI46" s="12">
        <f t="shared" si="52"/>
        <v>0</v>
      </c>
      <c r="CJ46" s="12">
        <v>0</v>
      </c>
      <c r="CK46" s="12">
        <v>0</v>
      </c>
      <c r="CL46" s="12">
        <v>0</v>
      </c>
      <c r="CM46" s="12">
        <v>500000</v>
      </c>
      <c r="CN46" s="12">
        <v>45641</v>
      </c>
      <c r="CO46" s="12">
        <v>0</v>
      </c>
      <c r="CP46" s="12">
        <v>0</v>
      </c>
      <c r="CQ46" s="12"/>
      <c r="CR46" s="12">
        <v>0</v>
      </c>
      <c r="CS46" s="5" t="s">
        <v>285</v>
      </c>
      <c r="CT46" s="5">
        <v>12</v>
      </c>
      <c r="CU46" s="5">
        <v>2024</v>
      </c>
      <c r="CV46" s="5">
        <v>26</v>
      </c>
      <c r="CW46" s="5">
        <v>8</v>
      </c>
      <c r="CX46" s="48">
        <v>176</v>
      </c>
      <c r="CY46" s="49">
        <v>0</v>
      </c>
      <c r="CZ46" s="49">
        <v>63</v>
      </c>
      <c r="DA46" s="49">
        <v>0</v>
      </c>
      <c r="DB46" s="49">
        <v>0</v>
      </c>
      <c r="DC46" s="49">
        <v>0</v>
      </c>
      <c r="DD46" s="49">
        <v>0</v>
      </c>
      <c r="DE46" s="48">
        <v>0</v>
      </c>
      <c r="DF46" s="48">
        <v>0</v>
      </c>
      <c r="DG46" s="48">
        <v>0</v>
      </c>
      <c r="DH46" s="48">
        <v>0</v>
      </c>
      <c r="DI46" s="49">
        <v>0</v>
      </c>
      <c r="DJ46" s="49">
        <v>0</v>
      </c>
      <c r="DK46" s="49">
        <v>0</v>
      </c>
      <c r="DL46" s="49">
        <v>0</v>
      </c>
      <c r="DM46" s="49">
        <v>0</v>
      </c>
      <c r="DN46" s="49">
        <v>0</v>
      </c>
      <c r="DO46" s="49">
        <v>0</v>
      </c>
      <c r="DP46" s="48">
        <v>0</v>
      </c>
      <c r="DQ46" s="48">
        <v>0</v>
      </c>
      <c r="DR46" s="4">
        <v>16</v>
      </c>
      <c r="DS46" s="4">
        <v>16</v>
      </c>
      <c r="DT46" s="4"/>
      <c r="DU46" s="4"/>
      <c r="DV46" s="4"/>
      <c r="DW46" s="4"/>
      <c r="DX46" s="4"/>
      <c r="DY46" s="4"/>
      <c r="DZ46" s="4">
        <v>22</v>
      </c>
      <c r="EA46" s="4">
        <v>2</v>
      </c>
      <c r="EB46" s="4">
        <v>1</v>
      </c>
      <c r="EC46" s="4">
        <v>2</v>
      </c>
      <c r="ED46" s="4">
        <v>0</v>
      </c>
      <c r="EE46" s="4">
        <v>35000</v>
      </c>
      <c r="EF46" s="4" t="s">
        <v>286</v>
      </c>
      <c r="EG46" s="4">
        <v>1320800</v>
      </c>
      <c r="EH46" s="4">
        <v>0</v>
      </c>
    </row>
    <row r="47" spans="2:138">
      <c r="B47" s="36">
        <v>33</v>
      </c>
      <c r="C47" s="36" t="s">
        <v>347</v>
      </c>
      <c r="D47" s="37" t="s">
        <v>348</v>
      </c>
      <c r="E47" s="36" t="s">
        <v>349</v>
      </c>
      <c r="F47" s="36">
        <v>208</v>
      </c>
      <c r="G47" s="54">
        <f t="shared" si="0"/>
        <v>152</v>
      </c>
      <c r="H47" s="45">
        <f t="shared" si="1"/>
        <v>0</v>
      </c>
      <c r="I47" s="45">
        <f t="shared" si="2"/>
        <v>152</v>
      </c>
      <c r="J47" s="38">
        <v>0</v>
      </c>
      <c r="K47" s="45">
        <f t="shared" si="3"/>
        <v>0</v>
      </c>
      <c r="L47" s="45">
        <f t="shared" si="4"/>
        <v>0</v>
      </c>
      <c r="M47" s="45">
        <f t="shared" si="5"/>
        <v>0</v>
      </c>
      <c r="N47" s="45">
        <f t="shared" si="6"/>
        <v>0</v>
      </c>
      <c r="O47" s="45">
        <f t="shared" si="7"/>
        <v>0</v>
      </c>
      <c r="P47" s="45">
        <f t="shared" si="8"/>
        <v>0</v>
      </c>
      <c r="Q47" s="45">
        <f t="shared" si="9"/>
        <v>0</v>
      </c>
      <c r="R47" s="45">
        <v>0</v>
      </c>
      <c r="S47" s="45">
        <v>0</v>
      </c>
      <c r="T47" s="38">
        <v>3870000</v>
      </c>
      <c r="U47" s="38">
        <v>0</v>
      </c>
      <c r="V47" s="38">
        <v>0</v>
      </c>
      <c r="W47" s="38">
        <v>0</v>
      </c>
      <c r="X47" s="38">
        <v>0</v>
      </c>
      <c r="Y47" s="38">
        <v>0</v>
      </c>
      <c r="Z47" s="38">
        <v>0</v>
      </c>
      <c r="AA47" s="38">
        <v>0</v>
      </c>
      <c r="AB47" s="38">
        <v>0</v>
      </c>
      <c r="AC47" s="38">
        <f t="shared" si="10"/>
        <v>0</v>
      </c>
      <c r="AD47" s="38">
        <v>300000</v>
      </c>
      <c r="AE47" s="38">
        <f t="shared" si="11"/>
        <v>219230.76923076922</v>
      </c>
      <c r="AF47" s="38">
        <v>300000</v>
      </c>
      <c r="AG47" s="38">
        <f t="shared" si="12"/>
        <v>219230.76923076922</v>
      </c>
      <c r="AH47" s="38">
        <v>0</v>
      </c>
      <c r="AI47" s="38">
        <v>0</v>
      </c>
      <c r="AJ47" s="38">
        <f t="shared" si="13"/>
        <v>500000</v>
      </c>
      <c r="AK47" s="38">
        <f t="shared" si="14"/>
        <v>0</v>
      </c>
      <c r="AL47" s="38">
        <v>0</v>
      </c>
      <c r="AM47" s="38">
        <f t="shared" si="15"/>
        <v>387000</v>
      </c>
      <c r="AN47" s="38">
        <v>0</v>
      </c>
      <c r="AO47" s="38">
        <f t="shared" si="16"/>
        <v>938461.5384615385</v>
      </c>
      <c r="AP47" s="39">
        <f t="shared" si="17"/>
        <v>3870000</v>
      </c>
      <c r="AQ47" s="39">
        <f t="shared" si="18"/>
        <v>0</v>
      </c>
      <c r="AR47" s="46">
        <f t="shared" si="19"/>
        <v>18605.76923076923</v>
      </c>
      <c r="AS47" s="57">
        <f t="shared" si="20"/>
        <v>0</v>
      </c>
      <c r="AT47" s="39">
        <f t="shared" si="21"/>
        <v>2828077</v>
      </c>
      <c r="AU47" s="38">
        <f t="shared" si="22"/>
        <v>0</v>
      </c>
      <c r="AV47" s="38">
        <f t="shared" si="23"/>
        <v>0</v>
      </c>
      <c r="AW47" s="38">
        <f t="shared" si="24"/>
        <v>0</v>
      </c>
      <c r="AX47" s="40">
        <f t="shared" si="25"/>
        <v>0</v>
      </c>
      <c r="AY47" s="40">
        <f t="shared" si="26"/>
        <v>0</v>
      </c>
      <c r="AZ47" s="40">
        <f t="shared" si="27"/>
        <v>0</v>
      </c>
      <c r="BA47" s="40">
        <f t="shared" si="28"/>
        <v>0</v>
      </c>
      <c r="BB47" s="40">
        <f t="shared" si="29"/>
        <v>0</v>
      </c>
      <c r="BC47" s="40">
        <v>0</v>
      </c>
      <c r="BD47" s="39">
        <f t="shared" si="30"/>
        <v>0</v>
      </c>
      <c r="BE47" s="39">
        <f t="shared" si="31"/>
        <v>4153538.5384615385</v>
      </c>
      <c r="BF47" s="39">
        <f t="shared" si="32"/>
        <v>3870000</v>
      </c>
      <c r="BG47" s="39">
        <f t="shared" si="33"/>
        <v>677250</v>
      </c>
      <c r="BH47" s="39">
        <f t="shared" si="34"/>
        <v>116100</v>
      </c>
      <c r="BI47" s="39">
        <f t="shared" si="35"/>
        <v>38700</v>
      </c>
      <c r="BJ47" s="39">
        <f t="shared" si="36"/>
        <v>77400</v>
      </c>
      <c r="BK47" s="39">
        <f t="shared" si="37"/>
        <v>909450</v>
      </c>
      <c r="BL47" s="38">
        <f t="shared" si="38"/>
        <v>309600</v>
      </c>
      <c r="BM47" s="38">
        <f t="shared" si="39"/>
        <v>58050</v>
      </c>
      <c r="BN47" s="38">
        <f t="shared" si="40"/>
        <v>38700</v>
      </c>
      <c r="BO47" s="38">
        <f t="shared" si="41"/>
        <v>406350</v>
      </c>
      <c r="BP47" s="38">
        <v>11000000</v>
      </c>
      <c r="BQ47" s="38">
        <v>0</v>
      </c>
      <c r="BR47" s="38">
        <v>4400000</v>
      </c>
      <c r="BS47" s="38">
        <f t="shared" si="42"/>
        <v>0</v>
      </c>
      <c r="BT47" s="38">
        <f t="shared" si="43"/>
        <v>0</v>
      </c>
      <c r="BU47" s="37">
        <f t="shared" si="44"/>
        <v>4153538.5384615385</v>
      </c>
      <c r="BV47" s="38">
        <f t="shared" si="45"/>
        <v>0</v>
      </c>
      <c r="BW47" s="38">
        <f t="shared" si="46"/>
        <v>0</v>
      </c>
      <c r="BX47" s="38">
        <v>0</v>
      </c>
      <c r="BY47" s="38">
        <f t="shared" si="47"/>
        <v>35000</v>
      </c>
      <c r="BZ47" s="38">
        <f t="shared" si="48"/>
        <v>3712189</v>
      </c>
      <c r="CA47" s="38" t="e">
        <f>VLOOKUP(D47,'[1]Payroll of factory (DET).1'!$B$10:$BS$38,70,0)-BZ47</f>
        <v>#N/A</v>
      </c>
      <c r="CB47" s="26">
        <v>0</v>
      </c>
      <c r="CF47" s="12">
        <f t="shared" si="49"/>
        <v>0</v>
      </c>
      <c r="CG47" s="12">
        <f t="shared" si="50"/>
        <v>0</v>
      </c>
      <c r="CH47" s="12">
        <f t="shared" si="51"/>
        <v>2828076.923076923</v>
      </c>
      <c r="CI47" s="12">
        <f t="shared" si="52"/>
        <v>0</v>
      </c>
      <c r="CJ47" s="12">
        <v>1</v>
      </c>
      <c r="CK47" s="12">
        <v>0</v>
      </c>
      <c r="CL47" s="12">
        <v>0</v>
      </c>
      <c r="CM47" s="12">
        <v>500000</v>
      </c>
      <c r="CN47" s="12">
        <v>45641</v>
      </c>
      <c r="CO47" s="12">
        <v>0</v>
      </c>
      <c r="CP47" s="12">
        <v>0</v>
      </c>
      <c r="CQ47" s="12"/>
      <c r="CR47" s="12">
        <v>0</v>
      </c>
      <c r="CS47" s="5" t="s">
        <v>285</v>
      </c>
      <c r="CT47" s="5">
        <v>12</v>
      </c>
      <c r="CU47" s="5">
        <v>2024</v>
      </c>
      <c r="CV47" s="5">
        <v>26</v>
      </c>
      <c r="CW47" s="5">
        <v>8</v>
      </c>
      <c r="CX47" s="48">
        <v>152</v>
      </c>
      <c r="CY47" s="49">
        <v>0</v>
      </c>
      <c r="CZ47" s="49">
        <v>0</v>
      </c>
      <c r="DA47" s="49">
        <v>0</v>
      </c>
      <c r="DB47" s="49">
        <v>0</v>
      </c>
      <c r="DC47" s="49">
        <v>0</v>
      </c>
      <c r="DD47" s="49">
        <v>0</v>
      </c>
      <c r="DE47" s="48">
        <v>0</v>
      </c>
      <c r="DF47" s="48">
        <v>0</v>
      </c>
      <c r="DG47" s="48">
        <v>0</v>
      </c>
      <c r="DH47" s="48">
        <v>0</v>
      </c>
      <c r="DI47" s="49">
        <v>0</v>
      </c>
      <c r="DJ47" s="49">
        <v>0</v>
      </c>
      <c r="DK47" s="49">
        <v>0</v>
      </c>
      <c r="DL47" s="49">
        <v>0</v>
      </c>
      <c r="DM47" s="49">
        <v>0</v>
      </c>
      <c r="DN47" s="49">
        <v>0</v>
      </c>
      <c r="DO47" s="49">
        <v>0</v>
      </c>
      <c r="DP47" s="48">
        <v>0</v>
      </c>
      <c r="DQ47" s="48">
        <v>0</v>
      </c>
      <c r="DR47" s="4">
        <v>0</v>
      </c>
      <c r="DS47" s="4">
        <v>64</v>
      </c>
      <c r="DT47" s="4"/>
      <c r="DU47" s="4"/>
      <c r="DV47" s="4">
        <v>0</v>
      </c>
      <c r="DW47" s="4">
        <v>0</v>
      </c>
      <c r="DX47" s="4">
        <v>0</v>
      </c>
      <c r="DY47" s="4">
        <v>0</v>
      </c>
      <c r="DZ47" s="4">
        <v>19</v>
      </c>
      <c r="EA47" s="4">
        <v>2</v>
      </c>
      <c r="EB47" s="4">
        <v>1</v>
      </c>
      <c r="EC47" s="4">
        <v>2</v>
      </c>
      <c r="ED47" s="4">
        <v>0</v>
      </c>
      <c r="EE47" s="4">
        <v>35000</v>
      </c>
      <c r="EF47" s="4" t="s">
        <v>286</v>
      </c>
      <c r="EG47" s="4">
        <v>387000</v>
      </c>
      <c r="EH47" s="4">
        <v>0</v>
      </c>
    </row>
    <row r="48" spans="2:138">
      <c r="B48" s="58" t="s">
        <v>350</v>
      </c>
      <c r="C48" s="58" t="s">
        <v>350</v>
      </c>
      <c r="D48" s="59" t="s">
        <v>350</v>
      </c>
      <c r="E48" s="58" t="s">
        <v>350</v>
      </c>
      <c r="F48" s="58" t="s">
        <v>350</v>
      </c>
      <c r="G48" s="60" t="s">
        <v>350</v>
      </c>
      <c r="H48" s="61">
        <f t="shared" ref="H48:AM48" si="53">SUBTOTAL(9,H15:H47)</f>
        <v>1171</v>
      </c>
      <c r="I48" s="61">
        <f t="shared" si="53"/>
        <v>5889</v>
      </c>
      <c r="J48" s="62">
        <f t="shared" si="53"/>
        <v>475</v>
      </c>
      <c r="K48" s="61">
        <f t="shared" si="53"/>
        <v>1134</v>
      </c>
      <c r="L48" s="61">
        <f t="shared" si="53"/>
        <v>311.5</v>
      </c>
      <c r="M48" s="61">
        <f t="shared" si="53"/>
        <v>0</v>
      </c>
      <c r="N48" s="61">
        <f t="shared" si="53"/>
        <v>0</v>
      </c>
      <c r="O48" s="61">
        <f t="shared" si="53"/>
        <v>0</v>
      </c>
      <c r="P48" s="61">
        <f t="shared" si="53"/>
        <v>0</v>
      </c>
      <c r="Q48" s="61">
        <f t="shared" si="53"/>
        <v>0</v>
      </c>
      <c r="R48" s="61">
        <f t="shared" si="53"/>
        <v>0</v>
      </c>
      <c r="S48" s="61">
        <f t="shared" si="53"/>
        <v>0</v>
      </c>
      <c r="T48" s="62">
        <f t="shared" si="53"/>
        <v>134320000</v>
      </c>
      <c r="U48" s="62">
        <f t="shared" si="53"/>
        <v>13000000</v>
      </c>
      <c r="V48" s="62">
        <f t="shared" si="53"/>
        <v>0</v>
      </c>
      <c r="W48" s="62">
        <f t="shared" si="53"/>
        <v>12900000</v>
      </c>
      <c r="X48" s="62">
        <f t="shared" si="53"/>
        <v>8534000</v>
      </c>
      <c r="Y48" s="62">
        <f t="shared" si="53"/>
        <v>1600000</v>
      </c>
      <c r="Z48" s="62">
        <f t="shared" si="53"/>
        <v>0</v>
      </c>
      <c r="AA48" s="62">
        <f t="shared" si="53"/>
        <v>12300000</v>
      </c>
      <c r="AB48" s="62">
        <f t="shared" si="53"/>
        <v>2400000</v>
      </c>
      <c r="AC48" s="62">
        <f t="shared" si="53"/>
        <v>2400000</v>
      </c>
      <c r="AD48" s="62">
        <f t="shared" si="53"/>
        <v>9300000</v>
      </c>
      <c r="AE48" s="62">
        <f t="shared" si="53"/>
        <v>8619230.7692307699</v>
      </c>
      <c r="AF48" s="62">
        <f t="shared" si="53"/>
        <v>9600000</v>
      </c>
      <c r="AG48" s="62">
        <f t="shared" si="53"/>
        <v>8619230.7692307699</v>
      </c>
      <c r="AH48" s="62">
        <f t="shared" si="53"/>
        <v>0</v>
      </c>
      <c r="AI48" s="62">
        <f t="shared" si="53"/>
        <v>140000</v>
      </c>
      <c r="AJ48" s="62">
        <f t="shared" si="53"/>
        <v>12000000</v>
      </c>
      <c r="AK48" s="62">
        <f t="shared" si="53"/>
        <v>6175000</v>
      </c>
      <c r="AL48" s="62">
        <f t="shared" si="53"/>
        <v>400000</v>
      </c>
      <c r="AM48" s="62">
        <f t="shared" si="53"/>
        <v>84915575</v>
      </c>
      <c r="AN48" s="62">
        <f t="shared" ref="AN48:BS48" si="54">SUBTOTAL(9,AN15:AN47)</f>
        <v>0</v>
      </c>
      <c r="AO48" s="62">
        <f t="shared" si="54"/>
        <v>38353461.538461536</v>
      </c>
      <c r="AP48" s="63">
        <f t="shared" si="54"/>
        <v>160220000</v>
      </c>
      <c r="AQ48" s="63">
        <f t="shared" si="54"/>
        <v>22434000</v>
      </c>
      <c r="AR48" s="64">
        <f t="shared" si="54"/>
        <v>770288.46153846115</v>
      </c>
      <c r="AS48" s="65">
        <f t="shared" si="54"/>
        <v>107855.76923076922</v>
      </c>
      <c r="AT48" s="63">
        <f t="shared" si="54"/>
        <v>148896109</v>
      </c>
      <c r="AU48" s="62">
        <f t="shared" si="54"/>
        <v>39567700</v>
      </c>
      <c r="AV48" s="62">
        <f t="shared" si="54"/>
        <v>13823440</v>
      </c>
      <c r="AW48" s="62">
        <f t="shared" si="54"/>
        <v>0</v>
      </c>
      <c r="AX48" s="66">
        <f t="shared" si="54"/>
        <v>0</v>
      </c>
      <c r="AY48" s="66">
        <f t="shared" si="54"/>
        <v>0</v>
      </c>
      <c r="AZ48" s="66">
        <f t="shared" si="54"/>
        <v>0</v>
      </c>
      <c r="BA48" s="66">
        <f t="shared" si="54"/>
        <v>0</v>
      </c>
      <c r="BB48" s="66">
        <f t="shared" si="54"/>
        <v>0</v>
      </c>
      <c r="BC48" s="66">
        <f t="shared" si="54"/>
        <v>0</v>
      </c>
      <c r="BD48" s="63">
        <f t="shared" si="54"/>
        <v>53391140</v>
      </c>
      <c r="BE48" s="63">
        <f t="shared" si="54"/>
        <v>325556285.53846157</v>
      </c>
      <c r="BF48" s="63">
        <f t="shared" si="54"/>
        <v>152853000</v>
      </c>
      <c r="BG48" s="63">
        <f t="shared" si="54"/>
        <v>26749275</v>
      </c>
      <c r="BH48" s="63">
        <f t="shared" si="54"/>
        <v>4630590</v>
      </c>
      <c r="BI48" s="63">
        <f t="shared" si="54"/>
        <v>1528530</v>
      </c>
      <c r="BJ48" s="63">
        <f t="shared" si="54"/>
        <v>3057060</v>
      </c>
      <c r="BK48" s="63">
        <f t="shared" si="54"/>
        <v>35965455</v>
      </c>
      <c r="BL48" s="62">
        <f t="shared" si="54"/>
        <v>12228240</v>
      </c>
      <c r="BM48" s="62">
        <f t="shared" si="54"/>
        <v>2315295</v>
      </c>
      <c r="BN48" s="62">
        <f t="shared" si="54"/>
        <v>1528530</v>
      </c>
      <c r="BO48" s="62">
        <f t="shared" si="54"/>
        <v>16072065</v>
      </c>
      <c r="BP48" s="62">
        <f t="shared" si="54"/>
        <v>363000000</v>
      </c>
      <c r="BQ48" s="62">
        <f t="shared" si="54"/>
        <v>5</v>
      </c>
      <c r="BR48" s="62">
        <f t="shared" si="54"/>
        <v>145200000</v>
      </c>
      <c r="BS48" s="62">
        <f t="shared" si="54"/>
        <v>22000000</v>
      </c>
      <c r="BT48" s="62">
        <f t="shared" ref="BT48:CA48" si="55">SUBTOTAL(9,BT15:BT47)</f>
        <v>8575000</v>
      </c>
      <c r="BU48" s="59">
        <f t="shared" si="55"/>
        <v>289055003.08653843</v>
      </c>
      <c r="BV48" s="62">
        <f t="shared" si="55"/>
        <v>1058581.25</v>
      </c>
      <c r="BW48" s="62">
        <f t="shared" si="55"/>
        <v>52929</v>
      </c>
      <c r="BX48" s="62">
        <f t="shared" si="55"/>
        <v>0</v>
      </c>
      <c r="BY48" s="62">
        <f t="shared" si="55"/>
        <v>1085000</v>
      </c>
      <c r="BZ48" s="62">
        <f t="shared" si="55"/>
        <v>308346292</v>
      </c>
      <c r="CA48" s="62" t="e">
        <f t="shared" si="55"/>
        <v>#N/A</v>
      </c>
      <c r="CB48" s="26">
        <v>0</v>
      </c>
      <c r="CF48" s="12">
        <f t="shared" si="49"/>
        <v>8575000</v>
      </c>
      <c r="CG48" s="12">
        <f t="shared" si="50"/>
        <v>0</v>
      </c>
      <c r="CH48" s="12">
        <f t="shared" si="51"/>
        <v>0</v>
      </c>
      <c r="CI48" s="12">
        <f t="shared" si="52"/>
        <v>0</v>
      </c>
      <c r="CJ48" s="12">
        <v>0</v>
      </c>
      <c r="CK48" s="12">
        <v>0</v>
      </c>
      <c r="CL48" s="12">
        <v>0</v>
      </c>
      <c r="CM48" s="12"/>
      <c r="CN48" s="12"/>
      <c r="CO48" s="12">
        <v>0</v>
      </c>
      <c r="CP48" s="12">
        <v>0</v>
      </c>
      <c r="CQ48" s="12"/>
      <c r="CR48" s="12">
        <v>0</v>
      </c>
      <c r="CS48" s="5"/>
      <c r="CT48" s="5"/>
      <c r="CU48" s="5"/>
      <c r="CV48" s="5"/>
      <c r="CW48" s="5"/>
      <c r="CX48" s="48"/>
      <c r="CY48" s="49"/>
      <c r="CZ48" s="49"/>
      <c r="DA48" s="49"/>
      <c r="DB48" s="49"/>
      <c r="DC48" s="49"/>
      <c r="DD48" s="49"/>
      <c r="DE48" s="48"/>
      <c r="DF48" s="48"/>
      <c r="DG48" s="48"/>
      <c r="DH48" s="48"/>
      <c r="DI48" s="49"/>
      <c r="DJ48" s="49"/>
      <c r="DK48" s="49"/>
      <c r="DL48" s="49"/>
      <c r="DM48" s="49"/>
      <c r="DN48" s="49"/>
      <c r="DO48" s="49"/>
      <c r="DP48" s="48"/>
      <c r="DQ48" s="48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</row>
  </sheetData>
  <autoFilter ref="A14:DB14" xr:uid="{00000000-0009-0000-0000-000000000000}"/>
  <mergeCells count="66">
    <mergeCell ref="EG11:EG13"/>
    <mergeCell ref="EH11:EH13"/>
    <mergeCell ref="DR12:DS12"/>
    <mergeCell ref="DT12:DU12"/>
    <mergeCell ref="DV12:DW12"/>
    <mergeCell ref="DX12:DY12"/>
    <mergeCell ref="DR11:DU11"/>
    <mergeCell ref="DV11:DY11"/>
    <mergeCell ref="EF11:EF13"/>
    <mergeCell ref="EE11:EE13"/>
    <mergeCell ref="DZ11:DZ13"/>
    <mergeCell ref="EA11:EA13"/>
    <mergeCell ref="EB11:EB13"/>
    <mergeCell ref="EC11:EC13"/>
    <mergeCell ref="ED11:ED13"/>
    <mergeCell ref="G11:I12"/>
    <mergeCell ref="AT11:AT13"/>
    <mergeCell ref="AU11:BD12"/>
    <mergeCell ref="CS11:CS13"/>
    <mergeCell ref="CT11:CT13"/>
    <mergeCell ref="CB11:CB13"/>
    <mergeCell ref="BY11:BY13"/>
    <mergeCell ref="J11:J13"/>
    <mergeCell ref="K11:S12"/>
    <mergeCell ref="AB11:AL12"/>
    <mergeCell ref="CQ11:CQ13"/>
    <mergeCell ref="CR11:CR13"/>
    <mergeCell ref="CL11:CL13"/>
    <mergeCell ref="CM11:CM13"/>
    <mergeCell ref="CF11:CF13"/>
    <mergeCell ref="T11:AA11"/>
    <mergeCell ref="AO11:AO13"/>
    <mergeCell ref="CA11:CA13"/>
    <mergeCell ref="CU11:CU13"/>
    <mergeCell ref="AP11:AP13"/>
    <mergeCell ref="AR11:AR13"/>
    <mergeCell ref="BX11:BX13"/>
    <mergeCell ref="CG11:CG13"/>
    <mergeCell ref="CN11:CN13"/>
    <mergeCell ref="CH11:CH13"/>
    <mergeCell ref="CI11:CI13"/>
    <mergeCell ref="CJ11:CJ13"/>
    <mergeCell ref="CK11:CK13"/>
    <mergeCell ref="CO11:CO13"/>
    <mergeCell ref="CP11:CP13"/>
    <mergeCell ref="B11:B13"/>
    <mergeCell ref="C11:C13"/>
    <mergeCell ref="D11:D13"/>
    <mergeCell ref="E11:E13"/>
    <mergeCell ref="F11:F13"/>
    <mergeCell ref="T12:W12"/>
    <mergeCell ref="X12:AA12"/>
    <mergeCell ref="AQ11:AQ13"/>
    <mergeCell ref="AS11:AS13"/>
    <mergeCell ref="DH12:DQ12"/>
    <mergeCell ref="CX11:DQ11"/>
    <mergeCell ref="CV11:CV13"/>
    <mergeCell ref="AM11:AM13"/>
    <mergeCell ref="BE11:BE13"/>
    <mergeCell ref="BF11:BK12"/>
    <mergeCell ref="BL11:BO12"/>
    <mergeCell ref="AN11:AN13"/>
    <mergeCell ref="BP11:BW12"/>
    <mergeCell ref="CX12:DG12"/>
    <mergeCell ref="CW11:CW13"/>
    <mergeCell ref="BZ11:BZ13"/>
  </mergeCells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Nguyễn Ngọc Sơn</cp:lastModifiedBy>
  <dcterms:created xsi:type="dcterms:W3CDTF">2015-06-05T18:17:20Z</dcterms:created>
  <dcterms:modified xsi:type="dcterms:W3CDTF">2025-01-10T10:43:10Z</dcterms:modified>
</cp:coreProperties>
</file>