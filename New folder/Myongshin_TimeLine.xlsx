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Myongshin\New folder\"/>
    </mc:Choice>
  </mc:AlternateContent>
  <xr:revisionPtr revIDLastSave="0" documentId="13_ncr:1_{97964FE9-2FC9-4AA4-A1FA-02B5EA308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I13" i="1" s="1"/>
  <c r="K13" i="1" s="1"/>
  <c r="H8" i="1"/>
  <c r="F13" i="1" l="1"/>
  <c r="H13" i="1" s="1"/>
  <c r="F18" i="1" s="1"/>
  <c r="H18" i="1" s="1"/>
  <c r="F21" i="1" s="1"/>
  <c r="I18" i="1"/>
  <c r="K18" i="1" s="1"/>
  <c r="I21" i="1" s="1"/>
</calcChain>
</file>

<file path=xl/sharedStrings.xml><?xml version="1.0" encoding="utf-8"?>
<sst xmlns="http://schemas.openxmlformats.org/spreadsheetml/2006/main" count="39" uniqueCount="29">
  <si>
    <t>4. Các dữ liệu cài đặt khác/ Setup other setting data</t>
  </si>
  <si>
    <t>1. Cài đặt phần mềm đến từng máy User
Install HR Software for each PC</t>
  </si>
  <si>
    <t>Phần tiêu chuẩn
Standard</t>
  </si>
  <si>
    <t>Thiết lập cài đặt dữ liệu
Setup</t>
  </si>
  <si>
    <t>Cài đặt phần mềm
Install the HR Software</t>
  </si>
  <si>
    <t>Đào tạo sử dụng phần mềm
Training</t>
  </si>
  <si>
    <t>Ghi chú/ Remark</t>
  </si>
  <si>
    <t>Trạng thái
Status</t>
  </si>
  <si>
    <t>2. Ca làm việc / Setup the shifts</t>
  </si>
  <si>
    <t>1. Sơ đồ tổ chức / Setup the organization</t>
  </si>
  <si>
    <t>3. Loại phép / Setup the absent type</t>
  </si>
  <si>
    <t>KẾT THÚC DỰ ÁN / CLOSING</t>
  </si>
  <si>
    <t>-&gt;</t>
  </si>
  <si>
    <t>5. Thực hiện kết nối đến máy chấm công
Connect to time record machine</t>
  </si>
  <si>
    <t>- Tính công / Calculate the timekeeping
- Tính lương / Payroll</t>
  </si>
  <si>
    <t>Cài đặt server
Setup SERVER</t>
  </si>
  <si>
    <t>3. Nhập dữ liệu ca, phép, thai sản, con nhỏ…
Enter other data (Shifts, Absent, Pregnant, baby...).</t>
  </si>
  <si>
    <t>2. Nhập dữ liệu thông tin nhân viên vào phần mềm.
Enter the Employee data to HR Software.</t>
  </si>
  <si>
    <t xml:space="preserve">
</t>
  </si>
  <si>
    <t>Thực hiện các chức năng, báo cáo đặc thù.
Make advanced functions, reports</t>
  </si>
  <si>
    <t>4. Kiểm tra tính công tháng/ Check time attendance</t>
  </si>
  <si>
    <t>5. Kiểm tra tính lương tháng / Check payroll</t>
  </si>
  <si>
    <t>Kiểm tra lương tháng / Check payroll of next month</t>
  </si>
  <si>
    <t>Lấy thông tin logic
Get information</t>
  </si>
  <si>
    <t>Check October Payroll
Phần nâng cao
Advance</t>
  </si>
  <si>
    <t>Option 1: Create new report
Thời gian/ Time line</t>
  </si>
  <si>
    <t>Option 2: Use and modify available report on software
Thời gian/ Time line</t>
  </si>
  <si>
    <t>LỊCH TRIỂN KHAI DỰ ÁN PHẦN MỀM NHÂN SỰ CÔNG TY TNHH MYONGSHIN TECH VINA
SCHEDULE FOR THE MYONGSHIN TECH VINA CO., LTD HRM SOFTWARE PROJECT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</si>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</sst>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1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14" fontId="3" fillId="0" borderId="8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14" fontId="3" fillId="0" borderId="14" xfId="0" quotePrefix="1" applyNumberFormat="1" applyFont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14" fontId="3" fillId="0" borderId="15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V21"/>
  <sheetViews>
    <sheetView tabSelected="1" topLeftCell="C4" zoomScale="80" zoomScaleNormal="80" workbookViewId="0">
      <selection activeCell="Q18" sqref="Q18"/>
    </sheetView>
  </sheetViews>
  <sheetFormatPr defaultRowHeight="15" x14ac:dyDescent="0.25"/>
  <cols>
    <col min="1" max="2" width="0" hidden="1" customWidth="1"/>
    <col min="3" max="3" width="19.42578125" customWidth="1"/>
    <col min="4" max="4" width="37.5703125" bestFit="1" customWidth="1"/>
    <col min="5" max="5" width="66" customWidth="1"/>
    <col min="6" max="6" width="23.42578125" bestFit="1" customWidth="1"/>
    <col min="7" max="7" width="2.7109375" bestFit="1" customWidth="1"/>
    <col min="8" max="8" width="23.42578125" customWidth="1"/>
    <col min="9" max="9" width="23.42578125" hidden="1" customWidth="1"/>
    <col min="10" max="10" width="2.7109375" hidden="1" customWidth="1"/>
    <col min="11" max="11" width="23.42578125" hidden="1" customWidth="1"/>
    <col min="12" max="12" width="38.5703125" customWidth="1"/>
    <col min="13" max="13" width="12.5703125" bestFit="1" customWidth="1"/>
    <col min="14" max="14" width="10.7109375" bestFit="1" customWidth="1"/>
    <col min="20" max="20" width="11.5703125" bestFit="1" customWidth="1"/>
    <col min="22" max="22" width="11.5703125" bestFit="1" customWidth="1"/>
  </cols>
  <sheetData>
    <row r="2" spans="3:22" ht="57" customHeight="1" x14ac:dyDescent="0.4">
      <c r="C2" s="41" t="s">
        <v>27</v>
      </c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3:22" ht="57" customHeight="1" x14ac:dyDescent="0.4"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spans="3:22" ht="71.25" customHeight="1" x14ac:dyDescent="0.25">
      <c r="C5" s="1"/>
      <c r="D5" s="1"/>
      <c r="E5" s="1"/>
      <c r="F5" s="43" t="s">
        <v>25</v>
      </c>
      <c r="G5" s="44"/>
      <c r="H5" s="45"/>
      <c r="I5" s="43" t="s">
        <v>26</v>
      </c>
      <c r="J5" s="44"/>
      <c r="K5" s="45"/>
      <c r="L5" s="1" t="s">
        <v>6</v>
      </c>
      <c r="M5" s="2" t="s">
        <v>7</v>
      </c>
    </row>
    <row r="6" spans="3:22" ht="37.5" x14ac:dyDescent="0.3">
      <c r="C6" s="24" t="s">
        <v>2</v>
      </c>
      <c r="D6" s="4" t="s">
        <v>23</v>
      </c>
      <c r="E6" s="4"/>
      <c r="F6" s="12">
        <v>44922</v>
      </c>
      <c r="G6" s="13" t="s">
        <v>12</v>
      </c>
      <c r="H6" s="12">
        <v>44924</v>
      </c>
      <c r="I6" s="12">
        <v>44922</v>
      </c>
      <c r="J6" s="13" t="s">
        <v>12</v>
      </c>
      <c r="K6" s="12">
        <v>44924</v>
      </c>
      <c r="L6" s="4"/>
      <c r="M6" s="4" t="s">
        <v>28</v>
      </c>
    </row>
    <row r="7" spans="3:22" ht="37.5" x14ac:dyDescent="0.3">
      <c r="C7" s="25"/>
      <c r="D7" s="4" t="s">
        <v>15</v>
      </c>
      <c r="E7" s="5"/>
      <c r="F7" s="46">
        <v>44925</v>
      </c>
      <c r="G7" s="47"/>
      <c r="H7" s="48"/>
      <c r="I7" s="46">
        <v>44925</v>
      </c>
      <c r="J7" s="47"/>
      <c r="K7" s="48"/>
      <c r="L7" s="5"/>
      <c r="M7" s="6" t="s">
        <v>28</v>
      </c>
      <c r="N7" s="3"/>
    </row>
    <row r="8" spans="3:22" ht="18.75" x14ac:dyDescent="0.3">
      <c r="C8" s="25"/>
      <c r="D8" s="21" t="s">
        <v>3</v>
      </c>
      <c r="E8" s="7" t="s">
        <v>9</v>
      </c>
      <c r="F8" s="35">
        <v>44929</v>
      </c>
      <c r="G8" s="28" t="s">
        <v>12</v>
      </c>
      <c r="H8" s="17">
        <f>F8+4</f>
        <v>44933</v>
      </c>
      <c r="I8" s="35">
        <v>44929</v>
      </c>
      <c r="J8" s="28" t="s">
        <v>12</v>
      </c>
      <c r="K8" s="17">
        <f>I8+4</f>
        <v>44933</v>
      </c>
      <c r="L8" s="6"/>
      <c r="M8" s="6" t="s">
        <v>28</v>
      </c>
    </row>
    <row r="9" spans="3:22" ht="18.75" x14ac:dyDescent="0.3">
      <c r="C9" s="25"/>
      <c r="D9" s="49"/>
      <c r="E9" s="7" t="s">
        <v>8</v>
      </c>
      <c r="F9" s="36"/>
      <c r="G9" s="29"/>
      <c r="H9" s="18"/>
      <c r="I9" s="36"/>
      <c r="J9" s="29"/>
      <c r="K9" s="18"/>
      <c r="L9" s="6"/>
      <c r="M9" s="6" t="s">
        <v>28</v>
      </c>
    </row>
    <row r="10" spans="3:22" ht="18.75" x14ac:dyDescent="0.3">
      <c r="C10" s="25"/>
      <c r="D10" s="49"/>
      <c r="E10" s="7" t="s">
        <v>10</v>
      </c>
      <c r="F10" s="36"/>
      <c r="G10" s="29"/>
      <c r="H10" s="18"/>
      <c r="I10" s="36"/>
      <c r="J10" s="29"/>
      <c r="K10" s="18"/>
      <c r="L10" s="6"/>
      <c r="M10" s="6"/>
    </row>
    <row r="11" spans="3:22" ht="18.75" x14ac:dyDescent="0.3">
      <c r="C11" s="25"/>
      <c r="D11" s="27"/>
      <c r="E11" s="7" t="s">
        <v>0</v>
      </c>
      <c r="F11" s="36"/>
      <c r="G11" s="29"/>
      <c r="H11" s="18"/>
      <c r="I11" s="36"/>
      <c r="J11" s="29"/>
      <c r="K11" s="18"/>
      <c r="L11" s="6"/>
      <c r="M11" s="6"/>
    </row>
    <row r="12" spans="3:22" ht="37.5" x14ac:dyDescent="0.3">
      <c r="C12" s="25"/>
      <c r="D12" s="8"/>
      <c r="E12" s="9" t="s">
        <v>13</v>
      </c>
      <c r="F12" s="37"/>
      <c r="G12" s="30"/>
      <c r="H12" s="19"/>
      <c r="I12" s="37"/>
      <c r="J12" s="30"/>
      <c r="K12" s="19"/>
      <c r="L12" s="6"/>
      <c r="M12" s="6"/>
      <c r="T12" s="3"/>
      <c r="U12" s="3"/>
      <c r="V12" s="3"/>
    </row>
    <row r="13" spans="3:22" ht="37.5" x14ac:dyDescent="0.3">
      <c r="C13" s="25"/>
      <c r="D13" s="10" t="s">
        <v>4</v>
      </c>
      <c r="E13" s="9" t="s">
        <v>1</v>
      </c>
      <c r="F13" s="35">
        <f>H8+3</f>
        <v>44936</v>
      </c>
      <c r="G13" s="38" t="s">
        <v>12</v>
      </c>
      <c r="H13" s="17">
        <f>F13+39</f>
        <v>44975</v>
      </c>
      <c r="I13" s="35">
        <f>K8+3</f>
        <v>44936</v>
      </c>
      <c r="J13" s="38" t="s">
        <v>12</v>
      </c>
      <c r="K13" s="17">
        <f>I13+29</f>
        <v>44965</v>
      </c>
      <c r="L13" s="21"/>
      <c r="M13" s="6"/>
      <c r="T13" s="3"/>
    </row>
    <row r="14" spans="3:22" ht="37.5" x14ac:dyDescent="0.3">
      <c r="C14" s="25"/>
      <c r="D14" s="21" t="s">
        <v>5</v>
      </c>
      <c r="E14" s="9" t="s">
        <v>17</v>
      </c>
      <c r="F14" s="36"/>
      <c r="G14" s="39"/>
      <c r="H14" s="18"/>
      <c r="I14" s="36"/>
      <c r="J14" s="39"/>
      <c r="K14" s="18"/>
      <c r="L14" s="22"/>
      <c r="M14" s="6"/>
    </row>
    <row r="15" spans="3:22" ht="37.5" x14ac:dyDescent="0.3">
      <c r="C15" s="25"/>
      <c r="D15" s="27"/>
      <c r="E15" s="9" t="s">
        <v>16</v>
      </c>
      <c r="F15" s="36"/>
      <c r="G15" s="39"/>
      <c r="H15" s="18"/>
      <c r="I15" s="36"/>
      <c r="J15" s="39"/>
      <c r="K15" s="18"/>
      <c r="L15" s="22"/>
      <c r="M15" s="6"/>
    </row>
    <row r="16" spans="3:22" ht="37.5" customHeight="1" x14ac:dyDescent="0.3">
      <c r="C16" s="25"/>
      <c r="D16" s="31" t="s">
        <v>14</v>
      </c>
      <c r="E16" s="9" t="s">
        <v>20</v>
      </c>
      <c r="F16" s="36"/>
      <c r="G16" s="39"/>
      <c r="H16" s="18"/>
      <c r="I16" s="36"/>
      <c r="J16" s="39"/>
      <c r="K16" s="18"/>
      <c r="L16" s="22"/>
      <c r="M16" s="6"/>
    </row>
    <row r="17" spans="3:13" ht="37.5" customHeight="1" x14ac:dyDescent="0.3">
      <c r="C17" s="26"/>
      <c r="D17" s="32"/>
      <c r="E17" s="9" t="s">
        <v>21</v>
      </c>
      <c r="F17" s="37"/>
      <c r="G17" s="40"/>
      <c r="H17" s="19"/>
      <c r="I17" s="37"/>
      <c r="J17" s="40"/>
      <c r="K17" s="19"/>
      <c r="L17" s="23"/>
      <c r="M17" s="6"/>
    </row>
    <row r="18" spans="3:13" ht="22.5" customHeight="1" x14ac:dyDescent="0.3">
      <c r="C18" s="24" t="s">
        <v>24</v>
      </c>
      <c r="D18" s="21" t="s">
        <v>18</v>
      </c>
      <c r="E18" s="6" t="s">
        <v>22</v>
      </c>
      <c r="F18" s="35">
        <f>H13+3</f>
        <v>44978</v>
      </c>
      <c r="G18" s="28" t="s">
        <v>12</v>
      </c>
      <c r="H18" s="17">
        <f>F18+18</f>
        <v>44996</v>
      </c>
      <c r="I18" s="35">
        <f>K13+3</f>
        <v>44968</v>
      </c>
      <c r="J18" s="28" t="s">
        <v>12</v>
      </c>
      <c r="K18" s="17">
        <f>I18+18</f>
        <v>44986</v>
      </c>
      <c r="L18" s="6"/>
      <c r="M18" s="6"/>
    </row>
    <row r="19" spans="3:13" ht="22.5" customHeight="1" x14ac:dyDescent="0.3">
      <c r="C19" s="25"/>
      <c r="D19" s="22"/>
      <c r="E19" s="33" t="s">
        <v>19</v>
      </c>
      <c r="F19" s="36"/>
      <c r="G19" s="29"/>
      <c r="H19" s="18"/>
      <c r="I19" s="36"/>
      <c r="J19" s="29"/>
      <c r="K19" s="18"/>
      <c r="L19" s="6"/>
      <c r="M19" s="6"/>
    </row>
    <row r="20" spans="3:13" ht="32.25" customHeight="1" x14ac:dyDescent="0.3">
      <c r="C20" s="26"/>
      <c r="D20" s="23"/>
      <c r="E20" s="34"/>
      <c r="F20" s="37"/>
      <c r="G20" s="30"/>
      <c r="H20" s="19"/>
      <c r="I20" s="37"/>
      <c r="J20" s="30"/>
      <c r="K20" s="19"/>
      <c r="L20" s="6"/>
      <c r="M20" s="6"/>
    </row>
    <row r="21" spans="3:13" ht="18.75" x14ac:dyDescent="0.3">
      <c r="C21" s="20" t="s">
        <v>11</v>
      </c>
      <c r="D21" s="20"/>
      <c r="E21" s="20"/>
      <c r="F21" s="14">
        <f>H18</f>
        <v>44996</v>
      </c>
      <c r="G21" s="11"/>
      <c r="H21" s="11"/>
      <c r="I21" s="14">
        <f>K18</f>
        <v>44986</v>
      </c>
      <c r="J21" s="11"/>
      <c r="K21" s="11"/>
      <c r="L21" s="6"/>
      <c r="M21" s="6"/>
    </row>
  </sheetData>
  <mergeCells count="32">
    <mergeCell ref="L13:L17"/>
    <mergeCell ref="C2:M2"/>
    <mergeCell ref="F5:H5"/>
    <mergeCell ref="F7:H7"/>
    <mergeCell ref="C6:C17"/>
    <mergeCell ref="D8:D11"/>
    <mergeCell ref="F8:F12"/>
    <mergeCell ref="H8:H12"/>
    <mergeCell ref="G8:G12"/>
    <mergeCell ref="I5:K5"/>
    <mergeCell ref="I7:K7"/>
    <mergeCell ref="I8:I12"/>
    <mergeCell ref="J8:J12"/>
    <mergeCell ref="K8:K12"/>
    <mergeCell ref="I13:I17"/>
    <mergeCell ref="J13:J17"/>
    <mergeCell ref="K13:K17"/>
    <mergeCell ref="C21:E21"/>
    <mergeCell ref="D18:D20"/>
    <mergeCell ref="C18:C20"/>
    <mergeCell ref="D14:D15"/>
    <mergeCell ref="H18:H20"/>
    <mergeCell ref="G18:G20"/>
    <mergeCell ref="D16:D17"/>
    <mergeCell ref="E19:E20"/>
    <mergeCell ref="F13:F17"/>
    <mergeCell ref="H13:H17"/>
    <mergeCell ref="G13:G17"/>
    <mergeCell ref="F18:F20"/>
    <mergeCell ref="I18:I20"/>
    <mergeCell ref="J18:J20"/>
    <mergeCell ref="K18:K20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2022-12-22T08:43:40Z</cp:lastPrinted>
  <dcterms:created xsi:type="dcterms:W3CDTF">2021-01-04T10:26:12Z</dcterms:created>
  <dcterms:modified xsi:type="dcterms:W3CDTF">2023-01-07T10:20:26Z</dcterms:modified>
</cp:coreProperties>
</file>