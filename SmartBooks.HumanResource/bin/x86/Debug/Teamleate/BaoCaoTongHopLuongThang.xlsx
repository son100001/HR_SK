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D:\SSAUDIT\Taekwang\SmartBooks.HumanResource\bin\x86\Debug\Teamleate\"/>
    </mc:Choice>
  </mc:AlternateContent>
  <xr:revisionPtr revIDLastSave="0" documentId="13_ncr:1_{07E65E35-4CEE-423B-880B-ACDE97F1481D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Sheet1!$B$1:$AI$11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1" i="1" l="1"/>
  <c r="D4" i="1" l="1"/>
  <c r="I11" i="1" l="1"/>
  <c r="AB11" i="1"/>
  <c r="H11" i="1"/>
</calcChain>
</file>

<file path=xl/sharedStrings.xml><?xml version="1.0" encoding="utf-8"?>
<sst xmlns="http://schemas.openxmlformats.org/spreadsheetml/2006/main" count="95" uniqueCount="92">
  <si>
    <t>No
(STT)</t>
  </si>
  <si>
    <t>B.Salary
(Lương cơ bản)</t>
  </si>
  <si>
    <t>CÔNG TY TNHH JINHEOUNG VIET NAM
Khu Công nghiệp Biên Hòa 2 - Biên Hòa - Đồng Nai</t>
  </si>
  <si>
    <t>Department
(Bộ phận)</t>
  </si>
  <si>
    <t>Total of Labour
(Tổng số lao động</t>
  </si>
  <si>
    <t>TIMING SALARY</t>
  </si>
  <si>
    <t>Normal (Ngày thường)</t>
  </si>
  <si>
    <t>Day (Ngày)</t>
  </si>
  <si>
    <t>Night (Đêm)</t>
  </si>
  <si>
    <t>Total (Tổng)</t>
  </si>
  <si>
    <t>Holiday (CN,Lễ)</t>
  </si>
  <si>
    <t>Overtime
(tăng ca)</t>
  </si>
  <si>
    <t>Allowance (Phụ Cấp)</t>
  </si>
  <si>
    <t>Hazard
(Nặng nhọc)</t>
  </si>
  <si>
    <t>Technology
(Kỹ thuật)</t>
  </si>
  <si>
    <t>Language
(Ngoại ngữ)</t>
  </si>
  <si>
    <t>Full Attend
(C.Cần, đứng máy)</t>
  </si>
  <si>
    <t>Transportation
(Đi lại)</t>
  </si>
  <si>
    <t>Housing
(Nhà ở)</t>
  </si>
  <si>
    <t>Senior
(Thâm niên)</t>
  </si>
  <si>
    <t>The Other
(Khác)</t>
  </si>
  <si>
    <t>Extra Hol
(Nghỉ bù)</t>
  </si>
  <si>
    <t>Pay Salary
(Tổng lương)</t>
  </si>
  <si>
    <t>Deduction (Khấu trừ)</t>
  </si>
  <si>
    <t>Taxation
(Thuế)</t>
  </si>
  <si>
    <t>Health
(BHYT)</t>
  </si>
  <si>
    <t>Union
(Công đoàn)</t>
  </si>
  <si>
    <t>Trans Fee
(Phí xe)</t>
  </si>
  <si>
    <t>Bank Loan
(Vay ngân hàng)</t>
  </si>
  <si>
    <t>Net Salary
(Thực nhận)</t>
  </si>
  <si>
    <t>Managing Director</t>
  </si>
  <si>
    <t>HR/GA Director</t>
  </si>
  <si>
    <t>HR Manager</t>
  </si>
  <si>
    <t>Statist</t>
  </si>
  <si>
    <t>For Approval</t>
  </si>
  <si>
    <t>s26</t>
  </si>
  <si>
    <t>s7</t>
  </si>
  <si>
    <t>s19</t>
  </si>
  <si>
    <t>s55</t>
  </si>
  <si>
    <t>Living Cost
(Sinh hoạt)</t>
  </si>
  <si>
    <t>s21</t>
  </si>
  <si>
    <t>s23</t>
  </si>
  <si>
    <t>s50</t>
  </si>
  <si>
    <t>s49</t>
  </si>
  <si>
    <t>s48</t>
  </si>
  <si>
    <t>s52</t>
  </si>
  <si>
    <t>s53</t>
  </si>
  <si>
    <t>s81</t>
  </si>
  <si>
    <t>Shift1</t>
  </si>
  <si>
    <t>Shift2</t>
  </si>
  <si>
    <t>CN</t>
  </si>
  <si>
    <t>Le</t>
  </si>
  <si>
    <t>s82</t>
  </si>
  <si>
    <t>Position Allow
 (Chức vụ)</t>
  </si>
  <si>
    <t>BHXH</t>
  </si>
  <si>
    <t>BHTN</t>
  </si>
  <si>
    <t>s47</t>
  </si>
  <si>
    <t>s1</t>
  </si>
  <si>
    <t>s16</t>
  </si>
  <si>
    <t>s17</t>
  </si>
  <si>
    <t>s18</t>
  </si>
  <si>
    <t>Day 
Sunday
 (Chủ nhật)</t>
  </si>
  <si>
    <t>Night Sunday
 (Chủ nhật)</t>
  </si>
  <si>
    <t>Day
Holiday 
( Ngày lễ)</t>
  </si>
  <si>
    <t>Night
Holiday 
( Ngày lễ)</t>
  </si>
  <si>
    <t>s24</t>
  </si>
  <si>
    <t>s25</t>
  </si>
  <si>
    <t>s29</t>
  </si>
  <si>
    <t>s33</t>
  </si>
  <si>
    <t>s30</t>
  </si>
  <si>
    <t>s31</t>
  </si>
  <si>
    <t>s103</t>
  </si>
  <si>
    <t>s101</t>
  </si>
  <si>
    <t>s100</t>
  </si>
  <si>
    <t>s102</t>
  </si>
  <si>
    <t>s34</t>
  </si>
  <si>
    <t>s35</t>
  </si>
  <si>
    <t>s40</t>
  </si>
  <si>
    <t>s27</t>
  </si>
  <si>
    <t>Evalation Monthly</t>
  </si>
  <si>
    <t>Translation
Allow
(Dịch thuật)</t>
  </si>
  <si>
    <t>s39</t>
  </si>
  <si>
    <t>s32</t>
  </si>
  <si>
    <t>s43</t>
  </si>
  <si>
    <t>s46</t>
  </si>
  <si>
    <t>Social
(BHXH)</t>
  </si>
  <si>
    <t>Unemployee
(BHTN)</t>
  </si>
  <si>
    <t>DepartmentName</t>
  </si>
  <si>
    <t>SoLuongNV</t>
  </si>
  <si>
    <t>No</t>
  </si>
  <si>
    <t>Nghỉ có lương</t>
  </si>
  <si>
    <t>Job
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</si>
</sst>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_ 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5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0" applyFont="1"/>
    <xf numFmtId="165" fontId="1" fillId="3" borderId="1" xfId="0" applyNumberFormat="1" applyFont="1" applyFill="1" applyBorder="1" applyAlignment="1">
      <alignment horizontal="left" vertical="center" wrapText="1"/>
    </xf>
    <xf numFmtId="166" fontId="1" fillId="3" borderId="1" xfId="1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4" fillId="0" borderId="0" xfId="0" applyFont="1" applyAlignment="1"/>
    <xf numFmtId="166" fontId="1" fillId="3" borderId="2" xfId="1" applyNumberFormat="1" applyFont="1" applyFill="1" applyBorder="1" applyAlignment="1">
      <alignment horizontal="right" vertical="center" wrapText="1"/>
    </xf>
    <xf numFmtId="166" fontId="5" fillId="0" borderId="0" xfId="1" applyNumberFormat="1" applyFont="1" applyAlignment="1">
      <alignment vertical="center"/>
    </xf>
    <xf numFmtId="166" fontId="4" fillId="0" borderId="0" xfId="1" applyNumberFormat="1" applyFont="1" applyAlignment="1"/>
    <xf numFmtId="166" fontId="4" fillId="0" borderId="0" xfId="1" applyNumberFormat="1" applyFont="1"/>
    <xf numFmtId="166" fontId="2" fillId="3" borderId="3" xfId="1" applyNumberFormat="1" applyFont="1" applyFill="1" applyBorder="1" applyAlignment="1">
      <alignment vertical="center" wrapText="1"/>
    </xf>
    <xf numFmtId="166" fontId="1" fillId="3" borderId="1" xfId="1" applyNumberFormat="1" applyFont="1" applyFill="1" applyBorder="1" applyAlignment="1">
      <alignment horizontal="left" vertical="center" wrapText="1"/>
    </xf>
    <xf numFmtId="166" fontId="2" fillId="3" borderId="3" xfId="1" applyNumberFormat="1" applyFont="1" applyFill="1" applyBorder="1" applyAlignment="1">
      <alignment horizontal="center" vertical="center" wrapText="1"/>
    </xf>
    <xf numFmtId="166" fontId="6" fillId="0" borderId="4" xfId="1" applyNumberFormat="1" applyFont="1" applyBorder="1" applyAlignment="1">
      <alignment horizontal="center" vertical="center"/>
    </xf>
    <xf numFmtId="166" fontId="4" fillId="0" borderId="5" xfId="1" applyNumberFormat="1" applyFont="1" applyBorder="1" applyAlignment="1">
      <alignment horizontal="center"/>
    </xf>
    <xf numFmtId="166" fontId="4" fillId="0" borderId="6" xfId="1" applyNumberFormat="1" applyFont="1" applyBorder="1" applyAlignment="1">
      <alignment horizontal="center"/>
    </xf>
    <xf numFmtId="0" fontId="1" fillId="0" borderId="0" xfId="0" applyFont="1"/>
    <xf numFmtId="165" fontId="1" fillId="3" borderId="16" xfId="0" applyNumberFormat="1" applyFont="1" applyFill="1" applyBorder="1" applyAlignment="1">
      <alignment horizontal="left" vertical="center"/>
    </xf>
    <xf numFmtId="166" fontId="2" fillId="3" borderId="7" xfId="1" applyNumberFormat="1" applyFont="1" applyFill="1" applyBorder="1" applyAlignment="1">
      <alignment horizontal="center" vertical="center" wrapText="1"/>
    </xf>
    <xf numFmtId="166" fontId="2" fillId="3" borderId="8" xfId="1" applyNumberFormat="1" applyFont="1" applyFill="1" applyBorder="1" applyAlignment="1">
      <alignment horizontal="center" vertical="center" wrapText="1"/>
    </xf>
    <xf numFmtId="166" fontId="2" fillId="3" borderId="9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6" fontId="2" fillId="3" borderId="10" xfId="1" applyNumberFormat="1" applyFont="1" applyFill="1" applyBorder="1" applyAlignment="1">
      <alignment horizontal="center" vertical="center" wrapText="1"/>
    </xf>
    <xf numFmtId="166" fontId="2" fillId="3" borderId="11" xfId="1" applyNumberFormat="1" applyFont="1" applyFill="1" applyBorder="1" applyAlignment="1">
      <alignment horizontal="center" vertical="center" wrapText="1"/>
    </xf>
    <xf numFmtId="166" fontId="2" fillId="3" borderId="3" xfId="1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166" fontId="4" fillId="0" borderId="5" xfId="1" applyNumberFormat="1" applyFont="1" applyBorder="1" applyAlignment="1">
      <alignment horizontal="center"/>
    </xf>
    <xf numFmtId="166" fontId="4" fillId="0" borderId="6" xfId="1" applyNumberFormat="1" applyFont="1" applyBorder="1" applyAlignment="1">
      <alignment horizontal="center"/>
    </xf>
    <xf numFmtId="166" fontId="2" fillId="3" borderId="13" xfId="1" applyNumberFormat="1" applyFont="1" applyFill="1" applyBorder="1" applyAlignment="1">
      <alignment horizontal="center" vertical="center" wrapText="1"/>
    </xf>
    <xf numFmtId="166" fontId="2" fillId="3" borderId="14" xfId="1" applyNumberFormat="1" applyFont="1" applyFill="1" applyBorder="1" applyAlignment="1">
      <alignment horizontal="center" vertical="center" wrapText="1"/>
    </xf>
    <xf numFmtId="166" fontId="6" fillId="0" borderId="5" xfId="1" applyNumberFormat="1" applyFont="1" applyBorder="1" applyAlignment="1">
      <alignment horizontal="center" vertical="center"/>
    </xf>
    <xf numFmtId="166" fontId="6" fillId="0" borderId="15" xfId="1" applyNumberFormat="1" applyFont="1" applyBorder="1" applyAlignment="1">
      <alignment horizontal="center" vertical="center"/>
    </xf>
    <xf numFmtId="166" fontId="6" fillId="0" borderId="6" xfId="1" applyNumberFormat="1" applyFont="1" applyBorder="1" applyAlignment="1">
      <alignment horizontal="center" vertical="center"/>
    </xf>
    <xf numFmtId="166" fontId="6" fillId="0" borderId="5" xfId="1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66" fontId="4" fillId="0" borderId="0" xfId="1" applyNumberFormat="1" applyFont="1" applyFill="1"/>
    <xf numFmtId="166" fontId="2" fillId="0" borderId="11" xfId="1" applyNumberFormat="1" applyFont="1" applyFill="1" applyBorder="1" applyAlignment="1">
      <alignment horizontal="center" vertical="center" wrapText="1"/>
    </xf>
    <xf numFmtId="166" fontId="2" fillId="0" borderId="3" xfId="1" applyNumberFormat="1" applyFont="1" applyFill="1" applyBorder="1" applyAlignment="1">
      <alignment horizontal="center" vertical="center" wrapText="1"/>
    </xf>
    <xf numFmtId="166" fontId="1" fillId="0" borderId="1" xfId="1" applyNumberFormat="1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"/>
  <sheetViews>
    <sheetView tabSelected="1" zoomScaleNormal="100" workbookViewId="0">
      <pane xSplit="10" ySplit="8" topLeftCell="K9" activePane="bottomRight" state="frozen"/>
      <selection pane="topRight" activeCell="J1" sqref="J1"/>
      <selection pane="bottomLeft" activeCell="A8" sqref="A8"/>
      <selection pane="bottomRight" activeCell="B11" sqref="B11"/>
    </sheetView>
  </sheetViews>
  <sheetFormatPr defaultRowHeight="15" customHeight="1" x14ac:dyDescent="0.2"/>
  <cols>
    <col min="1" max="1" width="0" style="1" hidden="1" customWidth="1"/>
    <col min="2" max="2" width="6.42578125" style="1" customWidth="1"/>
    <col min="3" max="3" width="13.7109375" style="1" customWidth="1"/>
    <col min="4" max="4" width="9.85546875" style="10" customWidth="1"/>
    <col min="5" max="5" width="11.5703125" style="10" customWidth="1"/>
    <col min="6" max="6" width="9.42578125" style="10" customWidth="1"/>
    <col min="7" max="7" width="10.42578125" style="10" customWidth="1"/>
    <col min="8" max="8" width="13" style="10" customWidth="1"/>
    <col min="9" max="9" width="9.42578125" style="10" customWidth="1"/>
    <col min="10" max="10" width="10.28515625" style="10" customWidth="1"/>
    <col min="11" max="11" width="12.5703125" style="10" customWidth="1"/>
    <col min="12" max="12" width="10.7109375" style="10" customWidth="1"/>
    <col min="13" max="13" width="11.140625" style="10" customWidth="1"/>
    <col min="14" max="14" width="10.5703125" style="10" customWidth="1"/>
    <col min="15" max="15" width="10.42578125" style="47" customWidth="1"/>
    <col min="16" max="16" width="9.140625" style="10"/>
    <col min="17" max="17" width="9.140625" style="47"/>
    <col min="18" max="18" width="10" style="10" customWidth="1"/>
    <col min="19" max="24" width="9.140625" style="10"/>
    <col min="25" max="25" width="10.28515625" style="10" customWidth="1"/>
    <col min="26" max="26" width="11.85546875" style="10" customWidth="1"/>
    <col min="27" max="27" width="9.140625" style="10"/>
    <col min="28" max="28" width="10" style="10" customWidth="1"/>
    <col min="29" max="29" width="11.42578125" style="10" customWidth="1"/>
    <col min="30" max="31" width="9.140625" style="10"/>
    <col min="32" max="32" width="9.140625" style="47"/>
    <col min="33" max="34" width="9.140625" style="10"/>
    <col min="35" max="35" width="12.140625" style="10" customWidth="1"/>
    <col min="36" max="38" width="9.140625" style="1"/>
    <col min="39" max="48" width="0" style="1" hidden="1" customWidth="1"/>
    <col min="49" max="16384" width="9.140625" style="1"/>
  </cols>
  <sheetData>
    <row r="1" spans="1:48" ht="36" customHeight="1" x14ac:dyDescent="0.2">
      <c r="A1" s="1">
        <v>1</v>
      </c>
      <c r="C1" s="22" t="s">
        <v>2</v>
      </c>
      <c r="D1" s="23"/>
      <c r="E1" s="23"/>
      <c r="F1" s="23"/>
      <c r="G1" s="23"/>
      <c r="H1" s="23"/>
      <c r="I1" s="23"/>
      <c r="J1" s="23"/>
      <c r="K1" s="23"/>
      <c r="Z1" s="38" t="s">
        <v>34</v>
      </c>
      <c r="AA1" s="44" t="s">
        <v>33</v>
      </c>
      <c r="AB1" s="44"/>
      <c r="AC1" s="14"/>
      <c r="AD1" s="44" t="s">
        <v>32</v>
      </c>
      <c r="AE1" s="44"/>
      <c r="AF1" s="44" t="s">
        <v>31</v>
      </c>
      <c r="AG1" s="44"/>
      <c r="AH1" s="44" t="s">
        <v>30</v>
      </c>
      <c r="AI1" s="44"/>
    </row>
    <row r="2" spans="1:48" ht="15" customHeight="1" x14ac:dyDescent="0.2">
      <c r="A2" s="1">
        <v>2</v>
      </c>
      <c r="D2" s="8"/>
      <c r="E2" s="8"/>
      <c r="F2" s="8"/>
      <c r="G2" s="8"/>
      <c r="H2" s="8"/>
      <c r="I2" s="8"/>
      <c r="J2" s="8"/>
      <c r="K2" s="8"/>
      <c r="Z2" s="39"/>
      <c r="AA2" s="34"/>
      <c r="AB2" s="34"/>
      <c r="AC2" s="15"/>
      <c r="AD2" s="34"/>
      <c r="AE2" s="34"/>
      <c r="AF2" s="34"/>
      <c r="AG2" s="34"/>
      <c r="AH2" s="34"/>
      <c r="AI2" s="34"/>
    </row>
    <row r="3" spans="1:48" ht="15" customHeight="1" x14ac:dyDescent="0.2">
      <c r="A3" s="1">
        <v>3</v>
      </c>
      <c r="D3" s="9"/>
      <c r="E3" s="9"/>
      <c r="F3" s="9"/>
      <c r="G3" s="9"/>
      <c r="H3" s="9"/>
      <c r="I3" s="9"/>
      <c r="J3" s="9"/>
      <c r="K3" s="9"/>
      <c r="Z3" s="40"/>
      <c r="AA3" s="35"/>
      <c r="AB3" s="35"/>
      <c r="AC3" s="16"/>
      <c r="AD3" s="35"/>
      <c r="AE3" s="35"/>
      <c r="AF3" s="35"/>
      <c r="AG3" s="35"/>
      <c r="AH3" s="35"/>
      <c r="AI3" s="35"/>
    </row>
    <row r="4" spans="1:48" ht="36" customHeight="1" x14ac:dyDescent="0.2">
      <c r="A4" s="1">
        <v>4</v>
      </c>
      <c r="B4" s="6"/>
      <c r="C4" s="5"/>
      <c r="D4" s="42" t="str">
        <f>IF(A3="3","SUMMARY OF WORKER REPORT",IF(A3="2","SUMMARY OF PRODUCTION SUPPORT REPORT",IF(A3="1","SUMMARY OF MANAGEMENT REPORT","SUMMARY OF All REPORT")))</f>
        <v>SUMMARY OF All REPORT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</row>
    <row r="6" spans="1:48" ht="15" hidden="1" customHeight="1" x14ac:dyDescent="0.2">
      <c r="B6" s="1">
        <v>2</v>
      </c>
      <c r="C6" s="1">
        <v>2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47">
        <v>1</v>
      </c>
      <c r="P6" s="10">
        <v>1</v>
      </c>
      <c r="Q6" s="47">
        <v>1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  <c r="W6" s="10">
        <v>1</v>
      </c>
      <c r="X6" s="10">
        <v>1</v>
      </c>
      <c r="Y6" s="10">
        <v>1</v>
      </c>
      <c r="Z6" s="10">
        <v>1</v>
      </c>
      <c r="AA6" s="10">
        <v>1</v>
      </c>
      <c r="AB6" s="10">
        <v>1</v>
      </c>
      <c r="AC6" s="10">
        <v>1</v>
      </c>
      <c r="AD6" s="10">
        <v>1</v>
      </c>
      <c r="AE6" s="10">
        <v>1</v>
      </c>
      <c r="AF6" s="47">
        <v>1</v>
      </c>
      <c r="AG6" s="10">
        <v>1</v>
      </c>
      <c r="AH6" s="10">
        <v>1</v>
      </c>
      <c r="AI6" s="10">
        <v>1</v>
      </c>
    </row>
    <row r="7" spans="1:48" ht="15" hidden="1" customHeight="1" x14ac:dyDescent="0.2">
      <c r="B7" s="4" t="s">
        <v>89</v>
      </c>
      <c r="C7" s="1" t="s">
        <v>87</v>
      </c>
      <c r="D7" s="10" t="s">
        <v>88</v>
      </c>
      <c r="E7" s="10" t="s">
        <v>57</v>
      </c>
      <c r="G7" s="10" t="s">
        <v>60</v>
      </c>
      <c r="H7" s="10" t="s">
        <v>36</v>
      </c>
      <c r="J7" s="10" t="s">
        <v>40</v>
      </c>
      <c r="K7" s="10" t="s">
        <v>67</v>
      </c>
      <c r="L7" s="10" t="s">
        <v>68</v>
      </c>
      <c r="M7" s="10" t="s">
        <v>69</v>
      </c>
      <c r="N7" s="10" t="s">
        <v>70</v>
      </c>
      <c r="O7" s="47" t="s">
        <v>37</v>
      </c>
      <c r="P7" s="10" t="s">
        <v>71</v>
      </c>
      <c r="Q7" s="47" t="s">
        <v>75</v>
      </c>
      <c r="R7" s="10" t="s">
        <v>73</v>
      </c>
      <c r="S7" s="10" t="s">
        <v>72</v>
      </c>
      <c r="T7" s="10" t="s">
        <v>74</v>
      </c>
      <c r="U7" s="10" t="s">
        <v>76</v>
      </c>
      <c r="V7" s="10" t="s">
        <v>77</v>
      </c>
      <c r="W7" s="10" t="s">
        <v>78</v>
      </c>
      <c r="X7" s="10" t="s">
        <v>81</v>
      </c>
      <c r="Y7" s="10" t="s">
        <v>82</v>
      </c>
      <c r="Z7" s="10" t="s">
        <v>83</v>
      </c>
      <c r="AA7" s="10" t="s">
        <v>84</v>
      </c>
      <c r="AB7" s="10" t="s">
        <v>56</v>
      </c>
      <c r="AC7" s="10" t="s">
        <v>44</v>
      </c>
      <c r="AD7" s="10" t="s">
        <v>43</v>
      </c>
      <c r="AE7" s="10" t="s">
        <v>42</v>
      </c>
      <c r="AG7" s="10" t="s">
        <v>45</v>
      </c>
      <c r="AH7" s="10" t="s">
        <v>46</v>
      </c>
      <c r="AI7" s="10" t="s">
        <v>38</v>
      </c>
      <c r="AM7" s="1" t="s">
        <v>58</v>
      </c>
      <c r="AN7" s="1" t="s">
        <v>59</v>
      </c>
      <c r="AO7" s="1" t="s">
        <v>47</v>
      </c>
      <c r="AP7" s="1" t="s">
        <v>52</v>
      </c>
      <c r="AQ7" s="1" t="s">
        <v>56</v>
      </c>
      <c r="AR7" s="1" t="s">
        <v>44</v>
      </c>
      <c r="AS7" s="17" t="s">
        <v>41</v>
      </c>
      <c r="AT7" s="17" t="s">
        <v>65</v>
      </c>
      <c r="AU7" s="17" t="s">
        <v>66</v>
      </c>
      <c r="AV7" s="17" t="s">
        <v>35</v>
      </c>
    </row>
    <row r="8" spans="1:48" ht="15" customHeight="1" x14ac:dyDescent="0.2">
      <c r="B8" s="24" t="s">
        <v>0</v>
      </c>
      <c r="C8" s="25" t="s">
        <v>3</v>
      </c>
      <c r="D8" s="28" t="s">
        <v>4</v>
      </c>
      <c r="E8" s="28" t="s">
        <v>1</v>
      </c>
      <c r="F8" s="19" t="s">
        <v>5</v>
      </c>
      <c r="G8" s="20"/>
      <c r="H8" s="20"/>
      <c r="I8" s="20"/>
      <c r="J8" s="21"/>
      <c r="K8" s="31" t="s">
        <v>12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3"/>
      <c r="AA8" s="19" t="s">
        <v>23</v>
      </c>
      <c r="AB8" s="20"/>
      <c r="AC8" s="20"/>
      <c r="AD8" s="20"/>
      <c r="AE8" s="20"/>
      <c r="AF8" s="20"/>
      <c r="AG8" s="20"/>
      <c r="AH8" s="20"/>
      <c r="AI8" s="41" t="s">
        <v>29</v>
      </c>
    </row>
    <row r="9" spans="1:48" ht="27.75" customHeight="1" x14ac:dyDescent="0.2">
      <c r="B9" s="24"/>
      <c r="C9" s="26"/>
      <c r="D9" s="28"/>
      <c r="E9" s="28"/>
      <c r="F9" s="19" t="s">
        <v>6</v>
      </c>
      <c r="G9" s="20"/>
      <c r="H9" s="21"/>
      <c r="I9" s="29" t="s">
        <v>10</v>
      </c>
      <c r="J9" s="29" t="s">
        <v>11</v>
      </c>
      <c r="K9" s="29" t="s">
        <v>53</v>
      </c>
      <c r="L9" s="29" t="s">
        <v>13</v>
      </c>
      <c r="M9" s="29" t="s">
        <v>14</v>
      </c>
      <c r="N9" s="29" t="s">
        <v>15</v>
      </c>
      <c r="O9" s="48" t="s">
        <v>90</v>
      </c>
      <c r="P9" s="29" t="s">
        <v>16</v>
      </c>
      <c r="Q9" s="48" t="s">
        <v>91</v>
      </c>
      <c r="R9" s="29" t="s">
        <v>39</v>
      </c>
      <c r="S9" s="29" t="s">
        <v>17</v>
      </c>
      <c r="T9" s="29" t="s">
        <v>18</v>
      </c>
      <c r="U9" s="29" t="s">
        <v>19</v>
      </c>
      <c r="V9" s="29" t="s">
        <v>20</v>
      </c>
      <c r="W9" s="29" t="s">
        <v>21</v>
      </c>
      <c r="X9" s="29" t="s">
        <v>79</v>
      </c>
      <c r="Y9" s="29" t="s">
        <v>80</v>
      </c>
      <c r="Z9" s="29" t="s">
        <v>22</v>
      </c>
      <c r="AA9" s="29" t="s">
        <v>24</v>
      </c>
      <c r="AB9" s="29" t="s">
        <v>85</v>
      </c>
      <c r="AC9" s="29" t="s">
        <v>86</v>
      </c>
      <c r="AD9" s="29" t="s">
        <v>25</v>
      </c>
      <c r="AE9" s="29" t="s">
        <v>26</v>
      </c>
      <c r="AF9" s="48" t="s">
        <v>27</v>
      </c>
      <c r="AG9" s="29" t="s">
        <v>28</v>
      </c>
      <c r="AH9" s="36" t="s">
        <v>20</v>
      </c>
      <c r="AI9" s="39"/>
      <c r="AS9" s="45" t="s">
        <v>61</v>
      </c>
      <c r="AT9" s="45" t="s">
        <v>62</v>
      </c>
      <c r="AU9" s="45" t="s">
        <v>63</v>
      </c>
      <c r="AV9" s="45" t="s">
        <v>64</v>
      </c>
    </row>
    <row r="10" spans="1:48" ht="27" customHeight="1" x14ac:dyDescent="0.2">
      <c r="B10" s="25"/>
      <c r="C10" s="27"/>
      <c r="D10" s="29"/>
      <c r="E10" s="29"/>
      <c r="F10" s="13" t="s">
        <v>7</v>
      </c>
      <c r="G10" s="13" t="s">
        <v>8</v>
      </c>
      <c r="H10" s="11" t="s">
        <v>9</v>
      </c>
      <c r="I10" s="30"/>
      <c r="J10" s="30"/>
      <c r="K10" s="30"/>
      <c r="L10" s="30"/>
      <c r="M10" s="30"/>
      <c r="N10" s="30"/>
      <c r="O10" s="49"/>
      <c r="P10" s="30"/>
      <c r="Q10" s="49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49"/>
      <c r="AG10" s="30"/>
      <c r="AH10" s="37"/>
      <c r="AI10" s="40"/>
      <c r="AM10" s="1" t="s">
        <v>48</v>
      </c>
      <c r="AN10" s="1" t="s">
        <v>49</v>
      </c>
      <c r="AO10" s="1" t="s">
        <v>50</v>
      </c>
      <c r="AP10" s="1" t="s">
        <v>51</v>
      </c>
      <c r="AQ10" s="1" t="s">
        <v>54</v>
      </c>
      <c r="AR10" s="1" t="s">
        <v>55</v>
      </c>
      <c r="AS10" s="46"/>
      <c r="AT10" s="46"/>
      <c r="AU10" s="46"/>
      <c r="AV10" s="46"/>
    </row>
    <row r="11" spans="1:48" ht="15" customHeight="1" x14ac:dyDescent="0.2">
      <c r="B11" s="18"/>
      <c r="C11" s="2"/>
      <c r="D11" s="12">
        <v>0</v>
      </c>
      <c r="E11" s="12">
        <v>0</v>
      </c>
      <c r="F11" s="12">
        <f>AM11+AN11</f>
        <v>0</v>
      </c>
      <c r="G11" s="12"/>
      <c r="H11" s="12">
        <f>F11+G11</f>
        <v>0</v>
      </c>
      <c r="I11" s="12">
        <f>SUM(AS11:AV11)</f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50">
        <v>0</v>
      </c>
      <c r="P11" s="3"/>
      <c r="Q11" s="50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/>
      <c r="Y11" s="3"/>
      <c r="Z11" s="3">
        <v>0</v>
      </c>
      <c r="AA11" s="3">
        <v>0</v>
      </c>
      <c r="AB11" s="3">
        <f>AQ11+AR11</f>
        <v>0</v>
      </c>
      <c r="AC11" s="3"/>
      <c r="AD11" s="3">
        <v>0</v>
      </c>
      <c r="AE11" s="3">
        <v>0</v>
      </c>
      <c r="AF11" s="50">
        <v>0</v>
      </c>
      <c r="AG11" s="3">
        <v>0</v>
      </c>
      <c r="AH11" s="3">
        <v>0</v>
      </c>
      <c r="AI11" s="7">
        <v>0</v>
      </c>
    </row>
  </sheetData>
  <mergeCells count="50">
    <mergeCell ref="AS9:AS10"/>
    <mergeCell ref="AT9:AT10"/>
    <mergeCell ref="AU9:AU10"/>
    <mergeCell ref="AV9:AV10"/>
    <mergeCell ref="X9:X10"/>
    <mergeCell ref="Y9:Y10"/>
    <mergeCell ref="AC9:AC10"/>
    <mergeCell ref="AG9:AG10"/>
    <mergeCell ref="AH1:AI1"/>
    <mergeCell ref="AF1:AG1"/>
    <mergeCell ref="AD1:AE1"/>
    <mergeCell ref="AA1:AB1"/>
    <mergeCell ref="AA2:AB3"/>
    <mergeCell ref="V9:V10"/>
    <mergeCell ref="AD2:AE3"/>
    <mergeCell ref="W9:W10"/>
    <mergeCell ref="Z9:Z10"/>
    <mergeCell ref="AH2:AI3"/>
    <mergeCell ref="AA8:AH8"/>
    <mergeCell ref="AA9:AA10"/>
    <mergeCell ref="AB9:AB10"/>
    <mergeCell ref="AD9:AD10"/>
    <mergeCell ref="AE9:AE10"/>
    <mergeCell ref="AF9:AF10"/>
    <mergeCell ref="AF2:AG3"/>
    <mergeCell ref="AH9:AH10"/>
    <mergeCell ref="Z1:Z3"/>
    <mergeCell ref="AI8:AI10"/>
    <mergeCell ref="D4:AG4"/>
    <mergeCell ref="Q9:Q10"/>
    <mergeCell ref="R9:R10"/>
    <mergeCell ref="S9:S10"/>
    <mergeCell ref="T9:T10"/>
    <mergeCell ref="U9:U10"/>
    <mergeCell ref="F8:J8"/>
    <mergeCell ref="F9:H9"/>
    <mergeCell ref="C1:K1"/>
    <mergeCell ref="B8:B10"/>
    <mergeCell ref="C8:C10"/>
    <mergeCell ref="D8:D10"/>
    <mergeCell ref="E8:E10"/>
    <mergeCell ref="I9:I10"/>
    <mergeCell ref="J9:J10"/>
    <mergeCell ref="K8:Z8"/>
    <mergeCell ref="K9:K10"/>
    <mergeCell ref="L9:L10"/>
    <mergeCell ref="M9:M10"/>
    <mergeCell ref="N9:N10"/>
    <mergeCell ref="O9:O10"/>
    <mergeCell ref="P9:P10"/>
  </mergeCells>
  <pageMargins left="0.7" right="0.7" top="0.75" bottom="0.75" header="0.3" footer="0.3"/>
  <pageSetup scale="1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HieuNT</dc:creator>
  <cp:lastModifiedBy>PhamHoang</cp:lastModifiedBy>
  <dcterms:created xsi:type="dcterms:W3CDTF">2019-04-24T03:30:21Z</dcterms:created>
  <dcterms:modified xsi:type="dcterms:W3CDTF">2019-09-07T08:54:47Z</dcterms:modified>
</cp:coreProperties>
</file>