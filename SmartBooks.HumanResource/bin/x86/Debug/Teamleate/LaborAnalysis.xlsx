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4F99ADB5-4D46-481E-9DAC-2E040779DF5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Sum" sheetId="2" r:id="rId2"/>
    <sheet name="급여 요약" sheetId="4" r:id="rId3"/>
    <sheet name="ENGLISH(production)" sheetId="5" r:id="rId4"/>
    <sheet name="ENGLISH(qct)" sheetId="6" r:id="rId5"/>
  </sheets>
  <externalReferences>
    <externalReference r:id="rId6"/>
    <externalReference r:id="rId7"/>
    <externalReference r:id="rId8"/>
    <externalReference r:id="rId9"/>
  </externalReferences>
  <definedNames>
    <definedName name="_11m7_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_11m7_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_11m7_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_8EV1_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8EV1_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8EV1_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3" hidden="1">#REF!</definedName>
    <definedName name="_xlnm._FilterDatabase" localSheetId="4" hidden="1">#REF!</definedName>
    <definedName name="_xlnm._FilterDatabase" hidden="1">#REF!</definedName>
    <definedName name="_Order1" hidden="1">255</definedName>
    <definedName name="_Order2" hidden="1">255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3" hidden="1">[3]노동부!#REF!</definedName>
    <definedName name="_Table1_In1" localSheetId="4" hidden="1">[3]노동부!#REF!</definedName>
    <definedName name="_Table1_In1" hidden="1">[3]노동부!#REF!</definedName>
    <definedName name="_Table1_Out" localSheetId="3" hidden="1">[3]노동부!#REF!</definedName>
    <definedName name="_Table1_Out" localSheetId="4" hidden="1">[3]노동부!#REF!</definedName>
    <definedName name="_Table1_Out" hidden="1">[3]노동부!#REF!</definedName>
    <definedName name="_Table2_In1" localSheetId="3" hidden="1">[3]노동부!#REF!</definedName>
    <definedName name="_Table2_In1" localSheetId="4" hidden="1">[3]노동부!#REF!</definedName>
    <definedName name="_Table2_In1" hidden="1">[3]노동부!#REF!</definedName>
    <definedName name="_Table2_In2" localSheetId="3" hidden="1">[3]노동부!#REF!</definedName>
    <definedName name="_Table2_In2" localSheetId="4" hidden="1">[3]노동부!#REF!</definedName>
    <definedName name="_Table2_In2" hidden="1">[3]노동부!#REF!</definedName>
    <definedName name="_Table2_Out" localSheetId="3" hidden="1">[3]노동부!#REF!</definedName>
    <definedName name="_Table2_Out" localSheetId="4" hidden="1">[3]노동부!#REF!</definedName>
    <definedName name="_Table2_Out" hidden="1">[3]노동부!#REF!</definedName>
    <definedName name="aa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aa" localSheetId="3" hidden="1">#REF!</definedName>
    <definedName name="aaaaa" localSheetId="4" hidden="1">#REF!</definedName>
    <definedName name="aaaaa" hidden="1">#REF!</definedName>
    <definedName name="AccessDatabase" hidden="1">"C:\pch\99ACTION PALN.mdb"</definedName>
    <definedName name="agenda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2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2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3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3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BB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BB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BB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BDC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O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O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O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ri" localSheetId="3" hidden="1">{#N/A,#N/A,FALSE,"1.CRITERIA";#N/A,#N/A,FALSE,"2.IS";#N/A,#N/A,FALSE,"3.BS";#N/A,#N/A,FALSE,"4.PER PL";#N/A,#N/A,FALSE,"5.INVESTMENT";#N/A,#N/A,FALSE,"6.공문";#N/A,#N/A,FALSE,"7.netinvest"}</definedName>
    <definedName name="cri" localSheetId="4" hidden="1">{#N/A,#N/A,FALSE,"1.CRITERIA";#N/A,#N/A,FALSE,"2.IS";#N/A,#N/A,FALSE,"3.BS";#N/A,#N/A,FALSE,"4.PER PL";#N/A,#N/A,FALSE,"5.INVESTMENT";#N/A,#N/A,FALSE,"6.공문";#N/A,#N/A,FALSE,"7.netinvest"}</definedName>
    <definedName name="cri" hidden="1">{#N/A,#N/A,FALSE,"1.CRITERIA";#N/A,#N/A,FALSE,"2.IS";#N/A,#N/A,FALSE,"3.BS";#N/A,#N/A,FALSE,"4.PER PL";#N/A,#N/A,FALSE,"5.INVESTMENT";#N/A,#N/A,FALSE,"6.공문";#N/A,#N/A,FALSE,"7.netinvest"}</definedName>
    <definedName name="cria" localSheetId="3" hidden="1">{#N/A,#N/A,FALSE,"1.CRITERIA";#N/A,#N/A,FALSE,"2.IS";#N/A,#N/A,FALSE,"3.BS";#N/A,#N/A,FALSE,"4.PER PL";#N/A,#N/A,FALSE,"5.INVESTMENT";#N/A,#N/A,FALSE,"6.공문";#N/A,#N/A,FALSE,"7.netinvest"}</definedName>
    <definedName name="cria" localSheetId="4" hidden="1">{#N/A,#N/A,FALSE,"1.CRITERIA";#N/A,#N/A,FALSE,"2.IS";#N/A,#N/A,FALSE,"3.BS";#N/A,#N/A,FALSE,"4.PER PL";#N/A,#N/A,FALSE,"5.INVESTMENT";#N/A,#N/A,FALSE,"6.공문";#N/A,#N/A,FALSE,"7.netinvest"}</definedName>
    <definedName name="cria" hidden="1">{#N/A,#N/A,FALSE,"1.CRITERIA";#N/A,#N/A,FALSE,"2.IS";#N/A,#N/A,FALSE,"3.BS";#N/A,#N/A,FALSE,"4.PER PL";#N/A,#N/A,FALSE,"5.INVESTMENT";#N/A,#N/A,FALSE,"6.공문";#N/A,#N/A,FALSE,"7.netinvest"}</definedName>
    <definedName name="criteria1" localSheetId="3" hidden="1">{#N/A,#N/A,FALSE,"1.CRITERIA";#N/A,#N/A,FALSE,"2.IS";#N/A,#N/A,FALSE,"3.BS";#N/A,#N/A,FALSE,"4.PER PL";#N/A,#N/A,FALSE,"5.INVESTMENT";#N/A,#N/A,FALSE,"6.공문";#N/A,#N/A,FALSE,"7.netinvest"}</definedName>
    <definedName name="criteria1" localSheetId="4" hidden="1">{#N/A,#N/A,FALSE,"1.CRITERIA";#N/A,#N/A,FALSE,"2.IS";#N/A,#N/A,FALSE,"3.BS";#N/A,#N/A,FALSE,"4.PER PL";#N/A,#N/A,FALSE,"5.INVESTMENT";#N/A,#N/A,FALSE,"6.공문";#N/A,#N/A,FALSE,"7.netinvest"}</definedName>
    <definedName name="criteria1" hidden="1">{#N/A,#N/A,FALSE,"1.CRITERIA";#N/A,#N/A,FALSE,"2.IS";#N/A,#N/A,FALSE,"3.BS";#N/A,#N/A,FALSE,"4.PER PL";#N/A,#N/A,FALSE,"5.INVESTMENT";#N/A,#N/A,FALSE,"6.공문";#N/A,#N/A,FALSE,"7.netinvest"}</definedName>
    <definedName name="criteriai" localSheetId="3" hidden="1">{#N/A,#N/A,FALSE,"1.CRITERIA";#N/A,#N/A,FALSE,"2.IS";#N/A,#N/A,FALSE,"3.BS";#N/A,#N/A,FALSE,"4.PER PL";#N/A,#N/A,FALSE,"5.INVESTMENT";#N/A,#N/A,FALSE,"6.공문";#N/A,#N/A,FALSE,"7.netinvest"}</definedName>
    <definedName name="criteriai" localSheetId="4" hidden="1">{#N/A,#N/A,FALSE,"1.CRITERIA";#N/A,#N/A,FALSE,"2.IS";#N/A,#N/A,FALSE,"3.BS";#N/A,#N/A,FALSE,"4.PER PL";#N/A,#N/A,FALSE,"5.INVESTMENT";#N/A,#N/A,FALSE,"6.공문";#N/A,#N/A,FALSE,"7.netinvest"}</definedName>
    <definedName name="criteriai" hidden="1">{#N/A,#N/A,FALSE,"1.CRITERIA";#N/A,#N/A,FALSE,"2.IS";#N/A,#N/A,FALSE,"3.BS";#N/A,#N/A,FALSE,"4.PER PL";#N/A,#N/A,FALSE,"5.INVESTMENT";#N/A,#N/A,FALSE,"6.공문";#N/A,#N/A,FALSE,"7.netinvest"}</definedName>
    <definedName name="D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d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d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d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ividend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dividend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dividend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E" localSheetId="3" hidden="1">{#N/A,#N/A,FALSE,"1.CRITERIA";#N/A,#N/A,FALSE,"2.IS";#N/A,#N/A,FALSE,"3.BS";#N/A,#N/A,FALSE,"4.PER PL";#N/A,#N/A,FALSE,"5.INVESTMENT";#N/A,#N/A,FALSE,"6.공문";#N/A,#N/A,FALSE,"7.netinvest"}</definedName>
    <definedName name="E" localSheetId="4" hidden="1">{#N/A,#N/A,FALSE,"1.CRITERIA";#N/A,#N/A,FALSE,"2.IS";#N/A,#N/A,FALSE,"3.BS";#N/A,#N/A,FALSE,"4.PER PL";#N/A,#N/A,FALSE,"5.INVESTMENT";#N/A,#N/A,FALSE,"6.공문";#N/A,#N/A,FALSE,"7.netinvest"}</definedName>
    <definedName name="E" hidden="1">{#N/A,#N/A,FALSE,"1.CRITERIA";#N/A,#N/A,FALSE,"2.IS";#N/A,#N/A,FALSE,"3.BS";#N/A,#N/A,FALSE,"4.PER PL";#N/A,#N/A,FALSE,"5.INVESTMENT";#N/A,#N/A,FALSE,"6.공문";#N/A,#N/A,FALSE,"7.netinvest"}</definedName>
    <definedName name="ignition" localSheetId="3" hidden="1">{#N/A,#N/A,FALSE,"1.CRITERIA";#N/A,#N/A,FALSE,"2.IS";#N/A,#N/A,FALSE,"3.BS";#N/A,#N/A,FALSE,"4.PER PL";#N/A,#N/A,FALSE,"5.INVESTMENT";#N/A,#N/A,FALSE,"6.공문";#N/A,#N/A,FALSE,"7.netinvest"}</definedName>
    <definedName name="ignition" localSheetId="4" hidden="1">{#N/A,#N/A,FALSE,"1.CRITERIA";#N/A,#N/A,FALSE,"2.IS";#N/A,#N/A,FALSE,"3.BS";#N/A,#N/A,FALSE,"4.PER PL";#N/A,#N/A,FALSE,"5.INVESTMENT";#N/A,#N/A,FALSE,"6.공문";#N/A,#N/A,FALSE,"7.netinvest"}</definedName>
    <definedName name="ignition" hidden="1">{#N/A,#N/A,FALSE,"1.CRITERIA";#N/A,#N/A,FALSE,"2.IS";#N/A,#N/A,FALSE,"3.BS";#N/A,#N/A,FALSE,"4.PER PL";#N/A,#N/A,FALSE,"5.INVESTMENT";#N/A,#N/A,FALSE,"6.공문";#N/A,#N/A,FALSE,"7.netinvest"}</definedName>
    <definedName name="invest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xlnm.Print_Area" localSheetId="3">'ENGLISH(production)'!$A$1:$J$34</definedName>
    <definedName name="_xlnm.Print_Area" localSheetId="4">'ENGLISH(qct)'!$A$1:$J$43</definedName>
    <definedName name="q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q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q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summary2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summary2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summary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tdtf" localSheetId="3" hidden="1">{#N/A,#N/A,FALSE,"1.CRITERIA";#N/A,#N/A,FALSE,"2.IS";#N/A,#N/A,FALSE,"3.BS";#N/A,#N/A,FALSE,"4.PER PL";#N/A,#N/A,FALSE,"5.INVESTMENT";#N/A,#N/A,FALSE,"6.공문";#N/A,#N/A,FALSE,"7.netinvest"}</definedName>
    <definedName name="tdtf" localSheetId="4" hidden="1">{#N/A,#N/A,FALSE,"1.CRITERIA";#N/A,#N/A,FALSE,"2.IS";#N/A,#N/A,FALSE,"3.BS";#N/A,#N/A,FALSE,"4.PER PL";#N/A,#N/A,FALSE,"5.INVESTMENT";#N/A,#N/A,FALSE,"6.공문";#N/A,#N/A,FALSE,"7.netinvest"}</definedName>
    <definedName name="tdtf" hidden="1">{#N/A,#N/A,FALSE,"1.CRITERIA";#N/A,#N/A,FALSE,"2.IS";#N/A,#N/A,FALSE,"3.BS";#N/A,#N/A,FALSE,"4.PER PL";#N/A,#N/A,FALSE,"5.INVESTMENT";#N/A,#N/A,FALSE,"6.공문";#N/A,#N/A,FALSE,"7.netinvest"}</definedName>
    <definedName name="Travel_비용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Travel_비용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Travel_비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criteria.95p." localSheetId="3" hidden="1">{#N/A,#N/A,FALSE,"1.CRITERIA";#N/A,#N/A,FALSE,"2.IS";#N/A,#N/A,FALSE,"3.BS";#N/A,#N/A,FALSE,"4.PER PL";#N/A,#N/A,FALSE,"5.INVESTMENT";#N/A,#N/A,FALSE,"6.공문";#N/A,#N/A,FALSE,"7.netinvest"}</definedName>
    <definedName name="wrn.criteria.95p." localSheetId="4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riteriai.95p." localSheetId="3" hidden="1">{#N/A,#N/A,FALSE,"1.CRITERIA";#N/A,#N/A,FALSE,"2.IS";#N/A,#N/A,FALSE,"3.BS";#N/A,#N/A,FALSE,"4.PER PL";#N/A,#N/A,FALSE,"5.INVESTMENT";#N/A,#N/A,FALSE,"6.공문";#N/A,#N/A,FALSE,"7.netinvest"}</definedName>
    <definedName name="wrn.criteriai.95p." localSheetId="4" hidden="1">{#N/A,#N/A,FALSE,"1.CRITERIA";#N/A,#N/A,FALSE,"2.IS";#N/A,#N/A,FALSE,"3.BS";#N/A,#N/A,FALSE,"4.PER PL";#N/A,#N/A,FALSE,"5.INVESTMENT";#N/A,#N/A,FALSE,"6.공문";#N/A,#N/A,FALSE,"7.netinvest"}</definedName>
    <definedName name="wrn.criteriai.95p." hidden="1">{#N/A,#N/A,FALSE,"1.CRITERIA";#N/A,#N/A,FALSE,"2.IS";#N/A,#N/A,FALSE,"3.BS";#N/A,#N/A,FALSE,"4.PER PL";#N/A,#N/A,FALSE,"5.INVESTMENT";#N/A,#N/A,FALSE,"6.공문";#N/A,#N/A,FALSE,"7.netinvest"}</definedName>
    <definedName name="wrn.Invest.678.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mapsen.fsm.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.fsm.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s.fsm.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s.fsm.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s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wasqw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wasqw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wasqw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Z_E8FEE9A5_163A_11D2_AED0_0000E81DA68C_.wvu.Rows" localSheetId="3" hidden="1">#REF!</definedName>
    <definedName name="Z_E8FEE9A5_163A_11D2_AED0_0000E81DA68C_.wvu.Rows" localSheetId="4" hidden="1">#REF!</definedName>
    <definedName name="Z_E8FEE9A5_163A_11D2_AED0_0000E81DA68C_.wvu.Rows" hidden="1">#REF!</definedName>
    <definedName name="ㄱ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ㄱ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ㄱ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ㄱㄱㄱ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ㄱ" localSheetId="3" hidden="1">{#N/A,#N/A,FALSE,"1.CRITERIA";#N/A,#N/A,FALSE,"2.IS";#N/A,#N/A,FALSE,"3.BS";#N/A,#N/A,FALSE,"4.PER PL";#N/A,#N/A,FALSE,"5.INVESTMENT";#N/A,#N/A,FALSE,"6.공문";#N/A,#N/A,FALSE,"7.netinvest"}</definedName>
    <definedName name="ㄱㄱㄱㄱ" localSheetId="4" hidden="1">{#N/A,#N/A,FALSE,"1.CRITERIA";#N/A,#N/A,FALSE,"2.IS";#N/A,#N/A,FALSE,"3.BS";#N/A,#N/A,FALSE,"4.PER PL";#N/A,#N/A,FALSE,"5.INVESTMENT";#N/A,#N/A,FALSE,"6.공문";#N/A,#N/A,FALSE,"7.netinvest"}</definedName>
    <definedName name="ㄱㄱㄱㄱ" hidden="1">{#N/A,#N/A,FALSE,"1.CRITERIA";#N/A,#N/A,FALSE,"2.IS";#N/A,#N/A,FALSE,"3.BS";#N/A,#N/A,FALSE,"4.PER PL";#N/A,#N/A,FALSE,"5.INVESTMENT";#N/A,#N/A,FALSE,"6.공문";#N/A,#N/A,FALSE,"7.netinvest"}</definedName>
    <definedName name="가라" localSheetId="3" hidden="1">{#N/A,#N/A,FALSE,"1.CRITERIA";#N/A,#N/A,FALSE,"2.IS";#N/A,#N/A,FALSE,"3.BS";#N/A,#N/A,FALSE,"4.PER PL";#N/A,#N/A,FALSE,"5.INVESTMENT";#N/A,#N/A,FALSE,"6.공문";#N/A,#N/A,FALSE,"7.netinvest"}</definedName>
    <definedName name="가라" localSheetId="4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localSheetId="3" hidden="1">{#N/A,#N/A,FALSE,"1.CRITERIA";#N/A,#N/A,FALSE,"2.IS";#N/A,#N/A,FALSE,"3.BS";#N/A,#N/A,FALSE,"4.PER PL";#N/A,#N/A,FALSE,"5.INVESTMENT";#N/A,#N/A,FALSE,"6.공문";#N/A,#N/A,FALSE,"7.netinvest"}</definedName>
    <definedName name="가아차" localSheetId="4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localSheetId="3" hidden="1">{#N/A,#N/A,FALSE,"1.CRITERIA";#N/A,#N/A,FALSE,"2.IS";#N/A,#N/A,FALSE,"3.BS";#N/A,#N/A,FALSE,"4.PER PL";#N/A,#N/A,FALSE,"5.INVESTMENT";#N/A,#N/A,FALSE,"6.공문";#N/A,#N/A,FALSE,"7.netinvest"}</definedName>
    <definedName name="강" localSheetId="4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localSheetId="3" hidden="1">{#N/A,#N/A,FALSE,"1.CRITERIA";#N/A,#N/A,FALSE,"2.IS";#N/A,#N/A,FALSE,"3.BS";#N/A,#N/A,FALSE,"4.PER PL";#N/A,#N/A,FALSE,"5.INVESTMENT";#N/A,#N/A,FALSE,"6.공문";#N/A,#N/A,FALSE,"7.netinvest"}</definedName>
    <definedName name="거" localSheetId="4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localSheetId="3" hidden="1">{#N/A,#N/A,FALSE,"1.CRITERIA";#N/A,#N/A,FALSE,"2.IS";#N/A,#N/A,FALSE,"3.BS";#N/A,#N/A,FALSE,"4.PER PL";#N/A,#N/A,FALSE,"5.INVESTMENT";#N/A,#N/A,FALSE,"6.공문";#N/A,#N/A,FALSE,"7.netinvest"}</definedName>
    <definedName name="거이" localSheetId="4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계산" localSheetId="3" hidden="1">{#N/A,#N/A,FALSE,"1.CRITERIA";#N/A,#N/A,FALSE,"2.IS";#N/A,#N/A,FALSE,"3.BS";#N/A,#N/A,FALSE,"4.PER PL";#N/A,#N/A,FALSE,"5.INVESTMENT";#N/A,#N/A,FALSE,"6.공문";#N/A,#N/A,FALSE,"7.netinvest"}</definedName>
    <definedName name="계산" localSheetId="4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고객만족" localSheetId="3" hidden="1">{#N/A,#N/A,FALSE,"1.CRITERIA";#N/A,#N/A,FALSE,"2.IS";#N/A,#N/A,FALSE,"3.BS";#N/A,#N/A,FALSE,"4.PER PL";#N/A,#N/A,FALSE,"5.INVESTMENT";#N/A,#N/A,FALSE,"6.공문";#N/A,#N/A,FALSE,"7.netinvest"}</definedName>
    <definedName name="고객만족" localSheetId="4" hidden="1">{#N/A,#N/A,FALSE,"1.CRITERIA";#N/A,#N/A,FALSE,"2.IS";#N/A,#N/A,FALSE,"3.BS";#N/A,#N/A,FALSE,"4.PER PL";#N/A,#N/A,FALSE,"5.INVESTMENT";#N/A,#N/A,FALSE,"6.공문";#N/A,#N/A,FALSE,"7.netinvest"}</definedName>
    <definedName name="고객만족" hidden="1">{#N/A,#N/A,FALSE,"1.CRITERIA";#N/A,#N/A,FALSE,"2.IS";#N/A,#N/A,FALSE,"3.BS";#N/A,#N/A,FALSE,"4.PER PL";#N/A,#N/A,FALSE,"5.INVESTMENT";#N/A,#N/A,FALSE,"6.공문";#N/A,#N/A,FALSE,"7.netinvest"}</definedName>
    <definedName name="기본agenda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기본agenda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기본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기아" localSheetId="3" hidden="1">{#N/A,#N/A,FALSE,"1.CRITERIA";#N/A,#N/A,FALSE,"2.IS";#N/A,#N/A,FALSE,"3.BS";#N/A,#N/A,FALSE,"4.PER PL";#N/A,#N/A,FALSE,"5.INVESTMENT";#N/A,#N/A,FALSE,"6.공문";#N/A,#N/A,FALSE,"7.netinvest"}</definedName>
    <definedName name="기아" localSheetId="4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3" hidden="1">{#N/A,#N/A,FALSE,"1.CRITERIA";#N/A,#N/A,FALSE,"2.IS";#N/A,#N/A,FALSE,"3.BS";#N/A,#N/A,FALSE,"4.PER PL";#N/A,#N/A,FALSE,"5.INVESTMENT";#N/A,#N/A,FALSE,"6.공문";#N/A,#N/A,FALSE,"7.netinvest"}</definedName>
    <definedName name="기아차" localSheetId="4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깅이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깅이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깅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ㄴ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ㄴ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ㄴㄴ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ㄴ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ㄹㅊㄴㅊ" localSheetId="3" hidden="1">{#N/A,#N/A,FALSE,"1.CRITERIA";#N/A,#N/A,FALSE,"2.IS";#N/A,#N/A,FALSE,"3.BS";#N/A,#N/A,FALSE,"4.PER PL";#N/A,#N/A,FALSE,"5.INVESTMENT";#N/A,#N/A,FALSE,"6.공문";#N/A,#N/A,FALSE,"7.netinvest"}</definedName>
    <definedName name="ㄴㄹㅊㄴㅊ" localSheetId="4" hidden="1">{#N/A,#N/A,FALSE,"1.CRITERIA";#N/A,#N/A,FALSE,"2.IS";#N/A,#N/A,FALSE,"3.BS";#N/A,#N/A,FALSE,"4.PER PL";#N/A,#N/A,FALSE,"5.INVESTMENT";#N/A,#N/A,FALSE,"6.공문";#N/A,#N/A,FALSE,"7.netinvest"}</definedName>
    <definedName name="ㄴㄹㅊㄴㅊ" hidden="1">{#N/A,#N/A,FALSE,"1.CRITERIA";#N/A,#N/A,FALSE,"2.IS";#N/A,#N/A,FALSE,"3.BS";#N/A,#N/A,FALSE,"4.PER PL";#N/A,#N/A,FALSE,"5.INVESTMENT";#N/A,#N/A,FALSE,"6.공문";#N/A,#N/A,FALSE,"7.netinvest"}</definedName>
    <definedName name="나" localSheetId="3" hidden="1">{#N/A,#N/A,FALSE,"1.CRITERIA";#N/A,#N/A,FALSE,"2.IS";#N/A,#N/A,FALSE,"3.BS";#N/A,#N/A,FALSE,"4.PER PL";#N/A,#N/A,FALSE,"5.INVESTMENT";#N/A,#N/A,FALSE,"6.공문";#N/A,#N/A,FALSE,"7.netinvest"}</definedName>
    <definedName name="나" localSheetId="4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localSheetId="3" hidden="1">{#N/A,#N/A,FALSE,"1.CRITERIA";#N/A,#N/A,FALSE,"2.IS";#N/A,#N/A,FALSE,"3.BS";#N/A,#N/A,FALSE,"4.PER PL";#N/A,#N/A,FALSE,"5.INVESTMENT";#N/A,#N/A,FALSE,"6.공문";#N/A,#N/A,FALSE,"7.netinvest"}</definedName>
    <definedName name="나라" localSheetId="4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localSheetId="3" hidden="1">{#N/A,#N/A,FALSE,"1.CRITERIA";#N/A,#N/A,FALSE,"2.IS";#N/A,#N/A,FALSE,"3.BS";#N/A,#N/A,FALSE,"4.PER PL";#N/A,#N/A,FALSE,"5.INVESTMENT";#N/A,#N/A,FALSE,"6.공문";#N/A,#N/A,FALSE,"7.netinvest"}</definedName>
    <definedName name="너" localSheetId="4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다" localSheetId="3" hidden="1">{#N/A,#N/A,FALSE,"1.CRITERIA";#N/A,#N/A,FALSE,"2.IS";#N/A,#N/A,FALSE,"3.BS";#N/A,#N/A,FALSE,"4.PER PL";#N/A,#N/A,FALSE,"5.INVESTMENT";#N/A,#N/A,FALSE,"6.공문";#N/A,#N/A,FALSE,"7.netinvest"}</definedName>
    <definedName name="다" localSheetId="4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ㄹㄹ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ㄹㄹ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ㄹㄹ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라" localSheetId="3" hidden="1">{#N/A,#N/A,FALSE,"1.CRITERIA";#N/A,#N/A,FALSE,"2.IS";#N/A,#N/A,FALSE,"3.BS";#N/A,#N/A,FALSE,"4.PER PL";#N/A,#N/A,FALSE,"5.INVESTMENT";#N/A,#N/A,FALSE,"6.공문";#N/A,#N/A,FALSE,"7.netinvest"}</definedName>
    <definedName name="라" localSheetId="4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ㅁ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ㅁ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ㅁ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ㅁㅁ" localSheetId="3" hidden="1">{#N/A,#N/A,FALSE,"1.CRITERIA";#N/A,#N/A,FALSE,"2.IS";#N/A,#N/A,FALSE,"3.BS";#N/A,#N/A,FALSE,"4.PER PL";#N/A,#N/A,FALSE,"5.INVESTMENT";#N/A,#N/A,FALSE,"6.공문";#N/A,#N/A,FALSE,"7.netinvest"}</definedName>
    <definedName name="ㅁㅁ" localSheetId="4" hidden="1">{#N/A,#N/A,FALSE,"1.CRITERIA";#N/A,#N/A,FALSE,"2.IS";#N/A,#N/A,FALSE,"3.BS";#N/A,#N/A,FALSE,"4.PER PL";#N/A,#N/A,FALSE,"5.INVESTMENT";#N/A,#N/A,FALSE,"6.공문";#N/A,#N/A,FALSE,"7.netinvest"}</definedName>
    <definedName name="ㅁㅁ" hidden="1">{#N/A,#N/A,FALSE,"1.CRITERIA";#N/A,#N/A,FALSE,"2.IS";#N/A,#N/A,FALSE,"3.BS";#N/A,#N/A,FALSE,"4.PER PL";#N/A,#N/A,FALSE,"5.INVESTMENT";#N/A,#N/A,FALSE,"6.공문";#N/A,#N/A,FALSE,"7.netinvest"}</definedName>
    <definedName name="ㅁㅁㅁ" localSheetId="3" hidden="1">{#N/A,#N/A,FALSE,"1.CRITERIA";#N/A,#N/A,FALSE,"2.IS";#N/A,#N/A,FALSE,"3.BS";#N/A,#N/A,FALSE,"4.PER PL";#N/A,#N/A,FALSE,"5.INVESTMENT";#N/A,#N/A,FALSE,"6.공문";#N/A,#N/A,FALSE,"7.netinvest"}</definedName>
    <definedName name="ㅁㅁㅁ" localSheetId="4" hidden="1">{#N/A,#N/A,FALSE,"1.CRITERIA";#N/A,#N/A,FALSE,"2.IS";#N/A,#N/A,FALSE,"3.BS";#N/A,#N/A,FALSE,"4.PER PL";#N/A,#N/A,FALSE,"5.INVESTMENT";#N/A,#N/A,FALSE,"6.공문";#N/A,#N/A,FALSE,"7.netinvest"}</definedName>
    <definedName name="ㅁㅁㅁ" hidden="1">{#N/A,#N/A,FALSE,"1.CRITERIA";#N/A,#N/A,FALSE,"2.IS";#N/A,#N/A,FALSE,"3.BS";#N/A,#N/A,FALSE,"4.PER PL";#N/A,#N/A,FALSE,"5.INVESTMENT";#N/A,#N/A,FALSE,"6.공문";#N/A,#N/A,FALSE,"7.netinvest"}</definedName>
    <definedName name="마마" localSheetId="3" hidden="1">{#N/A,#N/A,FALSE,"1.CRITERIA";#N/A,#N/A,FALSE,"2.IS";#N/A,#N/A,FALSE,"3.BS";#N/A,#N/A,FALSE,"4.PER PL";#N/A,#N/A,FALSE,"5.INVESTMENT";#N/A,#N/A,FALSE,"6.공문";#N/A,#N/A,FALSE,"7.netinvest"}</definedName>
    <definedName name="마마" localSheetId="4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3" hidden="1">{#N/A,#N/A,FALSE,"1.CRITERIA";#N/A,#N/A,FALSE,"2.IS";#N/A,#N/A,FALSE,"3.BS";#N/A,#N/A,FALSE,"4.PER PL";#N/A,#N/A,FALSE,"5.INVESTMENT";#N/A,#N/A,FALSE,"6.공문";#N/A,#N/A,FALSE,"7.netinvest"}</definedName>
    <definedName name="마마오" localSheetId="4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3" hidden="1">{#N/A,#N/A,FALSE,"1.CRITERIA";#N/A,#N/A,FALSE,"2.IS";#N/A,#N/A,FALSE,"3.BS";#N/A,#N/A,FALSE,"4.PER PL";#N/A,#N/A,FALSE,"5.INVESTMENT";#N/A,#N/A,FALSE,"6.공문";#N/A,#N/A,FALSE,"7.netinvest"}</definedName>
    <definedName name="마마이" localSheetId="4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localSheetId="3" hidden="1">{#N/A,#N/A,FALSE,"1.CRITERIA";#N/A,#N/A,FALSE,"2.IS";#N/A,#N/A,FALSE,"3.BS";#N/A,#N/A,FALSE,"4.PER PL";#N/A,#N/A,FALSE,"5.INVESTMENT";#N/A,#N/A,FALSE,"6.공문";#N/A,#N/A,FALSE,"7.netinvest"}</definedName>
    <definedName name="마아" localSheetId="4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localSheetId="3" hidden="1">{#N/A,#N/A,FALSE,"1.CRITERIA";#N/A,#N/A,FALSE,"2.IS";#N/A,#N/A,FALSE,"3.BS";#N/A,#N/A,FALSE,"4.PER PL";#N/A,#N/A,FALSE,"5.INVESTMENT";#N/A,#N/A,FALSE,"6.공문";#N/A,#N/A,FALSE,"7.netinvest"}</definedName>
    <definedName name="매축액2" localSheetId="4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localSheetId="3" hidden="1">{#N/A,#N/A,FALSE,"1.CRITERIA";#N/A,#N/A,FALSE,"2.IS";#N/A,#N/A,FALSE,"3.BS";#N/A,#N/A,FALSE,"4.PER PL";#N/A,#N/A,FALSE,"5.INVESTMENT";#N/A,#N/A,FALSE,"6.공문";#N/A,#N/A,FALSE,"7.netinvest"}</definedName>
    <definedName name="매출액2" localSheetId="4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localSheetId="3" hidden="1">{#N/A,#N/A,FALSE,"1.CRITERIA";#N/A,#N/A,FALSE,"2.IS";#N/A,#N/A,FALSE,"3.BS";#N/A,#N/A,FALSE,"4.PER PL";#N/A,#N/A,FALSE,"5.INVESTMENT";#N/A,#N/A,FALSE,"6.공문";#N/A,#N/A,FALSE,"7.netinvest"}</definedName>
    <definedName name="머머" localSheetId="4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localSheetId="3" hidden="1">{#N/A,#N/A,FALSE,"1.CRITERIA";#N/A,#N/A,FALSE,"2.IS";#N/A,#N/A,FALSE,"3.BS";#N/A,#N/A,FALSE,"4.PER PL";#N/A,#N/A,FALSE,"5.INVESTMENT";#N/A,#N/A,FALSE,"6.공문";#N/A,#N/A,FALSE,"7.netinvest"}</definedName>
    <definedName name="며며" localSheetId="4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localSheetId="3" hidden="1">{#N/A,#N/A,FALSE,"1.CRITERIA";#N/A,#N/A,FALSE,"2.IS";#N/A,#N/A,FALSE,"3.BS";#N/A,#N/A,FALSE,"4.PER PL";#N/A,#N/A,FALSE,"5.INVESTMENT";#N/A,#N/A,FALSE,"6.공문";#N/A,#N/A,FALSE,"7.netinvest"}</definedName>
    <definedName name="모모" localSheetId="4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무무" localSheetId="3" hidden="1">{#N/A,#N/A,FALSE,"1.CRITERIA";#N/A,#N/A,FALSE,"2.IS";#N/A,#N/A,FALSE,"3.BS";#N/A,#N/A,FALSE,"4.PER PL";#N/A,#N/A,FALSE,"5.INVESTMENT";#N/A,#N/A,FALSE,"6.공문";#N/A,#N/A,FALSE,"7.netinvest"}</definedName>
    <definedName name="무무" localSheetId="4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localSheetId="3" hidden="1">{#N/A,#N/A,FALSE,"1.CRITERIA";#N/A,#N/A,FALSE,"2.IS";#N/A,#N/A,FALSE,"3.BS";#N/A,#N/A,FALSE,"4.PER PL";#N/A,#N/A,FALSE,"5.INVESTMENT";#N/A,#N/A,FALSE,"6.공문";#N/A,#N/A,FALSE,"7.netinvest"}</definedName>
    <definedName name="뮤뮤" localSheetId="4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미" localSheetId="3" hidden="1">{#N/A,#N/A,FALSE,"1.CRITERIA";#N/A,#N/A,FALSE,"2.IS";#N/A,#N/A,FALSE,"3.BS";#N/A,#N/A,FALSE,"4.PER PL";#N/A,#N/A,FALSE,"5.INVESTMENT";#N/A,#N/A,FALSE,"6.공문";#N/A,#N/A,FALSE,"7.netinvest"}</definedName>
    <definedName name="미미" localSheetId="4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localSheetId="3" hidden="1">{#N/A,#N/A,FALSE,"1.CRITERIA";#N/A,#N/A,FALSE,"2.IS";#N/A,#N/A,FALSE,"3.BS";#N/A,#N/A,FALSE,"4.PER PL";#N/A,#N/A,FALSE,"5.INVESTMENT";#N/A,#N/A,FALSE,"6.공문";#N/A,#N/A,FALSE,"7.netinvest"}</definedName>
    <definedName name="미수금" localSheetId="4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ㅂㅂㅂ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ㅂㅂㅂ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ㅂㅂㅂ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바" localSheetId="3" hidden="1">{#N/A,#N/A,FALSE,"1.CRITERIA";#N/A,#N/A,FALSE,"2.IS";#N/A,#N/A,FALSE,"3.BS";#N/A,#N/A,FALSE,"4.PER PL";#N/A,#N/A,FALSE,"5.INVESTMENT";#N/A,#N/A,FALSE,"6.공문";#N/A,#N/A,FALSE,"7.netinvest"}</definedName>
    <definedName name="바" localSheetId="4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localSheetId="3" hidden="1">{#N/A,#N/A,FALSE,"1.CRITERIA";#N/A,#N/A,FALSE,"2.IS";#N/A,#N/A,FALSE,"3.BS";#N/A,#N/A,FALSE,"4.PER PL";#N/A,#N/A,FALSE,"5.INVESTMENT";#N/A,#N/A,FALSE,"6.공문";#N/A,#N/A,FALSE,"7.netinvest"}</definedName>
    <definedName name="바라" localSheetId="4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localSheetId="3" hidden="1">{#N/A,#N/A,FALSE,"1.CRITERIA";#N/A,#N/A,FALSE,"2.IS";#N/A,#N/A,FALSE,"3.BS";#N/A,#N/A,FALSE,"4.PER PL";#N/A,#N/A,FALSE,"5.INVESTMENT";#N/A,#N/A,FALSE,"6.공문";#N/A,#N/A,FALSE,"7.netinvest"}</definedName>
    <definedName name="바바" localSheetId="4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이" localSheetId="3" hidden="1">{#N/A,#N/A,FALSE,"1.CRITERIA";#N/A,#N/A,FALSE,"2.IS";#N/A,#N/A,FALSE,"3.BS";#N/A,#N/A,FALSE,"4.PER PL";#N/A,#N/A,FALSE,"5.INVESTMENT";#N/A,#N/A,FALSE,"6.공문";#N/A,#N/A,FALSE,"7.netinvest"}</definedName>
    <definedName name="바이" localSheetId="4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배당" localSheetId="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배당" localSheetId="4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배당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보라차" localSheetId="3" hidden="1">{#N/A,#N/A,FALSE,"1.CRITERIA";#N/A,#N/A,FALSE,"2.IS";#N/A,#N/A,FALSE,"3.BS";#N/A,#N/A,FALSE,"4.PER PL";#N/A,#N/A,FALSE,"5.INVESTMENT";#N/A,#N/A,FALSE,"6.공문";#N/A,#N/A,FALSE,"7.netinvest"}</definedName>
    <definedName name="보라차" localSheetId="4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localSheetId="3" hidden="1">{#N/A,#N/A,FALSE,"1.CRITERIA";#N/A,#N/A,FALSE,"2.IS";#N/A,#N/A,FALSE,"3.BS";#N/A,#N/A,FALSE,"4.PER PL";#N/A,#N/A,FALSE,"5.INVESTMENT";#N/A,#N/A,FALSE,"6.공문";#N/A,#N/A,FALSE,"7.netinvest"}</definedName>
    <definedName name="보아리" localSheetId="4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localSheetId="3" hidden="1">{#N/A,#N/A,FALSE,"1.CRITERIA";#N/A,#N/A,FALSE,"2.IS";#N/A,#N/A,FALSE,"3.BS";#N/A,#N/A,FALSE,"4.PER PL";#N/A,#N/A,FALSE,"5.INVESTMENT";#N/A,#N/A,FALSE,"6.공문";#N/A,#N/A,FALSE,"7.netinvest"}</definedName>
    <definedName name="보이" localSheetId="4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3" hidden="1">{#N/A,#N/A,FALSE,"1.CRITERIA";#N/A,#N/A,FALSE,"2.IS";#N/A,#N/A,FALSE,"3.BS";#N/A,#N/A,FALSE,"4.PER PL";#N/A,#N/A,FALSE,"5.INVESTMENT";#N/A,#N/A,FALSE,"6.공문";#N/A,#N/A,FALSE,"7.netinvest"}</definedName>
    <definedName name="보이아" localSheetId="4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빙수" localSheetId="3" hidden="1">{#N/A,#N/A,FALSE,"1.CRITERIA";#N/A,#N/A,FALSE,"2.IS";#N/A,#N/A,FALSE,"3.BS";#N/A,#N/A,FALSE,"4.PER PL";#N/A,#N/A,FALSE,"5.INVESTMENT";#N/A,#N/A,FALSE,"6.공문";#N/A,#N/A,FALSE,"7.netinvest"}</definedName>
    <definedName name="빙수" localSheetId="4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ㅅ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ㅅ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ㅅㅅㅅ" localSheetId="3" hidden="1">{#N/A,#N/A,FALSE,"1.CRITERIA";#N/A,#N/A,FALSE,"2.IS";#N/A,#N/A,FALSE,"3.BS";#N/A,#N/A,FALSE,"4.PER PL";#N/A,#N/A,FALSE,"5.INVESTMENT";#N/A,#N/A,FALSE,"6.공문";#N/A,#N/A,FALSE,"7.netinvest"}</definedName>
    <definedName name="ㅅㅅㅅ" localSheetId="4" hidden="1">{#N/A,#N/A,FALSE,"1.CRITERIA";#N/A,#N/A,FALSE,"2.IS";#N/A,#N/A,FALSE,"3.BS";#N/A,#N/A,FALSE,"4.PER PL";#N/A,#N/A,FALSE,"5.INVESTMENT";#N/A,#N/A,FALSE,"6.공문";#N/A,#N/A,FALSE,"7.netinvest"}</definedName>
    <definedName name="ㅅㅅㅅ" hidden="1">{#N/A,#N/A,FALSE,"1.CRITERIA";#N/A,#N/A,FALSE,"2.IS";#N/A,#N/A,FALSE,"3.BS";#N/A,#N/A,FALSE,"4.PER PL";#N/A,#N/A,FALSE,"5.INVESTMENT";#N/A,#N/A,FALSE,"6.공문";#N/A,#N/A,FALSE,"7.netinvest"}</definedName>
    <definedName name="ㅅㅅㅅㅅㅅ" localSheetId="3" hidden="1">{#N/A,#N/A,FALSE,"1.CRITERIA";#N/A,#N/A,FALSE,"2.IS";#N/A,#N/A,FALSE,"3.BS";#N/A,#N/A,FALSE,"4.PER PL";#N/A,#N/A,FALSE,"5.INVESTMENT";#N/A,#N/A,FALSE,"6.공문";#N/A,#N/A,FALSE,"7.netinvest"}</definedName>
    <definedName name="ㅅㅅㅅㅅㅅ" localSheetId="4" hidden="1">{#N/A,#N/A,FALSE,"1.CRITERIA";#N/A,#N/A,FALSE,"2.IS";#N/A,#N/A,FALSE,"3.BS";#N/A,#N/A,FALSE,"4.PER PL";#N/A,#N/A,FALSE,"5.INVESTMENT";#N/A,#N/A,FALSE,"6.공문";#N/A,#N/A,FALSE,"7.netinvest"}</definedName>
    <definedName name="ㅅㅅㅅㅅㅅ" hidden="1">{#N/A,#N/A,FALSE,"1.CRITERIA";#N/A,#N/A,FALSE,"2.IS";#N/A,#N/A,FALSE,"3.BS";#N/A,#N/A,FALSE,"4.PER PL";#N/A,#N/A,FALSE,"5.INVESTMENT";#N/A,#N/A,FALSE,"6.공문";#N/A,#N/A,FALSE,"7.netinvest"}</definedName>
    <definedName name="사" localSheetId="3" hidden="1">{#N/A,#N/A,FALSE,"1.CRITERIA";#N/A,#N/A,FALSE,"2.IS";#N/A,#N/A,FALSE,"3.BS";#N/A,#N/A,FALSE,"4.PER PL";#N/A,#N/A,FALSE,"5.INVESTMENT";#N/A,#N/A,FALSE,"6.공문";#N/A,#N/A,FALSE,"7.netinvest"}</definedName>
    <definedName name="사" localSheetId="4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원미지급" localSheetId="3" hidden="1">{#N/A,#N/A,FALSE,"1.CRITERIA";#N/A,#N/A,FALSE,"2.IS";#N/A,#N/A,FALSE,"3.BS";#N/A,#N/A,FALSE,"4.PER PL";#N/A,#N/A,FALSE,"5.INVESTMENT";#N/A,#N/A,FALSE,"6.공문";#N/A,#N/A,FALSE,"7.netinvest"}</definedName>
    <definedName name="사원미지급" localSheetId="4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생산2부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서이" localSheetId="3" hidden="1">{#N/A,#N/A,FALSE,"1.CRITERIA";#N/A,#N/A,FALSE,"2.IS";#N/A,#N/A,FALSE,"3.BS";#N/A,#N/A,FALSE,"4.PER PL";#N/A,#N/A,FALSE,"5.INVESTMENT";#N/A,#N/A,FALSE,"6.공문";#N/A,#N/A,FALSE,"7.netinvest"}</definedName>
    <definedName name="서이" localSheetId="4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localSheetId="3" hidden="1">{#N/A,#N/A,FALSE,"1.CRITERIA";#N/A,#N/A,FALSE,"2.IS";#N/A,#N/A,FALSE,"3.BS";#N/A,#N/A,FALSE,"4.PER PL";#N/A,#N/A,FALSE,"5.INVESTMENT";#N/A,#N/A,FALSE,"6.공문";#N/A,#N/A,FALSE,"7.netinvest"}</definedName>
    <definedName name="선급금" localSheetId="4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세목별집계표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세목별집계표2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세목별집계표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손실" localSheetId="3" hidden="1">{#N/A,#N/A,FALSE,"1.CRITERIA";#N/A,#N/A,FALSE,"2.IS";#N/A,#N/A,FALSE,"3.BS";#N/A,#N/A,FALSE,"4.PER PL";#N/A,#N/A,FALSE,"5.INVESTMENT";#N/A,#N/A,FALSE,"6.공문";#N/A,#N/A,FALSE,"7.netinvest"}</definedName>
    <definedName name="손실" localSheetId="4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정영문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ㅇ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ㅇ" localSheetId="3" hidden="1">{#N/A,#N/A,FALSE,"1.CRITERIA";#N/A,#N/A,FALSE,"2.IS";#N/A,#N/A,FALSE,"3.BS";#N/A,#N/A,FALSE,"4.PER PL";#N/A,#N/A,FALSE,"5.INVESTMENT";#N/A,#N/A,FALSE,"6.공문";#N/A,#N/A,FALSE,"7.netinvest"}</definedName>
    <definedName name="ㅇㅇㅇ" localSheetId="4" hidden="1">{#N/A,#N/A,FALSE,"1.CRITERIA";#N/A,#N/A,FALSE,"2.IS";#N/A,#N/A,FALSE,"3.BS";#N/A,#N/A,FALSE,"4.PER PL";#N/A,#N/A,FALSE,"5.INVESTMENT";#N/A,#N/A,FALSE,"6.공문";#N/A,#N/A,FALSE,"7.netinvest"}</definedName>
    <definedName name="ㅇㅇㅇ" hidden="1">{#N/A,#N/A,FALSE,"1.CRITERIA";#N/A,#N/A,FALSE,"2.IS";#N/A,#N/A,FALSE,"3.BS";#N/A,#N/A,FALSE,"4.PER PL";#N/A,#N/A,FALSE,"5.INVESTMENT";#N/A,#N/A,FALSE,"6.공문";#N/A,#N/A,FALSE,"7.netinvest"}</definedName>
    <definedName name="ㅇㅇㅇㅇ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ㅇㅇ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ㅇ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아" localSheetId="3" hidden="1">{#N/A,#N/A,FALSE,"1.CRITERIA";#N/A,#N/A,FALSE,"2.IS";#N/A,#N/A,FALSE,"3.BS";#N/A,#N/A,FALSE,"4.PER PL";#N/A,#N/A,FALSE,"5.INVESTMENT";#N/A,#N/A,FALSE,"6.공문";#N/A,#N/A,FALSE,"7.netinvest"}</definedName>
    <definedName name="아" localSheetId="4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localSheetId="3" hidden="1">{#N/A,#N/A,FALSE,"1.CRITERIA";#N/A,#N/A,FALSE,"2.IS";#N/A,#N/A,FALSE,"3.BS";#N/A,#N/A,FALSE,"4.PER PL";#N/A,#N/A,FALSE,"5.INVESTMENT";#N/A,#N/A,FALSE,"6.공문";#N/A,#N/A,FALSE,"7.netinvest"}</definedName>
    <definedName name="아아" localSheetId="4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localSheetId="3" hidden="1">{#N/A,#N/A,FALSE,"1.CRITERIA";#N/A,#N/A,FALSE,"2.IS";#N/A,#N/A,FALSE,"3.BS";#N/A,#N/A,FALSE,"4.PER PL";#N/A,#N/A,FALSE,"5.INVESTMENT";#N/A,#N/A,FALSE,"6.공문";#N/A,#N/A,FALSE,"7.netinvest"}</definedName>
    <definedName name="아아아" localSheetId="4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localSheetId="3" hidden="1">{#N/A,#N/A,FALSE,"1.CRITERIA";#N/A,#N/A,FALSE,"2.IS";#N/A,#N/A,FALSE,"3.BS";#N/A,#N/A,FALSE,"4.PER PL";#N/A,#N/A,FALSE,"5.INVESTMENT";#N/A,#N/A,FALSE,"6.공문";#N/A,#N/A,FALSE,"7.netinvest"}</definedName>
    <definedName name="아이" localSheetId="4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양식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양식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양식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어어" localSheetId="3" hidden="1">{#N/A,#N/A,FALSE,"1.CRITERIA";#N/A,#N/A,FALSE,"2.IS";#N/A,#N/A,FALSE,"3.BS";#N/A,#N/A,FALSE,"4.PER PL";#N/A,#N/A,FALSE,"5.INVESTMENT";#N/A,#N/A,FALSE,"6.공문";#N/A,#N/A,FALSE,"7.netinvest"}</definedName>
    <definedName name="어어" localSheetId="4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localSheetId="3" hidden="1">{#N/A,#N/A,FALSE,"1.CRITERIA";#N/A,#N/A,FALSE,"2.IS";#N/A,#N/A,FALSE,"3.BS";#N/A,#N/A,FALSE,"4.PER PL";#N/A,#N/A,FALSE,"5.INVESTMENT";#N/A,#N/A,FALSE,"6.공문";#N/A,#N/A,FALSE,"7.netinvest"}</definedName>
    <definedName name="여이" localSheetId="4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localSheetId="3" hidden="1">{#N/A,#N/A,FALSE,"1.CRITERIA";#N/A,#N/A,FALSE,"2.IS";#N/A,#N/A,FALSE,"3.BS";#N/A,#N/A,FALSE,"4.PER PL";#N/A,#N/A,FALSE,"5.INVESTMENT";#N/A,#N/A,FALSE,"6.공문";#N/A,#N/A,FALSE,"7.netinvest"}</definedName>
    <definedName name="영" localSheetId="4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localSheetId="3" hidden="1">{#N/A,#N/A,FALSE,"1.CRITERIA";#N/A,#N/A,FALSE,"2.IS";#N/A,#N/A,FALSE,"3.BS";#N/A,#N/A,FALSE,"4.PER PL";#N/A,#N/A,FALSE,"5.INVESTMENT";#N/A,#N/A,FALSE,"6.공문";#N/A,#N/A,FALSE,"7.netinvest"}</definedName>
    <definedName name="영업" localSheetId="4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localSheetId="3" hidden="1">{#N/A,#N/A,FALSE,"1.CRITERIA";#N/A,#N/A,FALSE,"2.IS";#N/A,#N/A,FALSE,"3.BS";#N/A,#N/A,FALSE,"4.PER PL";#N/A,#N/A,FALSE,"5.INVESTMENT";#N/A,#N/A,FALSE,"6.공문";#N/A,#N/A,FALSE,"7.netinvest"}</definedName>
    <definedName name="영업수" localSheetId="4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3" hidden="1">{#N/A,#N/A,FALSE,"1.CRITERIA";#N/A,#N/A,FALSE,"2.IS";#N/A,#N/A,FALSE,"3.BS";#N/A,#N/A,FALSE,"4.PER PL";#N/A,#N/A,FALSE,"5.INVESTMENT";#N/A,#N/A,FALSE,"6.공문";#N/A,#N/A,FALSE,"7.netinvest"}</definedName>
    <definedName name="영업수익" localSheetId="4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localSheetId="3" hidden="1">{#N/A,#N/A,FALSE,"1.CRITERIA";#N/A,#N/A,FALSE,"2.IS";#N/A,#N/A,FALSE,"3.BS";#N/A,#N/A,FALSE,"4.PER PL";#N/A,#N/A,FALSE,"5.INVESTMENT";#N/A,#N/A,FALSE,"6.공문";#N/A,#N/A,FALSE,"7.netinvest"}</definedName>
    <definedName name="영업외" localSheetId="4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수익" localSheetId="3" hidden="1">{#N/A,#N/A,FALSE,"1.CRITERIA";#N/A,#N/A,FALSE,"2.IS";#N/A,#N/A,FALSE,"3.BS";#N/A,#N/A,FALSE,"4.PER PL";#N/A,#N/A,FALSE,"5.INVESTMENT";#N/A,#N/A,FALSE,"6.공문";#N/A,#N/A,FALSE,"7.netinvest"}</definedName>
    <definedName name="영업외수익" localSheetId="4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localSheetId="3" hidden="1">{#N/A,#N/A,FALSE,"1.CRITERIA";#N/A,#N/A,FALSE,"2.IS";#N/A,#N/A,FALSE,"3.BS";#N/A,#N/A,FALSE,"4.PER PL";#N/A,#N/A,FALSE,"5.INVESTMENT";#N/A,#N/A,FALSE,"6.공문";#N/A,#N/A,FALSE,"7.netinvest"}</definedName>
    <definedName name="예금" localSheetId="4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완제품" localSheetId="3" hidden="1">{#N/A,#N/A,FALSE,"1.CRITERIA";#N/A,#N/A,FALSE,"2.IS";#N/A,#N/A,FALSE,"3.BS";#N/A,#N/A,FALSE,"4.PER PL";#N/A,#N/A,FALSE,"5.INVESTMENT";#N/A,#N/A,FALSE,"6.공문";#N/A,#N/A,FALSE,"7.netinvest"}</definedName>
    <definedName name="완제품" localSheetId="4" hidden="1">{#N/A,#N/A,FALSE,"1.CRITERIA";#N/A,#N/A,FALSE,"2.IS";#N/A,#N/A,FALSE,"3.BS";#N/A,#N/A,FALSE,"4.PER PL";#N/A,#N/A,FALSE,"5.INVESTMENT";#N/A,#N/A,FALSE,"6.공문";#N/A,#N/A,FALSE,"7.netinvest"}</definedName>
    <definedName name="완제품" hidden="1">{#N/A,#N/A,FALSE,"1.CRITERIA";#N/A,#N/A,FALSE,"2.IS";#N/A,#N/A,FALSE,"3.BS";#N/A,#N/A,FALSE,"4.PER PL";#N/A,#N/A,FALSE,"5.INVESTMENT";#N/A,#N/A,FALSE,"6.공문";#N/A,#N/A,FALSE,"7.netinvest"}</definedName>
    <definedName name="외예금" localSheetId="3" hidden="1">{#N/A,#N/A,FALSE,"1.CRITERIA";#N/A,#N/A,FALSE,"2.IS";#N/A,#N/A,FALSE,"3.BS";#N/A,#N/A,FALSE,"4.PER PL";#N/A,#N/A,FALSE,"5.INVESTMENT";#N/A,#N/A,FALSE,"6.공문";#N/A,#N/A,FALSE,"7.netinvest"}</definedName>
    <definedName name="외예금" localSheetId="4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울산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울산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울산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원가" localSheetId="3" hidden="1">{#N/A,#N/A,FALSE,"1.CRITERIA";#N/A,#N/A,FALSE,"2.IS";#N/A,#N/A,FALSE,"3.BS";#N/A,#N/A,FALSE,"4.PER PL";#N/A,#N/A,FALSE,"5.INVESTMENT";#N/A,#N/A,FALSE,"6.공문";#N/A,#N/A,FALSE,"7.netinvest"}</definedName>
    <definedName name="원가" localSheetId="4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localSheetId="3" hidden="1">{#N/A,#N/A,FALSE,"1.CRITERIA";#N/A,#N/A,FALSE,"2.IS";#N/A,#N/A,FALSE,"3.BS";#N/A,#N/A,FALSE,"4.PER PL";#N/A,#N/A,FALSE,"5.INVESTMENT";#N/A,#N/A,FALSE,"6.공문";#N/A,#N/A,FALSE,"7.netinvest"}</definedName>
    <definedName name="원가분석" localSheetId="4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localSheetId="3" hidden="1">{#N/A,#N/A,FALSE,"1.CRITERIA";#N/A,#N/A,FALSE,"2.IS";#N/A,#N/A,FALSE,"3.BS";#N/A,#N/A,FALSE,"4.PER PL";#N/A,#N/A,FALSE,"5.INVESTMENT";#N/A,#N/A,FALSE,"6.공문";#N/A,#N/A,FALSE,"7.netinvest"}</definedName>
    <definedName name="월" localSheetId="4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localSheetId="3" hidden="1">{#N/A,#N/A,FALSE,"1.CRITERIA";#N/A,#N/A,FALSE,"2.IS";#N/A,#N/A,FALSE,"3.BS";#N/A,#N/A,FALSE,"4.PER PL";#N/A,#N/A,FALSE,"5.INVESTMENT";#N/A,#N/A,FALSE,"6.공문";#N/A,#N/A,FALSE,"7.netinvest"}</definedName>
    <definedName name="월말" localSheetId="4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3" hidden="1">{#N/A,#N/A,FALSE,"1.CRITERIA";#N/A,#N/A,FALSE,"2.IS";#N/A,#N/A,FALSE,"3.BS";#N/A,#N/A,FALSE,"4.PER PL";#N/A,#N/A,FALSE,"5.INVESTMENT";#N/A,#N/A,FALSE,"6.공문";#N/A,#N/A,FALSE,"7.netinvest"}</definedName>
    <definedName name="월별" localSheetId="4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localSheetId="3" hidden="1">{#N/A,#N/A,FALSE,"1.CRITERIA";#N/A,#N/A,FALSE,"2.IS";#N/A,#N/A,FALSE,"3.BS";#N/A,#N/A,FALSE,"4.PER PL";#N/A,#N/A,FALSE,"5.INVESTMENT";#N/A,#N/A,FALSE,"6.공문";#N/A,#N/A,FALSE,"7.netinvest"}</definedName>
    <definedName name="월별영업비용" localSheetId="4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localSheetId="3" hidden="1">{#N/A,#N/A,FALSE,"1.CRITERIA";#N/A,#N/A,FALSE,"2.IS";#N/A,#N/A,FALSE,"3.BS";#N/A,#N/A,FALSE,"4.PER PL";#N/A,#N/A,FALSE,"5.INVESTMENT";#N/A,#N/A,FALSE,"6.공문";#N/A,#N/A,FALSE,"7.netinvest"}</definedName>
    <definedName name="유이" localSheetId="4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사님.수정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ㅈㅈㅈ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ㅈㅈㅈ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ㅈㅈ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ㅈㅈㅈㅈㅈㅈㅈㅈㅈㅈㅈㅈㅈㅈㅈㅈㅈㅈㅈ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" localSheetId="4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localSheetId="4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잡손실" localSheetId="3" hidden="1">{#N/A,#N/A,FALSE,"1.CRITERIA";#N/A,#N/A,FALSE,"2.IS";#N/A,#N/A,FALSE,"3.BS";#N/A,#N/A,FALSE,"4.PER PL";#N/A,#N/A,FALSE,"5.INVESTMENT";#N/A,#N/A,FALSE,"6.공문";#N/A,#N/A,FALSE,"7.netinvest"}</definedName>
    <definedName name="잡손실" localSheetId="4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3" hidden="1">{#N/A,#N/A,FALSE,"1.CRITERIA";#N/A,#N/A,FALSE,"2.IS";#N/A,#N/A,FALSE,"3.BS";#N/A,#N/A,FALSE,"4.PER PL";#N/A,#N/A,FALSE,"5.INVESTMENT";#N/A,#N/A,FALSE,"6.공문";#N/A,#N/A,FALSE,"7.netinvest"}</definedName>
    <definedName name="잡이익" localSheetId="4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제조" localSheetId="3" hidden="1">{#N/A,#N/A,FALSE,"1.CRITERIA";#N/A,#N/A,FALSE,"2.IS";#N/A,#N/A,FALSE,"3.BS";#N/A,#N/A,FALSE,"4.PER PL";#N/A,#N/A,FALSE,"5.INVESTMENT";#N/A,#N/A,FALSE,"6.공문";#N/A,#N/A,FALSE,"7.netinvest"}</definedName>
    <definedName name="제조" localSheetId="4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차" localSheetId="3" hidden="1">{#N/A,#N/A,FALSE,"1.CRITERIA";#N/A,#N/A,FALSE,"2.IS";#N/A,#N/A,FALSE,"3.BS";#N/A,#N/A,FALSE,"4.PER PL";#N/A,#N/A,FALSE,"5.INVESTMENT";#N/A,#N/A,FALSE,"6.공문";#N/A,#N/A,FALSE,"7.netinvest"}</definedName>
    <definedName name="차" localSheetId="4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최신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최신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최신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커머" localSheetId="3" hidden="1">{#N/A,#N/A,FALSE,"1.CRITERIA";#N/A,#N/A,FALSE,"2.IS";#N/A,#N/A,FALSE,"3.BS";#N/A,#N/A,FALSE,"4.PER PL";#N/A,#N/A,FALSE,"5.INVESTMENT";#N/A,#N/A,FALSE,"6.공문";#N/A,#N/A,FALSE,"7.netinvest"}</definedName>
    <definedName name="커머" localSheetId="4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localSheetId="3" hidden="1">{#N/A,#N/A,FALSE,"1.CRITERIA";#N/A,#N/A,FALSE,"2.IS";#N/A,#N/A,FALSE,"3.BS";#N/A,#N/A,FALSE,"4.PER PL";#N/A,#N/A,FALSE,"5.INVESTMENT";#N/A,#N/A,FALSE,"6.공문";#N/A,#N/A,FALSE,"7.netinvest"}</definedName>
    <definedName name="컼커" localSheetId="4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쿠자심의요청서_Immobilizer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특정" localSheetId="3" hidden="1">{#N/A,#N/A,FALSE,"1.CRITERIA";#N/A,#N/A,FALSE,"2.IS";#N/A,#N/A,FALSE,"3.BS";#N/A,#N/A,FALSE,"4.PER PL";#N/A,#N/A,FALSE,"5.INVESTMENT";#N/A,#N/A,FALSE,"6.공문";#N/A,#N/A,FALSE,"7.netinvest"}</definedName>
    <definedName name="특정" localSheetId="4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하" localSheetId="3" hidden="1">{#N/A,#N/A,FALSE,"1.CRITERIA";#N/A,#N/A,FALSE,"2.IS";#N/A,#N/A,FALSE,"3.BS";#N/A,#N/A,FALSE,"4.PER PL";#N/A,#N/A,FALSE,"5.INVESTMENT";#N/A,#N/A,FALSE,"6.공문";#N/A,#N/A,FALSE,"7.netinvest"}</definedName>
    <definedName name="파하" localSheetId="4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품질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품질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품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ㅎㅎㅎ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ㅎㅎㅎ" localSheetId="4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ㅎㅎㅎ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하" localSheetId="3" hidden="1">{#N/A,#N/A,FALSE,"1.CRITERIA";#N/A,#N/A,FALSE,"2.IS";#N/A,#N/A,FALSE,"3.BS";#N/A,#N/A,FALSE,"4.PER PL";#N/A,#N/A,FALSE,"5.INVESTMENT";#N/A,#N/A,FALSE,"6.공문";#N/A,#N/A,FALSE,"7.netinvest"}</definedName>
    <definedName name="하" localSheetId="4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호" localSheetId="3" hidden="1">{#N/A,#N/A,FALSE,"1.CRITERIA";#N/A,#N/A,FALSE,"2.IS";#N/A,#N/A,FALSE,"3.BS";#N/A,#N/A,FALSE,"4.PER PL";#N/A,#N/A,FALSE,"5.INVESTMENT";#N/A,#N/A,FALSE,"6.공문";#N/A,#N/A,FALSE,"7.netinvest"}</definedName>
    <definedName name="호" localSheetId="4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혼ㅇㄹ호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혼ㅇㄹ호" localSheetId="4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혼ㅇㄹ호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ㅛㅕ" localSheetId="3" hidden="1">{#N/A,#N/A,FALSE,"1.CRITERIA";#N/A,#N/A,FALSE,"2.IS";#N/A,#N/A,FALSE,"3.BS";#N/A,#N/A,FALSE,"4.PER PL";#N/A,#N/A,FALSE,"5.INVESTMENT";#N/A,#N/A,FALSE,"6.공문";#N/A,#N/A,FALSE,"7.netinvest"}</definedName>
    <definedName name="ㅛㅕ" localSheetId="4" hidden="1">{#N/A,#N/A,FALSE,"1.CRITERIA";#N/A,#N/A,FALSE,"2.IS";#N/A,#N/A,FALSE,"3.BS";#N/A,#N/A,FALSE,"4.PER PL";#N/A,#N/A,FALSE,"5.INVESTMENT";#N/A,#N/A,FALSE,"6.공문";#N/A,#N/A,FALSE,"7.netinvest"}</definedName>
    <definedName name="ㅛㅕ" hidden="1">{#N/A,#N/A,FALSE,"1.CRITERIA";#N/A,#N/A,FALSE,"2.IS";#N/A,#N/A,FALSE,"3.BS";#N/A,#N/A,FALSE,"4.PER PL";#N/A,#N/A,FALSE,"5.INVESTMENT";#N/A,#N/A,FALSE,"6.공문";#N/A,#N/A,FALSE,"7.netinvest"}</definedName>
    <definedName name="ㅛㅛㅛㅛ" localSheetId="3" hidden="1">{#N/A,#N/A,FALSE,"1.CRITERIA";#N/A,#N/A,FALSE,"2.IS";#N/A,#N/A,FALSE,"3.BS";#N/A,#N/A,FALSE,"4.PER PL";#N/A,#N/A,FALSE,"5.INVESTMENT";#N/A,#N/A,FALSE,"6.공문";#N/A,#N/A,FALSE,"7.netinvest"}</definedName>
    <definedName name="ㅛㅛㅛㅛ" localSheetId="4" hidden="1">{#N/A,#N/A,FALSE,"1.CRITERIA";#N/A,#N/A,FALSE,"2.IS";#N/A,#N/A,FALSE,"3.BS";#N/A,#N/A,FALSE,"4.PER PL";#N/A,#N/A,FALSE,"5.INVESTMENT";#N/A,#N/A,FALSE,"6.공문";#N/A,#N/A,FALSE,"7.netinvest"}</definedName>
    <definedName name="ㅛㅛㅛㅛ" hidden="1">{#N/A,#N/A,FALSE,"1.CRITERIA";#N/A,#N/A,FALSE,"2.IS";#N/A,#N/A,FALSE,"3.BS";#N/A,#N/A,FALSE,"4.PER PL";#N/A,#N/A,FALSE,"5.INVESTMENT";#N/A,#N/A,FALSE,"6.공문";#N/A,#N/A,FALSE,"7.netinvest"}</definedName>
    <definedName name="ㅣㅣㅣ" localSheetId="3" hidden="1">{#N/A,#N/A,FALSE,"1.CRITERIA";#N/A,#N/A,FALSE,"2.IS";#N/A,#N/A,FALSE,"3.BS";#N/A,#N/A,FALSE,"4.PER PL";#N/A,#N/A,FALSE,"5.INVESTMENT";#N/A,#N/A,FALSE,"6.공문";#N/A,#N/A,FALSE,"7.netinvest"}</definedName>
    <definedName name="ㅣㅣㅣ" localSheetId="4" hidden="1">{#N/A,#N/A,FALSE,"1.CRITERIA";#N/A,#N/A,FALSE,"2.IS";#N/A,#N/A,FALSE,"3.BS";#N/A,#N/A,FALSE,"4.PER PL";#N/A,#N/A,FALSE,"5.INVESTMENT";#N/A,#N/A,FALSE,"6.공문";#N/A,#N/A,FALSE,"7.netinvest"}</definedName>
    <definedName name="ㅣㅣㅣ" hidden="1">{#N/A,#N/A,FALSE,"1.CRITERIA";#N/A,#N/A,FALSE,"2.IS";#N/A,#N/A,FALSE,"3.BS";#N/A,#N/A,FALSE,"4.PER PL";#N/A,#N/A,FALSE,"5.INVESTMENT";#N/A,#N/A,FALSE,"6.공문";#N/A,#N/A,FALSE,"7.netinvest"}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6" l="1"/>
  <c r="F34" i="6"/>
  <c r="E34" i="6"/>
  <c r="F33" i="6"/>
  <c r="E33" i="6"/>
  <c r="F32" i="6"/>
  <c r="E32" i="6"/>
  <c r="F31" i="6"/>
  <c r="E31" i="6"/>
  <c r="F30" i="6"/>
  <c r="E30" i="6"/>
  <c r="F17" i="6"/>
  <c r="E17" i="6"/>
  <c r="F15" i="6"/>
  <c r="E15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3" i="6"/>
  <c r="G43" i="6" s="1"/>
  <c r="H43" i="6" s="1"/>
  <c r="E43" i="6"/>
  <c r="C43" i="6"/>
  <c r="F42" i="6"/>
  <c r="G42" i="6" s="1"/>
  <c r="H42" i="6" s="1"/>
  <c r="E42" i="6"/>
  <c r="C42" i="6"/>
  <c r="G41" i="6"/>
  <c r="H41" i="6" s="1"/>
  <c r="F41" i="6"/>
  <c r="F40" i="6" s="1"/>
  <c r="G40" i="6" s="1"/>
  <c r="H40" i="6" s="1"/>
  <c r="E41" i="6"/>
  <c r="C41" i="6"/>
  <c r="L40" i="6"/>
  <c r="E40" i="6"/>
  <c r="C40" i="6"/>
  <c r="F39" i="6"/>
  <c r="F37" i="6" s="1"/>
  <c r="D39" i="6"/>
  <c r="G38" i="6"/>
  <c r="H38" i="6" s="1"/>
  <c r="F38" i="6"/>
  <c r="E38" i="6"/>
  <c r="E39" i="6" s="1"/>
  <c r="E37" i="6" s="1"/>
  <c r="D37" i="6"/>
  <c r="F36" i="6"/>
  <c r="G36" i="6" s="1"/>
  <c r="H36" i="6" s="1"/>
  <c r="E36" i="6"/>
  <c r="F35" i="6"/>
  <c r="G35" i="6" s="1"/>
  <c r="H35" i="6" s="1"/>
  <c r="E35" i="6"/>
  <c r="G34" i="6"/>
  <c r="H34" i="6" s="1"/>
  <c r="C34" i="6"/>
  <c r="G33" i="6"/>
  <c r="H33" i="6" s="1"/>
  <c r="C33" i="6"/>
  <c r="G32" i="6"/>
  <c r="H32" i="6" s="1"/>
  <c r="F29" i="6"/>
  <c r="G30" i="6"/>
  <c r="H30" i="6" s="1"/>
  <c r="C30" i="6"/>
  <c r="C29" i="6"/>
  <c r="G17" i="6"/>
  <c r="H17" i="6" s="1"/>
  <c r="G15" i="6"/>
  <c r="H15" i="6" s="1"/>
  <c r="E27" i="6"/>
  <c r="G13" i="6"/>
  <c r="H13" i="6" s="1"/>
  <c r="F25" i="6"/>
  <c r="E25" i="6"/>
  <c r="G12" i="6"/>
  <c r="H12" i="6" s="1"/>
  <c r="F24" i="6"/>
  <c r="E24" i="6"/>
  <c r="G11" i="6"/>
  <c r="H11" i="6" s="1"/>
  <c r="F23" i="6"/>
  <c r="E23" i="6"/>
  <c r="G10" i="6"/>
  <c r="H10" i="6" s="1"/>
  <c r="F22" i="6"/>
  <c r="G22" i="6" s="1"/>
  <c r="H22" i="6" s="1"/>
  <c r="E22" i="6"/>
  <c r="G9" i="6"/>
  <c r="H9" i="6" s="1"/>
  <c r="F21" i="6"/>
  <c r="E21" i="6"/>
  <c r="G8" i="6"/>
  <c r="G14" i="6" s="1"/>
  <c r="F20" i="6"/>
  <c r="E20" i="6"/>
  <c r="G7" i="6"/>
  <c r="H7" i="6" s="1"/>
  <c r="F19" i="6"/>
  <c r="E19" i="6"/>
  <c r="G6" i="6"/>
  <c r="H6" i="6" s="1"/>
  <c r="F18" i="6"/>
  <c r="G18" i="6" s="1"/>
  <c r="H18" i="6" s="1"/>
  <c r="E18" i="6"/>
  <c r="G5" i="6"/>
  <c r="H5" i="6" s="1"/>
  <c r="E3" i="5"/>
  <c r="F36" i="5"/>
  <c r="F38" i="5" s="1"/>
  <c r="E36" i="5"/>
  <c r="E38" i="5" s="1"/>
  <c r="F5" i="5"/>
  <c r="G5" i="5" s="1"/>
  <c r="H5" i="5" s="1"/>
  <c r="F34" i="5"/>
  <c r="E34" i="5"/>
  <c r="F33" i="5"/>
  <c r="G33" i="5" s="1"/>
  <c r="H33" i="5" s="1"/>
  <c r="E33" i="5"/>
  <c r="E29" i="5" s="1"/>
  <c r="F32" i="5"/>
  <c r="F31" i="5"/>
  <c r="E31" i="5"/>
  <c r="F30" i="5"/>
  <c r="G30" i="5" s="1"/>
  <c r="H30" i="5" s="1"/>
  <c r="E30" i="5"/>
  <c r="F17" i="5"/>
  <c r="E17" i="5"/>
  <c r="F15" i="5"/>
  <c r="F27" i="5" s="1"/>
  <c r="E15" i="5"/>
  <c r="F13" i="5"/>
  <c r="E13" i="5"/>
  <c r="F12" i="5"/>
  <c r="F24" i="5" s="1"/>
  <c r="E12" i="5"/>
  <c r="F11" i="5"/>
  <c r="E11" i="5"/>
  <c r="F10" i="5"/>
  <c r="G10" i="5" s="1"/>
  <c r="H10" i="5" s="1"/>
  <c r="E10" i="5"/>
  <c r="F9" i="5"/>
  <c r="E9" i="5"/>
  <c r="E14" i="5" s="1"/>
  <c r="F8" i="5"/>
  <c r="G8" i="5" s="1"/>
  <c r="E8" i="5"/>
  <c r="F7" i="5"/>
  <c r="E7" i="5"/>
  <c r="F6" i="5"/>
  <c r="G6" i="5" s="1"/>
  <c r="H6" i="5" s="1"/>
  <c r="E6" i="5"/>
  <c r="E5" i="5"/>
  <c r="C34" i="5"/>
  <c r="C33" i="5"/>
  <c r="G32" i="5"/>
  <c r="H32" i="5" s="1"/>
  <c r="G31" i="5"/>
  <c r="H31" i="5" s="1"/>
  <c r="C30" i="5"/>
  <c r="C29" i="5"/>
  <c r="G17" i="5"/>
  <c r="H17" i="5" s="1"/>
  <c r="F25" i="5"/>
  <c r="G13" i="5"/>
  <c r="H13" i="5" s="1"/>
  <c r="G11" i="5"/>
  <c r="H11" i="5" s="1"/>
  <c r="E23" i="5"/>
  <c r="E22" i="5"/>
  <c r="G9" i="5"/>
  <c r="H9" i="5" s="1"/>
  <c r="E21" i="5"/>
  <c r="G7" i="5"/>
  <c r="H7" i="5" s="1"/>
  <c r="E19" i="5"/>
  <c r="E18" i="5"/>
  <c r="AA30" i="4"/>
  <c r="Y30" i="4"/>
  <c r="X30" i="4"/>
  <c r="W30" i="4"/>
  <c r="V30" i="4"/>
  <c r="S30" i="4"/>
  <c r="K30" i="4"/>
  <c r="J30" i="4"/>
  <c r="I30" i="4"/>
  <c r="H30" i="4"/>
  <c r="G30" i="4"/>
  <c r="F30" i="4"/>
  <c r="E30" i="4"/>
  <c r="D30" i="4"/>
  <c r="C30" i="4"/>
  <c r="AA29" i="4"/>
  <c r="Y29" i="4"/>
  <c r="X29" i="4"/>
  <c r="W29" i="4"/>
  <c r="V29" i="4"/>
  <c r="S29" i="4"/>
  <c r="K29" i="4"/>
  <c r="J29" i="4"/>
  <c r="I29" i="4"/>
  <c r="I46" i="4" s="1"/>
  <c r="I61" i="4" s="1"/>
  <c r="H29" i="4"/>
  <c r="G29" i="4"/>
  <c r="F29" i="4"/>
  <c r="E29" i="4"/>
  <c r="E46" i="4" s="1"/>
  <c r="D29" i="4"/>
  <c r="C29" i="4"/>
  <c r="AA28" i="4"/>
  <c r="Y28" i="4"/>
  <c r="Y45" i="4" s="1"/>
  <c r="Y60" i="4" s="1"/>
  <c r="X28" i="4"/>
  <c r="W28" i="4"/>
  <c r="V28" i="4"/>
  <c r="S28" i="4"/>
  <c r="K28" i="4"/>
  <c r="J28" i="4"/>
  <c r="I28" i="4"/>
  <c r="H28" i="4"/>
  <c r="G28" i="4"/>
  <c r="F28" i="4"/>
  <c r="E28" i="4"/>
  <c r="D28" i="4"/>
  <c r="C28" i="4"/>
  <c r="AA27" i="4"/>
  <c r="Y27" i="4"/>
  <c r="T27" i="4" s="1"/>
  <c r="X27" i="4"/>
  <c r="W27" i="4"/>
  <c r="V27" i="4"/>
  <c r="S27" i="4"/>
  <c r="K27" i="4"/>
  <c r="K44" i="4" s="1"/>
  <c r="K59" i="4" s="1"/>
  <c r="J27" i="4"/>
  <c r="I27" i="4"/>
  <c r="H27" i="4"/>
  <c r="G27" i="4"/>
  <c r="G44" i="4" s="1"/>
  <c r="G59" i="4" s="1"/>
  <c r="F27" i="4"/>
  <c r="E27" i="4"/>
  <c r="D27" i="4"/>
  <c r="C27" i="4"/>
  <c r="AA26" i="4"/>
  <c r="Y26" i="4"/>
  <c r="X26" i="4"/>
  <c r="X25" i="4" s="1"/>
  <c r="W26" i="4"/>
  <c r="W25" i="4" s="1"/>
  <c r="V26" i="4"/>
  <c r="S26" i="4"/>
  <c r="J26" i="4"/>
  <c r="I26" i="4"/>
  <c r="I25" i="4" s="1"/>
  <c r="H26" i="4"/>
  <c r="G26" i="4"/>
  <c r="F26" i="4"/>
  <c r="F25" i="4" s="1"/>
  <c r="E26" i="4"/>
  <c r="E25" i="4" s="1"/>
  <c r="D26" i="4"/>
  <c r="C26" i="4"/>
  <c r="AA25" i="4"/>
  <c r="Y25" i="4"/>
  <c r="V25" i="4"/>
  <c r="S25" i="4"/>
  <c r="K25" i="4"/>
  <c r="J25" i="4"/>
  <c r="H25" i="4"/>
  <c r="G25" i="4"/>
  <c r="D25" i="4"/>
  <c r="C25" i="4"/>
  <c r="AA24" i="4"/>
  <c r="Y24" i="4"/>
  <c r="X24" i="4"/>
  <c r="T24" i="4" s="1"/>
  <c r="W24" i="4"/>
  <c r="V24" i="4"/>
  <c r="S24" i="4"/>
  <c r="K24" i="4"/>
  <c r="J24" i="4"/>
  <c r="I24" i="4"/>
  <c r="H24" i="4"/>
  <c r="G24" i="4"/>
  <c r="F24" i="4"/>
  <c r="E24" i="4"/>
  <c r="D24" i="4"/>
  <c r="C24" i="4"/>
  <c r="AA23" i="4"/>
  <c r="Y23" i="4"/>
  <c r="X23" i="4"/>
  <c r="W23" i="4"/>
  <c r="V23" i="4"/>
  <c r="S23" i="4"/>
  <c r="K23" i="4"/>
  <c r="J23" i="4"/>
  <c r="I23" i="4"/>
  <c r="H23" i="4"/>
  <c r="G23" i="4"/>
  <c r="F23" i="4"/>
  <c r="E23" i="4"/>
  <c r="D23" i="4"/>
  <c r="C23" i="4"/>
  <c r="AA22" i="4"/>
  <c r="AA39" i="4" s="1"/>
  <c r="AA55" i="4" s="1"/>
  <c r="Y22" i="4"/>
  <c r="X22" i="4"/>
  <c r="W22" i="4"/>
  <c r="V22" i="4"/>
  <c r="S22" i="4"/>
  <c r="K22" i="4"/>
  <c r="J22" i="4"/>
  <c r="I22" i="4"/>
  <c r="H22" i="4"/>
  <c r="G22" i="4"/>
  <c r="F22" i="4"/>
  <c r="E22" i="4"/>
  <c r="D22" i="4"/>
  <c r="C22" i="4"/>
  <c r="AA12" i="4"/>
  <c r="Z12" i="4"/>
  <c r="Y12" i="4"/>
  <c r="X12" i="4"/>
  <c r="W12" i="4"/>
  <c r="S12" i="4"/>
  <c r="P12" i="4"/>
  <c r="K12" i="4"/>
  <c r="J12" i="4"/>
  <c r="I12" i="4"/>
  <c r="H12" i="4"/>
  <c r="G12" i="4"/>
  <c r="F12" i="4"/>
  <c r="L12" i="4" s="1"/>
  <c r="N12" i="4" s="1"/>
  <c r="E12" i="4"/>
  <c r="D12" i="4"/>
  <c r="C12" i="4"/>
  <c r="AA11" i="4"/>
  <c r="T11" i="4" s="1"/>
  <c r="U11" i="4" s="1"/>
  <c r="Z11" i="4"/>
  <c r="Y11" i="4"/>
  <c r="X11" i="4"/>
  <c r="W11" i="4"/>
  <c r="V11" i="4"/>
  <c r="S11" i="4"/>
  <c r="P11" i="4"/>
  <c r="P46" i="4" s="1"/>
  <c r="P61" i="4" s="1"/>
  <c r="K11" i="4"/>
  <c r="K13" i="4" s="1"/>
  <c r="J11" i="4"/>
  <c r="I11" i="4"/>
  <c r="H11" i="4"/>
  <c r="G11" i="4"/>
  <c r="L11" i="4" s="1"/>
  <c r="N11" i="4" s="1"/>
  <c r="F11" i="4"/>
  <c r="E11" i="4"/>
  <c r="D11" i="4"/>
  <c r="C11" i="4"/>
  <c r="AA10" i="4"/>
  <c r="Z10" i="4"/>
  <c r="Y10" i="4"/>
  <c r="X10" i="4"/>
  <c r="W10" i="4"/>
  <c r="V10" i="4"/>
  <c r="S10" i="4"/>
  <c r="P10" i="4"/>
  <c r="P45" i="4" s="1"/>
  <c r="P60" i="4" s="1"/>
  <c r="K10" i="4"/>
  <c r="J10" i="4"/>
  <c r="I10" i="4"/>
  <c r="H10" i="4"/>
  <c r="M10" i="4" s="1"/>
  <c r="O10" i="4" s="1"/>
  <c r="G10" i="4"/>
  <c r="F10" i="4"/>
  <c r="E10" i="4"/>
  <c r="D10" i="4"/>
  <c r="Q10" i="4" s="1"/>
  <c r="C10" i="4"/>
  <c r="AA9" i="4"/>
  <c r="Z9" i="4"/>
  <c r="Y9" i="4"/>
  <c r="X9" i="4"/>
  <c r="W9" i="4"/>
  <c r="V9" i="4"/>
  <c r="S9" i="4"/>
  <c r="P9" i="4"/>
  <c r="K9" i="4"/>
  <c r="J9" i="4"/>
  <c r="I9" i="4"/>
  <c r="H9" i="4"/>
  <c r="G9" i="4"/>
  <c r="F9" i="4"/>
  <c r="M9" i="4" s="1"/>
  <c r="O9" i="4" s="1"/>
  <c r="E9" i="4"/>
  <c r="Q9" i="4" s="1"/>
  <c r="D9" i="4"/>
  <c r="C9" i="4"/>
  <c r="AA8" i="4"/>
  <c r="Z8" i="4"/>
  <c r="Y8" i="4"/>
  <c r="X8" i="4"/>
  <c r="W8" i="4"/>
  <c r="V8" i="4"/>
  <c r="V43" i="4" s="1"/>
  <c r="S8" i="4"/>
  <c r="P8" i="4"/>
  <c r="I8" i="4"/>
  <c r="H8" i="4"/>
  <c r="L8" i="4" s="1"/>
  <c r="N8" i="4" s="1"/>
  <c r="G8" i="4"/>
  <c r="F8" i="4"/>
  <c r="E8" i="4"/>
  <c r="D8" i="4"/>
  <c r="C8" i="4"/>
  <c r="AA7" i="4"/>
  <c r="Z7" i="4"/>
  <c r="Z42" i="4" s="1"/>
  <c r="Z58" i="4" s="1"/>
  <c r="Y7" i="4"/>
  <c r="X7" i="4"/>
  <c r="W7" i="4"/>
  <c r="V7" i="4"/>
  <c r="S7" i="4"/>
  <c r="P7" i="4"/>
  <c r="K7" i="4"/>
  <c r="J7" i="4"/>
  <c r="I7" i="4"/>
  <c r="I13" i="4" s="1"/>
  <c r="H7" i="4"/>
  <c r="G7" i="4"/>
  <c r="F7" i="4"/>
  <c r="E7" i="4"/>
  <c r="D7" i="4"/>
  <c r="C7" i="4"/>
  <c r="AA6" i="4"/>
  <c r="Z6" i="4"/>
  <c r="Z41" i="4" s="1"/>
  <c r="Z57" i="4" s="1"/>
  <c r="Y6" i="4"/>
  <c r="X6" i="4"/>
  <c r="W6" i="4"/>
  <c r="W41" i="4" s="1"/>
  <c r="W57" i="4" s="1"/>
  <c r="V6" i="4"/>
  <c r="V13" i="4" s="1"/>
  <c r="S6" i="4"/>
  <c r="K6" i="4"/>
  <c r="J6" i="4"/>
  <c r="J41" i="4" s="1"/>
  <c r="J57" i="4" s="1"/>
  <c r="H6" i="4"/>
  <c r="G6" i="4"/>
  <c r="F6" i="4"/>
  <c r="C6" i="4"/>
  <c r="S5" i="4"/>
  <c r="S13" i="4" s="1"/>
  <c r="S14" i="4" s="1"/>
  <c r="K5" i="4"/>
  <c r="K4" i="4"/>
  <c r="J4" i="4"/>
  <c r="S4" i="4"/>
  <c r="P6" i="4"/>
  <c r="I6" i="4"/>
  <c r="E6" i="4"/>
  <c r="D6" i="4"/>
  <c r="AA5" i="4"/>
  <c r="Z5" i="4"/>
  <c r="Y5" i="4"/>
  <c r="X5" i="4"/>
  <c r="W5" i="4"/>
  <c r="V5" i="4"/>
  <c r="P5" i="4"/>
  <c r="J5" i="4"/>
  <c r="I5" i="4"/>
  <c r="H5" i="4"/>
  <c r="G5" i="4"/>
  <c r="F5" i="4"/>
  <c r="E5" i="4"/>
  <c r="D5" i="4"/>
  <c r="C5" i="4"/>
  <c r="AB30" i="4"/>
  <c r="AB28" i="4"/>
  <c r="AB27" i="4"/>
  <c r="AB25" i="4"/>
  <c r="AB24" i="4"/>
  <c r="AB23" i="4"/>
  <c r="AB22" i="4"/>
  <c r="AB12" i="4"/>
  <c r="AB10" i="4"/>
  <c r="AB9" i="4"/>
  <c r="AB7" i="4"/>
  <c r="AB6" i="4"/>
  <c r="AB5" i="4"/>
  <c r="AB4" i="4"/>
  <c r="AA4" i="4"/>
  <c r="Z4" i="4"/>
  <c r="Y4" i="4"/>
  <c r="X4" i="4"/>
  <c r="W4" i="4"/>
  <c r="V4" i="4"/>
  <c r="P4" i="4"/>
  <c r="I4" i="4"/>
  <c r="H4" i="4"/>
  <c r="G4" i="4"/>
  <c r="F4" i="4"/>
  <c r="M4" i="4" s="1"/>
  <c r="E4" i="4"/>
  <c r="D4" i="4"/>
  <c r="C4" i="4"/>
  <c r="R4" i="4"/>
  <c r="AB46" i="4"/>
  <c r="AB43" i="4"/>
  <c r="K43" i="4"/>
  <c r="AB38" i="4"/>
  <c r="P33" i="4"/>
  <c r="P34" i="4" s="1"/>
  <c r="O33" i="4"/>
  <c r="V31" i="4"/>
  <c r="P31" i="4"/>
  <c r="Y47" i="4"/>
  <c r="Y62" i="4" s="1"/>
  <c r="V47" i="4"/>
  <c r="V62" i="4" s="1"/>
  <c r="V46" i="4"/>
  <c r="V61" i="4" s="1"/>
  <c r="X44" i="4"/>
  <c r="X59" i="4" s="1"/>
  <c r="C44" i="4"/>
  <c r="C59" i="4" s="1"/>
  <c r="J43" i="4"/>
  <c r="S42" i="4"/>
  <c r="S58" i="4" s="1"/>
  <c r="C42" i="4"/>
  <c r="C58" i="4" s="1"/>
  <c r="S41" i="4"/>
  <c r="S57" i="4" s="1"/>
  <c r="I41" i="4"/>
  <c r="I57" i="4" s="1"/>
  <c r="E41" i="4"/>
  <c r="V40" i="4"/>
  <c r="Z47" i="4"/>
  <c r="Z62" i="4" s="1"/>
  <c r="T12" i="4"/>
  <c r="U12" i="4" s="1"/>
  <c r="P47" i="4"/>
  <c r="P62" i="4" s="1"/>
  <c r="Z46" i="4"/>
  <c r="Z61" i="4" s="1"/>
  <c r="Z45" i="4"/>
  <c r="Z60" i="4" s="1"/>
  <c r="Z44" i="4"/>
  <c r="Z59" i="4" s="1"/>
  <c r="P44" i="4"/>
  <c r="P59" i="4" s="1"/>
  <c r="Z43" i="4"/>
  <c r="P43" i="4"/>
  <c r="Q8" i="4"/>
  <c r="P42" i="4"/>
  <c r="P58" i="4" s="1"/>
  <c r="Q7" i="4"/>
  <c r="P41" i="4"/>
  <c r="P57" i="4" s="1"/>
  <c r="Q6" i="4"/>
  <c r="Z40" i="4"/>
  <c r="P40" i="4"/>
  <c r="P56" i="4" s="1"/>
  <c r="J13" i="4"/>
  <c r="M5" i="4"/>
  <c r="O5" i="4" s="1"/>
  <c r="C13" i="4"/>
  <c r="N88" i="2"/>
  <c r="T89" i="2"/>
  <c r="T90" i="2"/>
  <c r="Q89" i="2"/>
  <c r="R89" i="2" s="1"/>
  <c r="Q90" i="2"/>
  <c r="R90" i="2" s="1"/>
  <c r="V89" i="2"/>
  <c r="S90" i="2"/>
  <c r="U89" i="2"/>
  <c r="S89" i="2"/>
  <c r="AG21" i="2"/>
  <c r="AG20" i="2"/>
  <c r="AG19" i="2"/>
  <c r="AG18" i="2"/>
  <c r="AG17" i="2"/>
  <c r="AG16" i="2"/>
  <c r="AG14" i="2"/>
  <c r="AG13" i="2"/>
  <c r="AG12" i="2"/>
  <c r="AG11" i="2"/>
  <c r="I30" i="2"/>
  <c r="F30" i="2"/>
  <c r="D30" i="2"/>
  <c r="C30" i="2"/>
  <c r="B59" i="2"/>
  <c r="C59" i="2"/>
  <c r="G59" i="2" s="1"/>
  <c r="D59" i="2"/>
  <c r="F59" i="2"/>
  <c r="I59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G15" i="2"/>
  <c r="H15" i="2"/>
  <c r="I15" i="2"/>
  <c r="J15" i="2"/>
  <c r="K15" i="2"/>
  <c r="Q29" i="2" s="1"/>
  <c r="L15" i="2"/>
  <c r="M15" i="2"/>
  <c r="N15" i="2"/>
  <c r="O15" i="2"/>
  <c r="P15" i="2"/>
  <c r="Q15" i="2"/>
  <c r="R15" i="2"/>
  <c r="S15" i="2"/>
  <c r="S29" i="2" s="1"/>
  <c r="T15" i="2"/>
  <c r="T29" i="2" s="1"/>
  <c r="U15" i="2"/>
  <c r="V15" i="2"/>
  <c r="W15" i="2"/>
  <c r="X15" i="2"/>
  <c r="Y15" i="2"/>
  <c r="Z15" i="2"/>
  <c r="AA15" i="2"/>
  <c r="AB15" i="2"/>
  <c r="AC15" i="2"/>
  <c r="AD15" i="2"/>
  <c r="AE15" i="2"/>
  <c r="AF15" i="2"/>
  <c r="G22" i="2"/>
  <c r="H22" i="2"/>
  <c r="I22" i="2"/>
  <c r="J22" i="2"/>
  <c r="K22" i="2"/>
  <c r="Q30" i="2" s="1"/>
  <c r="L22" i="2"/>
  <c r="M22" i="2"/>
  <c r="N22" i="2"/>
  <c r="O22" i="2"/>
  <c r="P22" i="2"/>
  <c r="Q22" i="2"/>
  <c r="R22" i="2"/>
  <c r="S22" i="2"/>
  <c r="S30" i="2" s="1"/>
  <c r="T22" i="2"/>
  <c r="T30" i="2" s="1"/>
  <c r="U22" i="2"/>
  <c r="V22" i="2"/>
  <c r="W22" i="2"/>
  <c r="X22" i="2"/>
  <c r="Y22" i="2"/>
  <c r="Z22" i="2"/>
  <c r="AA22" i="2"/>
  <c r="AB22" i="2"/>
  <c r="AC22" i="2"/>
  <c r="AD22" i="2"/>
  <c r="AE22" i="2"/>
  <c r="AF22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F25" i="2"/>
  <c r="F22" i="2"/>
  <c r="F15" i="2"/>
  <c r="F10" i="2"/>
  <c r="F7" i="2"/>
  <c r="E26" i="6" l="1"/>
  <c r="E28" i="6" s="1"/>
  <c r="G21" i="6"/>
  <c r="H21" i="6" s="1"/>
  <c r="G25" i="6"/>
  <c r="H25" i="6" s="1"/>
  <c r="G20" i="6"/>
  <c r="H20" i="6" s="1"/>
  <c r="F26" i="6"/>
  <c r="G26" i="6" s="1"/>
  <c r="H26" i="6" s="1"/>
  <c r="G24" i="6"/>
  <c r="H24" i="6" s="1"/>
  <c r="G37" i="6"/>
  <c r="H37" i="6" s="1"/>
  <c r="G19" i="6"/>
  <c r="H19" i="6" s="1"/>
  <c r="G23" i="6"/>
  <c r="H23" i="6" s="1"/>
  <c r="E14" i="6"/>
  <c r="H14" i="6" s="1"/>
  <c r="G31" i="6"/>
  <c r="H31" i="6" s="1"/>
  <c r="G39" i="6"/>
  <c r="H39" i="6" s="1"/>
  <c r="H8" i="6"/>
  <c r="F14" i="6"/>
  <c r="F16" i="6"/>
  <c r="F27" i="6"/>
  <c r="E29" i="6"/>
  <c r="G29" i="6" s="1"/>
  <c r="H29" i="6" s="1"/>
  <c r="G12" i="5"/>
  <c r="H12" i="5" s="1"/>
  <c r="G15" i="5"/>
  <c r="H15" i="5" s="1"/>
  <c r="F29" i="5"/>
  <c r="G14" i="5"/>
  <c r="H14" i="5" s="1"/>
  <c r="H8" i="5"/>
  <c r="G27" i="5"/>
  <c r="H27" i="5" s="1"/>
  <c r="G29" i="5"/>
  <c r="H29" i="5" s="1"/>
  <c r="E16" i="5"/>
  <c r="E20" i="5"/>
  <c r="E24" i="5"/>
  <c r="G24" i="5" s="1"/>
  <c r="H24" i="5" s="1"/>
  <c r="E27" i="5"/>
  <c r="F14" i="5"/>
  <c r="F16" i="5" s="1"/>
  <c r="G16" i="5" s="1"/>
  <c r="H16" i="5" s="1"/>
  <c r="F18" i="5"/>
  <c r="G18" i="5" s="1"/>
  <c r="H18" i="5" s="1"/>
  <c r="F19" i="5"/>
  <c r="G19" i="5" s="1"/>
  <c r="H19" i="5" s="1"/>
  <c r="F20" i="5"/>
  <c r="F21" i="5"/>
  <c r="G21" i="5" s="1"/>
  <c r="H21" i="5" s="1"/>
  <c r="F22" i="5"/>
  <c r="G22" i="5" s="1"/>
  <c r="H22" i="5" s="1"/>
  <c r="F23" i="5"/>
  <c r="G23" i="5" s="1"/>
  <c r="H23" i="5" s="1"/>
  <c r="G34" i="5"/>
  <c r="H34" i="5" s="1"/>
  <c r="E25" i="5"/>
  <c r="G25" i="5" s="1"/>
  <c r="H25" i="5" s="1"/>
  <c r="W31" i="4"/>
  <c r="M7" i="4"/>
  <c r="O7" i="4" s="1"/>
  <c r="R7" i="4" s="1"/>
  <c r="Q11" i="4"/>
  <c r="M8" i="4"/>
  <c r="O8" i="4" s="1"/>
  <c r="T22" i="4"/>
  <c r="T26" i="4"/>
  <c r="E13" i="4"/>
  <c r="X13" i="4"/>
  <c r="AA13" i="4"/>
  <c r="I40" i="4"/>
  <c r="I56" i="4" s="1"/>
  <c r="W13" i="4"/>
  <c r="E40" i="4"/>
  <c r="T10" i="4"/>
  <c r="U10" i="4" s="1"/>
  <c r="T7" i="4"/>
  <c r="U7" i="4" s="1"/>
  <c r="T6" i="4"/>
  <c r="U6" i="4" s="1"/>
  <c r="AB41" i="4"/>
  <c r="AB57" i="4" s="1"/>
  <c r="AB13" i="4"/>
  <c r="T13" i="4" s="1"/>
  <c r="U13" i="4" s="1"/>
  <c r="T4" i="4"/>
  <c r="U4" i="4" s="1"/>
  <c r="E39" i="4"/>
  <c r="O4" i="4"/>
  <c r="L7" i="4"/>
  <c r="N7" i="4" s="1"/>
  <c r="L10" i="4"/>
  <c r="N10" i="4" s="1"/>
  <c r="I39" i="4"/>
  <c r="I55" i="4" s="1"/>
  <c r="I31" i="4"/>
  <c r="I48" i="4" s="1"/>
  <c r="I63" i="4" s="1"/>
  <c r="M22" i="4"/>
  <c r="AA42" i="4"/>
  <c r="AA58" i="4" s="1"/>
  <c r="T25" i="4"/>
  <c r="E43" i="4"/>
  <c r="E42" i="4"/>
  <c r="I43" i="4"/>
  <c r="U27" i="4"/>
  <c r="U44" i="4" s="1"/>
  <c r="D45" i="4"/>
  <c r="D60" i="4" s="1"/>
  <c r="H45" i="4"/>
  <c r="H60" i="4" s="1"/>
  <c r="V48" i="4"/>
  <c r="V63" i="4" s="1"/>
  <c r="P39" i="4"/>
  <c r="P55" i="4" s="1"/>
  <c r="P13" i="4"/>
  <c r="Y13" i="4"/>
  <c r="M6" i="4"/>
  <c r="O6" i="4" s="1"/>
  <c r="L9" i="4"/>
  <c r="N9" i="4" s="1"/>
  <c r="T9" i="4"/>
  <c r="U9" i="4" s="1"/>
  <c r="F13" i="4"/>
  <c r="F39" i="4"/>
  <c r="F55" i="4" s="1"/>
  <c r="F31" i="4"/>
  <c r="J39" i="4"/>
  <c r="J55" i="4" s="1"/>
  <c r="J31" i="4"/>
  <c r="J48" i="4" s="1"/>
  <c r="J63" i="4" s="1"/>
  <c r="AA40" i="4"/>
  <c r="AA56" i="4" s="1"/>
  <c r="AA31" i="4"/>
  <c r="T23" i="4"/>
  <c r="K35" i="4"/>
  <c r="K42" i="4"/>
  <c r="K58" i="4" s="1"/>
  <c r="AA46" i="4"/>
  <c r="AA61" i="4" s="1"/>
  <c r="T29" i="4"/>
  <c r="F47" i="4"/>
  <c r="F62" i="4" s="1"/>
  <c r="M30" i="4"/>
  <c r="L30" i="4"/>
  <c r="J47" i="4"/>
  <c r="J62" i="4" s="1"/>
  <c r="W48" i="4"/>
  <c r="W63" i="4" s="1"/>
  <c r="D13" i="4"/>
  <c r="H13" i="4"/>
  <c r="L4" i="4"/>
  <c r="Q4" i="4"/>
  <c r="Z39" i="4"/>
  <c r="Z55" i="4" s="1"/>
  <c r="Z13" i="4"/>
  <c r="Z48" i="4" s="1"/>
  <c r="Z63" i="4" s="1"/>
  <c r="Q5" i="4"/>
  <c r="L5" i="4"/>
  <c r="N5" i="4" s="1"/>
  <c r="M11" i="4"/>
  <c r="O11" i="4" s="1"/>
  <c r="R11" i="4" s="1"/>
  <c r="M12" i="4"/>
  <c r="O12" i="4" s="1"/>
  <c r="Q12" i="4"/>
  <c r="G13" i="4"/>
  <c r="X39" i="4"/>
  <c r="X55" i="4" s="1"/>
  <c r="X31" i="4"/>
  <c r="X48" i="4" s="1"/>
  <c r="X63" i="4" s="1"/>
  <c r="C40" i="4"/>
  <c r="C56" i="4" s="1"/>
  <c r="G40" i="4"/>
  <c r="G56" i="4" s="1"/>
  <c r="K40" i="4"/>
  <c r="W40" i="4"/>
  <c r="AB40" i="4"/>
  <c r="AB56" i="4" s="1"/>
  <c r="AB31" i="4"/>
  <c r="F41" i="4"/>
  <c r="F57" i="4" s="1"/>
  <c r="L24" i="4"/>
  <c r="M24" i="4"/>
  <c r="F42" i="4"/>
  <c r="F58" i="4" s="1"/>
  <c r="D46" i="4"/>
  <c r="D61" i="4" s="1"/>
  <c r="H46" i="4"/>
  <c r="H61" i="4" s="1"/>
  <c r="L29" i="4"/>
  <c r="W46" i="4"/>
  <c r="W61" i="4" s="1"/>
  <c r="C47" i="4"/>
  <c r="C62" i="4" s="1"/>
  <c r="G47" i="4"/>
  <c r="G62" i="4" s="1"/>
  <c r="K47" i="4"/>
  <c r="K62" i="4" s="1"/>
  <c r="T5" i="4"/>
  <c r="U5" i="4" s="1"/>
  <c r="L6" i="4"/>
  <c r="N6" i="4" s="1"/>
  <c r="T8" i="4"/>
  <c r="U8" i="4" s="1"/>
  <c r="D39" i="4"/>
  <c r="D55" i="4" s="1"/>
  <c r="H39" i="4"/>
  <c r="H55" i="4" s="1"/>
  <c r="L22" i="4"/>
  <c r="U22" i="4"/>
  <c r="Y31" i="4"/>
  <c r="Y48" i="4" s="1"/>
  <c r="Y63" i="4" s="1"/>
  <c r="Y39" i="4"/>
  <c r="Y55" i="4" s="1"/>
  <c r="D40" i="4"/>
  <c r="D56" i="4" s="1"/>
  <c r="H40" i="4"/>
  <c r="H56" i="4" s="1"/>
  <c r="L23" i="4"/>
  <c r="V41" i="4"/>
  <c r="V57" i="4" s="1"/>
  <c r="AA41" i="4"/>
  <c r="AA57" i="4" s="1"/>
  <c r="G35" i="4"/>
  <c r="G42" i="4"/>
  <c r="G58" i="4" s="1"/>
  <c r="Y42" i="4"/>
  <c r="Y58" i="4" s="1"/>
  <c r="D43" i="4"/>
  <c r="D42" i="4"/>
  <c r="D58" i="4" s="1"/>
  <c r="H43" i="4"/>
  <c r="M26" i="4"/>
  <c r="S44" i="4"/>
  <c r="S59" i="4" s="1"/>
  <c r="C45" i="4"/>
  <c r="C60" i="4" s="1"/>
  <c r="G45" i="4"/>
  <c r="G60" i="4" s="1"/>
  <c r="K45" i="4"/>
  <c r="K60" i="4" s="1"/>
  <c r="V45" i="4"/>
  <c r="V60" i="4" s="1"/>
  <c r="AA45" i="4"/>
  <c r="AA60" i="4" s="1"/>
  <c r="T28" i="4"/>
  <c r="M29" i="4"/>
  <c r="D31" i="4"/>
  <c r="V39" i="4"/>
  <c r="V55" i="4" s="1"/>
  <c r="X40" i="4"/>
  <c r="C41" i="4"/>
  <c r="C57" i="4" s="1"/>
  <c r="G41" i="4"/>
  <c r="G57" i="4" s="1"/>
  <c r="K41" i="4"/>
  <c r="K57" i="4" s="1"/>
  <c r="T41" i="4"/>
  <c r="T57" i="4" s="1"/>
  <c r="X41" i="4"/>
  <c r="X57" i="4" s="1"/>
  <c r="V42" i="4"/>
  <c r="V58" i="4" s="1"/>
  <c r="AB42" i="4"/>
  <c r="AB58" i="4" s="1"/>
  <c r="F43" i="4"/>
  <c r="X43" i="4"/>
  <c r="X42" i="4"/>
  <c r="X58" i="4" s="1"/>
  <c r="D44" i="4"/>
  <c r="D59" i="4" s="1"/>
  <c r="H44" i="4"/>
  <c r="H59" i="4" s="1"/>
  <c r="L27" i="4"/>
  <c r="V44" i="4"/>
  <c r="V59" i="4" s="1"/>
  <c r="AA47" i="4"/>
  <c r="AA62" i="4" s="1"/>
  <c r="T30" i="4"/>
  <c r="P48" i="4"/>
  <c r="P63" i="4" s="1"/>
  <c r="C31" i="4"/>
  <c r="C48" i="4" s="1"/>
  <c r="C63" i="4" s="1"/>
  <c r="G31" i="4"/>
  <c r="G48" i="4" s="1"/>
  <c r="G63" i="4" s="1"/>
  <c r="K31" i="4"/>
  <c r="K48" i="4" s="1"/>
  <c r="K63" i="4" s="1"/>
  <c r="S39" i="4"/>
  <c r="S55" i="4" s="1"/>
  <c r="W39" i="4"/>
  <c r="W55" i="4" s="1"/>
  <c r="AB39" i="4"/>
  <c r="AB55" i="4" s="1"/>
  <c r="F40" i="4"/>
  <c r="F56" i="4" s="1"/>
  <c r="J40" i="4"/>
  <c r="S40" i="4"/>
  <c r="S56" i="4" s="1"/>
  <c r="Y40" i="4"/>
  <c r="D41" i="4"/>
  <c r="D57" i="4" s="1"/>
  <c r="H41" i="4"/>
  <c r="H57" i="4" s="1"/>
  <c r="U24" i="4"/>
  <c r="U41" i="4" s="1"/>
  <c r="Y41" i="4"/>
  <c r="Y57" i="4" s="1"/>
  <c r="J42" i="4"/>
  <c r="J58" i="4" s="1"/>
  <c r="C43" i="4"/>
  <c r="G43" i="4"/>
  <c r="U26" i="4"/>
  <c r="Y43" i="4"/>
  <c r="E44" i="4"/>
  <c r="I44" i="4"/>
  <c r="I59" i="4" s="1"/>
  <c r="M27" i="4"/>
  <c r="W44" i="4"/>
  <c r="W59" i="4" s="1"/>
  <c r="AB44" i="4"/>
  <c r="AB59" i="4" s="1"/>
  <c r="F45" i="4"/>
  <c r="F60" i="4" s="1"/>
  <c r="M36" i="4"/>
  <c r="M28" i="4"/>
  <c r="L28" i="4"/>
  <c r="J45" i="4"/>
  <c r="J60" i="4" s="1"/>
  <c r="C46" i="4"/>
  <c r="C61" i="4" s="1"/>
  <c r="G46" i="4"/>
  <c r="G61" i="4" s="1"/>
  <c r="K46" i="4"/>
  <c r="K61" i="4" s="1"/>
  <c r="S46" i="4"/>
  <c r="S61" i="4" s="1"/>
  <c r="Y46" i="4"/>
  <c r="Y61" i="4" s="1"/>
  <c r="S31" i="4"/>
  <c r="S48" i="4" s="1"/>
  <c r="S63" i="4" s="1"/>
  <c r="M23" i="4"/>
  <c r="W42" i="4"/>
  <c r="W58" i="4" s="1"/>
  <c r="AA43" i="4"/>
  <c r="F44" i="4"/>
  <c r="F59" i="4" s="1"/>
  <c r="J44" i="4"/>
  <c r="J59" i="4" s="1"/>
  <c r="Y44" i="4"/>
  <c r="Y59" i="4" s="1"/>
  <c r="S45" i="4"/>
  <c r="S60" i="4" s="1"/>
  <c r="W45" i="4"/>
  <c r="W60" i="4" s="1"/>
  <c r="AB45" i="4"/>
  <c r="AB60" i="4" s="1"/>
  <c r="F46" i="4"/>
  <c r="F61" i="4" s="1"/>
  <c r="J46" i="4"/>
  <c r="J61" i="4" s="1"/>
  <c r="X46" i="4"/>
  <c r="X61" i="4" s="1"/>
  <c r="D47" i="4"/>
  <c r="D62" i="4" s="1"/>
  <c r="H47" i="4"/>
  <c r="H62" i="4" s="1"/>
  <c r="S47" i="4"/>
  <c r="S62" i="4" s="1"/>
  <c r="W47" i="4"/>
  <c r="W62" i="4" s="1"/>
  <c r="AB47" i="4"/>
  <c r="AB62" i="4" s="1"/>
  <c r="F35" i="4"/>
  <c r="J35" i="4"/>
  <c r="C39" i="4"/>
  <c r="C55" i="4" s="1"/>
  <c r="G39" i="4"/>
  <c r="G55" i="4" s="1"/>
  <c r="K39" i="4"/>
  <c r="K55" i="4" s="1"/>
  <c r="L26" i="4"/>
  <c r="S43" i="4"/>
  <c r="W43" i="4"/>
  <c r="AA44" i="4"/>
  <c r="AA59" i="4" s="1"/>
  <c r="E45" i="4"/>
  <c r="I45" i="4"/>
  <c r="I60" i="4" s="1"/>
  <c r="X45" i="4"/>
  <c r="X60" i="4" s="1"/>
  <c r="E47" i="4"/>
  <c r="I47" i="4"/>
  <c r="I62" i="4" s="1"/>
  <c r="X47" i="4"/>
  <c r="X62" i="4" s="1"/>
  <c r="U90" i="2"/>
  <c r="AG22" i="2"/>
  <c r="G30" i="2"/>
  <c r="AG15" i="2"/>
  <c r="K26" i="2"/>
  <c r="AG26" i="2"/>
  <c r="W26" i="2"/>
  <c r="H59" i="2"/>
  <c r="H30" i="2"/>
  <c r="Y26" i="2"/>
  <c r="H26" i="2"/>
  <c r="S26" i="2"/>
  <c r="Q26" i="2"/>
  <c r="L26" i="2"/>
  <c r="V26" i="2"/>
  <c r="AE26" i="2"/>
  <c r="O26" i="2"/>
  <c r="G26" i="2"/>
  <c r="U26" i="2"/>
  <c r="AA26" i="2"/>
  <c r="AD26" i="2"/>
  <c r="R26" i="2"/>
  <c r="N26" i="2"/>
  <c r="AC26" i="2"/>
  <c r="M26" i="2"/>
  <c r="I26" i="2"/>
  <c r="Z26" i="2"/>
  <c r="J26" i="2"/>
  <c r="R30" i="2"/>
  <c r="R29" i="2"/>
  <c r="F26" i="2"/>
  <c r="AF26" i="2"/>
  <c r="AB26" i="2"/>
  <c r="X26" i="2"/>
  <c r="T26" i="2"/>
  <c r="P26" i="2"/>
  <c r="U30" i="2"/>
  <c r="U29" i="2"/>
  <c r="E16" i="6" l="1"/>
  <c r="G16" i="6" s="1"/>
  <c r="H16" i="6" s="1"/>
  <c r="G27" i="6"/>
  <c r="H27" i="6" s="1"/>
  <c r="F28" i="6"/>
  <c r="G28" i="6" s="1"/>
  <c r="H28" i="6" s="1"/>
  <c r="G20" i="5"/>
  <c r="H20" i="5" s="1"/>
  <c r="F26" i="5"/>
  <c r="E26" i="5"/>
  <c r="E28" i="5" s="1"/>
  <c r="T44" i="4"/>
  <c r="T59" i="4" s="1"/>
  <c r="T43" i="4"/>
  <c r="U43" i="4"/>
  <c r="T39" i="4"/>
  <c r="T55" i="4" s="1"/>
  <c r="AB48" i="4"/>
  <c r="AB63" i="4" s="1"/>
  <c r="U39" i="4"/>
  <c r="Q13" i="4"/>
  <c r="D48" i="4"/>
  <c r="D63" i="4" s="1"/>
  <c r="M39" i="4"/>
  <c r="M55" i="4" s="1"/>
  <c r="O22" i="4"/>
  <c r="O39" i="4" s="1"/>
  <c r="O55" i="4" s="1"/>
  <c r="M44" i="4"/>
  <c r="M59" i="4" s="1"/>
  <c r="O27" i="4"/>
  <c r="O44" i="4" s="1"/>
  <c r="O59" i="4" s="1"/>
  <c r="L46" i="4"/>
  <c r="L61" i="4" s="1"/>
  <c r="N29" i="4"/>
  <c r="N46" i="4" s="1"/>
  <c r="N61" i="4" s="1"/>
  <c r="M45" i="4"/>
  <c r="M60" i="4" s="1"/>
  <c r="O28" i="4"/>
  <c r="L44" i="4"/>
  <c r="L59" i="4" s="1"/>
  <c r="N27" i="4"/>
  <c r="N44" i="4" s="1"/>
  <c r="N59" i="4" s="1"/>
  <c r="L40" i="4"/>
  <c r="N23" i="4"/>
  <c r="N40" i="4" s="1"/>
  <c r="N56" i="4" s="1"/>
  <c r="M47" i="4"/>
  <c r="M62" i="4" s="1"/>
  <c r="O30" i="4"/>
  <c r="O47" i="4" s="1"/>
  <c r="O62" i="4" s="1"/>
  <c r="L43" i="4"/>
  <c r="N26" i="4"/>
  <c r="N43" i="4" s="1"/>
  <c r="T47" i="4"/>
  <c r="T62" i="4" s="1"/>
  <c r="U30" i="4"/>
  <c r="U47" i="4" s="1"/>
  <c r="M46" i="4"/>
  <c r="M61" i="4" s="1"/>
  <c r="O29" i="4"/>
  <c r="H35" i="4"/>
  <c r="H42" i="4"/>
  <c r="H58" i="4" s="1"/>
  <c r="L25" i="4"/>
  <c r="M41" i="4"/>
  <c r="M57" i="4" s="1"/>
  <c r="O24" i="4"/>
  <c r="O41" i="4" s="1"/>
  <c r="O57" i="4" s="1"/>
  <c r="E31" i="4"/>
  <c r="E48" i="4" s="1"/>
  <c r="O13" i="4"/>
  <c r="T45" i="4"/>
  <c r="T60" i="4" s="1"/>
  <c r="U28" i="4"/>
  <c r="U45" i="4" s="1"/>
  <c r="M43" i="4"/>
  <c r="O26" i="4"/>
  <c r="O43" i="4" s="1"/>
  <c r="L39" i="4"/>
  <c r="L55" i="4" s="1"/>
  <c r="N22" i="4"/>
  <c r="L41" i="4"/>
  <c r="L57" i="4" s="1"/>
  <c r="N24" i="4"/>
  <c r="N41" i="4" s="1"/>
  <c r="N57" i="4" s="1"/>
  <c r="L13" i="4"/>
  <c r="N4" i="4"/>
  <c r="N13" i="4" s="1"/>
  <c r="T46" i="4"/>
  <c r="T61" i="4" s="1"/>
  <c r="U29" i="4"/>
  <c r="U46" i="4" s="1"/>
  <c r="T40" i="4"/>
  <c r="T56" i="4" s="1"/>
  <c r="U23" i="4"/>
  <c r="U40" i="4" s="1"/>
  <c r="I35" i="4"/>
  <c r="I42" i="4"/>
  <c r="I58" i="4" s="1"/>
  <c r="T42" i="4"/>
  <c r="T58" i="4" s="1"/>
  <c r="U25" i="4"/>
  <c r="U42" i="4" s="1"/>
  <c r="M13" i="4"/>
  <c r="M40" i="4"/>
  <c r="O23" i="4"/>
  <c r="O40" i="4" s="1"/>
  <c r="O56" i="4" s="1"/>
  <c r="L45" i="4"/>
  <c r="L60" i="4" s="1"/>
  <c r="N28" i="4"/>
  <c r="N45" i="4" s="1"/>
  <c r="N60" i="4" s="1"/>
  <c r="M25" i="4"/>
  <c r="M31" i="4" s="1"/>
  <c r="H31" i="4"/>
  <c r="H48" i="4" s="1"/>
  <c r="H63" i="4" s="1"/>
  <c r="L47" i="4"/>
  <c r="L62" i="4" s="1"/>
  <c r="N30" i="4"/>
  <c r="N47" i="4" s="1"/>
  <c r="N62" i="4" s="1"/>
  <c r="AA48" i="4"/>
  <c r="AA63" i="4" s="1"/>
  <c r="T31" i="4"/>
  <c r="F48" i="4"/>
  <c r="F63" i="4" s="1"/>
  <c r="V29" i="2"/>
  <c r="G26" i="5" l="1"/>
  <c r="H26" i="5" s="1"/>
  <c r="F28" i="5"/>
  <c r="G28" i="5" s="1"/>
  <c r="H28" i="5" s="1"/>
  <c r="L42" i="4"/>
  <c r="L58" i="4" s="1"/>
  <c r="N25" i="4"/>
  <c r="N42" i="4" s="1"/>
  <c r="N58" i="4" s="1"/>
  <c r="L31" i="4"/>
  <c r="L48" i="4" s="1"/>
  <c r="L63" i="4" s="1"/>
  <c r="M48" i="4"/>
  <c r="M63" i="4" s="1"/>
  <c r="O31" i="4"/>
  <c r="O48" i="4" s="1"/>
  <c r="O63" i="4" s="1"/>
  <c r="N39" i="4"/>
  <c r="N55" i="4" s="1"/>
  <c r="N31" i="4"/>
  <c r="N48" i="4" s="1"/>
  <c r="N63" i="4" s="1"/>
  <c r="T48" i="4"/>
  <c r="T63" i="4" s="1"/>
  <c r="U31" i="4"/>
  <c r="U48" i="4" s="1"/>
  <c r="M42" i="4"/>
  <c r="M58" i="4" s="1"/>
  <c r="O25" i="4"/>
  <c r="O46" i="4"/>
  <c r="O61" i="4" s="1"/>
  <c r="R29" i="4"/>
  <c r="R45" i="4" s="1"/>
  <c r="O45" i="4"/>
  <c r="O60" i="4" s="1"/>
  <c r="O34" i="4"/>
  <c r="AH51" i="2"/>
  <c r="AH44" i="2"/>
  <c r="O42" i="4" l="1"/>
  <c r="O58" i="4" s="1"/>
  <c r="R25" i="4"/>
  <c r="R42" i="4" s="1"/>
  <c r="B1" i="2"/>
  <c r="AG84" i="2" l="1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AG83" i="2"/>
  <c r="AG85" i="2" s="1"/>
  <c r="AF83" i="2"/>
  <c r="AF85" i="2" s="1"/>
  <c r="AE83" i="2"/>
  <c r="AD83" i="2"/>
  <c r="AD85" i="2" s="1"/>
  <c r="AC83" i="2"/>
  <c r="AC85" i="2" s="1"/>
  <c r="AB83" i="2"/>
  <c r="AB85" i="2" s="1"/>
  <c r="AA83" i="2"/>
  <c r="Z83" i="2"/>
  <c r="Z85" i="2" s="1"/>
  <c r="Y83" i="2"/>
  <c r="Y85" i="2" s="1"/>
  <c r="X83" i="2"/>
  <c r="X85" i="2" s="1"/>
  <c r="W83" i="2"/>
  <c r="W85" i="2" s="1"/>
  <c r="V83" i="2"/>
  <c r="V85" i="2" s="1"/>
  <c r="U83" i="2"/>
  <c r="U85" i="2" s="1"/>
  <c r="T83" i="2"/>
  <c r="T85" i="2" s="1"/>
  <c r="S83" i="2"/>
  <c r="R83" i="2"/>
  <c r="R85" i="2" s="1"/>
  <c r="Q83" i="2"/>
  <c r="Q85" i="2" s="1"/>
  <c r="P83" i="2"/>
  <c r="P85" i="2" s="1"/>
  <c r="O83" i="2"/>
  <c r="N83" i="2"/>
  <c r="N85" i="2" s="1"/>
  <c r="M83" i="2"/>
  <c r="M85" i="2" s="1"/>
  <c r="L83" i="2"/>
  <c r="L85" i="2" s="1"/>
  <c r="K83" i="2"/>
  <c r="K85" i="2" s="1"/>
  <c r="J83" i="2"/>
  <c r="J85" i="2" s="1"/>
  <c r="I83" i="2"/>
  <c r="I85" i="2" s="1"/>
  <c r="H83" i="2"/>
  <c r="H85" i="2" s="1"/>
  <c r="G83" i="2"/>
  <c r="F83" i="2"/>
  <c r="F85" i="2" s="1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AG76" i="2"/>
  <c r="AG82" i="2" s="1"/>
  <c r="AF76" i="2"/>
  <c r="AF82" i="2" s="1"/>
  <c r="AE76" i="2"/>
  <c r="AD76" i="2"/>
  <c r="AD82" i="2" s="1"/>
  <c r="AC76" i="2"/>
  <c r="AC82" i="2" s="1"/>
  <c r="AB76" i="2"/>
  <c r="AB82" i="2" s="1"/>
  <c r="AA76" i="2"/>
  <c r="Z76" i="2"/>
  <c r="Y76" i="2"/>
  <c r="X76" i="2"/>
  <c r="X82" i="2" s="1"/>
  <c r="W76" i="2"/>
  <c r="V76" i="2"/>
  <c r="U76" i="2"/>
  <c r="T76" i="2"/>
  <c r="T82" i="2" s="1"/>
  <c r="S76" i="2"/>
  <c r="S82" i="2" s="1"/>
  <c r="R76" i="2"/>
  <c r="R82" i="2" s="1"/>
  <c r="Q76" i="2"/>
  <c r="P76" i="2"/>
  <c r="P82" i="2" s="1"/>
  <c r="O76" i="2"/>
  <c r="N76" i="2"/>
  <c r="N82" i="2" s="1"/>
  <c r="M76" i="2"/>
  <c r="M82" i="2" s="1"/>
  <c r="L76" i="2"/>
  <c r="L82" i="2" s="1"/>
  <c r="K76" i="2"/>
  <c r="J76" i="2"/>
  <c r="I76" i="2"/>
  <c r="I82" i="2" s="1"/>
  <c r="H76" i="2"/>
  <c r="H82" i="2" s="1"/>
  <c r="G76" i="2"/>
  <c r="G82" i="2" s="1"/>
  <c r="F76" i="2"/>
  <c r="F82" i="2" s="1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AG71" i="2"/>
  <c r="AG75" i="2" s="1"/>
  <c r="AF71" i="2"/>
  <c r="AF75" i="2" s="1"/>
  <c r="AE71" i="2"/>
  <c r="AD71" i="2"/>
  <c r="AD75" i="2" s="1"/>
  <c r="AC71" i="2"/>
  <c r="AC75" i="2" s="1"/>
  <c r="AB71" i="2"/>
  <c r="AB75" i="2" s="1"/>
  <c r="AA71" i="2"/>
  <c r="Z71" i="2"/>
  <c r="Z75" i="2" s="1"/>
  <c r="Y71" i="2"/>
  <c r="Y75" i="2" s="1"/>
  <c r="X71" i="2"/>
  <c r="X75" i="2" s="1"/>
  <c r="W71" i="2"/>
  <c r="V71" i="2"/>
  <c r="V75" i="2" s="1"/>
  <c r="U71" i="2"/>
  <c r="U75" i="2" s="1"/>
  <c r="T71" i="2"/>
  <c r="T75" i="2" s="1"/>
  <c r="S71" i="2"/>
  <c r="R71" i="2"/>
  <c r="R75" i="2" s="1"/>
  <c r="Q71" i="2"/>
  <c r="Q75" i="2" s="1"/>
  <c r="P71" i="2"/>
  <c r="P75" i="2" s="1"/>
  <c r="O71" i="2"/>
  <c r="O75" i="2" s="1"/>
  <c r="N71" i="2"/>
  <c r="N75" i="2" s="1"/>
  <c r="M71" i="2"/>
  <c r="L71" i="2"/>
  <c r="L75" i="2" s="1"/>
  <c r="K71" i="2"/>
  <c r="J71" i="2"/>
  <c r="J75" i="2" s="1"/>
  <c r="I71" i="2"/>
  <c r="I75" i="2" s="1"/>
  <c r="H71" i="2"/>
  <c r="H75" i="2" s="1"/>
  <c r="G71" i="2"/>
  <c r="F71" i="2"/>
  <c r="F75" i="2" s="1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AG68" i="2"/>
  <c r="AG70" i="2" s="1"/>
  <c r="AF68" i="2"/>
  <c r="AF70" i="2" s="1"/>
  <c r="AE68" i="2"/>
  <c r="AE70" i="2" s="1"/>
  <c r="AD68" i="2"/>
  <c r="AD70" i="2" s="1"/>
  <c r="AC68" i="2"/>
  <c r="AC70" i="2" s="1"/>
  <c r="AB68" i="2"/>
  <c r="AB70" i="2" s="1"/>
  <c r="AA68" i="2"/>
  <c r="Z68" i="2"/>
  <c r="Z70" i="2" s="1"/>
  <c r="Y68" i="2"/>
  <c r="Y70" i="2" s="1"/>
  <c r="X68" i="2"/>
  <c r="X70" i="2" s="1"/>
  <c r="W68" i="2"/>
  <c r="V68" i="2"/>
  <c r="V70" i="2" s="1"/>
  <c r="U68" i="2"/>
  <c r="U70" i="2" s="1"/>
  <c r="T68" i="2"/>
  <c r="T70" i="2" s="1"/>
  <c r="S68" i="2"/>
  <c r="R68" i="2"/>
  <c r="R70" i="2" s="1"/>
  <c r="Q68" i="2"/>
  <c r="Q70" i="2" s="1"/>
  <c r="P68" i="2"/>
  <c r="P70" i="2" s="1"/>
  <c r="O68" i="2"/>
  <c r="N68" i="2"/>
  <c r="N70" i="2" s="1"/>
  <c r="M68" i="2"/>
  <c r="M70" i="2" s="1"/>
  <c r="L68" i="2"/>
  <c r="L70" i="2" s="1"/>
  <c r="K68" i="2"/>
  <c r="K70" i="2" s="1"/>
  <c r="J68" i="2"/>
  <c r="J70" i="2" s="1"/>
  <c r="I68" i="2"/>
  <c r="I70" i="2" s="1"/>
  <c r="H68" i="2"/>
  <c r="H70" i="2" s="1"/>
  <c r="G68" i="2"/>
  <c r="F68" i="2"/>
  <c r="F70" i="2" s="1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AG65" i="2"/>
  <c r="AG67" i="2" s="1"/>
  <c r="AG86" i="2" s="1"/>
  <c r="AF65" i="2"/>
  <c r="AE65" i="2"/>
  <c r="AD65" i="2"/>
  <c r="AC65" i="2"/>
  <c r="AC67" i="2" s="1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AG53" i="2"/>
  <c r="AF53" i="2"/>
  <c r="AF55" i="2" s="1"/>
  <c r="AE53" i="2"/>
  <c r="AD53" i="2"/>
  <c r="AD55" i="2" s="1"/>
  <c r="AC53" i="2"/>
  <c r="AC55" i="2" s="1"/>
  <c r="AB53" i="2"/>
  <c r="AB55" i="2" s="1"/>
  <c r="AA53" i="2"/>
  <c r="AA55" i="2" s="1"/>
  <c r="Z53" i="2"/>
  <c r="Z55" i="2" s="1"/>
  <c r="Y53" i="2"/>
  <c r="Y55" i="2" s="1"/>
  <c r="X53" i="2"/>
  <c r="X55" i="2" s="1"/>
  <c r="W53" i="2"/>
  <c r="V53" i="2"/>
  <c r="V55" i="2" s="1"/>
  <c r="U53" i="2"/>
  <c r="U55" i="2" s="1"/>
  <c r="T53" i="2"/>
  <c r="T55" i="2" s="1"/>
  <c r="S53" i="2"/>
  <c r="R53" i="2"/>
  <c r="R55" i="2" s="1"/>
  <c r="Q53" i="2"/>
  <c r="Q55" i="2" s="1"/>
  <c r="P53" i="2"/>
  <c r="P55" i="2" s="1"/>
  <c r="O53" i="2"/>
  <c r="N53" i="2"/>
  <c r="N55" i="2" s="1"/>
  <c r="M53" i="2"/>
  <c r="M55" i="2" s="1"/>
  <c r="L53" i="2"/>
  <c r="L55" i="2" s="1"/>
  <c r="K53" i="2"/>
  <c r="J53" i="2"/>
  <c r="J55" i="2" s="1"/>
  <c r="I53" i="2"/>
  <c r="I55" i="2" s="1"/>
  <c r="H53" i="2"/>
  <c r="H55" i="2" s="1"/>
  <c r="G53" i="2"/>
  <c r="G55" i="2" s="1"/>
  <c r="F53" i="2"/>
  <c r="F55" i="2" s="1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AG46" i="2"/>
  <c r="AF46" i="2"/>
  <c r="AF52" i="2" s="1"/>
  <c r="AE46" i="2"/>
  <c r="AD46" i="2"/>
  <c r="AD52" i="2" s="1"/>
  <c r="AC46" i="2"/>
  <c r="AC52" i="2" s="1"/>
  <c r="AB46" i="2"/>
  <c r="AB52" i="2" s="1"/>
  <c r="AA46" i="2"/>
  <c r="Z46" i="2"/>
  <c r="Z52" i="2" s="1"/>
  <c r="Y46" i="2"/>
  <c r="Y52" i="2" s="1"/>
  <c r="X46" i="2"/>
  <c r="X52" i="2" s="1"/>
  <c r="W46" i="2"/>
  <c r="W52" i="2" s="1"/>
  <c r="V46" i="2"/>
  <c r="U46" i="2"/>
  <c r="U52" i="2" s="1"/>
  <c r="T46" i="2"/>
  <c r="T52" i="2" s="1"/>
  <c r="T59" i="2" s="1"/>
  <c r="S46" i="2"/>
  <c r="R46" i="2"/>
  <c r="R52" i="2" s="1"/>
  <c r="Q46" i="2"/>
  <c r="Q52" i="2" s="1"/>
  <c r="P46" i="2"/>
  <c r="P52" i="2" s="1"/>
  <c r="O46" i="2"/>
  <c r="N46" i="2"/>
  <c r="N52" i="2" s="1"/>
  <c r="M46" i="2"/>
  <c r="L46" i="2"/>
  <c r="L52" i="2" s="1"/>
  <c r="K46" i="2"/>
  <c r="J46" i="2"/>
  <c r="J52" i="2" s="1"/>
  <c r="I46" i="2"/>
  <c r="I52" i="2" s="1"/>
  <c r="H46" i="2"/>
  <c r="H52" i="2" s="1"/>
  <c r="G46" i="2"/>
  <c r="F46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AG41" i="2"/>
  <c r="AF41" i="2"/>
  <c r="AF45" i="2" s="1"/>
  <c r="AE41" i="2"/>
  <c r="AE45" i="2" s="1"/>
  <c r="AD41" i="2"/>
  <c r="AD45" i="2" s="1"/>
  <c r="AC41" i="2"/>
  <c r="AC45" i="2" s="1"/>
  <c r="AB41" i="2"/>
  <c r="AB45" i="2" s="1"/>
  <c r="AA41" i="2"/>
  <c r="Z41" i="2"/>
  <c r="Z45" i="2" s="1"/>
  <c r="Y41" i="2"/>
  <c r="Y45" i="2" s="1"/>
  <c r="X41" i="2"/>
  <c r="X45" i="2" s="1"/>
  <c r="W41" i="2"/>
  <c r="V41" i="2"/>
  <c r="U41" i="2"/>
  <c r="U45" i="2" s="1"/>
  <c r="T41" i="2"/>
  <c r="T45" i="2" s="1"/>
  <c r="T58" i="2" s="1"/>
  <c r="S41" i="2"/>
  <c r="S45" i="2" s="1"/>
  <c r="S58" i="2" s="1"/>
  <c r="R41" i="2"/>
  <c r="R45" i="2" s="1"/>
  <c r="Q41" i="2"/>
  <c r="Q45" i="2" s="1"/>
  <c r="P41" i="2"/>
  <c r="P45" i="2" s="1"/>
  <c r="O41" i="2"/>
  <c r="N41" i="2"/>
  <c r="N45" i="2" s="1"/>
  <c r="M41" i="2"/>
  <c r="M45" i="2" s="1"/>
  <c r="L41" i="2"/>
  <c r="L45" i="2" s="1"/>
  <c r="K41" i="2"/>
  <c r="J41" i="2"/>
  <c r="J45" i="2" s="1"/>
  <c r="I41" i="2"/>
  <c r="H41" i="2"/>
  <c r="H45" i="2" s="1"/>
  <c r="G41" i="2"/>
  <c r="F41" i="2"/>
  <c r="F45" i="2" s="1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AG38" i="2"/>
  <c r="AF38" i="2"/>
  <c r="AF40" i="2" s="1"/>
  <c r="AE38" i="2"/>
  <c r="AE40" i="2" s="1"/>
  <c r="AD38" i="2"/>
  <c r="AD40" i="2" s="1"/>
  <c r="AC38" i="2"/>
  <c r="AC40" i="2" s="1"/>
  <c r="AB38" i="2"/>
  <c r="AB40" i="2" s="1"/>
  <c r="AA38" i="2"/>
  <c r="Z38" i="2"/>
  <c r="Z40" i="2" s="1"/>
  <c r="Y38" i="2"/>
  <c r="Y40" i="2" s="1"/>
  <c r="X38" i="2"/>
  <c r="X40" i="2" s="1"/>
  <c r="W38" i="2"/>
  <c r="V38" i="2"/>
  <c r="V40" i="2" s="1"/>
  <c r="U38" i="2"/>
  <c r="U40" i="2" s="1"/>
  <c r="T38" i="2"/>
  <c r="T40" i="2" s="1"/>
  <c r="S38" i="2"/>
  <c r="S40" i="2" s="1"/>
  <c r="R38" i="2"/>
  <c r="R40" i="2" s="1"/>
  <c r="Q38" i="2"/>
  <c r="Q40" i="2" s="1"/>
  <c r="P38" i="2"/>
  <c r="P40" i="2" s="1"/>
  <c r="O38" i="2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F38" i="2"/>
  <c r="F40" i="2" s="1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AG35" i="2"/>
  <c r="AF35" i="2"/>
  <c r="AE35" i="2"/>
  <c r="AD35" i="2"/>
  <c r="AD37" i="2" s="1"/>
  <c r="AC35" i="2"/>
  <c r="AC37" i="2" s="1"/>
  <c r="AB35" i="2"/>
  <c r="AA35" i="2"/>
  <c r="AA37" i="2" s="1"/>
  <c r="Z35" i="2"/>
  <c r="Z37" i="2" s="1"/>
  <c r="Y35" i="2"/>
  <c r="Y37" i="2" s="1"/>
  <c r="X35" i="2"/>
  <c r="W35" i="2"/>
  <c r="V35" i="2"/>
  <c r="V37" i="2" s="1"/>
  <c r="U35" i="2"/>
  <c r="U37" i="2" s="1"/>
  <c r="T35" i="2"/>
  <c r="S35" i="2"/>
  <c r="R35" i="2"/>
  <c r="R37" i="2" s="1"/>
  <c r="Q35" i="2"/>
  <c r="Q37" i="2" s="1"/>
  <c r="P35" i="2"/>
  <c r="O35" i="2"/>
  <c r="N35" i="2"/>
  <c r="N37" i="2" s="1"/>
  <c r="M35" i="2"/>
  <c r="M37" i="2" s="1"/>
  <c r="L35" i="2"/>
  <c r="K35" i="2"/>
  <c r="K37" i="2" s="1"/>
  <c r="J35" i="2"/>
  <c r="J37" i="2" s="1"/>
  <c r="I35" i="2"/>
  <c r="I37" i="2" s="1"/>
  <c r="H35" i="2"/>
  <c r="G35" i="2"/>
  <c r="G37" i="2" s="1"/>
  <c r="F35" i="2"/>
  <c r="F37" i="2" s="1"/>
  <c r="AE85" i="2"/>
  <c r="AA85" i="2"/>
  <c r="S85" i="2"/>
  <c r="O85" i="2"/>
  <c r="G85" i="2"/>
  <c r="AE82" i="2"/>
  <c r="AA82" i="2"/>
  <c r="W82" i="2"/>
  <c r="O82" i="2"/>
  <c r="K82" i="2"/>
  <c r="AE75" i="2"/>
  <c r="AA75" i="2"/>
  <c r="W75" i="2"/>
  <c r="S75" i="2"/>
  <c r="K75" i="2"/>
  <c r="G75" i="2"/>
  <c r="AA70" i="2"/>
  <c r="W70" i="2"/>
  <c r="S70" i="2"/>
  <c r="O70" i="2"/>
  <c r="G70" i="2"/>
  <c r="AE55" i="2"/>
  <c r="W55" i="2"/>
  <c r="S55" i="2"/>
  <c r="O55" i="2"/>
  <c r="K55" i="2"/>
  <c r="AE52" i="2"/>
  <c r="AA52" i="2"/>
  <c r="S52" i="2"/>
  <c r="S59" i="2" s="1"/>
  <c r="O52" i="2"/>
  <c r="K52" i="2"/>
  <c r="Q59" i="2" s="1"/>
  <c r="G52" i="2"/>
  <c r="AA45" i="2"/>
  <c r="W45" i="2"/>
  <c r="O45" i="2"/>
  <c r="K45" i="2"/>
  <c r="Q58" i="2" s="1"/>
  <c r="G45" i="2"/>
  <c r="AA40" i="2"/>
  <c r="W40" i="2"/>
  <c r="O40" i="2"/>
  <c r="G40" i="2"/>
  <c r="AE37" i="2"/>
  <c r="W37" i="2"/>
  <c r="S37" i="2"/>
  <c r="O37" i="2"/>
  <c r="AG58" i="2" l="1"/>
  <c r="R59" i="2"/>
  <c r="U58" i="2"/>
  <c r="R58" i="2"/>
  <c r="U59" i="2"/>
  <c r="Q82" i="2"/>
  <c r="U82" i="2"/>
  <c r="Y82" i="2"/>
  <c r="Z82" i="2"/>
  <c r="J82" i="2"/>
  <c r="V82" i="2"/>
  <c r="V52" i="2"/>
  <c r="F52" i="2"/>
  <c r="F56" i="2" s="1"/>
  <c r="AH41" i="2"/>
  <c r="AH42" i="2"/>
  <c r="AH43" i="2"/>
  <c r="AH47" i="2"/>
  <c r="AH48" i="2"/>
  <c r="AH49" i="2"/>
  <c r="AH50" i="2"/>
  <c r="V45" i="2"/>
  <c r="I45" i="2"/>
  <c r="I56" i="2" s="1"/>
  <c r="M75" i="2"/>
  <c r="N56" i="2"/>
  <c r="Q56" i="2"/>
  <c r="M52" i="2"/>
  <c r="AH52" i="2" s="1"/>
  <c r="AH46" i="2"/>
  <c r="AH45" i="2"/>
  <c r="AC56" i="2"/>
  <c r="AD56" i="2"/>
  <c r="J56" i="2"/>
  <c r="U56" i="2"/>
  <c r="Z56" i="2"/>
  <c r="Y56" i="2"/>
  <c r="R56" i="2"/>
  <c r="AC86" i="2"/>
  <c r="F67" i="2"/>
  <c r="F86" i="2" s="1"/>
  <c r="J67" i="2"/>
  <c r="N67" i="2"/>
  <c r="N86" i="2" s="1"/>
  <c r="R67" i="2"/>
  <c r="R86" i="2" s="1"/>
  <c r="V67" i="2"/>
  <c r="Z67" i="2"/>
  <c r="AD67" i="2"/>
  <c r="AD86" i="2" s="1"/>
  <c r="I67" i="2"/>
  <c r="I86" i="2" s="1"/>
  <c r="M67" i="2"/>
  <c r="Q67" i="2"/>
  <c r="U67" i="2"/>
  <c r="Y67" i="2"/>
  <c r="G67" i="2"/>
  <c r="G86" i="2" s="1"/>
  <c r="K67" i="2"/>
  <c r="K86" i="2" s="1"/>
  <c r="O67" i="2"/>
  <c r="O86" i="2" s="1"/>
  <c r="S67" i="2"/>
  <c r="S86" i="2" s="1"/>
  <c r="W67" i="2"/>
  <c r="W86" i="2" s="1"/>
  <c r="AA67" i="2"/>
  <c r="AA86" i="2" s="1"/>
  <c r="AE67" i="2"/>
  <c r="AE86" i="2" s="1"/>
  <c r="H67" i="2"/>
  <c r="H86" i="2" s="1"/>
  <c r="L67" i="2"/>
  <c r="L86" i="2" s="1"/>
  <c r="P67" i="2"/>
  <c r="P86" i="2" s="1"/>
  <c r="T67" i="2"/>
  <c r="T86" i="2" s="1"/>
  <c r="X67" i="2"/>
  <c r="X86" i="2" s="1"/>
  <c r="AB67" i="2"/>
  <c r="AB86" i="2" s="1"/>
  <c r="AF67" i="2"/>
  <c r="AF86" i="2" s="1"/>
  <c r="L37" i="2"/>
  <c r="L56" i="2" s="1"/>
  <c r="X37" i="2"/>
  <c r="X56" i="2" s="1"/>
  <c r="AF37" i="2"/>
  <c r="AF56" i="2" s="1"/>
  <c r="G56" i="2"/>
  <c r="K56" i="2"/>
  <c r="O56" i="2"/>
  <c r="S56" i="2"/>
  <c r="W56" i="2"/>
  <c r="AA56" i="2"/>
  <c r="AE56" i="2"/>
  <c r="H37" i="2"/>
  <c r="H56" i="2" s="1"/>
  <c r="P37" i="2"/>
  <c r="P56" i="2" s="1"/>
  <c r="T37" i="2"/>
  <c r="T56" i="2" s="1"/>
  <c r="AB37" i="2"/>
  <c r="AB56" i="2" s="1"/>
  <c r="M86" i="2" l="1"/>
  <c r="M56" i="2"/>
  <c r="Q86" i="2"/>
  <c r="Z86" i="2"/>
  <c r="N57" i="2"/>
  <c r="J86" i="2"/>
  <c r="Y86" i="2"/>
  <c r="U86" i="2"/>
  <c r="V86" i="2"/>
  <c r="AF58" i="2"/>
  <c r="V56" i="2"/>
  <c r="V58" i="2" s="1"/>
  <c r="AH56" i="2"/>
  <c r="J30" i="2" l="1"/>
  <c r="K30" i="2" s="1"/>
  <c r="J59" i="2"/>
  <c r="K59" i="2" s="1"/>
</calcChain>
</file>

<file path=xl/sharedStrings.xml><?xml version="1.0" encoding="utf-8"?>
<sst xmlns="http://schemas.openxmlformats.org/spreadsheetml/2006/main" count="687" uniqueCount="351">
  <si>
    <t>Classification</t>
  </si>
  <si>
    <t>Manpower</t>
  </si>
  <si>
    <t>Basic salary
(A)</t>
  </si>
  <si>
    <t>Allowance
(B)</t>
  </si>
  <si>
    <t>OT amount
'©</t>
  </si>
  <si>
    <t>OVERTIME</t>
  </si>
  <si>
    <t>All 30%</t>
  </si>
  <si>
    <t>Total salary
(A+B+C + D)</t>
  </si>
  <si>
    <t>Union paid by company</t>
  </si>
  <si>
    <t>Insurance paied by company</t>
  </si>
  <si>
    <t>Total amount</t>
  </si>
  <si>
    <t>Insurance paied by employee (10.5%)
(E)</t>
  </si>
  <si>
    <t>PIT</t>
  </si>
  <si>
    <t>Union fee paid by employee</t>
  </si>
  <si>
    <t>Child allowance</t>
  </si>
  <si>
    <t>Women allowance</t>
  </si>
  <si>
    <t>Resignation support</t>
  </si>
  <si>
    <t>Net income</t>
  </si>
  <si>
    <t>Bonus</t>
  </si>
  <si>
    <t>Unit price/hour</t>
  </si>
  <si>
    <t>Working hour excluded Annual leave</t>
  </si>
  <si>
    <t>(150%)
Số giờ tăng ca ngày thường / Normal working day OT No.</t>
  </si>
  <si>
    <t>(200%) Tăng ca ngày nghỉ</t>
  </si>
  <si>
    <t>210% tăng ca đêm ngày thường</t>
  </si>
  <si>
    <t>270% tăng ca đêm ngày nghỉ</t>
  </si>
  <si>
    <t>300% tăng ca ngày lễ, tết</t>
  </si>
  <si>
    <t>390% tăng ca đêm ngày lễ, tết</t>
  </si>
  <si>
    <t>Total OT hour</t>
  </si>
  <si>
    <t>Total working &amp; OT converted</t>
  </si>
  <si>
    <t>Hour</t>
  </si>
  <si>
    <t>Amount (D)</t>
  </si>
  <si>
    <t>Office</t>
  </si>
  <si>
    <t>Office 1</t>
  </si>
  <si>
    <t>1st floor</t>
  </si>
  <si>
    <t>Indirect</t>
  </si>
  <si>
    <t>Office 2</t>
  </si>
  <si>
    <t>2nd floor</t>
  </si>
  <si>
    <t>Admin</t>
  </si>
  <si>
    <t>Subtotal</t>
  </si>
  <si>
    <t>Worker</t>
  </si>
  <si>
    <t>Warehouse</t>
  </si>
  <si>
    <t>Delivery</t>
  </si>
  <si>
    <t>MCT worker</t>
  </si>
  <si>
    <t>Manufacture</t>
  </si>
  <si>
    <t>FM/DF Production</t>
  </si>
  <si>
    <t>Direct</t>
  </si>
  <si>
    <t>MET/MMT</t>
  </si>
  <si>
    <t>MAT worker</t>
  </si>
  <si>
    <t>MAT_Seasonal worker</t>
  </si>
  <si>
    <t>Quality</t>
  </si>
  <si>
    <t>FM/DF QC</t>
  </si>
  <si>
    <t>V/I</t>
  </si>
  <si>
    <t>Auto, Brushing, deburring</t>
  </si>
  <si>
    <t>Other indirect (PQC)</t>
  </si>
  <si>
    <t>Packing</t>
  </si>
  <si>
    <t>Seasonal worker</t>
  </si>
  <si>
    <t>Other</t>
  </si>
  <si>
    <t>Service</t>
  </si>
  <si>
    <t>Cleaner</t>
  </si>
  <si>
    <t>Sub-Total</t>
  </si>
  <si>
    <t>CV allowance</t>
  </si>
  <si>
    <t>Pay tax</t>
  </si>
  <si>
    <t>Working day</t>
  </si>
  <si>
    <t>Month</t>
  </si>
  <si>
    <t>OT day</t>
  </si>
  <si>
    <t>Total actual working day</t>
  </si>
  <si>
    <t>Class</t>
  </si>
  <si>
    <t>Working hour</t>
  </si>
  <si>
    <t>OT</t>
  </si>
  <si>
    <t>Total OT+ working hour</t>
  </si>
  <si>
    <t>TOTAL MANHOUR</t>
  </si>
  <si>
    <t>Attendance rate
Included AL</t>
  </si>
  <si>
    <t>Actual working day</t>
  </si>
  <si>
    <t>Public holiday</t>
  </si>
  <si>
    <t>Summer holiday</t>
  </si>
  <si>
    <t>Working Saturday</t>
  </si>
  <si>
    <t>Calendar</t>
  </si>
  <si>
    <t>Calculate salary working day</t>
  </si>
  <si>
    <t>Saturday</t>
  </si>
  <si>
    <t>Sunday</t>
  </si>
  <si>
    <t>Pro</t>
  </si>
  <si>
    <t>QCT</t>
  </si>
  <si>
    <t>NameEN</t>
  </si>
  <si>
    <t>NameKR</t>
  </si>
  <si>
    <t>MaCongViecAll</t>
  </si>
  <si>
    <t>GroupbyChucDanhAll</t>
  </si>
  <si>
    <t>SoLuongNVAll</t>
  </si>
  <si>
    <t>BasicSalaryAll</t>
  </si>
  <si>
    <t>PhuCapAll</t>
  </si>
  <si>
    <t>TienTangCaAll</t>
  </si>
  <si>
    <t>Luong1GioAll</t>
  </si>
  <si>
    <t>GioLamViecKhongCoNghiAll</t>
  </si>
  <si>
    <t>GioTangCa150All</t>
  </si>
  <si>
    <t>GioTangCaCN200All</t>
  </si>
  <si>
    <t>GioTangCaDem210All</t>
  </si>
  <si>
    <t>GioTangCaDemCN270All</t>
  </si>
  <si>
    <t>GioTangCaLe300All</t>
  </si>
  <si>
    <t>GioTangCaDemLe390All</t>
  </si>
  <si>
    <t>GioLamDem130All</t>
  </si>
  <si>
    <t>TienCaDem130All</t>
  </si>
  <si>
    <t>CongDoanCtyTraAll</t>
  </si>
  <si>
    <t>MaCongViecD1</t>
  </si>
  <si>
    <t>GroupbyChucDanhD1</t>
  </si>
  <si>
    <t>SoLuongNVD1</t>
  </si>
  <si>
    <t>BasicSalaryD1</t>
  </si>
  <si>
    <t>PhuCapD1</t>
  </si>
  <si>
    <t>TienTangCaD1</t>
  </si>
  <si>
    <t>Luong1GioD1</t>
  </si>
  <si>
    <t>GioTangCa150D1</t>
  </si>
  <si>
    <t>GioTangCaCN200D1</t>
  </si>
  <si>
    <t>GioTangCaDem210D1</t>
  </si>
  <si>
    <t>GioTangCaDemCN270D1</t>
  </si>
  <si>
    <t>GioTangCaLe300D1</t>
  </si>
  <si>
    <t>GioTangCaDemLe390D1</t>
  </si>
  <si>
    <t>GioLamDem130D1</t>
  </si>
  <si>
    <t>TienCaDem130D1</t>
  </si>
  <si>
    <t>CongDoanCtyTraD1</t>
  </si>
  <si>
    <t>MaCongViecD2</t>
  </si>
  <si>
    <t>GroupbyChucDanhD2</t>
  </si>
  <si>
    <t>SoLuongNVD2</t>
  </si>
  <si>
    <t>BasicSalaryD2</t>
  </si>
  <si>
    <t>PhuCapD2</t>
  </si>
  <si>
    <t>TienTangCaD2</t>
  </si>
  <si>
    <t>Luong1GioD2</t>
  </si>
  <si>
    <t>GioTangCa150D2</t>
  </si>
  <si>
    <t>GioTangCaCN200D2</t>
  </si>
  <si>
    <t>GioTangCaDem210D2</t>
  </si>
  <si>
    <t>GioTangCaDemCN270D2</t>
  </si>
  <si>
    <t>GioTangCaLe300D2</t>
  </si>
  <si>
    <t>GioTangCaDemLe390D2</t>
  </si>
  <si>
    <t>GioLamDem130D2</t>
  </si>
  <si>
    <t>TienCaDem130D2</t>
  </si>
  <si>
    <t>CongDoanCtyTraD2</t>
  </si>
  <si>
    <t>No</t>
  </si>
  <si>
    <t>TongTangCaAll</t>
  </si>
  <si>
    <t>TongTangCaVaHCDaChuyenAll</t>
  </si>
  <si>
    <t>TongTangCaD1</t>
  </si>
  <si>
    <t>TongTangCaVaHCDaChuyenD1</t>
  </si>
  <si>
    <t>TongTangCaD2</t>
  </si>
  <si>
    <t>TongTangCaVaHCDaChuyenD2</t>
  </si>
  <si>
    <t>TongLuongAll</t>
  </si>
  <si>
    <t>BHCtyTraAll</t>
  </si>
  <si>
    <t>TongChiPhiAll</t>
  </si>
  <si>
    <t>BHNVDongAll</t>
  </si>
  <si>
    <t>TTCNAll</t>
  </si>
  <si>
    <t>CongDoanNVDongAll</t>
  </si>
  <si>
    <t>TroCapConNhoAll</t>
  </si>
  <si>
    <t>TroCapPhuNuAll</t>
  </si>
  <si>
    <t>HoTroKhacAll</t>
  </si>
  <si>
    <t>ThucNhanAll</t>
  </si>
  <si>
    <t>LuongChoViecAll</t>
  </si>
  <si>
    <t>TongLuongD1</t>
  </si>
  <si>
    <t>BHCtyTraD1</t>
  </si>
  <si>
    <t>TongChiPhiD1</t>
  </si>
  <si>
    <t>BHNVDongD1</t>
  </si>
  <si>
    <t>TTCND1</t>
  </si>
  <si>
    <t>CongDoanNVDongD1</t>
  </si>
  <si>
    <t>TroCapConNhoD1</t>
  </si>
  <si>
    <t>TroCapPhuNuD1</t>
  </si>
  <si>
    <t>HoTroKhacD1</t>
  </si>
  <si>
    <t>ThucNhanD1</t>
  </si>
  <si>
    <t>LuongChoViecD1</t>
  </si>
  <si>
    <t>TongLuongD2</t>
  </si>
  <si>
    <t>BHCtyTraD2</t>
  </si>
  <si>
    <t>TongChiPhiD2</t>
  </si>
  <si>
    <t>BHNVDongD2</t>
  </si>
  <si>
    <t>TTCND2</t>
  </si>
  <si>
    <t>CongDoanNVDongD2</t>
  </si>
  <si>
    <t>TroCapConNhoD2</t>
  </si>
  <si>
    <t>TroCapPhuNuD2</t>
  </si>
  <si>
    <t>HoTroKhacD2</t>
  </si>
  <si>
    <t>ThucNhanD2</t>
  </si>
  <si>
    <t>LuongChoViecD2</t>
  </si>
  <si>
    <t>GioLamViecKhongCoNghiD1</t>
  </si>
  <si>
    <t>GioLamViecKhongCoNghiD2</t>
  </si>
  <si>
    <t>MaCongViecAllVT</t>
  </si>
  <si>
    <t>GroupbyViTriAllVT</t>
  </si>
  <si>
    <t>SoLuongNVAllVT</t>
  </si>
  <si>
    <t>BasicSalaryAllVT</t>
  </si>
  <si>
    <t>PhuCapAllVT</t>
  </si>
  <si>
    <t>TienTangCaAllVT</t>
  </si>
  <si>
    <t>Luong1GioAllVT</t>
  </si>
  <si>
    <t>GioLamViecKhongCoNghiAllVT</t>
  </si>
  <si>
    <t>GioTangCa150AllVT</t>
  </si>
  <si>
    <t>GioTangCaCN200AllVT</t>
  </si>
  <si>
    <t>GioTangCaDem210AllVT</t>
  </si>
  <si>
    <t>GioTangCaDemCN270AllVT</t>
  </si>
  <si>
    <t>GioTangCaLe300AllVT</t>
  </si>
  <si>
    <t>GioTangCaDemLe390AllVT</t>
  </si>
  <si>
    <t>TongTangCaAllVT</t>
  </si>
  <si>
    <t>TongTangCaVaHCDaChuyenAllVT</t>
  </si>
  <si>
    <t>TienCaDem130AllVT</t>
  </si>
  <si>
    <t>TongLuongAllVT</t>
  </si>
  <si>
    <t>CongDoanCtyTraAllVT</t>
  </si>
  <si>
    <t>BHCtyTraAllVT</t>
  </si>
  <si>
    <t>TongChiPhiAllVT</t>
  </si>
  <si>
    <t>BHNVDongAllVT</t>
  </si>
  <si>
    <t>TTCNAllVT</t>
  </si>
  <si>
    <t>CongDoanNVDongAllVT</t>
  </si>
  <si>
    <t>TroCapConNhoAllVT</t>
  </si>
  <si>
    <t>TroCapPhuNuAllVT</t>
  </si>
  <si>
    <t>HoTroKhacAllVT</t>
  </si>
  <si>
    <t>ThucNhanAllVT</t>
  </si>
  <si>
    <t>LuongChoViecAllVT</t>
  </si>
  <si>
    <t>MaCongViecD1VT</t>
  </si>
  <si>
    <t>GroupbyViTriD1VT</t>
  </si>
  <si>
    <t>SoLuongNVD1VT</t>
  </si>
  <si>
    <t>BasicSalaryD1VT</t>
  </si>
  <si>
    <t>PhuCapD1VT</t>
  </si>
  <si>
    <t>TienTangCaD1VT</t>
  </si>
  <si>
    <t>Luong1GioD1VT</t>
  </si>
  <si>
    <t>GioLamViecKhongCoNghiD1VT</t>
  </si>
  <si>
    <t>GioTangCa150D1VT</t>
  </si>
  <si>
    <t>GioTangCaCN200D1VT</t>
  </si>
  <si>
    <t>GioTangCaDem210D1VT</t>
  </si>
  <si>
    <t>GioTangCaDemCN270D1VT</t>
  </si>
  <si>
    <t>GioTangCaLe300D1VT</t>
  </si>
  <si>
    <t>GioTangCaDemLe390D1VT</t>
  </si>
  <si>
    <t>TongTangCaD1VT</t>
  </si>
  <si>
    <t>TongTangCaVaHCDaChuyenD1VT</t>
  </si>
  <si>
    <t>TienCaDem130D1VT</t>
  </si>
  <si>
    <t>TongLuongD1VT</t>
  </si>
  <si>
    <t>CongDoanCtyTraD1VT</t>
  </si>
  <si>
    <t>BHCtyTraD1VT</t>
  </si>
  <si>
    <t>TongChiPhiD1VT</t>
  </si>
  <si>
    <t>BHNVDongD1VT</t>
  </si>
  <si>
    <t>TTCND1VT</t>
  </si>
  <si>
    <t>CongDoanNVDongD1VT</t>
  </si>
  <si>
    <t>TroCapConNhoD1VT</t>
  </si>
  <si>
    <t>TroCapPhuNuD1VT</t>
  </si>
  <si>
    <t>HoTroKhacD1VT</t>
  </si>
  <si>
    <t>ThucNhanD1VT</t>
  </si>
  <si>
    <t>LuongChoViecD1VT</t>
  </si>
  <si>
    <t>MaCongViecD2VT</t>
  </si>
  <si>
    <t>GroupbyViTriD2VT</t>
  </si>
  <si>
    <t>SoLuongNVD2VT</t>
  </si>
  <si>
    <t>BasicSalaryD2VT</t>
  </si>
  <si>
    <t>PhuCapD2VT</t>
  </si>
  <si>
    <t>TienTangCaD2VT</t>
  </si>
  <si>
    <t>Luong1GioD2VT</t>
  </si>
  <si>
    <t>GioLamViecKhongCoNghiD2VT</t>
  </si>
  <si>
    <t>GioTangCa150D2VT</t>
  </si>
  <si>
    <t>GioTangCaCN200D2VT</t>
  </si>
  <si>
    <t>GioTangCaDem210D2VT</t>
  </si>
  <si>
    <t>GioTangCaDemCN270D2VT</t>
  </si>
  <si>
    <t>GioTangCaLe300D2VT</t>
  </si>
  <si>
    <t>GioTangCaDemLe390D2VT</t>
  </si>
  <si>
    <t>TongTangCaD2VT</t>
  </si>
  <si>
    <t>TongTangCaVaHCDaChuyenD2VT</t>
  </si>
  <si>
    <t>GioLamDem130D2VT</t>
  </si>
  <si>
    <t>TienCaDem130D2VT</t>
  </si>
  <si>
    <t>TongLuongD2VT</t>
  </si>
  <si>
    <t>CongDoanCtyTraD2VT</t>
  </si>
  <si>
    <t>BHCtyTraD2VT</t>
  </si>
  <si>
    <t>TongChiPhiD2VT</t>
  </si>
  <si>
    <t>BHNVDongD2VT</t>
  </si>
  <si>
    <t>TTCND2VT</t>
  </si>
  <si>
    <t>CongDoanNVDongD2VT</t>
  </si>
  <si>
    <t>TroCapConNhoD2VT</t>
  </si>
  <si>
    <t>TroCapPhuNuD2VT</t>
  </si>
  <si>
    <t>HoTroKhacD2VT</t>
  </si>
  <si>
    <t>ThucNhanD2VT</t>
  </si>
  <si>
    <t>LuongChoViecD2VT</t>
  </si>
  <si>
    <t>GioLamDem130AllVT</t>
  </si>
  <si>
    <t>GioLamDem130D1VT</t>
  </si>
  <si>
    <t>ActualWorkingDay</t>
  </si>
  <si>
    <t>PublicHoliday</t>
  </si>
  <si>
    <t>WorkingSaturday</t>
  </si>
  <si>
    <t>SaturdayOT</t>
  </si>
  <si>
    <t>Actual</t>
  </si>
  <si>
    <t>Others</t>
  </si>
  <si>
    <t>Quited job</t>
  </si>
  <si>
    <t>QCT_Seasonal worker</t>
  </si>
  <si>
    <t>Attendance rate</t>
  </si>
  <si>
    <t>Annual leave</t>
  </si>
  <si>
    <t>JAN</t>
  </si>
  <si>
    <t>Plan</t>
  </si>
  <si>
    <t>Diff</t>
  </si>
  <si>
    <t>MAN HOUR ANALYSIS ON JAN, 2023</t>
  </si>
  <si>
    <t>OT</t>
    <phoneticPr fontId="17" type="noConversion"/>
  </si>
  <si>
    <t>환산후</t>
    <phoneticPr fontId="17" type="noConversion"/>
  </si>
  <si>
    <t>Remarks</t>
  </si>
  <si>
    <t>Night shift</t>
  </si>
  <si>
    <t>CV</t>
  </si>
  <si>
    <t>Support 200k OT, &amp; 450k</t>
  </si>
  <si>
    <t>Lucky money</t>
  </si>
  <si>
    <t>Gross</t>
  </si>
  <si>
    <t>Support</t>
  </si>
  <si>
    <t>DEPT</t>
    <phoneticPr fontId="17" type="noConversion"/>
  </si>
  <si>
    <t>M/P</t>
    <phoneticPr fontId="17" type="noConversion"/>
  </si>
  <si>
    <t>NORMAL</t>
    <phoneticPr fontId="17" type="noConversion"/>
  </si>
  <si>
    <t>OT TOTAL</t>
    <phoneticPr fontId="17" type="noConversion"/>
  </si>
  <si>
    <t>환산 (Convert)</t>
  </si>
  <si>
    <t>TOTAL</t>
    <phoneticPr fontId="17" type="noConversion"/>
  </si>
  <si>
    <t>B/S+A/L</t>
    <phoneticPr fontId="17" type="noConversion"/>
  </si>
  <si>
    <t>기본급/수당</t>
    <phoneticPr fontId="9" type="noConversion"/>
  </si>
  <si>
    <t>AT rate</t>
    <phoneticPr fontId="9" type="noConversion"/>
  </si>
  <si>
    <t>야간조</t>
    <phoneticPr fontId="9" type="noConversion"/>
  </si>
  <si>
    <t>연장</t>
    <phoneticPr fontId="9" type="noConversion"/>
  </si>
  <si>
    <t>계</t>
    <phoneticPr fontId="9" type="noConversion"/>
  </si>
  <si>
    <t>MCT</t>
    <phoneticPr fontId="17" type="noConversion"/>
  </si>
  <si>
    <t>PLAN</t>
    <phoneticPr fontId="17" type="noConversion"/>
  </si>
  <si>
    <t>PRODUCTION</t>
    <phoneticPr fontId="17" type="noConversion"/>
  </si>
  <si>
    <t>PRO_SEASONAL WORKER</t>
  </si>
  <si>
    <t>DRIVER</t>
    <phoneticPr fontId="17" type="noConversion"/>
  </si>
  <si>
    <t>QC</t>
    <phoneticPr fontId="17" type="noConversion"/>
  </si>
  <si>
    <t>QCT_SEASONAL WORKER</t>
  </si>
  <si>
    <t>OTHER</t>
    <phoneticPr fontId="17" type="noConversion"/>
  </si>
  <si>
    <t>실제 작업일 (25일): 평일 18일(토요일 1일) 구정연휴:7일</t>
    <phoneticPr fontId="17" type="noConversion"/>
  </si>
  <si>
    <t>휴일 : (6일) -요일 (4일), 휴무 토요일 (2일)</t>
    <phoneticPr fontId="17" type="noConversion"/>
  </si>
  <si>
    <t>특근 : 1일</t>
    <phoneticPr fontId="17" type="noConversion"/>
  </si>
  <si>
    <t>기본급/수당</t>
    <phoneticPr fontId="17" type="noConversion"/>
  </si>
  <si>
    <t>AT rate</t>
    <phoneticPr fontId="17" type="noConversion"/>
  </si>
  <si>
    <t>야간조</t>
    <phoneticPr fontId="17" type="noConversion"/>
  </si>
  <si>
    <t>연장</t>
    <phoneticPr fontId="17" type="noConversion"/>
  </si>
  <si>
    <t>계</t>
    <phoneticPr fontId="17" type="noConversion"/>
  </si>
  <si>
    <t>ACTUAL</t>
    <phoneticPr fontId="17" type="noConversion"/>
  </si>
  <si>
    <t>인건비</t>
    <phoneticPr fontId="17" type="noConversion"/>
  </si>
  <si>
    <t>환산</t>
    <phoneticPr fontId="17" type="noConversion"/>
  </si>
  <si>
    <t>출근율</t>
    <phoneticPr fontId="17" type="noConversion"/>
  </si>
  <si>
    <t>DIFF</t>
    <phoneticPr fontId="17" type="noConversion"/>
  </si>
  <si>
    <t>SEASONAL WORKER</t>
  </si>
  <si>
    <t>Man hour/labor cost anaysis (PRODUCTION)</t>
    <phoneticPr fontId="20" type="noConversion"/>
  </si>
  <si>
    <t>Unit : MH,1,000dong</t>
    <phoneticPr fontId="20" type="noConversion"/>
  </si>
  <si>
    <t>Classication</t>
    <phoneticPr fontId="20" type="noConversion"/>
  </si>
  <si>
    <t>Reason</t>
    <phoneticPr fontId="20" type="noConversion"/>
  </si>
  <si>
    <t>Remarks</t>
    <phoneticPr fontId="20" type="noConversion"/>
  </si>
  <si>
    <t>Plan</t>
    <phoneticPr fontId="20" type="noConversion"/>
  </si>
  <si>
    <t>Diff.</t>
    <phoneticPr fontId="20" type="noConversion"/>
  </si>
  <si>
    <t>%</t>
    <phoneticPr fontId="20" type="noConversion"/>
  </si>
  <si>
    <t>생산</t>
    <phoneticPr fontId="20" type="noConversion"/>
  </si>
  <si>
    <t>Man-power</t>
    <phoneticPr fontId="20" type="noConversion"/>
  </si>
  <si>
    <t>Working hour
(not converted)</t>
  </si>
  <si>
    <t>Normal</t>
    <phoneticPr fontId="20" type="noConversion"/>
  </si>
  <si>
    <t>Suspension</t>
  </si>
  <si>
    <t>O/T</t>
    <phoneticPr fontId="20" type="noConversion"/>
  </si>
  <si>
    <t>nan</t>
  </si>
  <si>
    <t>Night shift</t>
    <phoneticPr fontId="20" type="noConversion"/>
  </si>
  <si>
    <t>Total</t>
    <phoneticPr fontId="20" type="noConversion"/>
  </si>
  <si>
    <t>Attendance</t>
  </si>
  <si>
    <t>Working hour
(converted)</t>
  </si>
  <si>
    <t>Labor cost</t>
    <phoneticPr fontId="20" type="noConversion"/>
  </si>
  <si>
    <t>Suppension amount</t>
  </si>
  <si>
    <t>Man hour/labor cost anaysis (QCT)</t>
  </si>
  <si>
    <t>Classication</t>
  </si>
  <si>
    <t>품질</t>
    <phoneticPr fontId="20" type="noConversion"/>
  </si>
  <si>
    <t>121person (T/O)</t>
    <phoneticPr fontId="20" type="noConversion"/>
  </si>
  <si>
    <t>Working hour
(converted)</t>
    <phoneticPr fontId="20" type="noConversion"/>
  </si>
  <si>
    <t>급여인원 감소(5명)</t>
    <phoneticPr fontId="20" type="noConversion"/>
  </si>
  <si>
    <t>Control normal day OT(150%)</t>
    <phoneticPr fontId="20" type="noConversion"/>
  </si>
  <si>
    <t>JANreasing HV16 night shift automatic inspection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</si>
</sst>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.0_);_(* \(#,##0.0\);_(* &quot;-&quot;??_);_(@_)"/>
    <numFmt numFmtId="165" formatCode="00"/>
    <numFmt numFmtId="166" formatCode="_-* #,##0.00\ _₫_-;\-* #,##0.00\ _₫_-;_-* &quot;-&quot;??\ _₫_-;_-@_-"/>
    <numFmt numFmtId="167" formatCode="_(* #,##0_);_(* \(#,##0\);_(* &quot;-&quot;??_);_(@_)"/>
    <numFmt numFmtId="168" formatCode="0.0%"/>
    <numFmt numFmtId="169" formatCode="#,##0.000"/>
    <numFmt numFmtId="170" formatCode="#,##0.0"/>
    <numFmt numFmtId="173" formatCode="_-* #,##0_-;\-* #,##0_-;_-* &quot;-&quot;_-;_-@_-"/>
    <numFmt numFmtId="174" formatCode="_-* #,##0.0_-;\-* #,##0.0_-;_-* &quot;-&quot;_-;_-@_-"/>
    <numFmt numFmtId="175" formatCode="_-* #,##0_-;\-* #,##0_-;_-* &quot;-&quot;??_-;_-@_-"/>
    <numFmt numFmtId="176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9"/>
      <color theme="1"/>
      <name val="Times New Roman"/>
      <family val="1"/>
    </font>
    <font>
      <sz val="12"/>
      <name val=".VnTime"/>
      <family val="2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charset val="129"/>
      <scheme val="minor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2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현대하모니 L"/>
      <family val="1"/>
      <charset val="129"/>
    </font>
    <font>
      <sz val="11.5"/>
      <color theme="1"/>
      <name val="현대하모니 L"/>
      <family val="1"/>
      <charset val="129"/>
    </font>
    <font>
      <b/>
      <sz val="12"/>
      <color theme="1"/>
      <name val="현대하모니 L"/>
      <family val="1"/>
      <charset val="129"/>
    </font>
    <font>
      <sz val="12"/>
      <color rgb="FFFF0000"/>
      <name val="현대하모니 L"/>
      <family val="1"/>
      <charset val="129"/>
    </font>
    <font>
      <sz val="11"/>
      <color rgb="FFFF0000"/>
      <name val="Calibri"/>
      <family val="2"/>
      <scheme val="minor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돋움"/>
      <family val="3"/>
      <charset val="129"/>
    </font>
    <font>
      <sz val="16"/>
      <color theme="1"/>
      <name val="현대하모니 L"/>
      <family val="1"/>
      <charset val="129"/>
    </font>
    <font>
      <sz val="11"/>
      <color theme="1"/>
      <name val="현대하모니 L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DotDot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17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7">
    <xf numFmtId="0" fontId="0" fillId="0" borderId="0" xfId="0"/>
    <xf numFmtId="3" fontId="6" fillId="0" borderId="1" xfId="3" applyNumberFormat="1" applyFont="1" applyBorder="1" applyAlignment="1">
      <alignment horizontal="center" vertical="center" wrapText="1"/>
    </xf>
    <xf numFmtId="3" fontId="8" fillId="4" borderId="2" xfId="3" applyNumberFormat="1" applyFont="1" applyFill="1" applyBorder="1" applyAlignment="1">
      <alignment horizontal="center" vertical="center" wrapText="1"/>
    </xf>
    <xf numFmtId="164" fontId="10" fillId="0" borderId="2" xfId="4" applyNumberFormat="1" applyFont="1" applyFill="1" applyBorder="1" applyAlignment="1">
      <alignment horizontal="center" vertical="top" wrapText="1"/>
    </xf>
    <xf numFmtId="164" fontId="10" fillId="0" borderId="2" xfId="4" applyNumberFormat="1" applyFont="1" applyFill="1" applyBorder="1" applyAlignment="1">
      <alignment horizontal="center" vertical="center" wrapText="1"/>
    </xf>
    <xf numFmtId="3" fontId="10" fillId="0" borderId="2" xfId="3" applyNumberFormat="1" applyFont="1" applyBorder="1" applyAlignment="1">
      <alignment horizontal="center" vertical="center" wrapText="1"/>
    </xf>
    <xf numFmtId="3" fontId="6" fillId="0" borderId="2" xfId="3" applyNumberFormat="1" applyFont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3" fontId="2" fillId="0" borderId="13" xfId="2" applyNumberFormat="1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14" xfId="2" applyFont="1" applyBorder="1" applyAlignment="1">
      <alignment horizontal="center" vertical="center" wrapText="1"/>
    </xf>
    <xf numFmtId="0" fontId="19" fillId="4" borderId="0" xfId="2" applyFont="1" applyFill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18" fillId="7" borderId="1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wrapText="1"/>
    </xf>
    <xf numFmtId="0" fontId="1" fillId="0" borderId="0" xfId="2" applyAlignment="1">
      <alignment wrapText="1"/>
    </xf>
    <xf numFmtId="3" fontId="3" fillId="0" borderId="0" xfId="2" applyNumberFormat="1" applyFont="1" applyAlignment="1">
      <alignment horizontal="center" wrapText="1"/>
    </xf>
    <xf numFmtId="0" fontId="11" fillId="0" borderId="1" xfId="3" quotePrefix="1" applyFont="1" applyBorder="1" applyAlignment="1">
      <alignment vertical="center" wrapText="1"/>
    </xf>
    <xf numFmtId="0" fontId="11" fillId="0" borderId="1" xfId="3" quotePrefix="1" applyFont="1" applyBorder="1" applyAlignment="1">
      <alignment horizontal="left" vertical="center" wrapText="1"/>
    </xf>
    <xf numFmtId="3" fontId="13" fillId="0" borderId="1" xfId="5" applyNumberFormat="1" applyFont="1" applyFill="1" applyBorder="1" applyAlignment="1">
      <alignment horizontal="right" vertical="center" wrapText="1"/>
    </xf>
    <xf numFmtId="0" fontId="11" fillId="5" borderId="1" xfId="3" quotePrefix="1" applyFont="1" applyFill="1" applyBorder="1" applyAlignment="1">
      <alignment horizontal="left" vertical="center" wrapText="1"/>
    </xf>
    <xf numFmtId="3" fontId="13" fillId="5" borderId="1" xfId="5" applyNumberFormat="1" applyFont="1" applyFill="1" applyBorder="1" applyAlignment="1">
      <alignment horizontal="right" vertical="center" wrapText="1"/>
    </xf>
    <xf numFmtId="0" fontId="11" fillId="5" borderId="1" xfId="3" quotePrefix="1" applyFont="1" applyFill="1" applyBorder="1" applyAlignment="1">
      <alignment vertical="center" wrapText="1"/>
    </xf>
    <xf numFmtId="0" fontId="11" fillId="0" borderId="3" xfId="3" quotePrefix="1" applyFont="1" applyBorder="1" applyAlignment="1">
      <alignment vertical="center" wrapText="1"/>
    </xf>
    <xf numFmtId="0" fontId="11" fillId="0" borderId="3" xfId="3" quotePrefix="1" applyFont="1" applyBorder="1" applyAlignment="1">
      <alignment horizontal="left" vertical="center" wrapText="1"/>
    </xf>
    <xf numFmtId="0" fontId="7" fillId="5" borderId="1" xfId="3" quotePrefix="1" applyFont="1" applyFill="1" applyBorder="1" applyAlignment="1">
      <alignment horizontal="center" vertical="center" wrapText="1"/>
    </xf>
    <xf numFmtId="3" fontId="14" fillId="5" borderId="1" xfId="5" applyNumberFormat="1" applyFont="1" applyFill="1" applyBorder="1" applyAlignment="1">
      <alignment horizontal="right" vertical="center" wrapText="1"/>
    </xf>
    <xf numFmtId="0" fontId="1" fillId="0" borderId="0" xfId="2" applyAlignment="1">
      <alignment vertical="center" wrapText="1"/>
    </xf>
    <xf numFmtId="3" fontId="1" fillId="0" borderId="0" xfId="2" applyNumberFormat="1" applyAlignment="1">
      <alignment vertical="center" wrapText="1"/>
    </xf>
    <xf numFmtId="3" fontId="1" fillId="0" borderId="0" xfId="2" applyNumberFormat="1" applyAlignment="1">
      <alignment wrapText="1"/>
    </xf>
    <xf numFmtId="0" fontId="2" fillId="0" borderId="17" xfId="2" applyFont="1" applyBorder="1" applyAlignment="1">
      <alignment wrapText="1"/>
    </xf>
    <xf numFmtId="167" fontId="2" fillId="0" borderId="18" xfId="6" applyNumberFormat="1" applyFont="1" applyBorder="1" applyAlignment="1">
      <alignment wrapText="1"/>
    </xf>
    <xf numFmtId="3" fontId="2" fillId="0" borderId="18" xfId="2" applyNumberFormat="1" applyFont="1" applyBorder="1" applyAlignment="1">
      <alignment wrapText="1"/>
    </xf>
    <xf numFmtId="3" fontId="19" fillId="0" borderId="19" xfId="2" applyNumberFormat="1" applyFont="1" applyBorder="1" applyAlignment="1">
      <alignment wrapText="1"/>
    </xf>
    <xf numFmtId="168" fontId="20" fillId="0" borderId="0" xfId="7" applyNumberFormat="1" applyFont="1" applyFill="1" applyAlignment="1">
      <alignment horizontal="center" wrapText="1"/>
    </xf>
    <xf numFmtId="167" fontId="1" fillId="0" borderId="0" xfId="8" applyNumberFormat="1" applyFont="1" applyAlignment="1">
      <alignment wrapText="1"/>
    </xf>
    <xf numFmtId="43" fontId="1" fillId="0" borderId="0" xfId="8" applyFont="1" applyAlignment="1">
      <alignment wrapText="1"/>
    </xf>
    <xf numFmtId="169" fontId="1" fillId="0" borderId="0" xfId="2" applyNumberFormat="1" applyAlignment="1">
      <alignment wrapText="1"/>
    </xf>
    <xf numFmtId="17" fontId="21" fillId="0" borderId="20" xfId="0" applyNumberFormat="1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center" vertical="center" wrapText="1"/>
    </xf>
    <xf numFmtId="43" fontId="22" fillId="7" borderId="21" xfId="0" applyNumberFormat="1" applyFont="1" applyFill="1" applyBorder="1" applyAlignment="1">
      <alignment horizontal="center" vertical="center" wrapText="1"/>
    </xf>
    <xf numFmtId="43" fontId="23" fillId="0" borderId="22" xfId="1" applyFont="1" applyBorder="1" applyAlignment="1">
      <alignment horizontal="center" vertical="center" wrapText="1"/>
    </xf>
    <xf numFmtId="0" fontId="2" fillId="0" borderId="23" xfId="2" applyFont="1" applyBorder="1" applyAlignment="1">
      <alignment wrapText="1"/>
    </xf>
    <xf numFmtId="167" fontId="2" fillId="0" borderId="24" xfId="6" applyNumberFormat="1" applyFont="1" applyBorder="1" applyAlignment="1">
      <alignment wrapText="1"/>
    </xf>
    <xf numFmtId="3" fontId="2" fillId="0" borderId="24" xfId="2" applyNumberFormat="1" applyFont="1" applyBorder="1" applyAlignment="1">
      <alignment wrapText="1"/>
    </xf>
    <xf numFmtId="3" fontId="19" fillId="0" borderId="25" xfId="2" applyNumberFormat="1" applyFont="1" applyBorder="1" applyAlignment="1">
      <alignment wrapText="1"/>
    </xf>
    <xf numFmtId="1" fontId="16" fillId="0" borderId="0" xfId="2" applyNumberFormat="1" applyFont="1" applyAlignment="1">
      <alignment wrapText="1"/>
    </xf>
    <xf numFmtId="170" fontId="1" fillId="0" borderId="0" xfId="2" applyNumberFormat="1" applyAlignment="1">
      <alignment wrapText="1"/>
    </xf>
    <xf numFmtId="0" fontId="7" fillId="5" borderId="0" xfId="3" quotePrefix="1" applyFont="1" applyFill="1" applyAlignment="1">
      <alignment horizontal="center" vertical="center" wrapText="1"/>
    </xf>
    <xf numFmtId="3" fontId="14" fillId="5" borderId="0" xfId="5" applyNumberFormat="1" applyFont="1" applyFill="1" applyBorder="1" applyAlignment="1">
      <alignment horizontal="center" vertical="center" wrapText="1"/>
    </xf>
    <xf numFmtId="3" fontId="15" fillId="5" borderId="0" xfId="3" applyNumberFormat="1" applyFont="1" applyFill="1" applyAlignment="1">
      <alignment horizontal="center" vertical="center" wrapText="1"/>
    </xf>
    <xf numFmtId="3" fontId="15" fillId="5" borderId="8" xfId="3" applyNumberFormat="1" applyFont="1" applyFill="1" applyBorder="1" applyAlignment="1">
      <alignment horizontal="center" vertical="center" wrapText="1"/>
    </xf>
    <xf numFmtId="3" fontId="15" fillId="5" borderId="7" xfId="3" applyNumberFormat="1" applyFont="1" applyFill="1" applyBorder="1" applyAlignment="1">
      <alignment horizontal="center" vertical="center" wrapText="1"/>
    </xf>
    <xf numFmtId="3" fontId="15" fillId="5" borderId="26" xfId="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5" borderId="0" xfId="0" applyFill="1"/>
    <xf numFmtId="0" fontId="0" fillId="5" borderId="1" xfId="0" applyFill="1" applyBorder="1"/>
    <xf numFmtId="1" fontId="18" fillId="0" borderId="21" xfId="2" applyNumberFormat="1" applyFont="1" applyBorder="1" applyAlignment="1">
      <alignment horizontal="center" vertical="center" wrapText="1"/>
    </xf>
    <xf numFmtId="0" fontId="1" fillId="8" borderId="27" xfId="2" applyFill="1" applyBorder="1"/>
    <xf numFmtId="3" fontId="7" fillId="0" borderId="1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3" fontId="7" fillId="0" borderId="2" xfId="3" applyNumberFormat="1" applyFont="1" applyBorder="1" applyAlignment="1">
      <alignment horizontal="center" vertical="center" wrapText="1"/>
    </xf>
    <xf numFmtId="3" fontId="7" fillId="0" borderId="6" xfId="3" applyNumberFormat="1" applyFont="1" applyBorder="1" applyAlignment="1">
      <alignment horizontal="center" vertical="center" wrapText="1"/>
    </xf>
    <xf numFmtId="3" fontId="6" fillId="0" borderId="1" xfId="3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165" fontId="11" fillId="0" borderId="1" xfId="3" applyNumberFormat="1" applyFont="1" applyBorder="1" applyAlignment="1">
      <alignment horizontal="center" vertical="center" wrapText="1"/>
    </xf>
    <xf numFmtId="0" fontId="11" fillId="5" borderId="1" xfId="3" quotePrefix="1" applyFont="1" applyFill="1" applyBorder="1" applyAlignment="1">
      <alignment horizontal="left" vertical="center" wrapText="1"/>
    </xf>
    <xf numFmtId="0" fontId="7" fillId="5" borderId="1" xfId="3" quotePrefix="1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3" fontId="11" fillId="0" borderId="1" xfId="3" applyNumberFormat="1" applyFont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 wrapText="1"/>
    </xf>
    <xf numFmtId="0" fontId="24" fillId="2" borderId="0" xfId="2" applyFont="1" applyFill="1" applyAlignment="1">
      <alignment horizontal="left" wrapText="1"/>
    </xf>
    <xf numFmtId="0" fontId="18" fillId="0" borderId="10" xfId="2" applyFont="1" applyBorder="1" applyAlignment="1">
      <alignment horizontal="center" vertical="center" wrapText="1"/>
    </xf>
    <xf numFmtId="0" fontId="18" fillId="0" borderId="11" xfId="2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3" fillId="0" borderId="0" xfId="2" applyFont="1" applyAlignment="1">
      <alignment horizontal="left" wrapText="1"/>
    </xf>
    <xf numFmtId="0" fontId="4" fillId="2" borderId="0" xfId="2" applyFont="1" applyFill="1" applyAlignment="1">
      <alignment horizontal="left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42" xfId="3" applyFon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 wrapText="1"/>
    </xf>
    <xf numFmtId="0" fontId="6" fillId="0" borderId="43" xfId="3" applyFont="1" applyBorder="1" applyAlignment="1">
      <alignment horizontal="center" vertical="center"/>
    </xf>
    <xf numFmtId="0" fontId="6" fillId="0" borderId="44" xfId="3" applyFont="1" applyBorder="1" applyAlignment="1">
      <alignment horizontal="center" vertical="center"/>
    </xf>
    <xf numFmtId="0" fontId="6" fillId="3" borderId="44" xfId="3" applyFont="1" applyFill="1" applyBorder="1" applyAlignment="1">
      <alignment horizontal="center" vertical="center"/>
    </xf>
    <xf numFmtId="0" fontId="6" fillId="0" borderId="45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42" xfId="3" applyFont="1" applyBorder="1" applyAlignment="1">
      <alignment horizontal="center" vertical="center" wrapText="1"/>
    </xf>
    <xf numFmtId="3" fontId="7" fillId="0" borderId="10" xfId="3" applyNumberFormat="1" applyFont="1" applyBorder="1" applyAlignment="1">
      <alignment horizontal="center" vertical="center" wrapText="1"/>
    </xf>
    <xf numFmtId="3" fontId="7" fillId="0" borderId="42" xfId="3" applyNumberFormat="1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3" fontId="6" fillId="0" borderId="1" xfId="3" applyNumberFormat="1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165" fontId="11" fillId="0" borderId="15" xfId="3" applyNumberFormat="1" applyFont="1" applyBorder="1" applyAlignment="1">
      <alignment horizontal="center" vertical="center"/>
    </xf>
    <xf numFmtId="0" fontId="11" fillId="0" borderId="1" xfId="3" quotePrefix="1" applyFont="1" applyBorder="1" applyAlignment="1">
      <alignment vertical="center"/>
    </xf>
    <xf numFmtId="0" fontId="11" fillId="0" borderId="1" xfId="3" quotePrefix="1" applyFont="1" applyBorder="1" applyAlignment="1">
      <alignment horizontal="left" vertical="center"/>
    </xf>
    <xf numFmtId="3" fontId="30" fillId="0" borderId="1" xfId="5" applyNumberFormat="1" applyFont="1" applyFill="1" applyBorder="1" applyAlignment="1">
      <alignment horizontal="right" vertical="center"/>
    </xf>
    <xf numFmtId="3" fontId="31" fillId="0" borderId="1" xfId="3" applyNumberFormat="1" applyFont="1" applyBorder="1" applyAlignment="1">
      <alignment horizontal="right" vertical="center"/>
    </xf>
    <xf numFmtId="3" fontId="10" fillId="0" borderId="1" xfId="3" applyNumberFormat="1" applyFont="1" applyBorder="1" applyAlignment="1">
      <alignment horizontal="right" vertical="center"/>
    </xf>
    <xf numFmtId="0" fontId="0" fillId="0" borderId="0" xfId="2" applyFont="1"/>
    <xf numFmtId="0" fontId="11" fillId="5" borderId="1" xfId="3" quotePrefix="1" applyFont="1" applyFill="1" applyBorder="1" applyAlignment="1">
      <alignment horizontal="left" vertical="center"/>
    </xf>
    <xf numFmtId="0" fontId="11" fillId="5" borderId="1" xfId="3" quotePrefix="1" applyFont="1" applyFill="1" applyBorder="1" applyAlignment="1">
      <alignment horizontal="left" vertical="center"/>
    </xf>
    <xf numFmtId="0" fontId="11" fillId="0" borderId="2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3" fontId="11" fillId="0" borderId="1" xfId="3" applyNumberFormat="1" applyFont="1" applyBorder="1" applyAlignment="1">
      <alignment horizontal="center" vertical="center"/>
    </xf>
    <xf numFmtId="0" fontId="11" fillId="5" borderId="1" xfId="3" quotePrefix="1" applyFont="1" applyFill="1" applyBorder="1" applyAlignment="1">
      <alignment vertical="center"/>
    </xf>
    <xf numFmtId="0" fontId="11" fillId="0" borderId="3" xfId="3" quotePrefix="1" applyFont="1" applyBorder="1" applyAlignment="1">
      <alignment vertical="center"/>
    </xf>
    <xf numFmtId="0" fontId="11" fillId="0" borderId="3" xfId="3" quotePrefix="1" applyFont="1" applyBorder="1" applyAlignment="1">
      <alignment horizontal="left" vertical="center"/>
    </xf>
    <xf numFmtId="0" fontId="7" fillId="5" borderId="20" xfId="3" quotePrefix="1" applyFont="1" applyFill="1" applyBorder="1" applyAlignment="1">
      <alignment horizontal="center" vertical="center"/>
    </xf>
    <xf numFmtId="0" fontId="7" fillId="5" borderId="21" xfId="3" quotePrefix="1" applyFont="1" applyFill="1" applyBorder="1" applyAlignment="1">
      <alignment horizontal="center" vertical="center"/>
    </xf>
    <xf numFmtId="0" fontId="7" fillId="5" borderId="21" xfId="3" quotePrefix="1" applyFont="1" applyFill="1" applyBorder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3" fontId="13" fillId="0" borderId="0" xfId="5" applyNumberFormat="1" applyFont="1" applyFill="1" applyBorder="1" applyAlignment="1">
      <alignment horizontal="right" vertical="center"/>
    </xf>
    <xf numFmtId="0" fontId="2" fillId="0" borderId="29" xfId="2" applyFont="1" applyBorder="1" applyAlignment="1">
      <alignment horizontal="center" wrapText="1"/>
    </xf>
    <xf numFmtId="3" fontId="2" fillId="0" borderId="46" xfId="2" applyNumberFormat="1" applyFont="1" applyBorder="1" applyAlignment="1">
      <alignment horizontal="center" wrapText="1"/>
    </xf>
    <xf numFmtId="0" fontId="2" fillId="0" borderId="6" xfId="2" applyFont="1" applyBorder="1" applyAlignment="1">
      <alignment horizontal="center" wrapText="1"/>
    </xf>
    <xf numFmtId="0" fontId="2" fillId="0" borderId="47" xfId="2" applyFont="1" applyBorder="1" applyAlignment="1">
      <alignment horizontal="center" wrapText="1"/>
    </xf>
    <xf numFmtId="0" fontId="17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2" fillId="0" borderId="32" xfId="2" applyFont="1" applyBorder="1" applyAlignment="1">
      <alignment horizontal="center" wrapText="1"/>
    </xf>
    <xf numFmtId="3" fontId="2" fillId="0" borderId="15" xfId="2" applyNumberFormat="1" applyFont="1" applyBorder="1" applyAlignment="1">
      <alignment horizontal="center" wrapText="1"/>
    </xf>
    <xf numFmtId="0" fontId="2" fillId="0" borderId="1" xfId="2" applyFont="1" applyBorder="1" applyAlignment="1">
      <alignment horizontal="center" wrapText="1"/>
    </xf>
    <xf numFmtId="0" fontId="2" fillId="0" borderId="16" xfId="2" applyFont="1" applyBorder="1" applyAlignment="1">
      <alignment horizontal="center" wrapText="1"/>
    </xf>
    <xf numFmtId="3" fontId="0" fillId="0" borderId="0" xfId="2" applyNumberFormat="1" applyFont="1"/>
    <xf numFmtId="0" fontId="2" fillId="0" borderId="48" xfId="2" applyFont="1" applyBorder="1"/>
    <xf numFmtId="167" fontId="2" fillId="0" borderId="15" xfId="6" applyNumberFormat="1" applyFont="1" applyBorder="1"/>
    <xf numFmtId="167" fontId="2" fillId="0" borderId="1" xfId="6" applyNumberFormat="1" applyFont="1" applyBorder="1"/>
    <xf numFmtId="3" fontId="2" fillId="0" borderId="1" xfId="2" applyNumberFormat="1" applyFont="1" applyBorder="1"/>
    <xf numFmtId="3" fontId="2" fillId="0" borderId="16" xfId="2" applyNumberFormat="1" applyFont="1" applyBorder="1"/>
    <xf numFmtId="9" fontId="20" fillId="0" borderId="0" xfId="7" applyFont="1" applyAlignment="1">
      <alignment horizontal="center"/>
    </xf>
    <xf numFmtId="3" fontId="7" fillId="0" borderId="0" xfId="3" applyNumberFormat="1" applyFont="1" applyAlignment="1">
      <alignment vertical="center" wrapText="1"/>
    </xf>
    <xf numFmtId="17" fontId="21" fillId="0" borderId="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1" xfId="2" applyFont="1" applyBorder="1" applyAlignment="1">
      <alignment horizontal="center" vertical="center"/>
    </xf>
    <xf numFmtId="43" fontId="22" fillId="7" borderId="21" xfId="0" applyNumberFormat="1" applyFont="1" applyFill="1" applyBorder="1" applyAlignment="1">
      <alignment horizontal="center" vertical="center"/>
    </xf>
    <xf numFmtId="43" fontId="23" fillId="0" borderId="22" xfId="1" applyFont="1" applyBorder="1" applyAlignment="1">
      <alignment horizontal="center" vertical="center"/>
    </xf>
    <xf numFmtId="0" fontId="2" fillId="0" borderId="49" xfId="2" applyFont="1" applyBorder="1"/>
    <xf numFmtId="167" fontId="2" fillId="0" borderId="20" xfId="6" applyNumberFormat="1" applyFont="1" applyBorder="1"/>
    <xf numFmtId="167" fontId="2" fillId="0" borderId="21" xfId="6" applyNumberFormat="1" applyFont="1" applyBorder="1"/>
    <xf numFmtId="3" fontId="2" fillId="0" borderId="21" xfId="2" applyNumberFormat="1" applyFont="1" applyBorder="1"/>
    <xf numFmtId="3" fontId="2" fillId="0" borderId="22" xfId="2" applyNumberFormat="1" applyFont="1" applyBorder="1"/>
    <xf numFmtId="0" fontId="17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1" xfId="0" applyFont="1" applyBorder="1"/>
    <xf numFmtId="173" fontId="33" fillId="0" borderId="1" xfId="9" applyFont="1" applyFill="1" applyBorder="1" applyAlignment="1"/>
    <xf numFmtId="173" fontId="33" fillId="0" borderId="3" xfId="9" applyFont="1" applyFill="1" applyBorder="1" applyAlignment="1"/>
    <xf numFmtId="173" fontId="33" fillId="0" borderId="3" xfId="9" applyFont="1" applyFill="1" applyBorder="1" applyAlignment="1">
      <alignment horizontal="center"/>
    </xf>
    <xf numFmtId="173" fontId="33" fillId="0" borderId="4" xfId="9" applyFont="1" applyFill="1" applyBorder="1" applyAlignment="1">
      <alignment horizontal="center"/>
    </xf>
    <xf numFmtId="173" fontId="33" fillId="0" borderId="5" xfId="9" applyFont="1" applyFill="1" applyBorder="1" applyAlignment="1">
      <alignment horizontal="center"/>
    </xf>
    <xf numFmtId="167" fontId="0" fillId="0" borderId="0" xfId="10" applyNumberFormat="1" applyFont="1" applyFill="1"/>
    <xf numFmtId="173" fontId="33" fillId="0" borderId="1" xfId="9" applyFont="1" applyFill="1" applyBorder="1" applyAlignment="1">
      <alignment horizontal="center"/>
    </xf>
    <xf numFmtId="173" fontId="33" fillId="0" borderId="1" xfId="1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vertical="center"/>
    </xf>
    <xf numFmtId="173" fontId="33" fillId="0" borderId="1" xfId="9" applyFont="1" applyFill="1" applyBorder="1" applyAlignment="1">
      <alignment vertical="center"/>
    </xf>
    <xf numFmtId="9" fontId="34" fillId="0" borderId="1" xfId="9" applyNumberFormat="1" applyFont="1" applyFill="1" applyBorder="1" applyAlignment="1">
      <alignment horizontal="center" vertical="center" wrapText="1"/>
    </xf>
    <xf numFmtId="173" fontId="34" fillId="0" borderId="1" xfId="9" applyFont="1" applyFill="1" applyBorder="1" applyAlignment="1">
      <alignment horizontal="center" vertical="center" wrapText="1"/>
    </xf>
    <xf numFmtId="173" fontId="35" fillId="0" borderId="1" xfId="9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73" fontId="33" fillId="0" borderId="1" xfId="9" applyFont="1" applyFill="1" applyBorder="1" applyAlignment="1">
      <alignment horizontal="center" vertical="center"/>
    </xf>
    <xf numFmtId="173" fontId="33" fillId="0" borderId="1" xfId="11" applyFont="1" applyFill="1" applyBorder="1" applyAlignment="1">
      <alignment horizontal="center" vertical="center"/>
    </xf>
    <xf numFmtId="173" fontId="33" fillId="0" borderId="1" xfId="0" applyNumberFormat="1" applyFont="1" applyBorder="1"/>
    <xf numFmtId="173" fontId="0" fillId="0" borderId="0" xfId="0" applyNumberFormat="1"/>
    <xf numFmtId="9" fontId="33" fillId="0" borderId="1" xfId="12" applyFont="1" applyFill="1" applyBorder="1" applyAlignment="1"/>
    <xf numFmtId="3" fontId="0" fillId="0" borderId="1" xfId="12" applyNumberFormat="1" applyFont="1" applyFill="1" applyBorder="1" applyAlignment="1"/>
    <xf numFmtId="167" fontId="29" fillId="0" borderId="0" xfId="10" applyNumberFormat="1" applyFont="1" applyFill="1"/>
    <xf numFmtId="3" fontId="29" fillId="0" borderId="1" xfId="12" applyNumberFormat="1" applyFont="1" applyFill="1" applyBorder="1" applyAlignment="1"/>
    <xf numFmtId="0" fontId="29" fillId="0" borderId="0" xfId="0" applyFont="1"/>
    <xf numFmtId="173" fontId="29" fillId="0" borderId="1" xfId="9" applyFont="1" applyFill="1" applyBorder="1" applyAlignment="1"/>
    <xf numFmtId="0" fontId="29" fillId="0" borderId="1" xfId="12" applyNumberFormat="1" applyFont="1" applyFill="1" applyBorder="1" applyAlignment="1"/>
    <xf numFmtId="0" fontId="0" fillId="0" borderId="1" xfId="12" applyNumberFormat="1" applyFont="1" applyFill="1" applyBorder="1" applyAlignment="1"/>
    <xf numFmtId="167" fontId="0" fillId="0" borderId="0" xfId="0" applyNumberFormat="1"/>
    <xf numFmtId="0" fontId="33" fillId="0" borderId="0" xfId="0" applyFont="1"/>
    <xf numFmtId="173" fontId="33" fillId="0" borderId="0" xfId="9" applyFont="1" applyFill="1" applyAlignment="1"/>
    <xf numFmtId="173" fontId="0" fillId="0" borderId="0" xfId="9" applyFont="1" applyFill="1" applyAlignment="1"/>
    <xf numFmtId="3" fontId="33" fillId="0" borderId="0" xfId="0" applyNumberFormat="1" applyFont="1"/>
    <xf numFmtId="174" fontId="0" fillId="0" borderId="0" xfId="9" applyNumberFormat="1" applyFont="1" applyFill="1" applyAlignment="1"/>
    <xf numFmtId="9" fontId="33" fillId="0" borderId="0" xfId="12" applyFont="1" applyFill="1" applyAlignment="1"/>
    <xf numFmtId="173" fontId="33" fillId="0" borderId="0" xfId="0" applyNumberFormat="1" applyFont="1"/>
    <xf numFmtId="9" fontId="0" fillId="0" borderId="0" xfId="12" applyFont="1" applyFill="1" applyAlignment="1"/>
    <xf numFmtId="173" fontId="29" fillId="0" borderId="1" xfId="0" applyNumberFormat="1" applyFont="1" applyBorder="1"/>
    <xf numFmtId="173" fontId="29" fillId="0" borderId="0" xfId="0" applyNumberFormat="1" applyFont="1"/>
    <xf numFmtId="175" fontId="33" fillId="0" borderId="1" xfId="9" applyNumberFormat="1" applyFont="1" applyFill="1" applyBorder="1" applyAlignment="1"/>
    <xf numFmtId="173" fontId="0" fillId="0" borderId="0" xfId="9" applyFont="1" applyFill="1" applyBorder="1" applyAlignment="1"/>
    <xf numFmtId="173" fontId="0" fillId="0" borderId="1" xfId="9" applyFont="1" applyFill="1" applyBorder="1" applyAlignment="1"/>
    <xf numFmtId="173" fontId="0" fillId="0" borderId="1" xfId="9" applyFont="1" applyFill="1" applyBorder="1" applyAlignment="1">
      <alignment vertical="center"/>
    </xf>
    <xf numFmtId="176" fontId="0" fillId="0" borderId="0" xfId="10" applyNumberFormat="1" applyFont="1" applyFill="1"/>
    <xf numFmtId="168" fontId="0" fillId="0" borderId="0" xfId="12" applyNumberFormat="1" applyFont="1" applyFill="1" applyAlignment="1"/>
    <xf numFmtId="173" fontId="33" fillId="0" borderId="0" xfId="9" applyFont="1" applyFill="1" applyBorder="1" applyAlignment="1"/>
    <xf numFmtId="9" fontId="33" fillId="0" borderId="0" xfId="12" applyFont="1" applyFill="1" applyBorder="1" applyAlignment="1"/>
    <xf numFmtId="168" fontId="33" fillId="0" borderId="0" xfId="12" applyNumberFormat="1" applyFont="1" applyFill="1" applyAlignment="1"/>
    <xf numFmtId="9" fontId="0" fillId="0" borderId="0" xfId="12" applyFont="1" applyFill="1" applyBorder="1" applyAlignment="1"/>
    <xf numFmtId="0" fontId="36" fillId="0" borderId="0" xfId="0" applyFont="1" applyAlignment="1">
      <alignment vertical="center"/>
    </xf>
    <xf numFmtId="173" fontId="36" fillId="0" borderId="0" xfId="9" applyFont="1" applyFill="1" applyAlignment="1">
      <alignment vertical="center"/>
    </xf>
    <xf numFmtId="38" fontId="3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3" fontId="25" fillId="0" borderId="0" xfId="9" applyFont="1" applyFill="1" applyAlignment="1">
      <alignment vertical="center"/>
    </xf>
    <xf numFmtId="38" fontId="25" fillId="0" borderId="0" xfId="0" applyNumberFormat="1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37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173" fontId="25" fillId="0" borderId="52" xfId="9" applyFont="1" applyFill="1" applyBorder="1" applyAlignment="1">
      <alignment horizontal="center" vertical="center"/>
    </xf>
    <xf numFmtId="173" fontId="25" fillId="0" borderId="53" xfId="9" applyFont="1" applyFill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173" fontId="25" fillId="0" borderId="58" xfId="9" applyFont="1" applyFill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38" fontId="25" fillId="0" borderId="59" xfId="0" applyNumberFormat="1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173" fontId="25" fillId="0" borderId="65" xfId="9" applyFont="1" applyFill="1" applyBorder="1" applyAlignment="1">
      <alignment vertical="center"/>
    </xf>
    <xf numFmtId="38" fontId="25" fillId="0" borderId="65" xfId="0" applyNumberFormat="1" applyFont="1" applyBorder="1" applyAlignment="1">
      <alignment vertical="center"/>
    </xf>
    <xf numFmtId="9" fontId="25" fillId="0" borderId="65" xfId="12" applyFont="1" applyFill="1" applyBorder="1" applyAlignment="1">
      <alignment vertical="center"/>
    </xf>
    <xf numFmtId="0" fontId="25" fillId="0" borderId="66" xfId="0" applyFont="1" applyBorder="1" applyAlignment="1">
      <alignment vertical="center" wrapText="1"/>
    </xf>
    <xf numFmtId="0" fontId="25" fillId="0" borderId="54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173" fontId="25" fillId="0" borderId="70" xfId="9" applyFont="1" applyFill="1" applyBorder="1" applyAlignment="1">
      <alignment vertical="center"/>
    </xf>
    <xf numFmtId="38" fontId="25" fillId="0" borderId="70" xfId="9" applyNumberFormat="1" applyFont="1" applyFill="1" applyBorder="1" applyAlignment="1">
      <alignment vertical="center"/>
    </xf>
    <xf numFmtId="9" fontId="28" fillId="0" borderId="70" xfId="12" applyFont="1" applyFill="1" applyBorder="1" applyAlignment="1">
      <alignment vertical="center"/>
    </xf>
    <xf numFmtId="0" fontId="25" fillId="0" borderId="71" xfId="0" applyFont="1" applyBorder="1" applyAlignment="1">
      <alignment vertical="center" wrapText="1"/>
    </xf>
    <xf numFmtId="0" fontId="25" fillId="0" borderId="72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/>
    </xf>
    <xf numFmtId="9" fontId="25" fillId="0" borderId="68" xfId="12" applyFont="1" applyFill="1" applyBorder="1" applyAlignment="1">
      <alignment horizontal="center" vertical="center"/>
    </xf>
    <xf numFmtId="9" fontId="25" fillId="0" borderId="70" xfId="12" applyFont="1" applyFill="1" applyBorder="1" applyAlignment="1">
      <alignment vertical="center"/>
    </xf>
    <xf numFmtId="0" fontId="0" fillId="0" borderId="0" xfId="0" applyAlignment="1">
      <alignment horizontal="left" vertical="center" wrapText="1" indent="1"/>
    </xf>
    <xf numFmtId="0" fontId="25" fillId="0" borderId="31" xfId="0" applyFont="1" applyBorder="1" applyAlignment="1">
      <alignment horizontal="center" vertical="center"/>
    </xf>
    <xf numFmtId="0" fontId="26" fillId="0" borderId="74" xfId="0" quotePrefix="1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center" vertical="center"/>
    </xf>
    <xf numFmtId="0" fontId="26" fillId="0" borderId="75" xfId="0" applyFont="1" applyBorder="1" applyAlignment="1">
      <alignment horizontal="left" vertical="center" wrapText="1"/>
    </xf>
    <xf numFmtId="0" fontId="26" fillId="0" borderId="74" xfId="0" quotePrefix="1" applyFont="1" applyBorder="1" applyAlignment="1">
      <alignment horizontal="left" vertical="center" wrapText="1"/>
    </xf>
    <xf numFmtId="0" fontId="25" fillId="0" borderId="30" xfId="0" applyFont="1" applyBorder="1" applyAlignment="1">
      <alignment horizontal="center" vertical="center"/>
    </xf>
    <xf numFmtId="9" fontId="25" fillId="0" borderId="76" xfId="12" applyFont="1" applyFill="1" applyBorder="1" applyAlignment="1">
      <alignment horizontal="center" vertical="center"/>
    </xf>
    <xf numFmtId="0" fontId="25" fillId="0" borderId="71" xfId="0" applyFont="1" applyBorder="1" applyAlignment="1">
      <alignment vertical="center"/>
    </xf>
    <xf numFmtId="0" fontId="25" fillId="0" borderId="68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173" fontId="27" fillId="0" borderId="70" xfId="9" applyFont="1" applyFill="1" applyBorder="1" applyAlignment="1">
      <alignment vertical="center"/>
    </xf>
    <xf numFmtId="38" fontId="27" fillId="0" borderId="70" xfId="9" applyNumberFormat="1" applyFont="1" applyFill="1" applyBorder="1" applyAlignment="1">
      <alignment vertical="center"/>
    </xf>
    <xf numFmtId="9" fontId="27" fillId="0" borderId="70" xfId="12" applyFont="1" applyFill="1" applyBorder="1" applyAlignment="1">
      <alignment vertical="center"/>
    </xf>
    <xf numFmtId="0" fontId="27" fillId="0" borderId="77" xfId="0" applyFont="1" applyBorder="1" applyAlignment="1">
      <alignment horizontal="center" vertical="center" wrapText="1"/>
    </xf>
    <xf numFmtId="168" fontId="27" fillId="0" borderId="70" xfId="12" applyNumberFormat="1" applyFont="1" applyFill="1" applyBorder="1" applyAlignment="1">
      <alignment vertical="center"/>
    </xf>
    <xf numFmtId="0" fontId="27" fillId="0" borderId="78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vertical="center"/>
    </xf>
    <xf numFmtId="0" fontId="25" fillId="0" borderId="77" xfId="0" applyFont="1" applyBorder="1" applyAlignment="1">
      <alignment vertical="center"/>
    </xf>
    <xf numFmtId="173" fontId="25" fillId="0" borderId="0" xfId="0" applyNumberFormat="1" applyFont="1" applyAlignment="1">
      <alignment vertical="center"/>
    </xf>
    <xf numFmtId="0" fontId="25" fillId="0" borderId="78" xfId="0" applyFont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25" fillId="0" borderId="33" xfId="0" applyFont="1" applyBorder="1" applyAlignment="1">
      <alignment horizontal="center" vertical="center"/>
    </xf>
    <xf numFmtId="0" fontId="25" fillId="0" borderId="71" xfId="0" quotePrefix="1" applyFont="1" applyBorder="1" applyAlignment="1">
      <alignment vertical="center" wrapText="1"/>
    </xf>
    <xf numFmtId="0" fontId="25" fillId="0" borderId="79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173" fontId="25" fillId="0" borderId="59" xfId="9" applyFont="1" applyFill="1" applyBorder="1" applyAlignment="1">
      <alignment vertical="center"/>
    </xf>
    <xf numFmtId="38" fontId="27" fillId="0" borderId="59" xfId="9" applyNumberFormat="1" applyFont="1" applyFill="1" applyBorder="1" applyAlignment="1">
      <alignment vertical="center"/>
    </xf>
    <xf numFmtId="168" fontId="27" fillId="0" borderId="59" xfId="12" applyNumberFormat="1" applyFont="1" applyFill="1" applyBorder="1" applyAlignment="1">
      <alignment vertical="center"/>
    </xf>
    <xf numFmtId="0" fontId="25" fillId="0" borderId="61" xfId="0" applyFont="1" applyBorder="1" applyAlignment="1">
      <alignment horizontal="center" vertical="center"/>
    </xf>
    <xf numFmtId="173" fontId="37" fillId="0" borderId="0" xfId="9" applyFont="1" applyFill="1" applyAlignment="1">
      <alignment vertical="center"/>
    </xf>
    <xf numFmtId="3" fontId="37" fillId="0" borderId="0" xfId="0" applyNumberFormat="1" applyFont="1" applyAlignment="1">
      <alignment vertical="center"/>
    </xf>
    <xf numFmtId="0" fontId="37" fillId="0" borderId="0" xfId="0" applyFont="1"/>
    <xf numFmtId="0" fontId="25" fillId="0" borderId="80" xfId="0" applyFont="1" applyBorder="1" applyAlignment="1">
      <alignment horizontal="center" vertical="center"/>
    </xf>
    <xf numFmtId="0" fontId="25" fillId="0" borderId="8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167" fontId="25" fillId="0" borderId="0" xfId="10" applyNumberFormat="1" applyFont="1" applyFill="1" applyAlignment="1">
      <alignment vertical="center"/>
    </xf>
    <xf numFmtId="0" fontId="25" fillId="0" borderId="74" xfId="0" quotePrefix="1" applyFont="1" applyBorder="1" applyAlignment="1">
      <alignment horizontal="left" vertical="center" wrapText="1"/>
    </xf>
    <xf numFmtId="0" fontId="25" fillId="0" borderId="34" xfId="0" quotePrefix="1" applyFont="1" applyBorder="1" applyAlignment="1">
      <alignment horizontal="left" vertical="center" wrapText="1"/>
    </xf>
    <xf numFmtId="0" fontId="25" fillId="0" borderId="75" xfId="0" quotePrefix="1" applyFont="1" applyBorder="1" applyAlignment="1">
      <alignment horizontal="left" vertical="center" wrapText="1"/>
    </xf>
    <xf numFmtId="0" fontId="25" fillId="0" borderId="82" xfId="0" applyFont="1" applyBorder="1" applyAlignment="1">
      <alignment horizontal="center" vertical="center"/>
    </xf>
    <xf numFmtId="0" fontId="25" fillId="0" borderId="83" xfId="0" applyFont="1" applyBorder="1" applyAlignment="1">
      <alignment horizontal="center" vertical="center"/>
    </xf>
    <xf numFmtId="0" fontId="25" fillId="0" borderId="84" xfId="0" applyFont="1" applyBorder="1" applyAlignment="1">
      <alignment horizontal="center" vertical="center"/>
    </xf>
    <xf numFmtId="173" fontId="25" fillId="0" borderId="85" xfId="9" applyFont="1" applyFill="1" applyBorder="1" applyAlignment="1">
      <alignment vertical="center"/>
    </xf>
    <xf numFmtId="173" fontId="25" fillId="0" borderId="35" xfId="9" applyFont="1" applyFill="1" applyBorder="1" applyAlignment="1">
      <alignment vertical="center"/>
    </xf>
    <xf numFmtId="173" fontId="25" fillId="0" borderId="36" xfId="9" applyFont="1" applyFill="1" applyBorder="1" applyAlignment="1">
      <alignment vertical="center"/>
    </xf>
    <xf numFmtId="38" fontId="25" fillId="0" borderId="36" xfId="9" applyNumberFormat="1" applyFont="1" applyFill="1" applyBorder="1" applyAlignment="1">
      <alignment vertical="center"/>
    </xf>
    <xf numFmtId="168" fontId="25" fillId="0" borderId="75" xfId="12" applyNumberFormat="1" applyFont="1" applyFill="1" applyBorder="1" applyAlignment="1">
      <alignment vertical="center"/>
    </xf>
    <xf numFmtId="0" fontId="25" fillId="0" borderId="86" xfId="0" applyFont="1" applyBorder="1" applyAlignment="1">
      <alignment vertical="center"/>
    </xf>
    <xf numFmtId="0" fontId="25" fillId="0" borderId="78" xfId="0" applyFont="1" applyBorder="1" applyAlignment="1">
      <alignment horizontal="center" vertical="center" wrapText="1"/>
    </xf>
    <xf numFmtId="173" fontId="25" fillId="0" borderId="87" xfId="9" applyFont="1" applyFill="1" applyBorder="1" applyAlignment="1">
      <alignment vertical="center"/>
    </xf>
    <xf numFmtId="173" fontId="25" fillId="0" borderId="88" xfId="9" applyFont="1" applyFill="1" applyBorder="1" applyAlignment="1">
      <alignment vertical="center"/>
    </xf>
    <xf numFmtId="173" fontId="25" fillId="0" borderId="70" xfId="0" applyNumberFormat="1" applyFont="1" applyBorder="1" applyAlignment="1">
      <alignment vertical="center"/>
    </xf>
    <xf numFmtId="168" fontId="25" fillId="0" borderId="71" xfId="12" applyNumberFormat="1" applyFont="1" applyFill="1" applyBorder="1" applyAlignment="1">
      <alignment vertical="center"/>
    </xf>
    <xf numFmtId="0" fontId="25" fillId="0" borderId="89" xfId="0" applyFont="1" applyBorder="1" applyAlignment="1">
      <alignment vertical="center"/>
    </xf>
    <xf numFmtId="0" fontId="25" fillId="0" borderId="77" xfId="0" applyFont="1" applyBorder="1" applyAlignment="1">
      <alignment horizontal="center" vertical="center"/>
    </xf>
    <xf numFmtId="0" fontId="25" fillId="0" borderId="90" xfId="0" applyFont="1" applyBorder="1" applyAlignment="1">
      <alignment horizontal="center" vertical="center"/>
    </xf>
    <xf numFmtId="168" fontId="27" fillId="0" borderId="71" xfId="12" applyNumberFormat="1" applyFont="1" applyFill="1" applyBorder="1" applyAlignment="1">
      <alignment vertical="center"/>
    </xf>
    <xf numFmtId="176" fontId="25" fillId="0" borderId="88" xfId="9" applyNumberFormat="1" applyFont="1" applyFill="1" applyBorder="1" applyAlignment="1">
      <alignment vertical="center"/>
    </xf>
    <xf numFmtId="0" fontId="25" fillId="0" borderId="89" xfId="0" applyFont="1" applyBorder="1" applyAlignment="1">
      <alignment vertical="center" wrapText="1"/>
    </xf>
    <xf numFmtId="0" fontId="25" fillId="0" borderId="40" xfId="0" applyFont="1" applyBorder="1" applyAlignment="1">
      <alignment horizontal="center" vertical="center"/>
    </xf>
    <xf numFmtId="0" fontId="25" fillId="0" borderId="91" xfId="0" applyFont="1" applyBorder="1" applyAlignment="1">
      <alignment horizontal="center" vertical="center"/>
    </xf>
    <xf numFmtId="173" fontId="25" fillId="0" borderId="92" xfId="9" applyFont="1" applyFill="1" applyBorder="1" applyAlignment="1">
      <alignment vertical="center"/>
    </xf>
    <xf numFmtId="176" fontId="25" fillId="0" borderId="93" xfId="9" applyNumberFormat="1" applyFont="1" applyFill="1" applyBorder="1" applyAlignment="1">
      <alignment vertical="center"/>
    </xf>
    <xf numFmtId="168" fontId="27" fillId="0" borderId="60" xfId="12" applyNumberFormat="1" applyFont="1" applyFill="1" applyBorder="1" applyAlignment="1">
      <alignment vertical="center"/>
    </xf>
    <xf numFmtId="0" fontId="25" fillId="0" borderId="94" xfId="0" applyFont="1" applyBorder="1" applyAlignment="1">
      <alignment vertical="center"/>
    </xf>
  </cellXfs>
  <cellStyles count="13">
    <cellStyle name="Comma" xfId="1" builtinId="3"/>
    <cellStyle name="Comma [0] 2" xfId="9" xr:uid="{7A860830-26D5-4EA6-8B29-A5FE0F6F5CDE}"/>
    <cellStyle name="Comma [0] 3" xfId="11" xr:uid="{80966DE0-70F7-44B7-BE89-BF94DEC0B88C}"/>
    <cellStyle name="Comma 2" xfId="10" xr:uid="{BB4E6272-EBC5-45E9-8E57-58BB1148ECBD}"/>
    <cellStyle name="Comma 2 2" xfId="5" xr:uid="{00000000-0005-0000-0000-000002000000}"/>
    <cellStyle name="Comma 26 2" xfId="8" xr:uid="{00000000-0005-0000-0000-000003000000}"/>
    <cellStyle name="Comma 27 2" xfId="6" xr:uid="{00000000-0005-0000-0000-000004000000}"/>
    <cellStyle name="Comma 3" xfId="4" xr:uid="{00000000-0005-0000-0000-000005000000}"/>
    <cellStyle name="Normal" xfId="0" builtinId="0"/>
    <cellStyle name="Normal 14 2" xfId="2" xr:uid="{00000000-0005-0000-0000-000007000000}"/>
    <cellStyle name="Normal 2 2" xfId="3" xr:uid="{00000000-0005-0000-0000-000008000000}"/>
    <cellStyle name="Percent 2" xfId="12" xr:uid="{0A5709CB-0294-4AF0-87AF-DD92D558341B}"/>
    <cellStyle name="Percent 2 2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9</xdr:row>
      <xdr:rowOff>304800</xdr:rowOff>
    </xdr:to>
    <xdr:sp macro="" textlink="">
      <xdr:nvSpPr>
        <xdr:cNvPr id="2" name="AutoShape 1" descr="blob:file:///65a67e72-91b6-4ec5-9dae-a754d49197db">
          <a:extLst>
            <a:ext uri="{FF2B5EF4-FFF2-40B4-BE49-F238E27FC236}">
              <a16:creationId xmlns:a16="http://schemas.microsoft.com/office/drawing/2014/main" id="{ECBEE5FC-AB94-4EE4-BEB4-70E8775BBC47}"/>
            </a:ext>
          </a:extLst>
        </xdr:cNvPr>
        <xdr:cNvSpPr>
          <a:spLocks noChangeAspect="1" noChangeArrowheads="1"/>
        </xdr:cNvSpPr>
      </xdr:nvSpPr>
      <xdr:spPr bwMode="auto">
        <a:xfrm>
          <a:off x="651510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20</xdr:row>
      <xdr:rowOff>0</xdr:rowOff>
    </xdr:from>
    <xdr:ext cx="304800" cy="304800"/>
    <xdr:sp macro="" textlink="">
      <xdr:nvSpPr>
        <xdr:cNvPr id="3" name="AutoShape 1" descr="blob:file:///65a67e72-91b6-4ec5-9dae-a754d49197db">
          <a:extLst>
            <a:ext uri="{FF2B5EF4-FFF2-40B4-BE49-F238E27FC236}">
              <a16:creationId xmlns:a16="http://schemas.microsoft.com/office/drawing/2014/main" id="{9CB2E9D4-7E2C-4FBE-BC44-C51E4EA92076}"/>
            </a:ext>
          </a:extLst>
        </xdr:cNvPr>
        <xdr:cNvSpPr>
          <a:spLocks noChangeAspect="1" noChangeArrowheads="1"/>
        </xdr:cNvSpPr>
      </xdr:nvSpPr>
      <xdr:spPr bwMode="auto">
        <a:xfrm>
          <a:off x="6515100" y="98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ongshin\act\2000.&#54924;&#51032;&#51088;&#47308;\2020&#45380;\2&#50900;%20&#48156;&#54364;\0216&#51068;%20&#52628;&#44032;&#49444;&#47749;&#51088;&#47308;\TEMPORA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CodeHR\Myongshin\Documents\New%20folder%20(1)\7.%20&#48373;&#49324;&#48376;%20LABOR%20ANALYSYS%20_Jan_OK.xlsx" TargetMode="External"/><Relationship Id="rId1" Type="http://schemas.openxmlformats.org/officeDocument/2006/relationships/externalLinkPath" Target="/SourceCodeHR/Myongshin/Documents/New%20folder%20(1)/7.%20&#48373;&#49324;&#48376;%20LABOR%20ANALYSYS%20_Jan_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649;&#51228;&#44060;&#54200;.&#5147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ongshin\2f_HRT\HR\18.%20ATTENDANCE%20&amp;%20SALARY%20CALCULATION\4.%20N&#259;m%202020\2.%20Actual%202020\Th&#225;ng%203.2020\Mar,2020%20labor%20cost%20anaysis(0306)%20QC&amp;%20Pro%20(Plan%20&amp;%20E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 기보고"/>
      <sheetName val="1월 생산계획"/>
      <sheetName val="1월 실적(추정)"/>
      <sheetName val="1월 실적(회계 추정)"/>
      <sheetName val="QM"/>
      <sheetName val="품질(1월 추정)"/>
      <sheetName val="실적(확정)(W1-&gt;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">
          <cell r="J19">
            <v>33539.85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2023"/>
      <sheetName val="급여 요약"/>
      <sheetName val="1. WOrking hour"/>
      <sheetName val="1. Working day"/>
      <sheetName val="ENGLISH(production)"/>
      <sheetName val="ENGLISH(qct)"/>
      <sheetName val="S1 OLD &amp; ACTUAL 5%"/>
      <sheetName val="PLAN &amp; ACTUAL (not increas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노동부"/>
      <sheetName val="RB"/>
      <sheetName val="CAUDIT"/>
      <sheetName val="대외공문"/>
      <sheetName val="판매46"/>
      <sheetName val="13역무손익"/>
      <sheetName val="장가항 DS"/>
      <sheetName val="출하원인"/>
      <sheetName val="1월"/>
      <sheetName val="첨부3.전체계정"/>
      <sheetName val="공통비"/>
      <sheetName val="TB-FASSON"/>
      <sheetName val="수정시산표"/>
      <sheetName val="직제개편"/>
      <sheetName val="18년 계획 기준"/>
      <sheetName val="히든"/>
      <sheetName val="DATA"/>
      <sheetName val="마스터"/>
      <sheetName val="SALE AUG-KVP (2)"/>
      <sheetName val="SALE AUG-KVP"/>
      <sheetName val="BUYBACK-MSP"/>
      <sheetName val="5 months 29.May.19"/>
      <sheetName val="6 months 22.June.19"/>
      <sheetName val="Compare"/>
      <sheetName val="6 month-Business Plan"/>
      <sheetName val="6 months sale KVPdata"/>
      <sheetName val="PROCESSING FEE JULY"/>
      <sheetName val="PROCESSING FEE AUG"/>
      <sheetName val="Cách làm BC tuần"/>
      <sheetName val="1.SALES(KVP)"/>
      <sheetName val="2.Compare(1WEEK)"/>
      <sheetName val="2.SALES(BUY BACK)"/>
      <sheetName val="3.Compare"/>
      <sheetName val="6 months PLAN 2"/>
      <sheetName val="6 months PLAN 3"/>
      <sheetName val="6 months sale Korea data"/>
      <sheetName val="PROCESSING FEE"/>
      <sheetName val="2.Compare (3)"/>
      <sheetName val="2.Compare (2)"/>
      <sheetName val="BUY-BACK PLAN"/>
      <sheetName val="수리결과"/>
      <sheetName val="A2"/>
      <sheetName val="A1"/>
      <sheetName val="수불부"/>
      <sheetName val="수금 "/>
      <sheetName val="12월정산수금현황"/>
      <sheetName val="분류박스"/>
      <sheetName val="업무분장 "/>
      <sheetName val="공통"/>
      <sheetName val="대차대조표"/>
      <sheetName val="조정명세서"/>
      <sheetName val="업체손실공수.xls"/>
      <sheetName val="25.보증금(임차보증금외)"/>
      <sheetName val="Balance sheet"/>
      <sheetName val="점유면적"/>
      <sheetName val="#REF"/>
      <sheetName val="Common Wheat"/>
      <sheetName val="제조원가"/>
      <sheetName val="감소-ERP"/>
      <sheetName val="SO416"/>
      <sheetName val="ITS Assumptions"/>
      <sheetName val="Krw"/>
      <sheetName val="980731"/>
      <sheetName val="구성비"/>
      <sheetName val="B053 (990701)공정실적PP%계산"/>
      <sheetName val="내역서"/>
      <sheetName val="갑지"/>
      <sheetName val="EP0618"/>
      <sheetName val="업무분장"/>
      <sheetName val="산자사 운전용품"/>
      <sheetName val="시설이용권명세서"/>
      <sheetName val="Sheet3"/>
      <sheetName val=""/>
      <sheetName val="Specs"/>
      <sheetName val="GB-IC Villingen GG"/>
      <sheetName val="Laskelmat"/>
      <sheetName val="SpecsTxt"/>
      <sheetName val="Perustiedot"/>
      <sheetName val="매립"/>
      <sheetName val="업무분장_"/>
      <sheetName val="25_보증금(임차보증금외)"/>
      <sheetName val="장가항_DS"/>
      <sheetName val="Common_Wheat"/>
      <sheetName val="첨부3_전체계정"/>
      <sheetName val="B053_(990701)공정실적PP%계산"/>
      <sheetName val="GB-IC_Villingen_GG"/>
      <sheetName val="업체손실공수_xls"/>
      <sheetName val="수금_"/>
      <sheetName val="Balance_sheet"/>
      <sheetName val="진행 DATA (2)"/>
      <sheetName val="97년"/>
      <sheetName val="SG"/>
      <sheetName val="Kalkdaten"/>
      <sheetName val="Anlauf"/>
      <sheetName val="Daten"/>
      <sheetName val="JP_GP_UP통합"/>
      <sheetName val="Summary"/>
      <sheetName val="Ca_Scatter"/>
      <sheetName val="VPC"/>
      <sheetName val="F_Axle_Grip"/>
      <sheetName val="R_Axle_Grip"/>
      <sheetName val="Front"/>
      <sheetName val="Rear"/>
      <sheetName val="TB(BS)"/>
      <sheetName val="TB(PL)"/>
      <sheetName val="XREF"/>
      <sheetName val="AR-Con"/>
      <sheetName val="가수금대체"/>
      <sheetName val="8"/>
      <sheetName val="9"/>
      <sheetName val="CJE"/>
      <sheetName val="graph"/>
      <sheetName val="9-1차이내역"/>
      <sheetName val="문서처리전"/>
      <sheetName val="B:\직제개편.중"/>
      <sheetName val="초임연봉"/>
      <sheetName val="의왕"/>
      <sheetName val="산자사_운전용품"/>
      <sheetName val="저하요인"/>
      <sheetName val="LIST"/>
      <sheetName val="협력사"/>
      <sheetName val="생산저하요인"/>
      <sheetName val="업무분장_1"/>
      <sheetName val="Common_Wheat1"/>
      <sheetName val="25_보증금(임차보증금외)1"/>
      <sheetName val="장가항_DS1"/>
      <sheetName val="B053_(990701)공정실적PP%계산1"/>
      <sheetName val="첨부3_전체계정1"/>
      <sheetName val="GB-IC_Villingen_GG1"/>
      <sheetName val="업체손실공수_xls1"/>
      <sheetName val="수금_1"/>
      <sheetName val="Balance_sheet1"/>
      <sheetName val="M1master"/>
      <sheetName val="二.POSITION.XLS"/>
      <sheetName val="Product"/>
      <sheetName val="Division"/>
      <sheetName val="Part"/>
      <sheetName val="Subject"/>
      <sheetName val="Co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luded MCT"/>
      <sheetName val="Summary"/>
      <sheetName val="보고서"/>
      <sheetName val="급여 요약"/>
      <sheetName val="Man hour plan Pro"/>
      <sheetName val="ENGLISH(production)"/>
      <sheetName val="Man hour plan QC"/>
      <sheetName val="ENGLISH(QCT)"/>
      <sheetName val="1st floor"/>
      <sheetName val="2nd floor"/>
      <sheetName val="Included MCT"/>
    </sheetNames>
    <sheetDataSet>
      <sheetData sheetId="0"/>
      <sheetData sheetId="1">
        <row r="18">
          <cell r="E18">
            <v>103</v>
          </cell>
          <cell r="H18">
            <v>98909249.999999985</v>
          </cell>
          <cell r="J18">
            <v>2348.3999999999978</v>
          </cell>
          <cell r="R18">
            <v>22898.039999999979</v>
          </cell>
          <cell r="S18">
            <v>2006.4</v>
          </cell>
          <cell r="T18">
            <v>14615655</v>
          </cell>
          <cell r="U18">
            <v>625218655</v>
          </cell>
        </row>
        <row r="51">
          <cell r="E51">
            <v>105</v>
          </cell>
          <cell r="H51">
            <v>224537335.67708331</v>
          </cell>
          <cell r="J51">
            <v>2412.5</v>
          </cell>
          <cell r="R51">
            <v>28689.300000000003</v>
          </cell>
          <cell r="S51">
            <v>1704</v>
          </cell>
          <cell r="T51">
            <v>11945812.5</v>
          </cell>
          <cell r="U51">
            <v>762116400</v>
          </cell>
        </row>
        <row r="81">
          <cell r="F81">
            <v>8828000</v>
          </cell>
          <cell r="G81">
            <v>1700000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1"/>
  <sheetViews>
    <sheetView workbookViewId="0"/>
  </sheetViews>
  <sheetFormatPr defaultRowHeight="15"/>
  <cols>
    <col min="3" max="3" width="8.7109375" bestFit="1" customWidth="1"/>
    <col min="4" max="4" width="8.5703125" bestFit="1" customWidth="1"/>
    <col min="5" max="5" width="14.5703125" style="59" bestFit="1" customWidth="1"/>
    <col min="6" max="6" width="20.140625" bestFit="1" customWidth="1"/>
    <col min="7" max="7" width="13.7109375" bestFit="1" customWidth="1"/>
    <col min="8" max="8" width="13.28515625" bestFit="1" customWidth="1"/>
    <col min="9" max="9" width="10.140625" bestFit="1" customWidth="1"/>
    <col min="10" max="10" width="13.7109375" bestFit="1" customWidth="1"/>
    <col min="11" max="11" width="12.7109375" bestFit="1" customWidth="1"/>
    <col min="12" max="12" width="26.42578125" bestFit="1" customWidth="1"/>
    <col min="13" max="13" width="15.85546875" bestFit="1" customWidth="1"/>
    <col min="14" max="14" width="18.5703125" bestFit="1" customWidth="1"/>
    <col min="15" max="15" width="20.140625" bestFit="1" customWidth="1"/>
    <col min="16" max="16" width="22.85546875" bestFit="1" customWidth="1"/>
    <col min="17" max="17" width="18" bestFit="1" customWidth="1"/>
    <col min="18" max="18" width="22.28515625" bestFit="1" customWidth="1"/>
    <col min="19" max="19" width="17.42578125" bestFit="1" customWidth="1"/>
    <col min="20" max="21" width="16.7109375" bestFit="1" customWidth="1"/>
    <col min="22" max="32" width="18.28515625" bestFit="1" customWidth="1"/>
    <col min="33" max="33" width="14.42578125" bestFit="1" customWidth="1"/>
    <col min="34" max="34" width="20" bestFit="1" customWidth="1"/>
    <col min="35" max="35" width="13.5703125" style="59" bestFit="1" customWidth="1"/>
    <col min="36" max="36" width="13.140625" bestFit="1" customWidth="1"/>
    <col min="37" max="37" width="10" bestFit="1" customWidth="1"/>
    <col min="38" max="38" width="13.5703125" bestFit="1" customWidth="1"/>
    <col min="39" max="39" width="12.5703125" bestFit="1" customWidth="1"/>
    <col min="40" max="40" width="26.42578125" bestFit="1" customWidth="1"/>
    <col min="41" max="41" width="15.7109375" bestFit="1" customWidth="1"/>
    <col min="42" max="42" width="18.42578125" bestFit="1" customWidth="1"/>
    <col min="43" max="43" width="20" bestFit="1" customWidth="1"/>
    <col min="44" max="44" width="22.7109375" bestFit="1" customWidth="1"/>
    <col min="45" max="45" width="17.85546875" bestFit="1" customWidth="1"/>
    <col min="46" max="46" width="22.140625" bestFit="1" customWidth="1"/>
    <col min="47" max="47" width="17.28515625" bestFit="1" customWidth="1"/>
    <col min="48" max="48" width="16.5703125" bestFit="1" customWidth="1"/>
    <col min="49" max="49" width="16.7109375" bestFit="1" customWidth="1"/>
    <col min="50" max="60" width="18.140625" bestFit="1" customWidth="1"/>
    <col min="61" max="61" width="14.42578125" bestFit="1" customWidth="1"/>
    <col min="62" max="62" width="20" bestFit="1" customWidth="1"/>
    <col min="63" max="63" width="13.5703125" bestFit="1" customWidth="1"/>
    <col min="64" max="64" width="13.140625" bestFit="1" customWidth="1"/>
    <col min="65" max="65" width="10" style="59" bestFit="1" customWidth="1"/>
    <col min="66" max="66" width="13.5703125" bestFit="1" customWidth="1"/>
    <col min="67" max="67" width="12.5703125" bestFit="1" customWidth="1"/>
    <col min="68" max="68" width="26.42578125" bestFit="1" customWidth="1"/>
    <col min="69" max="69" width="15.7109375" bestFit="1" customWidth="1"/>
    <col min="70" max="70" width="18.42578125" bestFit="1" customWidth="1"/>
    <col min="71" max="71" width="20" bestFit="1" customWidth="1"/>
    <col min="72" max="72" width="22.7109375" bestFit="1" customWidth="1"/>
    <col min="73" max="73" width="17.85546875" bestFit="1" customWidth="1"/>
    <col min="74" max="74" width="22.140625" bestFit="1" customWidth="1"/>
    <col min="75" max="75" width="17.28515625" bestFit="1" customWidth="1"/>
    <col min="76" max="76" width="16.5703125" bestFit="1" customWidth="1"/>
    <col min="77" max="77" width="16.7109375" bestFit="1" customWidth="1"/>
    <col min="78" max="88" width="18.140625" bestFit="1" customWidth="1"/>
    <col min="95" max="95" width="9.140625" style="59"/>
    <col min="125" max="125" width="9.140625" style="59"/>
    <col min="155" max="155" width="9.140625" style="59"/>
    <col min="185" max="188" width="9.140625" style="59"/>
  </cols>
  <sheetData>
    <row r="1" spans="1:188">
      <c r="A1">
        <v>1</v>
      </c>
    </row>
    <row r="2" spans="1:188">
      <c r="A2">
        <v>2</v>
      </c>
    </row>
    <row r="3" spans="1:188">
      <c r="A3">
        <v>3</v>
      </c>
      <c r="B3">
        <v>2</v>
      </c>
      <c r="C3">
        <v>2</v>
      </c>
      <c r="D3">
        <v>2</v>
      </c>
      <c r="E3" s="59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 s="59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 s="59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</row>
    <row r="4" spans="1:188">
      <c r="A4">
        <v>4</v>
      </c>
      <c r="B4" t="s">
        <v>133</v>
      </c>
      <c r="C4" t="s">
        <v>82</v>
      </c>
      <c r="D4" t="s">
        <v>83</v>
      </c>
      <c r="E4" s="59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134</v>
      </c>
      <c r="T4" t="s">
        <v>135</v>
      </c>
      <c r="U4" t="s">
        <v>98</v>
      </c>
      <c r="V4" t="s">
        <v>99</v>
      </c>
      <c r="W4" t="s">
        <v>140</v>
      </c>
      <c r="X4" t="s">
        <v>100</v>
      </c>
      <c r="Y4" t="s">
        <v>141</v>
      </c>
      <c r="Z4" t="s">
        <v>142</v>
      </c>
      <c r="AA4" t="s">
        <v>143</v>
      </c>
      <c r="AB4" t="s">
        <v>144</v>
      </c>
      <c r="AC4" t="s">
        <v>145</v>
      </c>
      <c r="AD4" t="s">
        <v>146</v>
      </c>
      <c r="AE4" t="s">
        <v>147</v>
      </c>
      <c r="AF4" t="s">
        <v>148</v>
      </c>
      <c r="AG4" t="s">
        <v>149</v>
      </c>
      <c r="AH4" t="s">
        <v>150</v>
      </c>
      <c r="AI4" s="59" t="s">
        <v>101</v>
      </c>
      <c r="AJ4" t="s">
        <v>102</v>
      </c>
      <c r="AK4" t="s">
        <v>103</v>
      </c>
      <c r="AL4" t="s">
        <v>104</v>
      </c>
      <c r="AM4" t="s">
        <v>105</v>
      </c>
      <c r="AN4" t="s">
        <v>106</v>
      </c>
      <c r="AO4" t="s">
        <v>107</v>
      </c>
      <c r="AP4" t="s">
        <v>173</v>
      </c>
      <c r="AQ4" t="s">
        <v>108</v>
      </c>
      <c r="AR4" t="s">
        <v>109</v>
      </c>
      <c r="AS4" t="s">
        <v>110</v>
      </c>
      <c r="AT4" t="s">
        <v>111</v>
      </c>
      <c r="AU4" t="s">
        <v>112</v>
      </c>
      <c r="AV4" t="s">
        <v>113</v>
      </c>
      <c r="AW4" t="s">
        <v>136</v>
      </c>
      <c r="AX4" t="s">
        <v>137</v>
      </c>
      <c r="AY4" t="s">
        <v>114</v>
      </c>
      <c r="AZ4" t="s">
        <v>115</v>
      </c>
      <c r="BA4" t="s">
        <v>151</v>
      </c>
      <c r="BB4" t="s">
        <v>116</v>
      </c>
      <c r="BC4" t="s">
        <v>152</v>
      </c>
      <c r="BD4" t="s">
        <v>153</v>
      </c>
      <c r="BE4" t="s">
        <v>154</v>
      </c>
      <c r="BF4" t="s">
        <v>155</v>
      </c>
      <c r="BG4" t="s">
        <v>156</v>
      </c>
      <c r="BH4" t="s">
        <v>157</v>
      </c>
      <c r="BI4" t="s">
        <v>158</v>
      </c>
      <c r="BJ4" t="s">
        <v>159</v>
      </c>
      <c r="BK4" t="s">
        <v>160</v>
      </c>
      <c r="BL4" t="s">
        <v>161</v>
      </c>
      <c r="BM4" s="59" t="s">
        <v>117</v>
      </c>
      <c r="BN4" t="s">
        <v>118</v>
      </c>
      <c r="BO4" t="s">
        <v>119</v>
      </c>
      <c r="BP4" t="s">
        <v>120</v>
      </c>
      <c r="BQ4" t="s">
        <v>121</v>
      </c>
      <c r="BR4" t="s">
        <v>122</v>
      </c>
      <c r="BS4" t="s">
        <v>123</v>
      </c>
      <c r="BT4" t="s">
        <v>174</v>
      </c>
      <c r="BU4" t="s">
        <v>124</v>
      </c>
      <c r="BV4" t="s">
        <v>125</v>
      </c>
      <c r="BW4" t="s">
        <v>126</v>
      </c>
      <c r="BX4" t="s">
        <v>127</v>
      </c>
      <c r="BY4" t="s">
        <v>128</v>
      </c>
      <c r="BZ4" t="s">
        <v>129</v>
      </c>
      <c r="CA4" t="s">
        <v>138</v>
      </c>
      <c r="CB4" t="s">
        <v>139</v>
      </c>
      <c r="CC4" t="s">
        <v>130</v>
      </c>
      <c r="CD4" t="s">
        <v>131</v>
      </c>
      <c r="CE4" t="s">
        <v>162</v>
      </c>
      <c r="CF4" t="s">
        <v>132</v>
      </c>
      <c r="CG4" t="s">
        <v>163</v>
      </c>
      <c r="CH4" t="s">
        <v>164</v>
      </c>
      <c r="CI4" t="s">
        <v>165</v>
      </c>
      <c r="CJ4" t="s">
        <v>166</v>
      </c>
      <c r="CK4" t="s">
        <v>167</v>
      </c>
      <c r="CL4" t="s">
        <v>168</v>
      </c>
      <c r="CM4" t="s">
        <v>169</v>
      </c>
      <c r="CN4" t="s">
        <v>170</v>
      </c>
      <c r="CO4" t="s">
        <v>171</v>
      </c>
      <c r="CP4" t="s">
        <v>172</v>
      </c>
      <c r="CQ4" s="59" t="s">
        <v>175</v>
      </c>
      <c r="CR4" t="s">
        <v>176</v>
      </c>
      <c r="CS4" t="s">
        <v>177</v>
      </c>
      <c r="CT4" t="s">
        <v>178</v>
      </c>
      <c r="CU4" t="s">
        <v>179</v>
      </c>
      <c r="CV4" t="s">
        <v>180</v>
      </c>
      <c r="CW4" t="s">
        <v>181</v>
      </c>
      <c r="CX4" t="s">
        <v>182</v>
      </c>
      <c r="CY4" t="s">
        <v>183</v>
      </c>
      <c r="CZ4" t="s">
        <v>184</v>
      </c>
      <c r="DA4" t="s">
        <v>185</v>
      </c>
      <c r="DB4" t="s">
        <v>186</v>
      </c>
      <c r="DC4" t="s">
        <v>187</v>
      </c>
      <c r="DD4" t="s">
        <v>188</v>
      </c>
      <c r="DE4" t="s">
        <v>189</v>
      </c>
      <c r="DF4" t="s">
        <v>190</v>
      </c>
      <c r="DG4" t="s">
        <v>263</v>
      </c>
      <c r="DH4" t="s">
        <v>191</v>
      </c>
      <c r="DI4" t="s">
        <v>192</v>
      </c>
      <c r="DJ4" t="s">
        <v>193</v>
      </c>
      <c r="DK4" t="s">
        <v>194</v>
      </c>
      <c r="DL4" t="s">
        <v>195</v>
      </c>
      <c r="DM4" t="s">
        <v>196</v>
      </c>
      <c r="DN4" t="s">
        <v>197</v>
      </c>
      <c r="DO4" t="s">
        <v>198</v>
      </c>
      <c r="DP4" t="s">
        <v>199</v>
      </c>
      <c r="DQ4" t="s">
        <v>200</v>
      </c>
      <c r="DR4" t="s">
        <v>201</v>
      </c>
      <c r="DS4" t="s">
        <v>202</v>
      </c>
      <c r="DT4" t="s">
        <v>203</v>
      </c>
      <c r="DU4" s="59" t="s">
        <v>204</v>
      </c>
      <c r="DV4" t="s">
        <v>205</v>
      </c>
      <c r="DW4" t="s">
        <v>206</v>
      </c>
      <c r="DX4" t="s">
        <v>207</v>
      </c>
      <c r="DY4" t="s">
        <v>208</v>
      </c>
      <c r="DZ4" t="s">
        <v>209</v>
      </c>
      <c r="EA4" t="s">
        <v>210</v>
      </c>
      <c r="EB4" t="s">
        <v>211</v>
      </c>
      <c r="EC4" t="s">
        <v>212</v>
      </c>
      <c r="ED4" t="s">
        <v>213</v>
      </c>
      <c r="EE4" t="s">
        <v>214</v>
      </c>
      <c r="EF4" t="s">
        <v>215</v>
      </c>
      <c r="EG4" t="s">
        <v>216</v>
      </c>
      <c r="EH4" t="s">
        <v>217</v>
      </c>
      <c r="EI4" t="s">
        <v>218</v>
      </c>
      <c r="EJ4" t="s">
        <v>219</v>
      </c>
      <c r="EK4" t="s">
        <v>264</v>
      </c>
      <c r="EL4" t="s">
        <v>220</v>
      </c>
      <c r="EM4" t="s">
        <v>221</v>
      </c>
      <c r="EN4" t="s">
        <v>222</v>
      </c>
      <c r="EO4" t="s">
        <v>223</v>
      </c>
      <c r="EP4" t="s">
        <v>224</v>
      </c>
      <c r="EQ4" t="s">
        <v>225</v>
      </c>
      <c r="ER4" t="s">
        <v>226</v>
      </c>
      <c r="ES4" t="s">
        <v>227</v>
      </c>
      <c r="ET4" t="s">
        <v>228</v>
      </c>
      <c r="EU4" t="s">
        <v>229</v>
      </c>
      <c r="EV4" t="s">
        <v>230</v>
      </c>
      <c r="EW4" t="s">
        <v>231</v>
      </c>
      <c r="EX4" t="s">
        <v>232</v>
      </c>
      <c r="EY4" s="59" t="s">
        <v>233</v>
      </c>
      <c r="EZ4" t="s">
        <v>234</v>
      </c>
      <c r="FA4" t="s">
        <v>235</v>
      </c>
      <c r="FB4" t="s">
        <v>236</v>
      </c>
      <c r="FC4" t="s">
        <v>237</v>
      </c>
      <c r="FD4" t="s">
        <v>238</v>
      </c>
      <c r="FE4" t="s">
        <v>239</v>
      </c>
      <c r="FF4" t="s">
        <v>240</v>
      </c>
      <c r="FG4" t="s">
        <v>241</v>
      </c>
      <c r="FH4" t="s">
        <v>242</v>
      </c>
      <c r="FI4" t="s">
        <v>243</v>
      </c>
      <c r="FJ4" t="s">
        <v>244</v>
      </c>
      <c r="FK4" t="s">
        <v>245</v>
      </c>
      <c r="FL4" t="s">
        <v>246</v>
      </c>
      <c r="FM4" t="s">
        <v>247</v>
      </c>
      <c r="FN4" t="s">
        <v>248</v>
      </c>
      <c r="FO4" t="s">
        <v>249</v>
      </c>
      <c r="FP4" t="s">
        <v>250</v>
      </c>
      <c r="FQ4" t="s">
        <v>251</v>
      </c>
      <c r="FR4" t="s">
        <v>252</v>
      </c>
      <c r="FS4" t="s">
        <v>253</v>
      </c>
      <c r="FT4" t="s">
        <v>254</v>
      </c>
      <c r="FU4" t="s">
        <v>255</v>
      </c>
      <c r="FV4" t="s">
        <v>256</v>
      </c>
      <c r="FW4" t="s">
        <v>257</v>
      </c>
      <c r="FX4" t="s">
        <v>258</v>
      </c>
      <c r="FY4" t="s">
        <v>259</v>
      </c>
      <c r="FZ4" t="s">
        <v>260</v>
      </c>
      <c r="GA4" t="s">
        <v>261</v>
      </c>
      <c r="GB4" t="s">
        <v>262</v>
      </c>
      <c r="GC4" s="59" t="s">
        <v>265</v>
      </c>
      <c r="GD4" s="59" t="s">
        <v>266</v>
      </c>
      <c r="GE4" s="59" t="s">
        <v>267</v>
      </c>
      <c r="GF4" s="59" t="s">
        <v>268</v>
      </c>
    </row>
    <row r="6" spans="1:188">
      <c r="B6" s="58">
        <v>1</v>
      </c>
      <c r="C6" s="58"/>
      <c r="D6" s="58"/>
      <c r="E6" s="60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60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60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60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60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60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60"/>
      <c r="GD6" s="60"/>
      <c r="GE6" s="60"/>
      <c r="GF6" s="60"/>
    </row>
    <row r="11" spans="1:188" ht="14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90"/>
  <sheetViews>
    <sheetView tabSelected="1" zoomScale="70" zoomScaleNormal="70" workbookViewId="0">
      <selection activeCell="B3" sqref="B3:D4"/>
    </sheetView>
  </sheetViews>
  <sheetFormatPr defaultRowHeight="15"/>
  <cols>
    <col min="1" max="1" width="3" customWidth="1"/>
    <col min="2" max="2" width="8.85546875" style="57" bestFit="1" customWidth="1"/>
    <col min="3" max="3" width="9.28515625" style="57" customWidth="1"/>
    <col min="4" max="4" width="27.42578125" style="57" bestFit="1" customWidth="1"/>
    <col min="5" max="5" width="9.140625" style="57" bestFit="1" customWidth="1"/>
    <col min="6" max="6" width="13.140625" style="57" bestFit="1" customWidth="1"/>
    <col min="7" max="7" width="15.42578125" style="57" bestFit="1" customWidth="1"/>
    <col min="8" max="8" width="13.85546875" style="57" bestFit="1" customWidth="1"/>
    <col min="9" max="9" width="15.28515625" style="57" bestFit="1" customWidth="1"/>
    <col min="10" max="10" width="13.85546875" style="57" customWidth="1"/>
    <col min="11" max="11" width="13" style="57" customWidth="1"/>
    <col min="12" max="19" width="9" style="57" customWidth="1"/>
    <col min="20" max="20" width="8.28515625" style="57" bestFit="1" customWidth="1"/>
    <col min="21" max="21" width="14.28515625" style="57" bestFit="1" customWidth="1"/>
    <col min="22" max="22" width="15.42578125" style="57" bestFit="1" customWidth="1"/>
    <col min="23" max="23" width="28.5703125" style="57" bestFit="1" customWidth="1"/>
    <col min="24" max="24" width="14" style="57" bestFit="1" customWidth="1"/>
    <col min="25" max="25" width="15" style="57" bestFit="1" customWidth="1"/>
    <col min="26" max="26" width="13.5703125" style="57" bestFit="1" customWidth="1"/>
    <col min="27" max="27" width="12.5703125" style="57" bestFit="1" customWidth="1"/>
    <col min="28" max="28" width="12.140625" style="57" bestFit="1" customWidth="1"/>
    <col min="29" max="29" width="15.42578125" style="57" bestFit="1" customWidth="1"/>
    <col min="30" max="30" width="11" style="57" bestFit="1" customWidth="1"/>
    <col min="31" max="31" width="11.5703125" style="57" bestFit="1" customWidth="1"/>
    <col min="32" max="32" width="15.7109375" style="57" bestFit="1" customWidth="1"/>
    <col min="33" max="33" width="16.28515625" style="57" bestFit="1" customWidth="1"/>
    <col min="34" max="34" width="10.140625" customWidth="1"/>
  </cols>
  <sheetData>
    <row r="1" spans="2:33" ht="22.5">
      <c r="B1" s="87" t="str">
        <f>TEXT(Sheet1!A1*28,"MMM") &amp; " " &amp; Sheet1!A2 &amp; " SALARY"</f>
        <v>Jan 2 SALARY</v>
      </c>
      <c r="C1" s="87"/>
      <c r="D1" s="8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7"/>
      <c r="AF1" s="17"/>
      <c r="AG1" s="17"/>
    </row>
    <row r="2" spans="2:33" ht="24" thickBot="1">
      <c r="B2" s="88" t="s">
        <v>276</v>
      </c>
      <c r="C2" s="88"/>
      <c r="D2" s="88"/>
      <c r="E2" s="17"/>
      <c r="F2" s="19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2:33">
      <c r="B3" s="89" t="s">
        <v>0</v>
      </c>
      <c r="C3" s="90"/>
      <c r="D3" s="90"/>
      <c r="E3" s="91"/>
      <c r="F3" s="92" t="s">
        <v>1</v>
      </c>
      <c r="G3" s="93" t="s">
        <v>2</v>
      </c>
      <c r="H3" s="93" t="s">
        <v>3</v>
      </c>
      <c r="I3" s="93" t="s">
        <v>4</v>
      </c>
      <c r="J3" s="94" t="s">
        <v>5</v>
      </c>
      <c r="K3" s="95"/>
      <c r="L3" s="96"/>
      <c r="M3" s="95"/>
      <c r="N3" s="95"/>
      <c r="O3" s="95"/>
      <c r="P3" s="95"/>
      <c r="Q3" s="95"/>
      <c r="R3" s="95"/>
      <c r="S3" s="97"/>
      <c r="T3" s="94" t="s">
        <v>6</v>
      </c>
      <c r="U3" s="97"/>
      <c r="V3" s="98" t="s">
        <v>7</v>
      </c>
      <c r="W3" s="99" t="s">
        <v>8</v>
      </c>
      <c r="X3" s="100" t="s">
        <v>9</v>
      </c>
      <c r="Y3" s="100" t="s">
        <v>10</v>
      </c>
      <c r="Z3" s="100" t="s">
        <v>11</v>
      </c>
      <c r="AA3" s="101" t="s">
        <v>12</v>
      </c>
      <c r="AB3" s="101" t="s">
        <v>13</v>
      </c>
      <c r="AC3" s="101" t="s">
        <v>270</v>
      </c>
      <c r="AD3" s="101" t="s">
        <v>271</v>
      </c>
      <c r="AE3" s="63" t="s">
        <v>16</v>
      </c>
      <c r="AF3" s="102" t="s">
        <v>17</v>
      </c>
      <c r="AG3"/>
    </row>
    <row r="4" spans="2:33" ht="114.75">
      <c r="B4" s="103"/>
      <c r="C4" s="104"/>
      <c r="D4" s="104"/>
      <c r="E4" s="105"/>
      <c r="F4" s="106"/>
      <c r="G4" s="106"/>
      <c r="H4" s="106"/>
      <c r="I4" s="106"/>
      <c r="J4" s="1" t="s">
        <v>19</v>
      </c>
      <c r="K4" s="6" t="s">
        <v>20</v>
      </c>
      <c r="L4" s="3" t="s">
        <v>21</v>
      </c>
      <c r="M4" s="4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71"/>
      <c r="W4" s="73"/>
      <c r="X4" s="63"/>
      <c r="Y4" s="63"/>
      <c r="Z4" s="63"/>
      <c r="AA4" s="66"/>
      <c r="AB4" s="66"/>
      <c r="AC4" s="66"/>
      <c r="AD4" s="66"/>
      <c r="AE4" s="63"/>
      <c r="AF4" s="107"/>
      <c r="AG4"/>
    </row>
    <row r="5" spans="2:33" ht="16.5">
      <c r="B5" s="108" t="s">
        <v>31</v>
      </c>
      <c r="C5" s="109" t="s">
        <v>32</v>
      </c>
      <c r="D5" s="109" t="s">
        <v>33</v>
      </c>
      <c r="E5" s="110" t="s">
        <v>34</v>
      </c>
      <c r="F5" s="111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3"/>
      <c r="AD5" s="113"/>
      <c r="AE5" s="113"/>
      <c r="AF5" s="112"/>
      <c r="AG5" s="114"/>
    </row>
    <row r="6" spans="2:33" ht="16.5">
      <c r="B6" s="108"/>
      <c r="C6" s="109" t="s">
        <v>35</v>
      </c>
      <c r="D6" s="109" t="s">
        <v>36</v>
      </c>
      <c r="E6" s="110" t="s">
        <v>37</v>
      </c>
      <c r="F6" s="111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3"/>
      <c r="AD6" s="113"/>
      <c r="AE6" s="113"/>
      <c r="AF6" s="112"/>
      <c r="AG6" s="114"/>
    </row>
    <row r="7" spans="2:33" ht="16.5">
      <c r="B7" s="108"/>
      <c r="C7" s="115" t="s">
        <v>38</v>
      </c>
      <c r="D7" s="115"/>
      <c r="E7" s="116"/>
      <c r="F7" s="24">
        <f>SUBTOTAL(9,F5:F6)</f>
        <v>0</v>
      </c>
      <c r="G7" s="24">
        <f t="shared" ref="G7:AF7" si="0">SUBTOTAL(9,G5:G6)</f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0</v>
      </c>
      <c r="AC7" s="24">
        <f t="shared" si="0"/>
        <v>0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114"/>
    </row>
    <row r="8" spans="2:33" ht="16.5">
      <c r="B8" s="108" t="s">
        <v>39</v>
      </c>
      <c r="C8" s="117" t="s">
        <v>40</v>
      </c>
      <c r="D8" s="110" t="s">
        <v>41</v>
      </c>
      <c r="E8" s="110" t="s">
        <v>34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4"/>
    </row>
    <row r="9" spans="2:33" ht="16.5">
      <c r="B9" s="108"/>
      <c r="C9" s="118"/>
      <c r="D9" s="110" t="s">
        <v>42</v>
      </c>
      <c r="E9" s="110" t="s">
        <v>34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4"/>
    </row>
    <row r="10" spans="2:33" ht="16.5">
      <c r="B10" s="108"/>
      <c r="C10" s="119"/>
      <c r="D10" s="116" t="s">
        <v>38</v>
      </c>
      <c r="E10" s="116"/>
      <c r="F10" s="24">
        <f>SUBTOTAL(9,F8:F9)</f>
        <v>0</v>
      </c>
      <c r="G10" s="24">
        <f t="shared" ref="G10:AF10" si="1">SUBTOTAL(9,G8:G9)</f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114"/>
    </row>
    <row r="11" spans="2:33" ht="16.5">
      <c r="B11" s="108"/>
      <c r="C11" s="120" t="s">
        <v>43</v>
      </c>
      <c r="D11" s="110" t="s">
        <v>44</v>
      </c>
      <c r="E11" s="110" t="s">
        <v>45</v>
      </c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4" t="e">
        <f t="shared" ref="AG11:AG14" si="2">+((L11+N11)/11.5)/E11</f>
        <v>#VALUE!</v>
      </c>
    </row>
    <row r="12" spans="2:33" ht="16.5">
      <c r="B12" s="108"/>
      <c r="C12" s="120"/>
      <c r="D12" s="110" t="s">
        <v>46</v>
      </c>
      <c r="E12" s="110" t="s">
        <v>34</v>
      </c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4" t="e">
        <f t="shared" si="2"/>
        <v>#VALUE!</v>
      </c>
    </row>
    <row r="13" spans="2:33" ht="16.5">
      <c r="B13" s="108"/>
      <c r="C13" s="120"/>
      <c r="D13" s="110" t="s">
        <v>47</v>
      </c>
      <c r="E13" s="110" t="s">
        <v>45</v>
      </c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4" t="e">
        <f t="shared" si="2"/>
        <v>#VALUE!</v>
      </c>
    </row>
    <row r="14" spans="2:33" ht="16.5">
      <c r="B14" s="108"/>
      <c r="C14" s="120"/>
      <c r="D14" s="110" t="s">
        <v>48</v>
      </c>
      <c r="E14" s="110" t="s">
        <v>45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4" t="e">
        <f t="shared" si="2"/>
        <v>#VALUE!</v>
      </c>
    </row>
    <row r="15" spans="2:33" ht="16.5">
      <c r="B15" s="108"/>
      <c r="C15" s="120"/>
      <c r="D15" s="116" t="s">
        <v>38</v>
      </c>
      <c r="E15" s="116"/>
      <c r="F15" s="24">
        <f>SUBTOTAL(9,F11:F14)</f>
        <v>0</v>
      </c>
      <c r="G15" s="24">
        <f t="shared" ref="G15:AF15" si="3">SUBTOTAL(9,G11:G14)</f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24">
        <f t="shared" si="3"/>
        <v>0</v>
      </c>
      <c r="O15" s="24">
        <f t="shared" si="3"/>
        <v>0</v>
      </c>
      <c r="P15" s="24">
        <f t="shared" si="3"/>
        <v>0</v>
      </c>
      <c r="Q15" s="24">
        <f t="shared" si="3"/>
        <v>0</v>
      </c>
      <c r="R15" s="24">
        <f t="shared" si="3"/>
        <v>0</v>
      </c>
      <c r="S15" s="24">
        <f t="shared" si="3"/>
        <v>0</v>
      </c>
      <c r="T15" s="24">
        <f t="shared" si="3"/>
        <v>0</v>
      </c>
      <c r="U15" s="24">
        <f t="shared" si="3"/>
        <v>0</v>
      </c>
      <c r="V15" s="24">
        <f t="shared" si="3"/>
        <v>0</v>
      </c>
      <c r="W15" s="24">
        <f t="shared" si="3"/>
        <v>0</v>
      </c>
      <c r="X15" s="24">
        <f t="shared" si="3"/>
        <v>0</v>
      </c>
      <c r="Y15" s="24">
        <f t="shared" si="3"/>
        <v>0</v>
      </c>
      <c r="Z15" s="24">
        <f t="shared" si="3"/>
        <v>0</v>
      </c>
      <c r="AA15" s="24">
        <f t="shared" si="3"/>
        <v>0</v>
      </c>
      <c r="AB15" s="24">
        <f t="shared" si="3"/>
        <v>0</v>
      </c>
      <c r="AC15" s="24">
        <f t="shared" si="3"/>
        <v>0</v>
      </c>
      <c r="AD15" s="24">
        <f t="shared" si="3"/>
        <v>0</v>
      </c>
      <c r="AE15" s="24">
        <f t="shared" si="3"/>
        <v>0</v>
      </c>
      <c r="AF15" s="24">
        <f t="shared" si="3"/>
        <v>0</v>
      </c>
      <c r="AG15" s="114" t="e">
        <f>+((L15+N15)/11.5)/E15</f>
        <v>#DIV/0!</v>
      </c>
    </row>
    <row r="16" spans="2:33" ht="16.5">
      <c r="B16" s="108"/>
      <c r="C16" s="121" t="s">
        <v>49</v>
      </c>
      <c r="D16" s="110" t="s">
        <v>50</v>
      </c>
      <c r="E16" s="110" t="s">
        <v>45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4" t="e">
        <f>+((L16+N16)/11)/E16</f>
        <v>#VALUE!</v>
      </c>
    </row>
    <row r="17" spans="2:33" ht="16.5">
      <c r="B17" s="108"/>
      <c r="C17" s="121"/>
      <c r="D17" s="110" t="s">
        <v>51</v>
      </c>
      <c r="E17" s="110" t="s">
        <v>45</v>
      </c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4" t="e">
        <f t="shared" ref="AG17:AG22" si="4">+((L17+N17)/11)/E17</f>
        <v>#VALUE!</v>
      </c>
    </row>
    <row r="18" spans="2:33" ht="16.5">
      <c r="B18" s="108"/>
      <c r="C18" s="121"/>
      <c r="D18" s="110" t="s">
        <v>52</v>
      </c>
      <c r="E18" s="110" t="s">
        <v>45</v>
      </c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4" t="e">
        <f t="shared" si="4"/>
        <v>#VALUE!</v>
      </c>
    </row>
    <row r="19" spans="2:33" ht="16.5">
      <c r="B19" s="108"/>
      <c r="C19" s="121"/>
      <c r="D19" s="110" t="s">
        <v>53</v>
      </c>
      <c r="E19" s="110" t="s">
        <v>34</v>
      </c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4" t="e">
        <f t="shared" si="4"/>
        <v>#VALUE!</v>
      </c>
    </row>
    <row r="20" spans="2:33" ht="16.5">
      <c r="B20" s="108"/>
      <c r="C20" s="121"/>
      <c r="D20" s="110" t="s">
        <v>54</v>
      </c>
      <c r="E20" s="110" t="s">
        <v>34</v>
      </c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4" t="e">
        <f t="shared" si="4"/>
        <v>#VALUE!</v>
      </c>
    </row>
    <row r="21" spans="2:33" ht="16.5">
      <c r="B21" s="108"/>
      <c r="C21" s="121"/>
      <c r="D21" s="110" t="s">
        <v>272</v>
      </c>
      <c r="E21" s="110" t="s">
        <v>45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4" t="e">
        <f t="shared" si="4"/>
        <v>#VALUE!</v>
      </c>
    </row>
    <row r="22" spans="2:33" ht="16.5">
      <c r="B22" s="108"/>
      <c r="C22" s="121"/>
      <c r="D22" s="122" t="s">
        <v>38</v>
      </c>
      <c r="E22" s="122"/>
      <c r="F22" s="24">
        <f>SUBTOTAL(9,F16:F21)</f>
        <v>0</v>
      </c>
      <c r="G22" s="24">
        <f t="shared" ref="G22:AF22" si="5">SUBTOTAL(9,G16:G21)</f>
        <v>0</v>
      </c>
      <c r="H22" s="24">
        <f t="shared" si="5"/>
        <v>0</v>
      </c>
      <c r="I22" s="24">
        <f t="shared" si="5"/>
        <v>0</v>
      </c>
      <c r="J22" s="24">
        <f t="shared" si="5"/>
        <v>0</v>
      </c>
      <c r="K22" s="24">
        <f t="shared" si="5"/>
        <v>0</v>
      </c>
      <c r="L22" s="24">
        <f t="shared" si="5"/>
        <v>0</v>
      </c>
      <c r="M22" s="24">
        <f t="shared" si="5"/>
        <v>0</v>
      </c>
      <c r="N22" s="24">
        <f t="shared" si="5"/>
        <v>0</v>
      </c>
      <c r="O22" s="24">
        <f t="shared" si="5"/>
        <v>0</v>
      </c>
      <c r="P22" s="24">
        <f t="shared" si="5"/>
        <v>0</v>
      </c>
      <c r="Q22" s="24">
        <f t="shared" si="5"/>
        <v>0</v>
      </c>
      <c r="R22" s="24">
        <f t="shared" si="5"/>
        <v>0</v>
      </c>
      <c r="S22" s="24">
        <f t="shared" si="5"/>
        <v>0</v>
      </c>
      <c r="T22" s="24">
        <f t="shared" si="5"/>
        <v>0</v>
      </c>
      <c r="U22" s="24">
        <f t="shared" si="5"/>
        <v>0</v>
      </c>
      <c r="V22" s="24">
        <f t="shared" si="5"/>
        <v>0</v>
      </c>
      <c r="W22" s="24">
        <f t="shared" si="5"/>
        <v>0</v>
      </c>
      <c r="X22" s="24">
        <f t="shared" si="5"/>
        <v>0</v>
      </c>
      <c r="Y22" s="24">
        <f t="shared" si="5"/>
        <v>0</v>
      </c>
      <c r="Z22" s="24">
        <f t="shared" si="5"/>
        <v>0</v>
      </c>
      <c r="AA22" s="24">
        <f t="shared" si="5"/>
        <v>0</v>
      </c>
      <c r="AB22" s="24">
        <f t="shared" si="5"/>
        <v>0</v>
      </c>
      <c r="AC22" s="24">
        <f t="shared" si="5"/>
        <v>0</v>
      </c>
      <c r="AD22" s="24">
        <f t="shared" si="5"/>
        <v>0</v>
      </c>
      <c r="AE22" s="24">
        <f t="shared" si="5"/>
        <v>0</v>
      </c>
      <c r="AF22" s="24">
        <f t="shared" si="5"/>
        <v>0</v>
      </c>
      <c r="AG22" s="114" t="e">
        <f t="shared" si="4"/>
        <v>#DIV/0!</v>
      </c>
    </row>
    <row r="23" spans="2:33" ht="16.5">
      <c r="B23" s="108" t="s">
        <v>56</v>
      </c>
      <c r="C23" s="123" t="s">
        <v>57</v>
      </c>
      <c r="D23" s="123" t="s">
        <v>57</v>
      </c>
      <c r="E23" s="123" t="s">
        <v>34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4"/>
    </row>
    <row r="24" spans="2:33" ht="16.5">
      <c r="B24" s="108"/>
      <c r="C24" s="124" t="s">
        <v>58</v>
      </c>
      <c r="D24" s="124" t="s">
        <v>58</v>
      </c>
      <c r="E24" s="124" t="s">
        <v>34</v>
      </c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4"/>
    </row>
    <row r="25" spans="2:33" ht="16.5">
      <c r="B25" s="108"/>
      <c r="C25" s="115" t="s">
        <v>38</v>
      </c>
      <c r="D25" s="115"/>
      <c r="E25" s="116"/>
      <c r="F25" s="24">
        <f>SUBTOTAL(9,F23:F24)</f>
        <v>0</v>
      </c>
      <c r="G25" s="24">
        <f t="shared" ref="G25:AF25" si="6">SUBTOTAL(9,G23:G24)</f>
        <v>0</v>
      </c>
      <c r="H25" s="24">
        <f t="shared" si="6"/>
        <v>0</v>
      </c>
      <c r="I25" s="24">
        <f t="shared" si="6"/>
        <v>0</v>
      </c>
      <c r="J25" s="24">
        <f t="shared" si="6"/>
        <v>0</v>
      </c>
      <c r="K25" s="24">
        <f t="shared" si="6"/>
        <v>0</v>
      </c>
      <c r="L25" s="24">
        <f t="shared" si="6"/>
        <v>0</v>
      </c>
      <c r="M25" s="24">
        <f t="shared" si="6"/>
        <v>0</v>
      </c>
      <c r="N25" s="24">
        <f t="shared" si="6"/>
        <v>0</v>
      </c>
      <c r="O25" s="24">
        <f t="shared" si="6"/>
        <v>0</v>
      </c>
      <c r="P25" s="24">
        <f t="shared" si="6"/>
        <v>0</v>
      </c>
      <c r="Q25" s="24">
        <f t="shared" si="6"/>
        <v>0</v>
      </c>
      <c r="R25" s="24">
        <f t="shared" si="6"/>
        <v>0</v>
      </c>
      <c r="S25" s="24">
        <f t="shared" si="6"/>
        <v>0</v>
      </c>
      <c r="T25" s="24">
        <f t="shared" si="6"/>
        <v>0</v>
      </c>
      <c r="U25" s="24">
        <f t="shared" si="6"/>
        <v>0</v>
      </c>
      <c r="V25" s="24">
        <f t="shared" si="6"/>
        <v>0</v>
      </c>
      <c r="W25" s="24">
        <f t="shared" si="6"/>
        <v>0</v>
      </c>
      <c r="X25" s="24">
        <f t="shared" si="6"/>
        <v>0</v>
      </c>
      <c r="Y25" s="24">
        <f t="shared" si="6"/>
        <v>0</v>
      </c>
      <c r="Z25" s="24">
        <f t="shared" si="6"/>
        <v>0</v>
      </c>
      <c r="AA25" s="24">
        <f t="shared" si="6"/>
        <v>0</v>
      </c>
      <c r="AB25" s="24">
        <f t="shared" si="6"/>
        <v>0</v>
      </c>
      <c r="AC25" s="24">
        <f t="shared" si="6"/>
        <v>0</v>
      </c>
      <c r="AD25" s="24">
        <f t="shared" si="6"/>
        <v>0</v>
      </c>
      <c r="AE25" s="24">
        <f t="shared" si="6"/>
        <v>0</v>
      </c>
      <c r="AF25" s="24">
        <f t="shared" si="6"/>
        <v>0</v>
      </c>
      <c r="AG25" s="114"/>
    </row>
    <row r="26" spans="2:33" ht="17.25" thickBot="1">
      <c r="B26" s="125" t="s">
        <v>59</v>
      </c>
      <c r="C26" s="126"/>
      <c r="D26" s="126"/>
      <c r="E26" s="127"/>
      <c r="F26" s="29">
        <f>SUBTOTAL(9,F5:F25)</f>
        <v>0</v>
      </c>
      <c r="G26" s="29">
        <f t="shared" ref="G26:AF26" si="7">SUBTOTAL(9,G5:G25)</f>
        <v>0</v>
      </c>
      <c r="H26" s="29">
        <f t="shared" si="7"/>
        <v>0</v>
      </c>
      <c r="I26" s="29">
        <f t="shared" si="7"/>
        <v>0</v>
      </c>
      <c r="J26" s="29">
        <f t="shared" si="7"/>
        <v>0</v>
      </c>
      <c r="K26" s="29">
        <f t="shared" si="7"/>
        <v>0</v>
      </c>
      <c r="L26" s="29">
        <f t="shared" si="7"/>
        <v>0</v>
      </c>
      <c r="M26" s="29">
        <f t="shared" si="7"/>
        <v>0</v>
      </c>
      <c r="N26" s="29">
        <f t="shared" si="7"/>
        <v>0</v>
      </c>
      <c r="O26" s="29">
        <f t="shared" si="7"/>
        <v>0</v>
      </c>
      <c r="P26" s="29">
        <f t="shared" si="7"/>
        <v>0</v>
      </c>
      <c r="Q26" s="29">
        <f t="shared" si="7"/>
        <v>0</v>
      </c>
      <c r="R26" s="29">
        <f t="shared" si="7"/>
        <v>0</v>
      </c>
      <c r="S26" s="29">
        <f t="shared" si="7"/>
        <v>0</v>
      </c>
      <c r="T26" s="29">
        <f t="shared" si="7"/>
        <v>0</v>
      </c>
      <c r="U26" s="29">
        <f t="shared" si="7"/>
        <v>0</v>
      </c>
      <c r="V26" s="29">
        <f t="shared" si="7"/>
        <v>0</v>
      </c>
      <c r="W26" s="29">
        <f t="shared" si="7"/>
        <v>0</v>
      </c>
      <c r="X26" s="29">
        <f t="shared" si="7"/>
        <v>0</v>
      </c>
      <c r="Y26" s="29">
        <f t="shared" si="7"/>
        <v>0</v>
      </c>
      <c r="Z26" s="29">
        <f t="shared" si="7"/>
        <v>0</v>
      </c>
      <c r="AA26" s="29">
        <f t="shared" si="7"/>
        <v>0</v>
      </c>
      <c r="AB26" s="29">
        <f t="shared" si="7"/>
        <v>0</v>
      </c>
      <c r="AC26" s="29">
        <f t="shared" si="7"/>
        <v>0</v>
      </c>
      <c r="AD26" s="29">
        <f t="shared" si="7"/>
        <v>0</v>
      </c>
      <c r="AE26" s="29">
        <f t="shared" si="7"/>
        <v>0</v>
      </c>
      <c r="AF26" s="29">
        <f t="shared" si="7"/>
        <v>0</v>
      </c>
      <c r="AG26" s="114" t="e">
        <f>+(AG22+AG15)/2</f>
        <v>#DIV/0!</v>
      </c>
    </row>
    <row r="27" spans="2:33" ht="16.5">
      <c r="B27" s="128"/>
      <c r="C27" s="128"/>
      <c r="D27" s="128"/>
      <c r="E27" s="129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1" t="s">
        <v>66</v>
      </c>
      <c r="Q27" s="132" t="s">
        <v>67</v>
      </c>
      <c r="R27" s="133" t="s">
        <v>68</v>
      </c>
      <c r="S27" s="133" t="s">
        <v>69</v>
      </c>
      <c r="T27" s="133">
        <v>0.3</v>
      </c>
      <c r="U27" s="134" t="s">
        <v>70</v>
      </c>
      <c r="V27" s="131" t="s">
        <v>273</v>
      </c>
      <c r="W27" s="130"/>
      <c r="X27" s="130"/>
      <c r="Y27" s="130"/>
      <c r="Z27" s="130"/>
      <c r="AA27" s="130"/>
      <c r="AB27" s="130"/>
      <c r="AC27" s="130"/>
      <c r="AD27" s="130"/>
      <c r="AE27" s="130"/>
      <c r="AF27"/>
      <c r="AG27"/>
    </row>
    <row r="28" spans="2:33" ht="15.75">
      <c r="B28" s="135" t="s">
        <v>63</v>
      </c>
      <c r="C28" s="136" t="s">
        <v>62</v>
      </c>
      <c r="D28" s="136"/>
      <c r="E28" s="136"/>
      <c r="F28" s="136"/>
      <c r="G28" s="136"/>
      <c r="H28" s="136"/>
      <c r="I28" s="136" t="s">
        <v>64</v>
      </c>
      <c r="J28" s="136"/>
      <c r="K28" s="137" t="s">
        <v>65</v>
      </c>
      <c r="L28" s="114"/>
      <c r="M28" s="114"/>
      <c r="N28" s="114"/>
      <c r="O28" s="114"/>
      <c r="P28" s="138"/>
      <c r="Q28" s="139"/>
      <c r="R28" s="140"/>
      <c r="S28" s="140"/>
      <c r="T28" s="140"/>
      <c r="U28" s="141"/>
      <c r="V28" s="131"/>
      <c r="W28" s="114"/>
      <c r="X28" s="114"/>
      <c r="Y28" s="114"/>
      <c r="Z28" s="114"/>
      <c r="AA28" s="114"/>
      <c r="AB28" s="114"/>
      <c r="AC28" s="142"/>
      <c r="AD28" s="114"/>
      <c r="AE28" s="114"/>
      <c r="AF28" s="114"/>
      <c r="AG28" s="114"/>
    </row>
    <row r="29" spans="2:33" ht="47.25">
      <c r="B29" s="135"/>
      <c r="C29" s="14" t="s">
        <v>72</v>
      </c>
      <c r="D29" s="14" t="s">
        <v>274</v>
      </c>
      <c r="E29" s="14" t="s">
        <v>74</v>
      </c>
      <c r="F29" s="14" t="s">
        <v>75</v>
      </c>
      <c r="G29" s="15" t="s">
        <v>76</v>
      </c>
      <c r="H29" s="14" t="s">
        <v>77</v>
      </c>
      <c r="I29" s="16" t="s">
        <v>78</v>
      </c>
      <c r="J29" s="14" t="s">
        <v>79</v>
      </c>
      <c r="K29" s="137"/>
      <c r="L29" s="114"/>
      <c r="M29" s="114"/>
      <c r="N29" s="142"/>
      <c r="O29" s="114"/>
      <c r="P29" s="143" t="s">
        <v>80</v>
      </c>
      <c r="Q29" s="144">
        <f>+K15</f>
        <v>0</v>
      </c>
      <c r="R29" s="145">
        <f>S29-Q29</f>
        <v>0</v>
      </c>
      <c r="S29" s="146">
        <f>+S15</f>
        <v>0</v>
      </c>
      <c r="T29" s="146">
        <f>+T15</f>
        <v>0</v>
      </c>
      <c r="U29" s="147">
        <f>+S29+T29</f>
        <v>0</v>
      </c>
      <c r="V29" s="148" t="e">
        <f>+(V26-U26-I26-AC26-AD26-AE26)/(G26+H26)</f>
        <v>#DIV/0!</v>
      </c>
      <c r="W29" s="114"/>
      <c r="X29" s="114"/>
      <c r="Y29" s="114"/>
      <c r="Z29" s="114"/>
      <c r="AA29" s="114"/>
      <c r="AB29" s="114"/>
      <c r="AC29" s="149"/>
      <c r="AD29" s="149"/>
      <c r="AE29" s="149"/>
      <c r="AF29" s="114"/>
      <c r="AG29" s="114"/>
    </row>
    <row r="30" spans="2:33" ht="17.25" thickBot="1">
      <c r="B30" s="150" t="s">
        <v>275</v>
      </c>
      <c r="C30" s="151">
        <f>Sheet1!GC6</f>
        <v>0</v>
      </c>
      <c r="D30" s="151">
        <f>Sheet1!GD6</f>
        <v>0</v>
      </c>
      <c r="E30" s="151">
        <v>0</v>
      </c>
      <c r="F30" s="151">
        <f>Sheet1!GE6</f>
        <v>0</v>
      </c>
      <c r="G30" s="151">
        <f>C30+F30</f>
        <v>0</v>
      </c>
      <c r="H30" s="152">
        <f>E30+G30+D30</f>
        <v>0</v>
      </c>
      <c r="I30" s="153">
        <f>Sheet1!GF6</f>
        <v>0</v>
      </c>
      <c r="J30" s="153" t="e">
        <f>AH56-I30</f>
        <v>#DIV/0!</v>
      </c>
      <c r="K30" s="154" t="e">
        <f>G30+I30+J30</f>
        <v>#DIV/0!</v>
      </c>
      <c r="L30" s="114"/>
      <c r="M30" s="114"/>
      <c r="N30" s="114"/>
      <c r="O30" s="114"/>
      <c r="P30" s="155" t="s">
        <v>81</v>
      </c>
      <c r="Q30" s="156">
        <f>+K22</f>
        <v>0</v>
      </c>
      <c r="R30" s="157">
        <f>S30-Q30</f>
        <v>0</v>
      </c>
      <c r="S30" s="158">
        <f>+S22</f>
        <v>0</v>
      </c>
      <c r="T30" s="158">
        <f>+T22</f>
        <v>0</v>
      </c>
      <c r="U30" s="159">
        <f>+S30+T30</f>
        <v>0</v>
      </c>
      <c r="V30" s="114"/>
      <c r="W30" s="114"/>
      <c r="X30" s="114"/>
      <c r="Y30" s="114"/>
      <c r="Z30" s="114"/>
      <c r="AA30" s="114"/>
      <c r="AB30" s="114"/>
      <c r="AC30" s="149"/>
      <c r="AD30" s="149"/>
      <c r="AE30" s="149"/>
      <c r="AF30" s="114"/>
      <c r="AG30" s="114"/>
    </row>
    <row r="31" spans="2:33"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2:33" ht="23.25">
      <c r="B32" s="88" t="s">
        <v>269</v>
      </c>
      <c r="C32" s="88"/>
      <c r="D32" s="88"/>
      <c r="E32" s="17"/>
      <c r="F32" s="19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2:34" ht="15" customHeight="1">
      <c r="B33" s="71" t="s">
        <v>0</v>
      </c>
      <c r="C33" s="71"/>
      <c r="D33" s="71"/>
      <c r="E33" s="72"/>
      <c r="F33" s="67" t="s">
        <v>1</v>
      </c>
      <c r="G33" s="67" t="s">
        <v>2</v>
      </c>
      <c r="H33" s="67" t="s">
        <v>3</v>
      </c>
      <c r="I33" s="67" t="s">
        <v>4</v>
      </c>
      <c r="J33" s="68" t="s">
        <v>5</v>
      </c>
      <c r="K33" s="69"/>
      <c r="L33" s="82"/>
      <c r="M33" s="69"/>
      <c r="N33" s="69"/>
      <c r="O33" s="69"/>
      <c r="P33" s="69"/>
      <c r="Q33" s="69"/>
      <c r="R33" s="69"/>
      <c r="S33" s="70"/>
      <c r="T33" s="68" t="s">
        <v>6</v>
      </c>
      <c r="U33" s="70"/>
      <c r="V33" s="71" t="s">
        <v>7</v>
      </c>
      <c r="W33" s="72" t="s">
        <v>8</v>
      </c>
      <c r="X33" s="63" t="s">
        <v>9</v>
      </c>
      <c r="Y33" s="63" t="s">
        <v>10</v>
      </c>
      <c r="Z33" s="63" t="s">
        <v>11</v>
      </c>
      <c r="AA33" s="65" t="s">
        <v>12</v>
      </c>
      <c r="AB33" s="65" t="s">
        <v>13</v>
      </c>
      <c r="AC33" s="65" t="s">
        <v>14</v>
      </c>
      <c r="AD33" s="65" t="s">
        <v>15</v>
      </c>
      <c r="AE33" s="65" t="s">
        <v>16</v>
      </c>
      <c r="AF33" s="64" t="s">
        <v>17</v>
      </c>
      <c r="AG33" s="64" t="s">
        <v>18</v>
      </c>
    </row>
    <row r="34" spans="2:34" ht="114.75">
      <c r="B34" s="71"/>
      <c r="C34" s="71"/>
      <c r="D34" s="71"/>
      <c r="E34" s="73"/>
      <c r="F34" s="67"/>
      <c r="G34" s="67"/>
      <c r="H34" s="67"/>
      <c r="I34" s="67"/>
      <c r="J34" s="1" t="s">
        <v>19</v>
      </c>
      <c r="K34" s="2" t="s">
        <v>20</v>
      </c>
      <c r="L34" s="3" t="s">
        <v>21</v>
      </c>
      <c r="M34" s="4" t="s">
        <v>22</v>
      </c>
      <c r="N34" s="5" t="s">
        <v>23</v>
      </c>
      <c r="O34" s="5" t="s">
        <v>24</v>
      </c>
      <c r="P34" s="5" t="s">
        <v>25</v>
      </c>
      <c r="Q34" s="5" t="s">
        <v>26</v>
      </c>
      <c r="R34" s="1" t="s">
        <v>27</v>
      </c>
      <c r="S34" s="1" t="s">
        <v>28</v>
      </c>
      <c r="T34" s="1" t="s">
        <v>29</v>
      </c>
      <c r="U34" s="1" t="s">
        <v>30</v>
      </c>
      <c r="V34" s="71"/>
      <c r="W34" s="73"/>
      <c r="X34" s="63"/>
      <c r="Y34" s="63"/>
      <c r="Z34" s="63"/>
      <c r="AA34" s="66"/>
      <c r="AB34" s="66"/>
      <c r="AC34" s="66"/>
      <c r="AD34" s="66"/>
      <c r="AE34" s="66"/>
      <c r="AF34" s="64"/>
      <c r="AG34" s="64"/>
    </row>
    <row r="35" spans="2:34" ht="33">
      <c r="B35" s="74" t="s">
        <v>31</v>
      </c>
      <c r="C35" s="20" t="s">
        <v>32</v>
      </c>
      <c r="D35" s="20" t="s">
        <v>33</v>
      </c>
      <c r="E35" s="21" t="s">
        <v>34</v>
      </c>
      <c r="F35" s="22">
        <f>Sheet1!G6</f>
        <v>0</v>
      </c>
      <c r="G35" s="22">
        <f>Sheet1!H6</f>
        <v>0</v>
      </c>
      <c r="H35" s="22">
        <f>Sheet1!I6</f>
        <v>0</v>
      </c>
      <c r="I35" s="22">
        <f>Sheet1!J6</f>
        <v>0</v>
      </c>
      <c r="J35" s="22">
        <f>Sheet1!K6</f>
        <v>0</v>
      </c>
      <c r="K35" s="22">
        <f>Sheet1!L6</f>
        <v>0</v>
      </c>
      <c r="L35" s="22">
        <f>Sheet1!M6</f>
        <v>0</v>
      </c>
      <c r="M35" s="22">
        <f>Sheet1!N6</f>
        <v>0</v>
      </c>
      <c r="N35" s="22">
        <f>Sheet1!O6</f>
        <v>0</v>
      </c>
      <c r="O35" s="22">
        <f>Sheet1!P6</f>
        <v>0</v>
      </c>
      <c r="P35" s="22">
        <f>Sheet1!Q6</f>
        <v>0</v>
      </c>
      <c r="Q35" s="22">
        <f>Sheet1!R6</f>
        <v>0</v>
      </c>
      <c r="R35" s="22">
        <f>Sheet1!S6</f>
        <v>0</v>
      </c>
      <c r="S35" s="22">
        <f>Sheet1!T6</f>
        <v>0</v>
      </c>
      <c r="T35" s="22">
        <f>Sheet1!U6</f>
        <v>0</v>
      </c>
      <c r="U35" s="22">
        <f>Sheet1!V6</f>
        <v>0</v>
      </c>
      <c r="V35" s="22">
        <f>Sheet1!W6</f>
        <v>0</v>
      </c>
      <c r="W35" s="22">
        <f>Sheet1!X6</f>
        <v>0</v>
      </c>
      <c r="X35" s="22">
        <f>Sheet1!Y6</f>
        <v>0</v>
      </c>
      <c r="Y35" s="22">
        <f>Sheet1!Z6</f>
        <v>0</v>
      </c>
      <c r="Z35" s="22">
        <f>Sheet1!AA6</f>
        <v>0</v>
      </c>
      <c r="AA35" s="22">
        <f>Sheet1!AB6</f>
        <v>0</v>
      </c>
      <c r="AB35" s="22">
        <f>Sheet1!AC6</f>
        <v>0</v>
      </c>
      <c r="AC35" s="22">
        <f>Sheet1!AD6</f>
        <v>0</v>
      </c>
      <c r="AD35" s="22">
        <f>Sheet1!AE6</f>
        <v>0</v>
      </c>
      <c r="AE35" s="22">
        <f>Sheet1!AF6</f>
        <v>0</v>
      </c>
      <c r="AF35" s="22">
        <f>Sheet1!AG6</f>
        <v>0</v>
      </c>
      <c r="AG35" s="22">
        <f>Sheet1!AH6</f>
        <v>0</v>
      </c>
    </row>
    <row r="36" spans="2:34" ht="33">
      <c r="B36" s="74"/>
      <c r="C36" s="20" t="s">
        <v>35</v>
      </c>
      <c r="D36" s="20" t="s">
        <v>36</v>
      </c>
      <c r="E36" s="21" t="s">
        <v>37</v>
      </c>
      <c r="F36" s="22">
        <f>Sheet1!G7</f>
        <v>0</v>
      </c>
      <c r="G36" s="22">
        <f>Sheet1!H7</f>
        <v>0</v>
      </c>
      <c r="H36" s="22">
        <f>Sheet1!I7</f>
        <v>0</v>
      </c>
      <c r="I36" s="22">
        <f>Sheet1!J7</f>
        <v>0</v>
      </c>
      <c r="J36" s="22">
        <f>Sheet1!K7</f>
        <v>0</v>
      </c>
      <c r="K36" s="22">
        <f>Sheet1!L7</f>
        <v>0</v>
      </c>
      <c r="L36" s="22">
        <f>Sheet1!M7</f>
        <v>0</v>
      </c>
      <c r="M36" s="22">
        <f>Sheet1!N7</f>
        <v>0</v>
      </c>
      <c r="N36" s="22">
        <f>Sheet1!O7</f>
        <v>0</v>
      </c>
      <c r="O36" s="22">
        <f>Sheet1!P7</f>
        <v>0</v>
      </c>
      <c r="P36" s="22">
        <f>Sheet1!Q7</f>
        <v>0</v>
      </c>
      <c r="Q36" s="22">
        <f>Sheet1!R7</f>
        <v>0</v>
      </c>
      <c r="R36" s="22">
        <f>Sheet1!S7</f>
        <v>0</v>
      </c>
      <c r="S36" s="22">
        <f>Sheet1!T7</f>
        <v>0</v>
      </c>
      <c r="T36" s="22">
        <f>Sheet1!U7</f>
        <v>0</v>
      </c>
      <c r="U36" s="22">
        <f>Sheet1!V7</f>
        <v>0</v>
      </c>
      <c r="V36" s="22">
        <f>Sheet1!W7</f>
        <v>0</v>
      </c>
      <c r="W36" s="22">
        <f>Sheet1!X7</f>
        <v>0</v>
      </c>
      <c r="X36" s="22">
        <f>Sheet1!Y7</f>
        <v>0</v>
      </c>
      <c r="Y36" s="22">
        <f>Sheet1!Z7</f>
        <v>0</v>
      </c>
      <c r="Z36" s="22">
        <f>Sheet1!AA7</f>
        <v>0</v>
      </c>
      <c r="AA36" s="22">
        <f>Sheet1!AB7</f>
        <v>0</v>
      </c>
      <c r="AB36" s="22">
        <f>Sheet1!AC7</f>
        <v>0</v>
      </c>
      <c r="AC36" s="22">
        <f>Sheet1!AD7</f>
        <v>0</v>
      </c>
      <c r="AD36" s="22">
        <f>Sheet1!AE7</f>
        <v>0</v>
      </c>
      <c r="AE36" s="22">
        <f>Sheet1!AF7</f>
        <v>0</v>
      </c>
      <c r="AF36" s="22">
        <f>Sheet1!AG7</f>
        <v>0</v>
      </c>
      <c r="AG36" s="22">
        <f>Sheet1!AH7</f>
        <v>0</v>
      </c>
    </row>
    <row r="37" spans="2:34" ht="16.5">
      <c r="B37" s="74"/>
      <c r="C37" s="75" t="s">
        <v>38</v>
      </c>
      <c r="D37" s="75"/>
      <c r="E37" s="23"/>
      <c r="F37" s="24">
        <f>SUBTOTAL(9,F35:F36)</f>
        <v>0</v>
      </c>
      <c r="G37" s="24">
        <f t="shared" ref="G37:AF37" si="8">SUBTOTAL(9,G35:G36)</f>
        <v>0</v>
      </c>
      <c r="H37" s="24">
        <f t="shared" si="8"/>
        <v>0</v>
      </c>
      <c r="I37" s="24">
        <f t="shared" si="8"/>
        <v>0</v>
      </c>
      <c r="J37" s="24">
        <f t="shared" si="8"/>
        <v>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2"/>
    </row>
    <row r="38" spans="2:34" ht="16.5">
      <c r="B38" s="74" t="s">
        <v>39</v>
      </c>
      <c r="C38" s="77" t="s">
        <v>40</v>
      </c>
      <c r="D38" s="21" t="s">
        <v>41</v>
      </c>
      <c r="E38" s="21" t="s">
        <v>34</v>
      </c>
      <c r="F38" s="22">
        <f>Sheet1!G8</f>
        <v>0</v>
      </c>
      <c r="G38" s="22">
        <f>Sheet1!H8</f>
        <v>0</v>
      </c>
      <c r="H38" s="22">
        <f>Sheet1!I8</f>
        <v>0</v>
      </c>
      <c r="I38" s="22">
        <f>Sheet1!J8</f>
        <v>0</v>
      </c>
      <c r="J38" s="22">
        <f>Sheet1!K8</f>
        <v>0</v>
      </c>
      <c r="K38" s="22">
        <f>Sheet1!L8</f>
        <v>0</v>
      </c>
      <c r="L38" s="22">
        <f>Sheet1!M8</f>
        <v>0</v>
      </c>
      <c r="M38" s="22">
        <f>Sheet1!N8</f>
        <v>0</v>
      </c>
      <c r="N38" s="22">
        <f>Sheet1!O8</f>
        <v>0</v>
      </c>
      <c r="O38" s="22">
        <f>Sheet1!P8</f>
        <v>0</v>
      </c>
      <c r="P38" s="22">
        <f>Sheet1!Q8</f>
        <v>0</v>
      </c>
      <c r="Q38" s="22">
        <f>Sheet1!R8</f>
        <v>0</v>
      </c>
      <c r="R38" s="22">
        <f>Sheet1!S8</f>
        <v>0</v>
      </c>
      <c r="S38" s="22">
        <f>Sheet1!T8</f>
        <v>0</v>
      </c>
      <c r="T38" s="22">
        <f>Sheet1!U8</f>
        <v>0</v>
      </c>
      <c r="U38" s="22">
        <f>Sheet1!V8</f>
        <v>0</v>
      </c>
      <c r="V38" s="22">
        <f>Sheet1!W8</f>
        <v>0</v>
      </c>
      <c r="W38" s="22">
        <f>Sheet1!X8</f>
        <v>0</v>
      </c>
      <c r="X38" s="22">
        <f>Sheet1!Y8</f>
        <v>0</v>
      </c>
      <c r="Y38" s="22">
        <f>Sheet1!Z8</f>
        <v>0</v>
      </c>
      <c r="Z38" s="22">
        <f>Sheet1!AA8</f>
        <v>0</v>
      </c>
      <c r="AA38" s="22">
        <f>Sheet1!AB8</f>
        <v>0</v>
      </c>
      <c r="AB38" s="22">
        <f>Sheet1!AC8</f>
        <v>0</v>
      </c>
      <c r="AC38" s="22">
        <f>Sheet1!AD8</f>
        <v>0</v>
      </c>
      <c r="AD38" s="22">
        <f>Sheet1!AE8</f>
        <v>0</v>
      </c>
      <c r="AE38" s="22">
        <f>Sheet1!AF8</f>
        <v>0</v>
      </c>
      <c r="AF38" s="22">
        <f>Sheet1!AG8</f>
        <v>0</v>
      </c>
      <c r="AG38" s="22">
        <f>Sheet1!AH8</f>
        <v>0</v>
      </c>
    </row>
    <row r="39" spans="2:34" ht="16.5">
      <c r="B39" s="74"/>
      <c r="C39" s="78"/>
      <c r="D39" s="21" t="s">
        <v>42</v>
      </c>
      <c r="E39" s="21" t="s">
        <v>34</v>
      </c>
      <c r="F39" s="22">
        <f>Sheet1!G9</f>
        <v>0</v>
      </c>
      <c r="G39" s="22">
        <f>Sheet1!H9</f>
        <v>0</v>
      </c>
      <c r="H39" s="22">
        <f>Sheet1!I9</f>
        <v>0</v>
      </c>
      <c r="I39" s="22">
        <f>Sheet1!J9</f>
        <v>0</v>
      </c>
      <c r="J39" s="22">
        <f>Sheet1!K9</f>
        <v>0</v>
      </c>
      <c r="K39" s="22">
        <f>Sheet1!L9</f>
        <v>0</v>
      </c>
      <c r="L39" s="22">
        <f>Sheet1!M9</f>
        <v>0</v>
      </c>
      <c r="M39" s="22">
        <f>Sheet1!N9</f>
        <v>0</v>
      </c>
      <c r="N39" s="22">
        <f>Sheet1!O9</f>
        <v>0</v>
      </c>
      <c r="O39" s="22">
        <f>Sheet1!P9</f>
        <v>0</v>
      </c>
      <c r="P39" s="22">
        <f>Sheet1!Q9</f>
        <v>0</v>
      </c>
      <c r="Q39" s="22">
        <f>Sheet1!R9</f>
        <v>0</v>
      </c>
      <c r="R39" s="22">
        <f>Sheet1!S9</f>
        <v>0</v>
      </c>
      <c r="S39" s="22">
        <f>Sheet1!T9</f>
        <v>0</v>
      </c>
      <c r="T39" s="22">
        <f>Sheet1!U9</f>
        <v>0</v>
      </c>
      <c r="U39" s="22">
        <f>Sheet1!V9</f>
        <v>0</v>
      </c>
      <c r="V39" s="22">
        <f>Sheet1!W9</f>
        <v>0</v>
      </c>
      <c r="W39" s="22">
        <f>Sheet1!X9</f>
        <v>0</v>
      </c>
      <c r="X39" s="22">
        <f>Sheet1!Y9</f>
        <v>0</v>
      </c>
      <c r="Y39" s="22">
        <f>Sheet1!Z9</f>
        <v>0</v>
      </c>
      <c r="Z39" s="22">
        <f>Sheet1!AA9</f>
        <v>0</v>
      </c>
      <c r="AA39" s="22">
        <f>Sheet1!AB9</f>
        <v>0</v>
      </c>
      <c r="AB39" s="22">
        <f>Sheet1!AC9</f>
        <v>0</v>
      </c>
      <c r="AC39" s="22">
        <f>Sheet1!AD9</f>
        <v>0</v>
      </c>
      <c r="AD39" s="22">
        <f>Sheet1!AE9</f>
        <v>0</v>
      </c>
      <c r="AE39" s="22">
        <f>Sheet1!AF9</f>
        <v>0</v>
      </c>
      <c r="AF39" s="22">
        <f>Sheet1!AG9</f>
        <v>0</v>
      </c>
      <c r="AG39" s="22">
        <f>Sheet1!AH9</f>
        <v>0</v>
      </c>
    </row>
    <row r="40" spans="2:34" ht="16.5">
      <c r="B40" s="74"/>
      <c r="C40" s="79"/>
      <c r="D40" s="23" t="s">
        <v>38</v>
      </c>
      <c r="E40" s="23"/>
      <c r="F40" s="24">
        <f>SUBTOTAL(9,F38:F39)</f>
        <v>0</v>
      </c>
      <c r="G40" s="24">
        <f t="shared" ref="G40:AF40" si="9">SUBTOTAL(9,G38:G39)</f>
        <v>0</v>
      </c>
      <c r="H40" s="24">
        <f t="shared" si="9"/>
        <v>0</v>
      </c>
      <c r="I40" s="24">
        <f t="shared" si="9"/>
        <v>0</v>
      </c>
      <c r="J40" s="24">
        <f t="shared" si="9"/>
        <v>0</v>
      </c>
      <c r="K40" s="24">
        <f t="shared" si="9"/>
        <v>0</v>
      </c>
      <c r="L40" s="24">
        <f t="shared" si="9"/>
        <v>0</v>
      </c>
      <c r="M40" s="24">
        <f t="shared" si="9"/>
        <v>0</v>
      </c>
      <c r="N40" s="24">
        <f t="shared" si="9"/>
        <v>0</v>
      </c>
      <c r="O40" s="24">
        <f t="shared" si="9"/>
        <v>0</v>
      </c>
      <c r="P40" s="24">
        <f t="shared" si="9"/>
        <v>0</v>
      </c>
      <c r="Q40" s="24">
        <f t="shared" si="9"/>
        <v>0</v>
      </c>
      <c r="R40" s="24">
        <f t="shared" si="9"/>
        <v>0</v>
      </c>
      <c r="S40" s="24">
        <f t="shared" si="9"/>
        <v>0</v>
      </c>
      <c r="T40" s="24">
        <f t="shared" si="9"/>
        <v>0</v>
      </c>
      <c r="U40" s="24">
        <f t="shared" si="9"/>
        <v>0</v>
      </c>
      <c r="V40" s="24">
        <f t="shared" si="9"/>
        <v>0</v>
      </c>
      <c r="W40" s="24">
        <f t="shared" si="9"/>
        <v>0</v>
      </c>
      <c r="X40" s="24">
        <f t="shared" si="9"/>
        <v>0</v>
      </c>
      <c r="Y40" s="24">
        <f t="shared" si="9"/>
        <v>0</v>
      </c>
      <c r="Z40" s="24">
        <f t="shared" si="9"/>
        <v>0</v>
      </c>
      <c r="AA40" s="24">
        <f t="shared" si="9"/>
        <v>0</v>
      </c>
      <c r="AB40" s="24">
        <f t="shared" si="9"/>
        <v>0</v>
      </c>
      <c r="AC40" s="24">
        <f t="shared" si="9"/>
        <v>0</v>
      </c>
      <c r="AD40" s="24">
        <f t="shared" si="9"/>
        <v>0</v>
      </c>
      <c r="AE40" s="24">
        <f t="shared" si="9"/>
        <v>0</v>
      </c>
      <c r="AF40" s="24">
        <f t="shared" si="9"/>
        <v>0</v>
      </c>
      <c r="AG40" s="22"/>
    </row>
    <row r="41" spans="2:34" ht="16.5">
      <c r="B41" s="74"/>
      <c r="C41" s="80" t="s">
        <v>43</v>
      </c>
      <c r="D41" s="21" t="s">
        <v>44</v>
      </c>
      <c r="E41" s="21" t="s">
        <v>45</v>
      </c>
      <c r="F41" s="22">
        <f>Sheet1!G10</f>
        <v>0</v>
      </c>
      <c r="G41" s="22">
        <f>Sheet1!H10</f>
        <v>0</v>
      </c>
      <c r="H41" s="22">
        <f>Sheet1!I10</f>
        <v>0</v>
      </c>
      <c r="I41" s="22">
        <f>Sheet1!J10</f>
        <v>0</v>
      </c>
      <c r="J41" s="22">
        <f>Sheet1!K10</f>
        <v>0</v>
      </c>
      <c r="K41" s="22">
        <f>Sheet1!L10</f>
        <v>0</v>
      </c>
      <c r="L41" s="22">
        <f>Sheet1!M10</f>
        <v>0</v>
      </c>
      <c r="M41" s="22">
        <f>Sheet1!N10</f>
        <v>0</v>
      </c>
      <c r="N41" s="22">
        <f>Sheet1!O10</f>
        <v>0</v>
      </c>
      <c r="O41" s="22">
        <f>Sheet1!P10</f>
        <v>0</v>
      </c>
      <c r="P41" s="22">
        <f>Sheet1!Q10</f>
        <v>0</v>
      </c>
      <c r="Q41" s="22">
        <f>Sheet1!R10</f>
        <v>0</v>
      </c>
      <c r="R41" s="22">
        <f>Sheet1!S10</f>
        <v>0</v>
      </c>
      <c r="S41" s="22">
        <f>Sheet1!T10</f>
        <v>0</v>
      </c>
      <c r="T41" s="22">
        <f>Sheet1!U10</f>
        <v>0</v>
      </c>
      <c r="U41" s="22">
        <f>Sheet1!V10</f>
        <v>0</v>
      </c>
      <c r="V41" s="22">
        <f>Sheet1!W10</f>
        <v>0</v>
      </c>
      <c r="W41" s="22">
        <f>Sheet1!X10</f>
        <v>0</v>
      </c>
      <c r="X41" s="22">
        <f>Sheet1!Y10</f>
        <v>0</v>
      </c>
      <c r="Y41" s="22">
        <f>Sheet1!Z10</f>
        <v>0</v>
      </c>
      <c r="Z41" s="22">
        <f>Sheet1!AA10</f>
        <v>0</v>
      </c>
      <c r="AA41" s="22">
        <f>Sheet1!AB10</f>
        <v>0</v>
      </c>
      <c r="AB41" s="22">
        <f>Sheet1!AC10</f>
        <v>0</v>
      </c>
      <c r="AC41" s="22">
        <f>Sheet1!AD10</f>
        <v>0</v>
      </c>
      <c r="AD41" s="22">
        <f>Sheet1!AE10</f>
        <v>0</v>
      </c>
      <c r="AE41" s="22">
        <f>Sheet1!AF10</f>
        <v>0</v>
      </c>
      <c r="AF41" s="22">
        <f>Sheet1!AG10</f>
        <v>0</v>
      </c>
      <c r="AG41" s="22">
        <f>Sheet1!AH10</f>
        <v>0</v>
      </c>
      <c r="AH41" t="e">
        <f t="shared" ref="AH41:AH44" si="10">+((M41+O41)/11.5)/F41</f>
        <v>#DIV/0!</v>
      </c>
    </row>
    <row r="42" spans="2:34" ht="16.5">
      <c r="B42" s="74"/>
      <c r="C42" s="80"/>
      <c r="D42" s="21" t="s">
        <v>46</v>
      </c>
      <c r="E42" s="21" t="s">
        <v>34</v>
      </c>
      <c r="F42" s="22">
        <f>Sheet1!G11</f>
        <v>0</v>
      </c>
      <c r="G42" s="22">
        <f>Sheet1!H11</f>
        <v>0</v>
      </c>
      <c r="H42" s="22">
        <f>Sheet1!I11</f>
        <v>0</v>
      </c>
      <c r="I42" s="22">
        <f>Sheet1!J11</f>
        <v>0</v>
      </c>
      <c r="J42" s="22">
        <f>Sheet1!K11</f>
        <v>0</v>
      </c>
      <c r="K42" s="22">
        <f>Sheet1!L11</f>
        <v>0</v>
      </c>
      <c r="L42" s="22">
        <f>Sheet1!M11</f>
        <v>0</v>
      </c>
      <c r="M42" s="22">
        <f>Sheet1!N11</f>
        <v>0</v>
      </c>
      <c r="N42" s="22">
        <f>Sheet1!O11</f>
        <v>0</v>
      </c>
      <c r="O42" s="22">
        <f>Sheet1!P11</f>
        <v>0</v>
      </c>
      <c r="P42" s="22">
        <f>Sheet1!Q11</f>
        <v>0</v>
      </c>
      <c r="Q42" s="22">
        <f>Sheet1!R11</f>
        <v>0</v>
      </c>
      <c r="R42" s="22">
        <f>Sheet1!S11</f>
        <v>0</v>
      </c>
      <c r="S42" s="22">
        <f>Sheet1!T11</f>
        <v>0</v>
      </c>
      <c r="T42" s="22">
        <f>Sheet1!U11</f>
        <v>0</v>
      </c>
      <c r="U42" s="22">
        <f>Sheet1!V11</f>
        <v>0</v>
      </c>
      <c r="V42" s="22">
        <f>Sheet1!W11</f>
        <v>0</v>
      </c>
      <c r="W42" s="22">
        <f>Sheet1!X11</f>
        <v>0</v>
      </c>
      <c r="X42" s="22">
        <f>Sheet1!Y11</f>
        <v>0</v>
      </c>
      <c r="Y42" s="22">
        <f>Sheet1!Z11</f>
        <v>0</v>
      </c>
      <c r="Z42" s="22">
        <f>Sheet1!AA11</f>
        <v>0</v>
      </c>
      <c r="AA42" s="22">
        <f>Sheet1!AB11</f>
        <v>0</v>
      </c>
      <c r="AB42" s="22">
        <f>Sheet1!AC11</f>
        <v>0</v>
      </c>
      <c r="AC42" s="22">
        <f>Sheet1!AD11</f>
        <v>0</v>
      </c>
      <c r="AD42" s="22">
        <f>Sheet1!AE11</f>
        <v>0</v>
      </c>
      <c r="AE42" s="22">
        <f>Sheet1!AF11</f>
        <v>0</v>
      </c>
      <c r="AF42" s="22">
        <f>Sheet1!AG11</f>
        <v>0</v>
      </c>
      <c r="AG42" s="22">
        <f>Sheet1!AH11</f>
        <v>0</v>
      </c>
      <c r="AH42" t="e">
        <f t="shared" si="10"/>
        <v>#DIV/0!</v>
      </c>
    </row>
    <row r="43" spans="2:34" ht="16.5">
      <c r="B43" s="74"/>
      <c r="C43" s="80"/>
      <c r="D43" s="21" t="s">
        <v>47</v>
      </c>
      <c r="E43" s="21" t="s">
        <v>45</v>
      </c>
      <c r="F43" s="22">
        <f>Sheet1!G13</f>
        <v>0</v>
      </c>
      <c r="G43" s="22">
        <f>Sheet1!H13</f>
        <v>0</v>
      </c>
      <c r="H43" s="22">
        <f>Sheet1!I13</f>
        <v>0</v>
      </c>
      <c r="I43" s="22">
        <f>Sheet1!J13</f>
        <v>0</v>
      </c>
      <c r="J43" s="22">
        <f>Sheet1!K13</f>
        <v>0</v>
      </c>
      <c r="K43" s="22">
        <f>Sheet1!L13</f>
        <v>0</v>
      </c>
      <c r="L43" s="22">
        <f>Sheet1!M13</f>
        <v>0</v>
      </c>
      <c r="M43" s="22">
        <f>Sheet1!N13</f>
        <v>0</v>
      </c>
      <c r="N43" s="22">
        <f>Sheet1!O13</f>
        <v>0</v>
      </c>
      <c r="O43" s="22">
        <f>Sheet1!P13</f>
        <v>0</v>
      </c>
      <c r="P43" s="22">
        <f>Sheet1!Q13</f>
        <v>0</v>
      </c>
      <c r="Q43" s="22">
        <f>Sheet1!R13</f>
        <v>0</v>
      </c>
      <c r="R43" s="22">
        <f>Sheet1!S13</f>
        <v>0</v>
      </c>
      <c r="S43" s="22">
        <f>Sheet1!T13</f>
        <v>0</v>
      </c>
      <c r="T43" s="22">
        <f>Sheet1!U13</f>
        <v>0</v>
      </c>
      <c r="U43" s="22">
        <f>Sheet1!V13</f>
        <v>0</v>
      </c>
      <c r="V43" s="22">
        <f>Sheet1!W13</f>
        <v>0</v>
      </c>
      <c r="W43" s="22">
        <f>Sheet1!X13</f>
        <v>0</v>
      </c>
      <c r="X43" s="22">
        <f>Sheet1!Y13</f>
        <v>0</v>
      </c>
      <c r="Y43" s="22">
        <f>Sheet1!Z13</f>
        <v>0</v>
      </c>
      <c r="Z43" s="22">
        <f>Sheet1!AA13</f>
        <v>0</v>
      </c>
      <c r="AA43" s="22">
        <f>Sheet1!AB13</f>
        <v>0</v>
      </c>
      <c r="AB43" s="22">
        <f>Sheet1!AC13</f>
        <v>0</v>
      </c>
      <c r="AC43" s="22">
        <f>Sheet1!AD13</f>
        <v>0</v>
      </c>
      <c r="AD43" s="22">
        <f>Sheet1!AE13</f>
        <v>0</v>
      </c>
      <c r="AE43" s="22">
        <f>Sheet1!AF13</f>
        <v>0</v>
      </c>
      <c r="AF43" s="22">
        <f>Sheet1!AG13</f>
        <v>0</v>
      </c>
      <c r="AG43" s="22">
        <f>Sheet1!AH13</f>
        <v>0</v>
      </c>
      <c r="AH43" t="e">
        <f t="shared" si="10"/>
        <v>#DIV/0!</v>
      </c>
    </row>
    <row r="44" spans="2:34" ht="16.5">
      <c r="B44" s="74"/>
      <c r="C44" s="80"/>
      <c r="D44" s="21" t="s">
        <v>48</v>
      </c>
      <c r="E44" s="21" t="s">
        <v>45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t="e">
        <f t="shared" si="10"/>
        <v>#DIV/0!</v>
      </c>
    </row>
    <row r="45" spans="2:34" ht="16.5">
      <c r="B45" s="74"/>
      <c r="C45" s="80"/>
      <c r="D45" s="23" t="s">
        <v>38</v>
      </c>
      <c r="E45" s="23"/>
      <c r="F45" s="24">
        <f>SUBTOTAL(9,F41:F44)</f>
        <v>0</v>
      </c>
      <c r="G45" s="24">
        <f t="shared" ref="G45:AF45" si="11">SUBTOTAL(9,G41:G44)</f>
        <v>0</v>
      </c>
      <c r="H45" s="24">
        <f t="shared" si="11"/>
        <v>0</v>
      </c>
      <c r="I45" s="24">
        <f t="shared" si="11"/>
        <v>0</v>
      </c>
      <c r="J45" s="24">
        <f t="shared" si="11"/>
        <v>0</v>
      </c>
      <c r="K45" s="24">
        <f t="shared" si="11"/>
        <v>0</v>
      </c>
      <c r="L45" s="24">
        <f t="shared" si="11"/>
        <v>0</v>
      </c>
      <c r="M45" s="24">
        <f t="shared" si="11"/>
        <v>0</v>
      </c>
      <c r="N45" s="24">
        <f t="shared" si="11"/>
        <v>0</v>
      </c>
      <c r="O45" s="24">
        <f t="shared" si="11"/>
        <v>0</v>
      </c>
      <c r="P45" s="24">
        <f t="shared" si="11"/>
        <v>0</v>
      </c>
      <c r="Q45" s="24">
        <f t="shared" si="11"/>
        <v>0</v>
      </c>
      <c r="R45" s="24">
        <f t="shared" si="11"/>
        <v>0</v>
      </c>
      <c r="S45" s="24">
        <f t="shared" si="11"/>
        <v>0</v>
      </c>
      <c r="T45" s="24">
        <f t="shared" si="11"/>
        <v>0</v>
      </c>
      <c r="U45" s="24">
        <f t="shared" si="11"/>
        <v>0</v>
      </c>
      <c r="V45" s="24">
        <f t="shared" si="11"/>
        <v>0</v>
      </c>
      <c r="W45" s="24">
        <f t="shared" si="11"/>
        <v>0</v>
      </c>
      <c r="X45" s="24">
        <f t="shared" si="11"/>
        <v>0</v>
      </c>
      <c r="Y45" s="24">
        <f t="shared" si="11"/>
        <v>0</v>
      </c>
      <c r="Z45" s="24">
        <f t="shared" si="11"/>
        <v>0</v>
      </c>
      <c r="AA45" s="24">
        <f t="shared" si="11"/>
        <v>0</v>
      </c>
      <c r="AB45" s="24">
        <f t="shared" si="11"/>
        <v>0</v>
      </c>
      <c r="AC45" s="24">
        <f t="shared" si="11"/>
        <v>0</v>
      </c>
      <c r="AD45" s="24">
        <f t="shared" si="11"/>
        <v>0</v>
      </c>
      <c r="AE45" s="24">
        <f t="shared" si="11"/>
        <v>0</v>
      </c>
      <c r="AF45" s="24">
        <f t="shared" si="11"/>
        <v>0</v>
      </c>
      <c r="AG45" s="22"/>
      <c r="AH45" t="e">
        <f>+((M45+O45)/11.5)/F45</f>
        <v>#DIV/0!</v>
      </c>
    </row>
    <row r="46" spans="2:34" ht="16.5">
      <c r="B46" s="74"/>
      <c r="C46" s="81" t="s">
        <v>49</v>
      </c>
      <c r="D46" s="21" t="s">
        <v>50</v>
      </c>
      <c r="E46" s="21" t="s">
        <v>45</v>
      </c>
      <c r="F46" s="22">
        <f>Sheet1!G14</f>
        <v>0</v>
      </c>
      <c r="G46" s="22">
        <f>Sheet1!H14</f>
        <v>0</v>
      </c>
      <c r="H46" s="22">
        <f>Sheet1!I14</f>
        <v>0</v>
      </c>
      <c r="I46" s="22">
        <f>Sheet1!J14</f>
        <v>0</v>
      </c>
      <c r="J46" s="22">
        <f>Sheet1!K14</f>
        <v>0</v>
      </c>
      <c r="K46" s="22">
        <f>Sheet1!L14</f>
        <v>0</v>
      </c>
      <c r="L46" s="22">
        <f>Sheet1!M14</f>
        <v>0</v>
      </c>
      <c r="M46" s="22">
        <f>Sheet1!N14</f>
        <v>0</v>
      </c>
      <c r="N46" s="22">
        <f>Sheet1!O14</f>
        <v>0</v>
      </c>
      <c r="O46" s="22">
        <f>Sheet1!P14</f>
        <v>0</v>
      </c>
      <c r="P46" s="22">
        <f>Sheet1!Q14</f>
        <v>0</v>
      </c>
      <c r="Q46" s="22">
        <f>Sheet1!R14</f>
        <v>0</v>
      </c>
      <c r="R46" s="22">
        <f>Sheet1!S14</f>
        <v>0</v>
      </c>
      <c r="S46" s="22">
        <f>Sheet1!T14</f>
        <v>0</v>
      </c>
      <c r="T46" s="22">
        <f>Sheet1!U14</f>
        <v>0</v>
      </c>
      <c r="U46" s="22">
        <f>Sheet1!V14</f>
        <v>0</v>
      </c>
      <c r="V46" s="22">
        <f>Sheet1!W14</f>
        <v>0</v>
      </c>
      <c r="W46" s="22">
        <f>Sheet1!X14</f>
        <v>0</v>
      </c>
      <c r="X46" s="22">
        <f>Sheet1!Y14</f>
        <v>0</v>
      </c>
      <c r="Y46" s="22">
        <f>Sheet1!Z14</f>
        <v>0</v>
      </c>
      <c r="Z46" s="22">
        <f>Sheet1!AA14</f>
        <v>0</v>
      </c>
      <c r="AA46" s="22">
        <f>Sheet1!AB14</f>
        <v>0</v>
      </c>
      <c r="AB46" s="22">
        <f>Sheet1!AC14</f>
        <v>0</v>
      </c>
      <c r="AC46" s="22">
        <f>Sheet1!AD14</f>
        <v>0</v>
      </c>
      <c r="AD46" s="22">
        <f>Sheet1!AE14</f>
        <v>0</v>
      </c>
      <c r="AE46" s="22">
        <f>Sheet1!AF14</f>
        <v>0</v>
      </c>
      <c r="AF46" s="22">
        <f>Sheet1!AG14</f>
        <v>0</v>
      </c>
      <c r="AG46" s="22">
        <f>Sheet1!AH14</f>
        <v>0</v>
      </c>
      <c r="AH46" t="e">
        <f>+((M46+O46)/11)/F46</f>
        <v>#DIV/0!</v>
      </c>
    </row>
    <row r="47" spans="2:34" ht="16.5">
      <c r="B47" s="74"/>
      <c r="C47" s="81"/>
      <c r="D47" s="21" t="s">
        <v>51</v>
      </c>
      <c r="E47" s="21" t="s">
        <v>45</v>
      </c>
      <c r="F47" s="22">
        <f>Sheet1!G15</f>
        <v>0</v>
      </c>
      <c r="G47" s="22">
        <f>Sheet1!H15</f>
        <v>0</v>
      </c>
      <c r="H47" s="22">
        <f>Sheet1!I15</f>
        <v>0</v>
      </c>
      <c r="I47" s="22">
        <f>Sheet1!J15</f>
        <v>0</v>
      </c>
      <c r="J47" s="22">
        <f>Sheet1!K15</f>
        <v>0</v>
      </c>
      <c r="K47" s="22">
        <f>Sheet1!L15</f>
        <v>0</v>
      </c>
      <c r="L47" s="22">
        <f>Sheet1!M15</f>
        <v>0</v>
      </c>
      <c r="M47" s="22">
        <f>Sheet1!N15</f>
        <v>0</v>
      </c>
      <c r="N47" s="22">
        <f>Sheet1!O15</f>
        <v>0</v>
      </c>
      <c r="O47" s="22">
        <f>Sheet1!P15</f>
        <v>0</v>
      </c>
      <c r="P47" s="22">
        <f>Sheet1!Q15</f>
        <v>0</v>
      </c>
      <c r="Q47" s="22">
        <f>Sheet1!R15</f>
        <v>0</v>
      </c>
      <c r="R47" s="22">
        <f>Sheet1!S15</f>
        <v>0</v>
      </c>
      <c r="S47" s="22">
        <f>Sheet1!T15</f>
        <v>0</v>
      </c>
      <c r="T47" s="22">
        <f>Sheet1!U15</f>
        <v>0</v>
      </c>
      <c r="U47" s="22">
        <f>Sheet1!V15</f>
        <v>0</v>
      </c>
      <c r="V47" s="22">
        <f>Sheet1!W15</f>
        <v>0</v>
      </c>
      <c r="W47" s="22">
        <f>Sheet1!X15</f>
        <v>0</v>
      </c>
      <c r="X47" s="22">
        <f>Sheet1!Y15</f>
        <v>0</v>
      </c>
      <c r="Y47" s="22">
        <f>Sheet1!Z15</f>
        <v>0</v>
      </c>
      <c r="Z47" s="22">
        <f>Sheet1!AA15</f>
        <v>0</v>
      </c>
      <c r="AA47" s="22">
        <f>Sheet1!AB15</f>
        <v>0</v>
      </c>
      <c r="AB47" s="22">
        <f>Sheet1!AC15</f>
        <v>0</v>
      </c>
      <c r="AC47" s="22">
        <f>Sheet1!AD15</f>
        <v>0</v>
      </c>
      <c r="AD47" s="22">
        <f>Sheet1!AE15</f>
        <v>0</v>
      </c>
      <c r="AE47" s="22">
        <f>Sheet1!AF15</f>
        <v>0</v>
      </c>
      <c r="AF47" s="22">
        <f>Sheet1!AG15</f>
        <v>0</v>
      </c>
      <c r="AG47" s="22">
        <f>Sheet1!AH15</f>
        <v>0</v>
      </c>
      <c r="AH47" t="e">
        <f t="shared" ref="AH47:AH52" si="12">+((M47+O47)/11)/F47</f>
        <v>#DIV/0!</v>
      </c>
    </row>
    <row r="48" spans="2:34" ht="16.5">
      <c r="B48" s="74"/>
      <c r="C48" s="81"/>
      <c r="D48" s="21" t="s">
        <v>52</v>
      </c>
      <c r="E48" s="21" t="s">
        <v>45</v>
      </c>
      <c r="F48" s="22">
        <f>Sheet1!G16</f>
        <v>0</v>
      </c>
      <c r="G48" s="22">
        <f>Sheet1!H16</f>
        <v>0</v>
      </c>
      <c r="H48" s="22">
        <f>Sheet1!I16</f>
        <v>0</v>
      </c>
      <c r="I48" s="22">
        <f>Sheet1!J16</f>
        <v>0</v>
      </c>
      <c r="J48" s="22">
        <f>Sheet1!K16</f>
        <v>0</v>
      </c>
      <c r="K48" s="22">
        <f>Sheet1!L16</f>
        <v>0</v>
      </c>
      <c r="L48" s="22">
        <f>Sheet1!M16</f>
        <v>0</v>
      </c>
      <c r="M48" s="22">
        <f>Sheet1!N16</f>
        <v>0</v>
      </c>
      <c r="N48" s="22">
        <f>Sheet1!O16</f>
        <v>0</v>
      </c>
      <c r="O48" s="22">
        <f>Sheet1!P16</f>
        <v>0</v>
      </c>
      <c r="P48" s="22">
        <f>Sheet1!Q16</f>
        <v>0</v>
      </c>
      <c r="Q48" s="22">
        <f>Sheet1!R16</f>
        <v>0</v>
      </c>
      <c r="R48" s="22">
        <f>Sheet1!S16</f>
        <v>0</v>
      </c>
      <c r="S48" s="22">
        <f>Sheet1!T16</f>
        <v>0</v>
      </c>
      <c r="T48" s="22">
        <f>Sheet1!U16</f>
        <v>0</v>
      </c>
      <c r="U48" s="22">
        <f>Sheet1!V16</f>
        <v>0</v>
      </c>
      <c r="V48" s="22">
        <f>Sheet1!W16</f>
        <v>0</v>
      </c>
      <c r="W48" s="22">
        <f>Sheet1!X16</f>
        <v>0</v>
      </c>
      <c r="X48" s="22">
        <f>Sheet1!Y16</f>
        <v>0</v>
      </c>
      <c r="Y48" s="22">
        <f>Sheet1!Z16</f>
        <v>0</v>
      </c>
      <c r="Z48" s="22">
        <f>Sheet1!AA16</f>
        <v>0</v>
      </c>
      <c r="AA48" s="22">
        <f>Sheet1!AB16</f>
        <v>0</v>
      </c>
      <c r="AB48" s="22">
        <f>Sheet1!AC16</f>
        <v>0</v>
      </c>
      <c r="AC48" s="22">
        <f>Sheet1!AD16</f>
        <v>0</v>
      </c>
      <c r="AD48" s="22">
        <f>Sheet1!AE16</f>
        <v>0</v>
      </c>
      <c r="AE48" s="22">
        <f>Sheet1!AF16</f>
        <v>0</v>
      </c>
      <c r="AF48" s="22">
        <f>Sheet1!AG16</f>
        <v>0</v>
      </c>
      <c r="AG48" s="22">
        <f>Sheet1!AH16</f>
        <v>0</v>
      </c>
      <c r="AH48" t="e">
        <f t="shared" si="12"/>
        <v>#DIV/0!</v>
      </c>
    </row>
    <row r="49" spans="2:34" ht="16.5">
      <c r="B49" s="74"/>
      <c r="C49" s="81"/>
      <c r="D49" s="21" t="s">
        <v>53</v>
      </c>
      <c r="E49" s="21" t="s">
        <v>34</v>
      </c>
      <c r="F49" s="22">
        <f>Sheet1!G19</f>
        <v>0</v>
      </c>
      <c r="G49" s="22">
        <f>Sheet1!H19</f>
        <v>0</v>
      </c>
      <c r="H49" s="22">
        <f>Sheet1!I19</f>
        <v>0</v>
      </c>
      <c r="I49" s="22">
        <f>Sheet1!J19</f>
        <v>0</v>
      </c>
      <c r="J49" s="22">
        <f>Sheet1!K19</f>
        <v>0</v>
      </c>
      <c r="K49" s="22">
        <f>Sheet1!L19</f>
        <v>0</v>
      </c>
      <c r="L49" s="22">
        <f>Sheet1!M19</f>
        <v>0</v>
      </c>
      <c r="M49" s="22">
        <f>Sheet1!N19</f>
        <v>0</v>
      </c>
      <c r="N49" s="22">
        <f>Sheet1!O19</f>
        <v>0</v>
      </c>
      <c r="O49" s="22">
        <f>Sheet1!P19</f>
        <v>0</v>
      </c>
      <c r="P49" s="22">
        <f>Sheet1!Q19</f>
        <v>0</v>
      </c>
      <c r="Q49" s="22">
        <f>Sheet1!R19</f>
        <v>0</v>
      </c>
      <c r="R49" s="22">
        <f>Sheet1!S19</f>
        <v>0</v>
      </c>
      <c r="S49" s="22">
        <f>Sheet1!T19</f>
        <v>0</v>
      </c>
      <c r="T49" s="22">
        <f>Sheet1!U19</f>
        <v>0</v>
      </c>
      <c r="U49" s="22">
        <f>Sheet1!V19</f>
        <v>0</v>
      </c>
      <c r="V49" s="22">
        <f>Sheet1!W19</f>
        <v>0</v>
      </c>
      <c r="W49" s="22">
        <f>Sheet1!X19</f>
        <v>0</v>
      </c>
      <c r="X49" s="22">
        <f>Sheet1!Y19</f>
        <v>0</v>
      </c>
      <c r="Y49" s="22">
        <f>Sheet1!Z19</f>
        <v>0</v>
      </c>
      <c r="Z49" s="22">
        <f>Sheet1!AA19</f>
        <v>0</v>
      </c>
      <c r="AA49" s="22">
        <f>Sheet1!AB19</f>
        <v>0</v>
      </c>
      <c r="AB49" s="22">
        <f>Sheet1!AC19</f>
        <v>0</v>
      </c>
      <c r="AC49" s="22">
        <f>Sheet1!AD19</f>
        <v>0</v>
      </c>
      <c r="AD49" s="22">
        <f>Sheet1!AE19</f>
        <v>0</v>
      </c>
      <c r="AE49" s="22">
        <f>Sheet1!AF19</f>
        <v>0</v>
      </c>
      <c r="AF49" s="22">
        <f>Sheet1!AG19</f>
        <v>0</v>
      </c>
      <c r="AG49" s="22">
        <f>Sheet1!AH19</f>
        <v>0</v>
      </c>
      <c r="AH49" t="e">
        <f t="shared" si="12"/>
        <v>#DIV/0!</v>
      </c>
    </row>
    <row r="50" spans="2:34" ht="16.5">
      <c r="B50" s="74"/>
      <c r="C50" s="81"/>
      <c r="D50" s="21" t="s">
        <v>54</v>
      </c>
      <c r="E50" s="21" t="s">
        <v>34</v>
      </c>
      <c r="F50" s="22">
        <f>Sheet1!G20</f>
        <v>0</v>
      </c>
      <c r="G50" s="22">
        <f>Sheet1!H20</f>
        <v>0</v>
      </c>
      <c r="H50" s="22">
        <f>Sheet1!I20</f>
        <v>0</v>
      </c>
      <c r="I50" s="22">
        <f>Sheet1!J20</f>
        <v>0</v>
      </c>
      <c r="J50" s="22">
        <f>Sheet1!K20</f>
        <v>0</v>
      </c>
      <c r="K50" s="22">
        <f>Sheet1!L20</f>
        <v>0</v>
      </c>
      <c r="L50" s="22">
        <f>Sheet1!M20</f>
        <v>0</v>
      </c>
      <c r="M50" s="22">
        <f>Sheet1!N20</f>
        <v>0</v>
      </c>
      <c r="N50" s="22">
        <f>Sheet1!O20</f>
        <v>0</v>
      </c>
      <c r="O50" s="22">
        <f>Sheet1!P20</f>
        <v>0</v>
      </c>
      <c r="P50" s="22">
        <f>Sheet1!Q20</f>
        <v>0</v>
      </c>
      <c r="Q50" s="22">
        <f>Sheet1!R20</f>
        <v>0</v>
      </c>
      <c r="R50" s="22">
        <f>Sheet1!S20</f>
        <v>0</v>
      </c>
      <c r="S50" s="22">
        <f>Sheet1!T20</f>
        <v>0</v>
      </c>
      <c r="T50" s="22">
        <f>Sheet1!U20</f>
        <v>0</v>
      </c>
      <c r="U50" s="22">
        <f>Sheet1!V20</f>
        <v>0</v>
      </c>
      <c r="V50" s="22">
        <f>Sheet1!W20</f>
        <v>0</v>
      </c>
      <c r="W50" s="22">
        <f>Sheet1!X20</f>
        <v>0</v>
      </c>
      <c r="X50" s="22">
        <f>Sheet1!Y20</f>
        <v>0</v>
      </c>
      <c r="Y50" s="22">
        <f>Sheet1!Z20</f>
        <v>0</v>
      </c>
      <c r="Z50" s="22">
        <f>Sheet1!AA20</f>
        <v>0</v>
      </c>
      <c r="AA50" s="22">
        <f>Sheet1!AB20</f>
        <v>0</v>
      </c>
      <c r="AB50" s="22">
        <f>Sheet1!AC20</f>
        <v>0</v>
      </c>
      <c r="AC50" s="22">
        <f>Sheet1!AD20</f>
        <v>0</v>
      </c>
      <c r="AD50" s="22">
        <f>Sheet1!AE20</f>
        <v>0</v>
      </c>
      <c r="AE50" s="22">
        <f>Sheet1!AF20</f>
        <v>0</v>
      </c>
      <c r="AF50" s="22">
        <f>Sheet1!AG20</f>
        <v>0</v>
      </c>
      <c r="AG50" s="22">
        <f>Sheet1!AH20</f>
        <v>0</v>
      </c>
      <c r="AH50" t="e">
        <f t="shared" si="12"/>
        <v>#DIV/0!</v>
      </c>
    </row>
    <row r="51" spans="2:34" ht="16.5">
      <c r="B51" s="74"/>
      <c r="C51" s="81"/>
      <c r="D51" s="21" t="s">
        <v>55</v>
      </c>
      <c r="E51" s="21" t="s">
        <v>45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t="e">
        <f t="shared" si="12"/>
        <v>#DIV/0!</v>
      </c>
    </row>
    <row r="52" spans="2:34" ht="16.5">
      <c r="B52" s="74"/>
      <c r="C52" s="81"/>
      <c r="D52" s="25" t="s">
        <v>38</v>
      </c>
      <c r="E52" s="25"/>
      <c r="F52" s="24">
        <f>SUBTOTAL(9,F46:F51)</f>
        <v>0</v>
      </c>
      <c r="G52" s="24">
        <f t="shared" ref="G52:AF52" si="13">SUBTOTAL(9,G46:G51)</f>
        <v>0</v>
      </c>
      <c r="H52" s="24">
        <f t="shared" si="13"/>
        <v>0</v>
      </c>
      <c r="I52" s="24">
        <f t="shared" si="13"/>
        <v>0</v>
      </c>
      <c r="J52" s="24">
        <f t="shared" si="13"/>
        <v>0</v>
      </c>
      <c r="K52" s="24">
        <f t="shared" si="13"/>
        <v>0</v>
      </c>
      <c r="L52" s="24">
        <f t="shared" si="13"/>
        <v>0</v>
      </c>
      <c r="M52" s="24">
        <f t="shared" si="13"/>
        <v>0</v>
      </c>
      <c r="N52" s="24">
        <f t="shared" si="13"/>
        <v>0</v>
      </c>
      <c r="O52" s="24">
        <f t="shared" si="13"/>
        <v>0</v>
      </c>
      <c r="P52" s="24">
        <f t="shared" si="13"/>
        <v>0</v>
      </c>
      <c r="Q52" s="24">
        <f t="shared" si="13"/>
        <v>0</v>
      </c>
      <c r="R52" s="24">
        <f t="shared" si="13"/>
        <v>0</v>
      </c>
      <c r="S52" s="24">
        <f t="shared" si="13"/>
        <v>0</v>
      </c>
      <c r="T52" s="24">
        <f t="shared" si="13"/>
        <v>0</v>
      </c>
      <c r="U52" s="24">
        <f t="shared" si="13"/>
        <v>0</v>
      </c>
      <c r="V52" s="24">
        <f t="shared" si="13"/>
        <v>0</v>
      </c>
      <c r="W52" s="24">
        <f t="shared" si="13"/>
        <v>0</v>
      </c>
      <c r="X52" s="24">
        <f t="shared" si="13"/>
        <v>0</v>
      </c>
      <c r="Y52" s="24">
        <f t="shared" si="13"/>
        <v>0</v>
      </c>
      <c r="Z52" s="24">
        <f t="shared" si="13"/>
        <v>0</v>
      </c>
      <c r="AA52" s="24">
        <f t="shared" si="13"/>
        <v>0</v>
      </c>
      <c r="AB52" s="24">
        <f t="shared" si="13"/>
        <v>0</v>
      </c>
      <c r="AC52" s="24">
        <f t="shared" si="13"/>
        <v>0</v>
      </c>
      <c r="AD52" s="24">
        <f t="shared" si="13"/>
        <v>0</v>
      </c>
      <c r="AE52" s="24">
        <f t="shared" si="13"/>
        <v>0</v>
      </c>
      <c r="AF52" s="24">
        <f t="shared" si="13"/>
        <v>0</v>
      </c>
      <c r="AG52" s="22"/>
      <c r="AH52" t="e">
        <f t="shared" si="12"/>
        <v>#DIV/0!</v>
      </c>
    </row>
    <row r="53" spans="2:34" ht="16.5">
      <c r="B53" s="74" t="s">
        <v>56</v>
      </c>
      <c r="C53" s="26" t="s">
        <v>57</v>
      </c>
      <c r="D53" s="26" t="s">
        <v>57</v>
      </c>
      <c r="E53" s="26" t="s">
        <v>34</v>
      </c>
      <c r="F53" s="22">
        <f>Sheet1!G21</f>
        <v>0</v>
      </c>
      <c r="G53" s="22">
        <f>Sheet1!H21</f>
        <v>0</v>
      </c>
      <c r="H53" s="22">
        <f>Sheet1!I21</f>
        <v>0</v>
      </c>
      <c r="I53" s="22">
        <f>Sheet1!J21</f>
        <v>0</v>
      </c>
      <c r="J53" s="22">
        <f>Sheet1!K21</f>
        <v>0</v>
      </c>
      <c r="K53" s="22">
        <f>Sheet1!L21</f>
        <v>0</v>
      </c>
      <c r="L53" s="22">
        <f>Sheet1!M21</f>
        <v>0</v>
      </c>
      <c r="M53" s="22">
        <f>Sheet1!N21</f>
        <v>0</v>
      </c>
      <c r="N53" s="22">
        <f>Sheet1!O21</f>
        <v>0</v>
      </c>
      <c r="O53" s="22">
        <f>Sheet1!P21</f>
        <v>0</v>
      </c>
      <c r="P53" s="22">
        <f>Sheet1!Q21</f>
        <v>0</v>
      </c>
      <c r="Q53" s="22">
        <f>Sheet1!R21</f>
        <v>0</v>
      </c>
      <c r="R53" s="22">
        <f>Sheet1!S21</f>
        <v>0</v>
      </c>
      <c r="S53" s="22">
        <f>Sheet1!T21</f>
        <v>0</v>
      </c>
      <c r="T53" s="22">
        <f>Sheet1!U21</f>
        <v>0</v>
      </c>
      <c r="U53" s="22">
        <f>Sheet1!V21</f>
        <v>0</v>
      </c>
      <c r="V53" s="22">
        <f>Sheet1!W21</f>
        <v>0</v>
      </c>
      <c r="W53" s="22">
        <f>Sheet1!X21</f>
        <v>0</v>
      </c>
      <c r="X53" s="22">
        <f>Sheet1!Y21</f>
        <v>0</v>
      </c>
      <c r="Y53" s="22">
        <f>Sheet1!Z21</f>
        <v>0</v>
      </c>
      <c r="Z53" s="22">
        <f>Sheet1!AA21</f>
        <v>0</v>
      </c>
      <c r="AA53" s="22">
        <f>Sheet1!AB21</f>
        <v>0</v>
      </c>
      <c r="AB53" s="22">
        <f>Sheet1!AC21</f>
        <v>0</v>
      </c>
      <c r="AC53" s="22">
        <f>Sheet1!AD21</f>
        <v>0</v>
      </c>
      <c r="AD53" s="22">
        <f>Sheet1!AE21</f>
        <v>0</v>
      </c>
      <c r="AE53" s="22">
        <f>Sheet1!AF21</f>
        <v>0</v>
      </c>
      <c r="AF53" s="22">
        <f>Sheet1!AG21</f>
        <v>0</v>
      </c>
      <c r="AG53" s="22">
        <f>Sheet1!AH21</f>
        <v>0</v>
      </c>
    </row>
    <row r="54" spans="2:34" ht="16.5">
      <c r="B54" s="74"/>
      <c r="C54" s="27" t="s">
        <v>58</v>
      </c>
      <c r="D54" s="27" t="s">
        <v>58</v>
      </c>
      <c r="E54" s="27" t="s">
        <v>34</v>
      </c>
      <c r="F54" s="22">
        <f>Sheet1!G22</f>
        <v>0</v>
      </c>
      <c r="G54" s="22">
        <f>Sheet1!H22</f>
        <v>0</v>
      </c>
      <c r="H54" s="22">
        <f>Sheet1!I22</f>
        <v>0</v>
      </c>
      <c r="I54" s="22">
        <f>Sheet1!J22</f>
        <v>0</v>
      </c>
      <c r="J54" s="22">
        <f>Sheet1!K22</f>
        <v>0</v>
      </c>
      <c r="K54" s="22">
        <f>Sheet1!L22</f>
        <v>0</v>
      </c>
      <c r="L54" s="22">
        <f>Sheet1!M22</f>
        <v>0</v>
      </c>
      <c r="M54" s="22">
        <f>Sheet1!N22</f>
        <v>0</v>
      </c>
      <c r="N54" s="22">
        <f>Sheet1!O22</f>
        <v>0</v>
      </c>
      <c r="O54" s="22">
        <f>Sheet1!P22</f>
        <v>0</v>
      </c>
      <c r="P54" s="22">
        <f>Sheet1!Q22</f>
        <v>0</v>
      </c>
      <c r="Q54" s="22">
        <f>Sheet1!R22</f>
        <v>0</v>
      </c>
      <c r="R54" s="22">
        <f>Sheet1!S22</f>
        <v>0</v>
      </c>
      <c r="S54" s="22">
        <f>Sheet1!T22</f>
        <v>0</v>
      </c>
      <c r="T54" s="22">
        <f>Sheet1!U22</f>
        <v>0</v>
      </c>
      <c r="U54" s="22">
        <f>Sheet1!V22</f>
        <v>0</v>
      </c>
      <c r="V54" s="22">
        <f>Sheet1!W22</f>
        <v>0</v>
      </c>
      <c r="W54" s="22">
        <f>Sheet1!X22</f>
        <v>0</v>
      </c>
      <c r="X54" s="22">
        <f>Sheet1!Y22</f>
        <v>0</v>
      </c>
      <c r="Y54" s="22">
        <f>Sheet1!Z22</f>
        <v>0</v>
      </c>
      <c r="Z54" s="22">
        <f>Sheet1!AA22</f>
        <v>0</v>
      </c>
      <c r="AA54" s="22">
        <f>Sheet1!AB22</f>
        <v>0</v>
      </c>
      <c r="AB54" s="22">
        <f>Sheet1!AC22</f>
        <v>0</v>
      </c>
      <c r="AC54" s="22">
        <f>Sheet1!AD22</f>
        <v>0</v>
      </c>
      <c r="AD54" s="22">
        <f>Sheet1!AE22</f>
        <v>0</v>
      </c>
      <c r="AE54" s="22">
        <f>Sheet1!AF22</f>
        <v>0</v>
      </c>
      <c r="AF54" s="22">
        <f>Sheet1!AG22</f>
        <v>0</v>
      </c>
      <c r="AG54" s="22">
        <f>Sheet1!AH22</f>
        <v>0</v>
      </c>
    </row>
    <row r="55" spans="2:34" ht="17.25" thickBot="1">
      <c r="B55" s="74"/>
      <c r="C55" s="75" t="s">
        <v>38</v>
      </c>
      <c r="D55" s="75"/>
      <c r="E55" s="23"/>
      <c r="F55" s="24">
        <f>SUBTOTAL(9,F53:F54)</f>
        <v>0</v>
      </c>
      <c r="G55" s="24">
        <f t="shared" ref="G55:AF55" si="14">SUBTOTAL(9,G53:G54)</f>
        <v>0</v>
      </c>
      <c r="H55" s="24">
        <f t="shared" si="14"/>
        <v>0</v>
      </c>
      <c r="I55" s="24">
        <f t="shared" si="14"/>
        <v>0</v>
      </c>
      <c r="J55" s="24">
        <f t="shared" si="14"/>
        <v>0</v>
      </c>
      <c r="K55" s="24">
        <f t="shared" si="14"/>
        <v>0</v>
      </c>
      <c r="L55" s="24">
        <f t="shared" si="14"/>
        <v>0</v>
      </c>
      <c r="M55" s="24">
        <f t="shared" si="14"/>
        <v>0</v>
      </c>
      <c r="N55" s="24">
        <f t="shared" si="14"/>
        <v>0</v>
      </c>
      <c r="O55" s="24">
        <f t="shared" si="14"/>
        <v>0</v>
      </c>
      <c r="P55" s="24">
        <f t="shared" si="14"/>
        <v>0</v>
      </c>
      <c r="Q55" s="24">
        <f t="shared" si="14"/>
        <v>0</v>
      </c>
      <c r="R55" s="24">
        <f t="shared" si="14"/>
        <v>0</v>
      </c>
      <c r="S55" s="24">
        <f t="shared" si="14"/>
        <v>0</v>
      </c>
      <c r="T55" s="24">
        <f t="shared" si="14"/>
        <v>0</v>
      </c>
      <c r="U55" s="24">
        <f t="shared" si="14"/>
        <v>0</v>
      </c>
      <c r="V55" s="24">
        <f t="shared" si="14"/>
        <v>0</v>
      </c>
      <c r="W55" s="24">
        <f t="shared" si="14"/>
        <v>0</v>
      </c>
      <c r="X55" s="24">
        <f t="shared" si="14"/>
        <v>0</v>
      </c>
      <c r="Y55" s="24">
        <f t="shared" si="14"/>
        <v>0</v>
      </c>
      <c r="Z55" s="24">
        <f t="shared" si="14"/>
        <v>0</v>
      </c>
      <c r="AA55" s="24">
        <f t="shared" si="14"/>
        <v>0</v>
      </c>
      <c r="AB55" s="24">
        <f t="shared" si="14"/>
        <v>0</v>
      </c>
      <c r="AC55" s="24">
        <f t="shared" si="14"/>
        <v>0</v>
      </c>
      <c r="AD55" s="24">
        <f t="shared" si="14"/>
        <v>0</v>
      </c>
      <c r="AE55" s="24">
        <f t="shared" si="14"/>
        <v>0</v>
      </c>
      <c r="AF55" s="24">
        <f t="shared" si="14"/>
        <v>0</v>
      </c>
      <c r="AG55" s="22"/>
    </row>
    <row r="56" spans="2:34" ht="17.25" thickBot="1">
      <c r="B56" s="76" t="s">
        <v>59</v>
      </c>
      <c r="C56" s="76"/>
      <c r="D56" s="76"/>
      <c r="E56" s="28"/>
      <c r="F56" s="29">
        <f>SUBTOTAL(9,F35:F55)</f>
        <v>0</v>
      </c>
      <c r="G56" s="29">
        <f t="shared" ref="G56:AF56" si="15">SUBTOTAL(9,G35:G55)</f>
        <v>0</v>
      </c>
      <c r="H56" s="29">
        <f t="shared" si="15"/>
        <v>0</v>
      </c>
      <c r="I56" s="29">
        <f t="shared" si="15"/>
        <v>0</v>
      </c>
      <c r="J56" s="29">
        <f t="shared" si="15"/>
        <v>0</v>
      </c>
      <c r="K56" s="29">
        <f t="shared" si="15"/>
        <v>0</v>
      </c>
      <c r="L56" s="29">
        <f t="shared" si="15"/>
        <v>0</v>
      </c>
      <c r="M56" s="29">
        <f t="shared" si="15"/>
        <v>0</v>
      </c>
      <c r="N56" s="29">
        <f t="shared" si="15"/>
        <v>0</v>
      </c>
      <c r="O56" s="29">
        <f t="shared" si="15"/>
        <v>0</v>
      </c>
      <c r="P56" s="29">
        <f t="shared" si="15"/>
        <v>0</v>
      </c>
      <c r="Q56" s="29">
        <f t="shared" si="15"/>
        <v>0</v>
      </c>
      <c r="R56" s="29">
        <f t="shared" si="15"/>
        <v>0</v>
      </c>
      <c r="S56" s="29">
        <f t="shared" si="15"/>
        <v>0</v>
      </c>
      <c r="T56" s="29">
        <f t="shared" si="15"/>
        <v>0</v>
      </c>
      <c r="U56" s="29">
        <f t="shared" si="15"/>
        <v>0</v>
      </c>
      <c r="V56" s="29">
        <f t="shared" si="15"/>
        <v>0</v>
      </c>
      <c r="W56" s="29">
        <f t="shared" si="15"/>
        <v>0</v>
      </c>
      <c r="X56" s="29">
        <f t="shared" si="15"/>
        <v>0</v>
      </c>
      <c r="Y56" s="29">
        <f t="shared" si="15"/>
        <v>0</v>
      </c>
      <c r="Z56" s="29">
        <f t="shared" si="15"/>
        <v>0</v>
      </c>
      <c r="AA56" s="29">
        <f t="shared" si="15"/>
        <v>0</v>
      </c>
      <c r="AB56" s="29">
        <f t="shared" si="15"/>
        <v>0</v>
      </c>
      <c r="AC56" s="29">
        <f t="shared" si="15"/>
        <v>0</v>
      </c>
      <c r="AD56" s="29">
        <f t="shared" si="15"/>
        <v>0</v>
      </c>
      <c r="AE56" s="29">
        <f t="shared" si="15"/>
        <v>0</v>
      </c>
      <c r="AF56" s="29">
        <f t="shared" si="15"/>
        <v>0</v>
      </c>
      <c r="AG56" s="22"/>
      <c r="AH56" s="62" t="e">
        <f>+(AH52+AH45)/2</f>
        <v>#DIV/0!</v>
      </c>
    </row>
    <row r="57" spans="2:34" ht="60">
      <c r="B57" s="7" t="s">
        <v>63</v>
      </c>
      <c r="C57" s="84" t="s">
        <v>62</v>
      </c>
      <c r="D57" s="84"/>
      <c r="E57" s="84"/>
      <c r="F57" s="84"/>
      <c r="G57" s="84"/>
      <c r="H57" s="84"/>
      <c r="I57" s="84" t="s">
        <v>64</v>
      </c>
      <c r="J57" s="84"/>
      <c r="K57" s="85" t="s">
        <v>65</v>
      </c>
      <c r="L57" s="30"/>
      <c r="M57" s="30"/>
      <c r="N57" s="31">
        <f>+U56+I56</f>
        <v>0</v>
      </c>
      <c r="O57" s="30"/>
      <c r="P57" s="8" t="s">
        <v>66</v>
      </c>
      <c r="Q57" s="9" t="s">
        <v>67</v>
      </c>
      <c r="R57" s="10" t="s">
        <v>68</v>
      </c>
      <c r="S57" s="10" t="s">
        <v>69</v>
      </c>
      <c r="T57" s="10">
        <v>0.3</v>
      </c>
      <c r="U57" s="11" t="s">
        <v>70</v>
      </c>
      <c r="V57" s="12" t="s">
        <v>71</v>
      </c>
      <c r="W57" s="30"/>
      <c r="X57" s="30"/>
      <c r="Y57" s="30"/>
      <c r="Z57" s="30"/>
      <c r="AA57" s="30"/>
      <c r="AB57" s="30"/>
      <c r="AC57" s="31"/>
      <c r="AD57" s="31"/>
      <c r="AE57" s="30"/>
      <c r="AF57" s="31"/>
      <c r="AG57" s="31"/>
    </row>
    <row r="58" spans="2:34" ht="47.25">
      <c r="B58" s="13"/>
      <c r="C58" s="14" t="s">
        <v>72</v>
      </c>
      <c r="D58" s="14" t="s">
        <v>73</v>
      </c>
      <c r="E58" s="14" t="s">
        <v>74</v>
      </c>
      <c r="F58" s="14" t="s">
        <v>75</v>
      </c>
      <c r="G58" s="15" t="s">
        <v>76</v>
      </c>
      <c r="H58" s="14" t="s">
        <v>77</v>
      </c>
      <c r="I58" s="16" t="s">
        <v>78</v>
      </c>
      <c r="J58" s="14" t="s">
        <v>79</v>
      </c>
      <c r="K58" s="86"/>
      <c r="L58" s="18"/>
      <c r="M58" s="18"/>
      <c r="N58" s="32"/>
      <c r="O58" s="18"/>
      <c r="P58" s="33" t="s">
        <v>80</v>
      </c>
      <c r="Q58" s="34">
        <f>+K45</f>
        <v>0</v>
      </c>
      <c r="R58" s="34">
        <f>S58-Q58</f>
        <v>0</v>
      </c>
      <c r="S58" s="35">
        <f>+S45</f>
        <v>0</v>
      </c>
      <c r="T58" s="35">
        <f>+T45</f>
        <v>0</v>
      </c>
      <c r="U58" s="36">
        <f>+S58+T58</f>
        <v>0</v>
      </c>
      <c r="V58" s="37" t="e">
        <f>(V56-U56-I56-AC56)/(H56+G56)</f>
        <v>#DIV/0!</v>
      </c>
      <c r="W58" s="38"/>
      <c r="X58" s="39"/>
      <c r="Y58" s="40"/>
      <c r="Z58" s="40"/>
      <c r="AA58" s="18"/>
      <c r="AB58" s="18"/>
      <c r="AC58" s="18"/>
      <c r="AD58" s="18"/>
      <c r="AE58" s="18"/>
      <c r="AF58" s="32" t="e">
        <f>+AF56-AF86-#REF!</f>
        <v>#REF!</v>
      </c>
      <c r="AG58" s="32" t="e">
        <f>+AG56-AG86-#REF!</f>
        <v>#REF!</v>
      </c>
    </row>
    <row r="59" spans="2:34" ht="16.5" thickBot="1">
      <c r="B59" s="41" t="str">
        <f>TEXT(Sheet1!A1*28,"MMM")</f>
        <v>Jan</v>
      </c>
      <c r="C59" s="42">
        <f>Sheet1!GC6</f>
        <v>0</v>
      </c>
      <c r="D59" s="42">
        <f>Sheet1!GD6</f>
        <v>0</v>
      </c>
      <c r="E59" s="42">
        <v>0</v>
      </c>
      <c r="F59" s="42">
        <f>Sheet1!GE6</f>
        <v>0</v>
      </c>
      <c r="G59" s="42">
        <f>C59+F59</f>
        <v>0</v>
      </c>
      <c r="H59" s="61">
        <f>E59+G59+D59</f>
        <v>0</v>
      </c>
      <c r="I59" s="43">
        <f>Sheet1!GF6</f>
        <v>0</v>
      </c>
      <c r="J59" s="43" t="e">
        <f>AH56-I59</f>
        <v>#DIV/0!</v>
      </c>
      <c r="K59" s="44" t="e">
        <f>G59+I59+J59</f>
        <v>#DIV/0!</v>
      </c>
      <c r="L59" s="18"/>
      <c r="M59" s="18"/>
      <c r="N59" s="18"/>
      <c r="O59" s="18"/>
      <c r="P59" s="45" t="s">
        <v>81</v>
      </c>
      <c r="Q59" s="46">
        <f>+K52</f>
        <v>0</v>
      </c>
      <c r="R59" s="46">
        <f>S59-Q59</f>
        <v>0</v>
      </c>
      <c r="S59" s="47">
        <f>+S52</f>
        <v>0</v>
      </c>
      <c r="T59" s="47">
        <f>+T52</f>
        <v>0</v>
      </c>
      <c r="U59" s="48">
        <f>+S59+T59</f>
        <v>0</v>
      </c>
      <c r="V59" s="49"/>
      <c r="W59" s="32"/>
      <c r="X59" s="39"/>
      <c r="Y59" s="50"/>
      <c r="Z59" s="18"/>
      <c r="AA59" s="18"/>
      <c r="AB59" s="18"/>
      <c r="AC59" s="18"/>
      <c r="AD59" s="18"/>
      <c r="AE59" s="18"/>
      <c r="AF59" s="18"/>
      <c r="AG59" s="18"/>
    </row>
    <row r="60" spans="2:34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32"/>
      <c r="W60" s="18"/>
      <c r="X60" s="18"/>
      <c r="Y60" s="18"/>
      <c r="Z60" s="40"/>
      <c r="AA60" s="18"/>
      <c r="AB60" s="18"/>
      <c r="AC60" s="18"/>
      <c r="AD60" s="18"/>
      <c r="AE60" s="18"/>
      <c r="AF60" s="18"/>
      <c r="AG60" s="18"/>
    </row>
    <row r="61" spans="2:34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32"/>
      <c r="V61" s="18"/>
      <c r="W61" s="32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2:34" ht="22.5">
      <c r="B62" s="83" t="s">
        <v>277</v>
      </c>
      <c r="C62" s="83"/>
      <c r="D62" s="83"/>
      <c r="E62" s="17"/>
      <c r="F62" s="19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9"/>
      <c r="V62" s="17"/>
      <c r="W62" s="17"/>
      <c r="X62" s="17"/>
      <c r="Y62" s="17"/>
      <c r="Z62" s="17"/>
      <c r="AA62" s="17"/>
      <c r="AB62" s="17"/>
      <c r="AC62" s="18"/>
      <c r="AD62" s="18"/>
      <c r="AE62" s="17"/>
      <c r="AF62" s="17"/>
      <c r="AG62" s="17"/>
    </row>
    <row r="63" spans="2:34">
      <c r="B63" s="71" t="s">
        <v>0</v>
      </c>
      <c r="C63" s="71"/>
      <c r="D63" s="71"/>
      <c r="E63" s="72"/>
      <c r="F63" s="67" t="s">
        <v>1</v>
      </c>
      <c r="G63" s="67" t="s">
        <v>2</v>
      </c>
      <c r="H63" s="67" t="s">
        <v>3</v>
      </c>
      <c r="I63" s="67" t="s">
        <v>4</v>
      </c>
      <c r="J63" s="68" t="s">
        <v>5</v>
      </c>
      <c r="K63" s="69"/>
      <c r="L63" s="82"/>
      <c r="M63" s="69"/>
      <c r="N63" s="69"/>
      <c r="O63" s="69"/>
      <c r="P63" s="69"/>
      <c r="Q63" s="69"/>
      <c r="R63" s="69"/>
      <c r="S63" s="70"/>
      <c r="T63" s="68" t="s">
        <v>6</v>
      </c>
      <c r="U63" s="70"/>
      <c r="V63" s="71" t="s">
        <v>7</v>
      </c>
      <c r="W63" s="72" t="s">
        <v>8</v>
      </c>
      <c r="X63" s="63" t="s">
        <v>9</v>
      </c>
      <c r="Y63" s="63" t="s">
        <v>10</v>
      </c>
      <c r="Z63" s="63" t="s">
        <v>11</v>
      </c>
      <c r="AA63" s="65" t="s">
        <v>12</v>
      </c>
      <c r="AB63" s="65" t="s">
        <v>13</v>
      </c>
      <c r="AC63" s="65" t="s">
        <v>60</v>
      </c>
      <c r="AD63" s="65" t="s">
        <v>61</v>
      </c>
      <c r="AE63" s="65" t="s">
        <v>16</v>
      </c>
      <c r="AF63" s="64" t="s">
        <v>17</v>
      </c>
      <c r="AG63" s="64" t="s">
        <v>18</v>
      </c>
    </row>
    <row r="64" spans="2:34" ht="114.75">
      <c r="B64" s="71"/>
      <c r="C64" s="71"/>
      <c r="D64" s="71"/>
      <c r="E64" s="73"/>
      <c r="F64" s="67"/>
      <c r="G64" s="67"/>
      <c r="H64" s="67"/>
      <c r="I64" s="67"/>
      <c r="J64" s="1" t="s">
        <v>19</v>
      </c>
      <c r="K64" s="2" t="s">
        <v>20</v>
      </c>
      <c r="L64" s="3" t="s">
        <v>21</v>
      </c>
      <c r="M64" s="4" t="s">
        <v>22</v>
      </c>
      <c r="N64" s="5" t="s">
        <v>23</v>
      </c>
      <c r="O64" s="5" t="s">
        <v>24</v>
      </c>
      <c r="P64" s="5" t="s">
        <v>25</v>
      </c>
      <c r="Q64" s="5" t="s">
        <v>26</v>
      </c>
      <c r="R64" s="1" t="s">
        <v>27</v>
      </c>
      <c r="S64" s="1" t="s">
        <v>28</v>
      </c>
      <c r="T64" s="1" t="s">
        <v>29</v>
      </c>
      <c r="U64" s="1" t="s">
        <v>30</v>
      </c>
      <c r="V64" s="71"/>
      <c r="W64" s="73"/>
      <c r="X64" s="63"/>
      <c r="Y64" s="63"/>
      <c r="Z64" s="63"/>
      <c r="AA64" s="66"/>
      <c r="AB64" s="66"/>
      <c r="AC64" s="66"/>
      <c r="AD64" s="66"/>
      <c r="AE64" s="66"/>
      <c r="AF64" s="64"/>
      <c r="AG64" s="64"/>
    </row>
    <row r="65" spans="2:33" ht="33">
      <c r="B65" s="74" t="s">
        <v>31</v>
      </c>
      <c r="C65" s="20" t="s">
        <v>32</v>
      </c>
      <c r="D65" s="20" t="s">
        <v>33</v>
      </c>
      <c r="E65" s="21" t="s">
        <v>34</v>
      </c>
      <c r="F65" s="22">
        <f>Sheet1!AK6</f>
        <v>0</v>
      </c>
      <c r="G65" s="22">
        <f>Sheet1!AL6</f>
        <v>0</v>
      </c>
      <c r="H65" s="22">
        <f>Sheet1!AM6</f>
        <v>0</v>
      </c>
      <c r="I65" s="22">
        <f>Sheet1!AN6</f>
        <v>0</v>
      </c>
      <c r="J65" s="22">
        <f>Sheet1!AO6</f>
        <v>0</v>
      </c>
      <c r="K65" s="22">
        <f>Sheet1!AP6</f>
        <v>0</v>
      </c>
      <c r="L65" s="22">
        <f>Sheet1!AQ6</f>
        <v>0</v>
      </c>
      <c r="M65" s="22">
        <f>Sheet1!AR6</f>
        <v>0</v>
      </c>
      <c r="N65" s="22">
        <f>Sheet1!AS6</f>
        <v>0</v>
      </c>
      <c r="O65" s="22">
        <f>Sheet1!AT6</f>
        <v>0</v>
      </c>
      <c r="P65" s="22">
        <f>Sheet1!AU6</f>
        <v>0</v>
      </c>
      <c r="Q65" s="22">
        <f>Sheet1!AV6</f>
        <v>0</v>
      </c>
      <c r="R65" s="22">
        <f>Sheet1!AW6</f>
        <v>0</v>
      </c>
      <c r="S65" s="22">
        <f>Sheet1!AX6</f>
        <v>0</v>
      </c>
      <c r="T65" s="22">
        <f>Sheet1!AY6</f>
        <v>0</v>
      </c>
      <c r="U65" s="22">
        <f>Sheet1!AZ6</f>
        <v>0</v>
      </c>
      <c r="V65" s="22">
        <f>Sheet1!BA6</f>
        <v>0</v>
      </c>
      <c r="W65" s="22">
        <f>Sheet1!BB6</f>
        <v>0</v>
      </c>
      <c r="X65" s="22">
        <f>Sheet1!BC6</f>
        <v>0</v>
      </c>
      <c r="Y65" s="22">
        <f>Sheet1!BD6</f>
        <v>0</v>
      </c>
      <c r="Z65" s="22">
        <f>Sheet1!BE6</f>
        <v>0</v>
      </c>
      <c r="AA65" s="22">
        <f>Sheet1!BF6</f>
        <v>0</v>
      </c>
      <c r="AB65" s="22">
        <f>Sheet1!BG6</f>
        <v>0</v>
      </c>
      <c r="AC65" s="22">
        <f>Sheet1!BH6</f>
        <v>0</v>
      </c>
      <c r="AD65" s="22">
        <f>Sheet1!BI6</f>
        <v>0</v>
      </c>
      <c r="AE65" s="22">
        <f>Sheet1!BJ6</f>
        <v>0</v>
      </c>
      <c r="AF65" s="22">
        <f>Sheet1!BK6</f>
        <v>0</v>
      </c>
      <c r="AG65" s="22">
        <f>Sheet1!BL6</f>
        <v>0</v>
      </c>
    </row>
    <row r="66" spans="2:33" ht="33">
      <c r="B66" s="74"/>
      <c r="C66" s="20" t="s">
        <v>35</v>
      </c>
      <c r="D66" s="20" t="s">
        <v>36</v>
      </c>
      <c r="E66" s="21" t="s">
        <v>37</v>
      </c>
      <c r="F66" s="22">
        <f>Sheet1!AK7</f>
        <v>0</v>
      </c>
      <c r="G66" s="22">
        <f>Sheet1!AL7</f>
        <v>0</v>
      </c>
      <c r="H66" s="22">
        <f>Sheet1!AM7</f>
        <v>0</v>
      </c>
      <c r="I66" s="22">
        <f>Sheet1!AN7</f>
        <v>0</v>
      </c>
      <c r="J66" s="22">
        <f>Sheet1!AO7</f>
        <v>0</v>
      </c>
      <c r="K66" s="22">
        <f>Sheet1!AP7</f>
        <v>0</v>
      </c>
      <c r="L66" s="22">
        <f>Sheet1!AQ7</f>
        <v>0</v>
      </c>
      <c r="M66" s="22">
        <f>Sheet1!AR7</f>
        <v>0</v>
      </c>
      <c r="N66" s="22">
        <f>Sheet1!AS7</f>
        <v>0</v>
      </c>
      <c r="O66" s="22">
        <f>Sheet1!AT7</f>
        <v>0</v>
      </c>
      <c r="P66" s="22">
        <f>Sheet1!AU7</f>
        <v>0</v>
      </c>
      <c r="Q66" s="22">
        <f>Sheet1!AV7</f>
        <v>0</v>
      </c>
      <c r="R66" s="22">
        <f>Sheet1!AW7</f>
        <v>0</v>
      </c>
      <c r="S66" s="22">
        <f>Sheet1!AX7</f>
        <v>0</v>
      </c>
      <c r="T66" s="22">
        <f>Sheet1!AY7</f>
        <v>0</v>
      </c>
      <c r="U66" s="22">
        <f>Sheet1!AZ7</f>
        <v>0</v>
      </c>
      <c r="V66" s="22">
        <f>Sheet1!BA7</f>
        <v>0</v>
      </c>
      <c r="W66" s="22">
        <f>Sheet1!BB7</f>
        <v>0</v>
      </c>
      <c r="X66" s="22">
        <f>Sheet1!BC7</f>
        <v>0</v>
      </c>
      <c r="Y66" s="22">
        <f>Sheet1!BD7</f>
        <v>0</v>
      </c>
      <c r="Z66" s="22">
        <f>Sheet1!BE7</f>
        <v>0</v>
      </c>
      <c r="AA66" s="22">
        <f>Sheet1!BF7</f>
        <v>0</v>
      </c>
      <c r="AB66" s="22">
        <f>Sheet1!BG7</f>
        <v>0</v>
      </c>
      <c r="AC66" s="22">
        <f>Sheet1!BH7</f>
        <v>0</v>
      </c>
      <c r="AD66" s="22">
        <f>Sheet1!BI7</f>
        <v>0</v>
      </c>
      <c r="AE66" s="22">
        <f>Sheet1!BJ7</f>
        <v>0</v>
      </c>
      <c r="AF66" s="22">
        <f>Sheet1!BK7</f>
        <v>0</v>
      </c>
      <c r="AG66" s="22">
        <f>Sheet1!BL7</f>
        <v>0</v>
      </c>
    </row>
    <row r="67" spans="2:33" ht="16.5">
      <c r="B67" s="74"/>
      <c r="C67" s="75" t="s">
        <v>38</v>
      </c>
      <c r="D67" s="75"/>
      <c r="E67" s="23"/>
      <c r="F67" s="24">
        <f>SUBTOTAL(9,F65:F66)</f>
        <v>0</v>
      </c>
      <c r="G67" s="24">
        <f t="shared" ref="G67:AG67" si="16">SUBTOTAL(9,G65:G66)</f>
        <v>0</v>
      </c>
      <c r="H67" s="24">
        <f t="shared" si="16"/>
        <v>0</v>
      </c>
      <c r="I67" s="24">
        <f t="shared" si="16"/>
        <v>0</v>
      </c>
      <c r="J67" s="24">
        <f t="shared" si="16"/>
        <v>0</v>
      </c>
      <c r="K67" s="24">
        <f t="shared" si="16"/>
        <v>0</v>
      </c>
      <c r="L67" s="24">
        <f t="shared" si="16"/>
        <v>0</v>
      </c>
      <c r="M67" s="24">
        <f t="shared" si="16"/>
        <v>0</v>
      </c>
      <c r="N67" s="24">
        <f t="shared" si="16"/>
        <v>0</v>
      </c>
      <c r="O67" s="24">
        <f t="shared" si="16"/>
        <v>0</v>
      </c>
      <c r="P67" s="24">
        <f t="shared" si="16"/>
        <v>0</v>
      </c>
      <c r="Q67" s="24">
        <f t="shared" si="16"/>
        <v>0</v>
      </c>
      <c r="R67" s="24">
        <f t="shared" si="16"/>
        <v>0</v>
      </c>
      <c r="S67" s="24">
        <f t="shared" si="16"/>
        <v>0</v>
      </c>
      <c r="T67" s="24">
        <f t="shared" si="16"/>
        <v>0</v>
      </c>
      <c r="U67" s="24">
        <f t="shared" si="16"/>
        <v>0</v>
      </c>
      <c r="V67" s="24">
        <f t="shared" si="16"/>
        <v>0</v>
      </c>
      <c r="W67" s="24">
        <f t="shared" si="16"/>
        <v>0</v>
      </c>
      <c r="X67" s="24">
        <f t="shared" si="16"/>
        <v>0</v>
      </c>
      <c r="Y67" s="24">
        <f t="shared" si="16"/>
        <v>0</v>
      </c>
      <c r="Z67" s="24">
        <f t="shared" si="16"/>
        <v>0</v>
      </c>
      <c r="AA67" s="24">
        <f t="shared" si="16"/>
        <v>0</v>
      </c>
      <c r="AB67" s="24">
        <f t="shared" si="16"/>
        <v>0</v>
      </c>
      <c r="AC67" s="24">
        <f t="shared" si="16"/>
        <v>0</v>
      </c>
      <c r="AD67" s="24">
        <f t="shared" si="16"/>
        <v>0</v>
      </c>
      <c r="AE67" s="24">
        <f t="shared" si="16"/>
        <v>0</v>
      </c>
      <c r="AF67" s="24">
        <f t="shared" si="16"/>
        <v>0</v>
      </c>
      <c r="AG67" s="22">
        <f t="shared" si="16"/>
        <v>0</v>
      </c>
    </row>
    <row r="68" spans="2:33" ht="16.5">
      <c r="B68" s="74" t="s">
        <v>39</v>
      </c>
      <c r="C68" s="77" t="s">
        <v>40</v>
      </c>
      <c r="D68" s="21" t="s">
        <v>41</v>
      </c>
      <c r="E68" s="21" t="s">
        <v>34</v>
      </c>
      <c r="F68" s="22">
        <f>Sheet1!AK8</f>
        <v>0</v>
      </c>
      <c r="G68" s="22">
        <f>Sheet1!AL8</f>
        <v>0</v>
      </c>
      <c r="H68" s="22">
        <f>Sheet1!AM8</f>
        <v>0</v>
      </c>
      <c r="I68" s="22">
        <f>Sheet1!AN8</f>
        <v>0</v>
      </c>
      <c r="J68" s="22">
        <f>Sheet1!AO8</f>
        <v>0</v>
      </c>
      <c r="K68" s="22">
        <f>Sheet1!AP8</f>
        <v>0</v>
      </c>
      <c r="L68" s="22">
        <f>Sheet1!AQ8</f>
        <v>0</v>
      </c>
      <c r="M68" s="22">
        <f>Sheet1!AR8</f>
        <v>0</v>
      </c>
      <c r="N68" s="22">
        <f>Sheet1!AS8</f>
        <v>0</v>
      </c>
      <c r="O68" s="22">
        <f>Sheet1!AT8</f>
        <v>0</v>
      </c>
      <c r="P68" s="22">
        <f>Sheet1!AU8</f>
        <v>0</v>
      </c>
      <c r="Q68" s="22">
        <f>Sheet1!AV8</f>
        <v>0</v>
      </c>
      <c r="R68" s="22">
        <f>Sheet1!AW8</f>
        <v>0</v>
      </c>
      <c r="S68" s="22">
        <f>Sheet1!AX8</f>
        <v>0</v>
      </c>
      <c r="T68" s="22">
        <f>Sheet1!AY8</f>
        <v>0</v>
      </c>
      <c r="U68" s="22">
        <f>Sheet1!AZ8</f>
        <v>0</v>
      </c>
      <c r="V68" s="22">
        <f>Sheet1!BA8</f>
        <v>0</v>
      </c>
      <c r="W68" s="22">
        <f>Sheet1!BB8</f>
        <v>0</v>
      </c>
      <c r="X68" s="22">
        <f>Sheet1!BC8</f>
        <v>0</v>
      </c>
      <c r="Y68" s="22">
        <f>Sheet1!BD8</f>
        <v>0</v>
      </c>
      <c r="Z68" s="22">
        <f>Sheet1!BE8</f>
        <v>0</v>
      </c>
      <c r="AA68" s="22">
        <f>Sheet1!BF8</f>
        <v>0</v>
      </c>
      <c r="AB68" s="22">
        <f>Sheet1!BG8</f>
        <v>0</v>
      </c>
      <c r="AC68" s="22">
        <f>Sheet1!BH8</f>
        <v>0</v>
      </c>
      <c r="AD68" s="22">
        <f>Sheet1!BI8</f>
        <v>0</v>
      </c>
      <c r="AE68" s="22">
        <f>Sheet1!BJ8</f>
        <v>0</v>
      </c>
      <c r="AF68" s="22">
        <f>Sheet1!BK8</f>
        <v>0</v>
      </c>
      <c r="AG68" s="22">
        <f>Sheet1!BL8</f>
        <v>0</v>
      </c>
    </row>
    <row r="69" spans="2:33" ht="16.5">
      <c r="B69" s="74"/>
      <c r="C69" s="78"/>
      <c r="D69" s="21" t="s">
        <v>42</v>
      </c>
      <c r="E69" s="21" t="s">
        <v>34</v>
      </c>
      <c r="F69" s="22">
        <f>Sheet1!AK9</f>
        <v>0</v>
      </c>
      <c r="G69" s="22">
        <f>Sheet1!AL9</f>
        <v>0</v>
      </c>
      <c r="H69" s="22">
        <f>Sheet1!AM9</f>
        <v>0</v>
      </c>
      <c r="I69" s="22">
        <f>Sheet1!AN9</f>
        <v>0</v>
      </c>
      <c r="J69" s="22">
        <f>Sheet1!AO9</f>
        <v>0</v>
      </c>
      <c r="K69" s="22">
        <f>Sheet1!AP9</f>
        <v>0</v>
      </c>
      <c r="L69" s="22">
        <f>Sheet1!AQ9</f>
        <v>0</v>
      </c>
      <c r="M69" s="22">
        <f>Sheet1!AR9</f>
        <v>0</v>
      </c>
      <c r="N69" s="22">
        <f>Sheet1!AS9</f>
        <v>0</v>
      </c>
      <c r="O69" s="22">
        <f>Sheet1!AT9</f>
        <v>0</v>
      </c>
      <c r="P69" s="22">
        <f>Sheet1!AU9</f>
        <v>0</v>
      </c>
      <c r="Q69" s="22">
        <f>Sheet1!AV9</f>
        <v>0</v>
      </c>
      <c r="R69" s="22">
        <f>Sheet1!AW9</f>
        <v>0</v>
      </c>
      <c r="S69" s="22">
        <f>Sheet1!AX9</f>
        <v>0</v>
      </c>
      <c r="T69" s="22">
        <f>Sheet1!AY9</f>
        <v>0</v>
      </c>
      <c r="U69" s="22">
        <f>Sheet1!AZ9</f>
        <v>0</v>
      </c>
      <c r="V69" s="22">
        <f>Sheet1!BA9</f>
        <v>0</v>
      </c>
      <c r="W69" s="22">
        <f>Sheet1!BB9</f>
        <v>0</v>
      </c>
      <c r="X69" s="22">
        <f>Sheet1!BC9</f>
        <v>0</v>
      </c>
      <c r="Y69" s="22">
        <f>Sheet1!BD9</f>
        <v>0</v>
      </c>
      <c r="Z69" s="22">
        <f>Sheet1!BE9</f>
        <v>0</v>
      </c>
      <c r="AA69" s="22">
        <f>Sheet1!BF9</f>
        <v>0</v>
      </c>
      <c r="AB69" s="22">
        <f>Sheet1!BG9</f>
        <v>0</v>
      </c>
      <c r="AC69" s="22">
        <f>Sheet1!BH9</f>
        <v>0</v>
      </c>
      <c r="AD69" s="22">
        <f>Sheet1!BI9</f>
        <v>0</v>
      </c>
      <c r="AE69" s="22">
        <f>Sheet1!BJ9</f>
        <v>0</v>
      </c>
      <c r="AF69" s="22">
        <f>Sheet1!BK9</f>
        <v>0</v>
      </c>
      <c r="AG69" s="22">
        <f>Sheet1!BL9</f>
        <v>0</v>
      </c>
    </row>
    <row r="70" spans="2:33" ht="16.5">
      <c r="B70" s="74"/>
      <c r="C70" s="79"/>
      <c r="D70" s="23" t="s">
        <v>38</v>
      </c>
      <c r="E70" s="23"/>
      <c r="F70" s="24">
        <f>SUBTOTAL(9,F68:F69)</f>
        <v>0</v>
      </c>
      <c r="G70" s="24">
        <f t="shared" ref="G70:AG70" si="17">SUBTOTAL(9,G68:G69)</f>
        <v>0</v>
      </c>
      <c r="H70" s="24">
        <f t="shared" si="17"/>
        <v>0</v>
      </c>
      <c r="I70" s="24">
        <f t="shared" si="17"/>
        <v>0</v>
      </c>
      <c r="J70" s="24">
        <f t="shared" si="17"/>
        <v>0</v>
      </c>
      <c r="K70" s="24">
        <f t="shared" si="17"/>
        <v>0</v>
      </c>
      <c r="L70" s="24">
        <f t="shared" si="17"/>
        <v>0</v>
      </c>
      <c r="M70" s="24">
        <f t="shared" si="17"/>
        <v>0</v>
      </c>
      <c r="N70" s="24">
        <f t="shared" si="17"/>
        <v>0</v>
      </c>
      <c r="O70" s="24">
        <f t="shared" si="17"/>
        <v>0</v>
      </c>
      <c r="P70" s="24">
        <f t="shared" si="17"/>
        <v>0</v>
      </c>
      <c r="Q70" s="24">
        <f t="shared" si="17"/>
        <v>0</v>
      </c>
      <c r="R70" s="24">
        <f t="shared" si="17"/>
        <v>0</v>
      </c>
      <c r="S70" s="24">
        <f t="shared" si="17"/>
        <v>0</v>
      </c>
      <c r="T70" s="24">
        <f t="shared" si="17"/>
        <v>0</v>
      </c>
      <c r="U70" s="24">
        <f t="shared" si="17"/>
        <v>0</v>
      </c>
      <c r="V70" s="24">
        <f t="shared" si="17"/>
        <v>0</v>
      </c>
      <c r="W70" s="24">
        <f t="shared" si="17"/>
        <v>0</v>
      </c>
      <c r="X70" s="24">
        <f t="shared" si="17"/>
        <v>0</v>
      </c>
      <c r="Y70" s="24">
        <f t="shared" si="17"/>
        <v>0</v>
      </c>
      <c r="Z70" s="24">
        <f t="shared" si="17"/>
        <v>0</v>
      </c>
      <c r="AA70" s="24">
        <f t="shared" si="17"/>
        <v>0</v>
      </c>
      <c r="AB70" s="24">
        <f t="shared" si="17"/>
        <v>0</v>
      </c>
      <c r="AC70" s="24">
        <f t="shared" si="17"/>
        <v>0</v>
      </c>
      <c r="AD70" s="24">
        <f t="shared" si="17"/>
        <v>0</v>
      </c>
      <c r="AE70" s="24">
        <f t="shared" si="17"/>
        <v>0</v>
      </c>
      <c r="AF70" s="24">
        <f t="shared" si="17"/>
        <v>0</v>
      </c>
      <c r="AG70" s="22">
        <f t="shared" si="17"/>
        <v>0</v>
      </c>
    </row>
    <row r="71" spans="2:33" ht="16.5">
      <c r="B71" s="74"/>
      <c r="C71" s="80" t="s">
        <v>43</v>
      </c>
      <c r="D71" s="21" t="s">
        <v>44</v>
      </c>
      <c r="E71" s="21" t="s">
        <v>45</v>
      </c>
      <c r="F71" s="22">
        <f>Sheet1!AK10</f>
        <v>0</v>
      </c>
      <c r="G71" s="22">
        <f>Sheet1!AL10</f>
        <v>0</v>
      </c>
      <c r="H71" s="22">
        <f>Sheet1!AM10</f>
        <v>0</v>
      </c>
      <c r="I71" s="22">
        <f>Sheet1!AN10</f>
        <v>0</v>
      </c>
      <c r="J71" s="22">
        <f>Sheet1!AO10</f>
        <v>0</v>
      </c>
      <c r="K71" s="22">
        <f>Sheet1!AP10</f>
        <v>0</v>
      </c>
      <c r="L71" s="22">
        <f>Sheet1!AQ10</f>
        <v>0</v>
      </c>
      <c r="M71" s="22">
        <f>Sheet1!AR10</f>
        <v>0</v>
      </c>
      <c r="N71" s="22">
        <f>Sheet1!AS10</f>
        <v>0</v>
      </c>
      <c r="O71" s="22">
        <f>Sheet1!AT10</f>
        <v>0</v>
      </c>
      <c r="P71" s="22">
        <f>Sheet1!AU10</f>
        <v>0</v>
      </c>
      <c r="Q71" s="22">
        <f>Sheet1!AV10</f>
        <v>0</v>
      </c>
      <c r="R71" s="22">
        <f>Sheet1!AW10</f>
        <v>0</v>
      </c>
      <c r="S71" s="22">
        <f>Sheet1!AX10</f>
        <v>0</v>
      </c>
      <c r="T71" s="22">
        <f>Sheet1!AY10</f>
        <v>0</v>
      </c>
      <c r="U71" s="22">
        <f>Sheet1!AZ10</f>
        <v>0</v>
      </c>
      <c r="V71" s="22">
        <f>Sheet1!BA10</f>
        <v>0</v>
      </c>
      <c r="W71" s="22">
        <f>Sheet1!BB10</f>
        <v>0</v>
      </c>
      <c r="X71" s="22">
        <f>Sheet1!BC10</f>
        <v>0</v>
      </c>
      <c r="Y71" s="22">
        <f>Sheet1!BD10</f>
        <v>0</v>
      </c>
      <c r="Z71" s="22">
        <f>Sheet1!BE10</f>
        <v>0</v>
      </c>
      <c r="AA71" s="22">
        <f>Sheet1!BF10</f>
        <v>0</v>
      </c>
      <c r="AB71" s="22">
        <f>Sheet1!BG10</f>
        <v>0</v>
      </c>
      <c r="AC71" s="22">
        <f>Sheet1!BH10</f>
        <v>0</v>
      </c>
      <c r="AD71" s="22">
        <f>Sheet1!BI10</f>
        <v>0</v>
      </c>
      <c r="AE71" s="22">
        <f>Sheet1!BJ10</f>
        <v>0</v>
      </c>
      <c r="AF71" s="22">
        <f>Sheet1!BK10</f>
        <v>0</v>
      </c>
      <c r="AG71" s="22">
        <f>Sheet1!BL10</f>
        <v>0</v>
      </c>
    </row>
    <row r="72" spans="2:33" thickBot="1">
      <c r="B72" s="74"/>
      <c r="C72" s="80"/>
      <c r="D72" s="21" t="s">
        <v>46</v>
      </c>
      <c r="E72" s="21" t="s">
        <v>34</v>
      </c>
      <c r="F72" s="22">
        <f>Sheet1!AK11</f>
        <v>0</v>
      </c>
      <c r="G72" s="22">
        <f>Sheet1!AL11</f>
        <v>0</v>
      </c>
      <c r="H72" s="22">
        <f>Sheet1!AM11</f>
        <v>0</v>
      </c>
      <c r="I72" s="22">
        <f>Sheet1!AN11</f>
        <v>0</v>
      </c>
      <c r="J72" s="22">
        <f>Sheet1!AO11</f>
        <v>0</v>
      </c>
      <c r="K72" s="22">
        <f>Sheet1!AP11</f>
        <v>0</v>
      </c>
      <c r="L72" s="22">
        <f>Sheet1!AQ11</f>
        <v>0</v>
      </c>
      <c r="M72" s="22">
        <f>Sheet1!AR11</f>
        <v>0</v>
      </c>
      <c r="N72" s="22">
        <f>Sheet1!AS11</f>
        <v>0</v>
      </c>
      <c r="O72" s="22">
        <f>Sheet1!AT11</f>
        <v>0</v>
      </c>
      <c r="P72" s="22">
        <f>Sheet1!AU11</f>
        <v>0</v>
      </c>
      <c r="Q72" s="22">
        <f>Sheet1!AV11</f>
        <v>0</v>
      </c>
      <c r="R72" s="22">
        <f>Sheet1!AW11</f>
        <v>0</v>
      </c>
      <c r="S72" s="22">
        <f>Sheet1!AX11</f>
        <v>0</v>
      </c>
      <c r="T72" s="22">
        <f>Sheet1!AY11</f>
        <v>0</v>
      </c>
      <c r="U72" s="22">
        <f>Sheet1!AZ11</f>
        <v>0</v>
      </c>
      <c r="V72" s="22">
        <f>Sheet1!BA11</f>
        <v>0</v>
      </c>
      <c r="W72" s="22">
        <f>Sheet1!BB11</f>
        <v>0</v>
      </c>
      <c r="X72" s="22">
        <f>Sheet1!BC11</f>
        <v>0</v>
      </c>
      <c r="Y72" s="22">
        <f>Sheet1!BD11</f>
        <v>0</v>
      </c>
      <c r="Z72" s="22">
        <f>Sheet1!BE11</f>
        <v>0</v>
      </c>
      <c r="AA72" s="22">
        <f>Sheet1!BF11</f>
        <v>0</v>
      </c>
      <c r="AB72" s="22">
        <f>Sheet1!BG11</f>
        <v>0</v>
      </c>
      <c r="AC72" s="22">
        <f>Sheet1!BH11</f>
        <v>0</v>
      </c>
      <c r="AD72" s="22">
        <f>Sheet1!BI11</f>
        <v>0</v>
      </c>
      <c r="AE72" s="22">
        <f>Sheet1!BJ11</f>
        <v>0</v>
      </c>
      <c r="AF72" s="22">
        <f>Sheet1!BK11</f>
        <v>0</v>
      </c>
      <c r="AG72" s="22">
        <f>Sheet1!BL11</f>
        <v>0</v>
      </c>
    </row>
    <row r="73" spans="2:33" ht="16.5">
      <c r="B73" s="74"/>
      <c r="C73" s="80"/>
      <c r="D73" s="21" t="s">
        <v>47</v>
      </c>
      <c r="E73" s="21" t="s">
        <v>45</v>
      </c>
      <c r="F73" s="22">
        <f>Sheet1!AK13</f>
        <v>0</v>
      </c>
      <c r="G73" s="22">
        <f>Sheet1!AL13</f>
        <v>0</v>
      </c>
      <c r="H73" s="22">
        <f>Sheet1!AM13</f>
        <v>0</v>
      </c>
      <c r="I73" s="22">
        <f>Sheet1!AN13</f>
        <v>0</v>
      </c>
      <c r="J73" s="22">
        <f>Sheet1!AO13</f>
        <v>0</v>
      </c>
      <c r="K73" s="22">
        <f>Sheet1!AP13</f>
        <v>0</v>
      </c>
      <c r="L73" s="22">
        <f>Sheet1!AQ13</f>
        <v>0</v>
      </c>
      <c r="M73" s="22">
        <f>Sheet1!AR13</f>
        <v>0</v>
      </c>
      <c r="N73" s="22">
        <f>Sheet1!AS13</f>
        <v>0</v>
      </c>
      <c r="O73" s="22">
        <f>Sheet1!AT13</f>
        <v>0</v>
      </c>
      <c r="P73" s="22">
        <f>Sheet1!AU13</f>
        <v>0</v>
      </c>
      <c r="Q73" s="22">
        <f>Sheet1!AV13</f>
        <v>0</v>
      </c>
      <c r="R73" s="22">
        <f>Sheet1!AW13</f>
        <v>0</v>
      </c>
      <c r="S73" s="22">
        <f>Sheet1!AX13</f>
        <v>0</v>
      </c>
      <c r="T73" s="22">
        <f>Sheet1!AY13</f>
        <v>0</v>
      </c>
      <c r="U73" s="22">
        <f>Sheet1!AZ13</f>
        <v>0</v>
      </c>
      <c r="V73" s="22">
        <f>Sheet1!BA13</f>
        <v>0</v>
      </c>
      <c r="W73" s="22">
        <f>Sheet1!BB13</f>
        <v>0</v>
      </c>
      <c r="X73" s="22">
        <f>Sheet1!BC13</f>
        <v>0</v>
      </c>
      <c r="Y73" s="22">
        <f>Sheet1!BD13</f>
        <v>0</v>
      </c>
      <c r="Z73" s="22">
        <f>Sheet1!BE13</f>
        <v>0</v>
      </c>
      <c r="AA73" s="22">
        <f>Sheet1!BF13</f>
        <v>0</v>
      </c>
      <c r="AB73" s="22">
        <f>Sheet1!BG13</f>
        <v>0</v>
      </c>
      <c r="AC73" s="22">
        <f>Sheet1!BH13</f>
        <v>0</v>
      </c>
      <c r="AD73" s="22">
        <f>Sheet1!BI13</f>
        <v>0</v>
      </c>
      <c r="AE73" s="22">
        <f>Sheet1!BJ13</f>
        <v>0</v>
      </c>
      <c r="AF73" s="22">
        <f>Sheet1!BK13</f>
        <v>0</v>
      </c>
      <c r="AG73" s="22">
        <f>Sheet1!BL13</f>
        <v>0</v>
      </c>
    </row>
    <row r="74" spans="2:33" ht="16.5">
      <c r="B74" s="74"/>
      <c r="C74" s="80"/>
      <c r="D74" s="21" t="s">
        <v>48</v>
      </c>
      <c r="E74" s="21" t="s">
        <v>45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</row>
    <row r="75" spans="2:33" ht="16.5">
      <c r="B75" s="74"/>
      <c r="C75" s="80"/>
      <c r="D75" s="23" t="s">
        <v>38</v>
      </c>
      <c r="E75" s="23"/>
      <c r="F75" s="24">
        <f>SUBTOTAL(9,F71:F74)</f>
        <v>0</v>
      </c>
      <c r="G75" s="24">
        <f>SUBTOTAL(9,G71:G74)</f>
        <v>0</v>
      </c>
      <c r="H75" s="24">
        <f t="shared" ref="H75:AG75" si="18">SUBTOTAL(9,H71:H74)</f>
        <v>0</v>
      </c>
      <c r="I75" s="24">
        <f t="shared" si="18"/>
        <v>0</v>
      </c>
      <c r="J75" s="24">
        <f t="shared" si="18"/>
        <v>0</v>
      </c>
      <c r="K75" s="24">
        <f t="shared" si="18"/>
        <v>0</v>
      </c>
      <c r="L75" s="24">
        <f t="shared" si="18"/>
        <v>0</v>
      </c>
      <c r="M75" s="24">
        <f t="shared" si="18"/>
        <v>0</v>
      </c>
      <c r="N75" s="24">
        <f t="shared" si="18"/>
        <v>0</v>
      </c>
      <c r="O75" s="24">
        <f t="shared" si="18"/>
        <v>0</v>
      </c>
      <c r="P75" s="24">
        <f t="shared" si="18"/>
        <v>0</v>
      </c>
      <c r="Q75" s="24">
        <f t="shared" si="18"/>
        <v>0</v>
      </c>
      <c r="R75" s="24">
        <f t="shared" si="18"/>
        <v>0</v>
      </c>
      <c r="S75" s="24">
        <f t="shared" si="18"/>
        <v>0</v>
      </c>
      <c r="T75" s="24">
        <f t="shared" si="18"/>
        <v>0</v>
      </c>
      <c r="U75" s="24">
        <f t="shared" si="18"/>
        <v>0</v>
      </c>
      <c r="V75" s="24">
        <f t="shared" si="18"/>
        <v>0</v>
      </c>
      <c r="W75" s="24">
        <f t="shared" si="18"/>
        <v>0</v>
      </c>
      <c r="X75" s="24">
        <f t="shared" si="18"/>
        <v>0</v>
      </c>
      <c r="Y75" s="24">
        <f t="shared" si="18"/>
        <v>0</v>
      </c>
      <c r="Z75" s="24">
        <f t="shared" si="18"/>
        <v>0</v>
      </c>
      <c r="AA75" s="24">
        <f t="shared" si="18"/>
        <v>0</v>
      </c>
      <c r="AB75" s="24">
        <f t="shared" si="18"/>
        <v>0</v>
      </c>
      <c r="AC75" s="24">
        <f t="shared" si="18"/>
        <v>0</v>
      </c>
      <c r="AD75" s="24">
        <f t="shared" si="18"/>
        <v>0</v>
      </c>
      <c r="AE75" s="24">
        <f t="shared" si="18"/>
        <v>0</v>
      </c>
      <c r="AF75" s="24">
        <f t="shared" si="18"/>
        <v>0</v>
      </c>
      <c r="AG75" s="22">
        <f t="shared" si="18"/>
        <v>0</v>
      </c>
    </row>
    <row r="76" spans="2:33" ht="16.5">
      <c r="B76" s="74"/>
      <c r="C76" s="81" t="s">
        <v>49</v>
      </c>
      <c r="D76" s="21" t="s">
        <v>50</v>
      </c>
      <c r="E76" s="21" t="s">
        <v>45</v>
      </c>
      <c r="F76" s="22">
        <f>Sheet1!AK14</f>
        <v>0</v>
      </c>
      <c r="G76" s="22">
        <f>Sheet1!AL14</f>
        <v>0</v>
      </c>
      <c r="H76" s="22">
        <f>Sheet1!AM14</f>
        <v>0</v>
      </c>
      <c r="I76" s="22">
        <f>Sheet1!AN14</f>
        <v>0</v>
      </c>
      <c r="J76" s="22">
        <f>Sheet1!AO14</f>
        <v>0</v>
      </c>
      <c r="K76" s="22">
        <f>Sheet1!AP14</f>
        <v>0</v>
      </c>
      <c r="L76" s="22">
        <f>Sheet1!AQ14</f>
        <v>0</v>
      </c>
      <c r="M76" s="22">
        <f>Sheet1!AR14</f>
        <v>0</v>
      </c>
      <c r="N76" s="22">
        <f>Sheet1!AS14</f>
        <v>0</v>
      </c>
      <c r="O76" s="22">
        <f>Sheet1!AT14</f>
        <v>0</v>
      </c>
      <c r="P76" s="22">
        <f>Sheet1!AU14</f>
        <v>0</v>
      </c>
      <c r="Q76" s="22">
        <f>Sheet1!AV14</f>
        <v>0</v>
      </c>
      <c r="R76" s="22">
        <f>Sheet1!AW14</f>
        <v>0</v>
      </c>
      <c r="S76" s="22">
        <f>Sheet1!AX14</f>
        <v>0</v>
      </c>
      <c r="T76" s="22">
        <f>Sheet1!AY14</f>
        <v>0</v>
      </c>
      <c r="U76" s="22">
        <f>Sheet1!AZ14</f>
        <v>0</v>
      </c>
      <c r="V76" s="22">
        <f>Sheet1!BA14</f>
        <v>0</v>
      </c>
      <c r="W76" s="22">
        <f>Sheet1!BB14</f>
        <v>0</v>
      </c>
      <c r="X76" s="22">
        <f>Sheet1!BC14</f>
        <v>0</v>
      </c>
      <c r="Y76" s="22">
        <f>Sheet1!BD14</f>
        <v>0</v>
      </c>
      <c r="Z76" s="22">
        <f>Sheet1!BE14</f>
        <v>0</v>
      </c>
      <c r="AA76" s="22">
        <f>Sheet1!BF14</f>
        <v>0</v>
      </c>
      <c r="AB76" s="22">
        <f>Sheet1!BG14</f>
        <v>0</v>
      </c>
      <c r="AC76" s="22">
        <f>Sheet1!BH14</f>
        <v>0</v>
      </c>
      <c r="AD76" s="22">
        <f>Sheet1!BI14</f>
        <v>0</v>
      </c>
      <c r="AE76" s="22">
        <f>Sheet1!BJ14</f>
        <v>0</v>
      </c>
      <c r="AF76" s="22">
        <f>Sheet1!BK14</f>
        <v>0</v>
      </c>
      <c r="AG76" s="22">
        <f>Sheet1!BL14</f>
        <v>0</v>
      </c>
    </row>
    <row r="77" spans="2:33" ht="16.5">
      <c r="B77" s="74"/>
      <c r="C77" s="81"/>
      <c r="D77" s="21" t="s">
        <v>51</v>
      </c>
      <c r="E77" s="21" t="s">
        <v>45</v>
      </c>
      <c r="F77" s="22">
        <f>Sheet1!AK15</f>
        <v>0</v>
      </c>
      <c r="G77" s="22">
        <f>Sheet1!AL15</f>
        <v>0</v>
      </c>
      <c r="H77" s="22">
        <f>Sheet1!AM15</f>
        <v>0</v>
      </c>
      <c r="I77" s="22">
        <f>Sheet1!AN15</f>
        <v>0</v>
      </c>
      <c r="J77" s="22">
        <f>Sheet1!AO15</f>
        <v>0</v>
      </c>
      <c r="K77" s="22">
        <f>Sheet1!AP15</f>
        <v>0</v>
      </c>
      <c r="L77" s="22">
        <f>Sheet1!AQ15</f>
        <v>0</v>
      </c>
      <c r="M77" s="22">
        <f>Sheet1!AR15</f>
        <v>0</v>
      </c>
      <c r="N77" s="22">
        <f>Sheet1!AS15</f>
        <v>0</v>
      </c>
      <c r="O77" s="22">
        <f>Sheet1!AT15</f>
        <v>0</v>
      </c>
      <c r="P77" s="22">
        <f>Sheet1!AU15</f>
        <v>0</v>
      </c>
      <c r="Q77" s="22">
        <f>Sheet1!AV15</f>
        <v>0</v>
      </c>
      <c r="R77" s="22">
        <f>Sheet1!AW15</f>
        <v>0</v>
      </c>
      <c r="S77" s="22">
        <f>Sheet1!AX15</f>
        <v>0</v>
      </c>
      <c r="T77" s="22">
        <f>Sheet1!AY15</f>
        <v>0</v>
      </c>
      <c r="U77" s="22">
        <f>Sheet1!AZ15</f>
        <v>0</v>
      </c>
      <c r="V77" s="22">
        <f>Sheet1!BA15</f>
        <v>0</v>
      </c>
      <c r="W77" s="22">
        <f>Sheet1!BB15</f>
        <v>0</v>
      </c>
      <c r="X77" s="22">
        <f>Sheet1!BC15</f>
        <v>0</v>
      </c>
      <c r="Y77" s="22">
        <f>Sheet1!BD15</f>
        <v>0</v>
      </c>
      <c r="Z77" s="22">
        <f>Sheet1!BE15</f>
        <v>0</v>
      </c>
      <c r="AA77" s="22">
        <f>Sheet1!BF15</f>
        <v>0</v>
      </c>
      <c r="AB77" s="22">
        <f>Sheet1!BG15</f>
        <v>0</v>
      </c>
      <c r="AC77" s="22">
        <f>Sheet1!BH15</f>
        <v>0</v>
      </c>
      <c r="AD77" s="22">
        <f>Sheet1!BI15</f>
        <v>0</v>
      </c>
      <c r="AE77" s="22">
        <f>Sheet1!BJ15</f>
        <v>0</v>
      </c>
      <c r="AF77" s="22">
        <f>Sheet1!BK15</f>
        <v>0</v>
      </c>
      <c r="AG77" s="22">
        <f>Sheet1!BL15</f>
        <v>0</v>
      </c>
    </row>
    <row r="78" spans="2:33" ht="16.5">
      <c r="B78" s="74"/>
      <c r="C78" s="81"/>
      <c r="D78" s="21" t="s">
        <v>52</v>
      </c>
      <c r="E78" s="21" t="s">
        <v>45</v>
      </c>
      <c r="F78" s="22">
        <f>Sheet1!AK16</f>
        <v>0</v>
      </c>
      <c r="G78" s="22">
        <f>Sheet1!AL16</f>
        <v>0</v>
      </c>
      <c r="H78" s="22">
        <f>Sheet1!AM16</f>
        <v>0</v>
      </c>
      <c r="I78" s="22">
        <f>Sheet1!AN16</f>
        <v>0</v>
      </c>
      <c r="J78" s="22">
        <f>Sheet1!AO16</f>
        <v>0</v>
      </c>
      <c r="K78" s="22">
        <f>Sheet1!AP16</f>
        <v>0</v>
      </c>
      <c r="L78" s="22">
        <f>Sheet1!AQ16</f>
        <v>0</v>
      </c>
      <c r="M78" s="22">
        <f>Sheet1!AR16</f>
        <v>0</v>
      </c>
      <c r="N78" s="22">
        <f>Sheet1!AS16</f>
        <v>0</v>
      </c>
      <c r="O78" s="22">
        <f>Sheet1!AT16</f>
        <v>0</v>
      </c>
      <c r="P78" s="22">
        <f>Sheet1!AU16</f>
        <v>0</v>
      </c>
      <c r="Q78" s="22">
        <f>Sheet1!AV16</f>
        <v>0</v>
      </c>
      <c r="R78" s="22">
        <f>Sheet1!AW16</f>
        <v>0</v>
      </c>
      <c r="S78" s="22">
        <f>Sheet1!AX16</f>
        <v>0</v>
      </c>
      <c r="T78" s="22">
        <f>Sheet1!AY16</f>
        <v>0</v>
      </c>
      <c r="U78" s="22">
        <f>Sheet1!AZ16</f>
        <v>0</v>
      </c>
      <c r="V78" s="22">
        <f>Sheet1!BA16</f>
        <v>0</v>
      </c>
      <c r="W78" s="22">
        <f>Sheet1!BB16</f>
        <v>0</v>
      </c>
      <c r="X78" s="22">
        <f>Sheet1!BC16</f>
        <v>0</v>
      </c>
      <c r="Y78" s="22">
        <f>Sheet1!BD16</f>
        <v>0</v>
      </c>
      <c r="Z78" s="22">
        <f>Sheet1!BE16</f>
        <v>0</v>
      </c>
      <c r="AA78" s="22">
        <f>Sheet1!BF16</f>
        <v>0</v>
      </c>
      <c r="AB78" s="22">
        <f>Sheet1!BG16</f>
        <v>0</v>
      </c>
      <c r="AC78" s="22">
        <f>Sheet1!BH16</f>
        <v>0</v>
      </c>
      <c r="AD78" s="22">
        <f>Sheet1!BI16</f>
        <v>0</v>
      </c>
      <c r="AE78" s="22">
        <f>Sheet1!BJ16</f>
        <v>0</v>
      </c>
      <c r="AF78" s="22">
        <f>Sheet1!BK16</f>
        <v>0</v>
      </c>
      <c r="AG78" s="22">
        <f>Sheet1!BL16</f>
        <v>0</v>
      </c>
    </row>
    <row r="79" spans="2:33" ht="16.5">
      <c r="B79" s="74"/>
      <c r="C79" s="81"/>
      <c r="D79" s="21" t="s">
        <v>53</v>
      </c>
      <c r="E79" s="21" t="s">
        <v>34</v>
      </c>
      <c r="F79" s="22">
        <f>Sheet1!AK19</f>
        <v>0</v>
      </c>
      <c r="G79" s="22">
        <f>Sheet1!AL19</f>
        <v>0</v>
      </c>
      <c r="H79" s="22">
        <f>Sheet1!AM19</f>
        <v>0</v>
      </c>
      <c r="I79" s="22">
        <f>Sheet1!AN19</f>
        <v>0</v>
      </c>
      <c r="J79" s="22">
        <f>Sheet1!AO19</f>
        <v>0</v>
      </c>
      <c r="K79" s="22">
        <f>Sheet1!AP19</f>
        <v>0</v>
      </c>
      <c r="L79" s="22">
        <f>Sheet1!AQ19</f>
        <v>0</v>
      </c>
      <c r="M79" s="22">
        <f>Sheet1!AR19</f>
        <v>0</v>
      </c>
      <c r="N79" s="22">
        <f>Sheet1!AS19</f>
        <v>0</v>
      </c>
      <c r="O79" s="22">
        <f>Sheet1!AT19</f>
        <v>0</v>
      </c>
      <c r="P79" s="22">
        <f>Sheet1!AU19</f>
        <v>0</v>
      </c>
      <c r="Q79" s="22">
        <f>Sheet1!AV19</f>
        <v>0</v>
      </c>
      <c r="R79" s="22">
        <f>Sheet1!AW19</f>
        <v>0</v>
      </c>
      <c r="S79" s="22">
        <f>Sheet1!AX19</f>
        <v>0</v>
      </c>
      <c r="T79" s="22">
        <f>Sheet1!AY19</f>
        <v>0</v>
      </c>
      <c r="U79" s="22">
        <f>Sheet1!AZ19</f>
        <v>0</v>
      </c>
      <c r="V79" s="22">
        <f>Sheet1!BA19</f>
        <v>0</v>
      </c>
      <c r="W79" s="22">
        <f>Sheet1!BB19</f>
        <v>0</v>
      </c>
      <c r="X79" s="22">
        <f>Sheet1!BC19</f>
        <v>0</v>
      </c>
      <c r="Y79" s="22">
        <f>Sheet1!BD19</f>
        <v>0</v>
      </c>
      <c r="Z79" s="22">
        <f>Sheet1!BE19</f>
        <v>0</v>
      </c>
      <c r="AA79" s="22">
        <f>Sheet1!BF19</f>
        <v>0</v>
      </c>
      <c r="AB79" s="22">
        <f>Sheet1!BG19</f>
        <v>0</v>
      </c>
      <c r="AC79" s="22">
        <f>Sheet1!BH19</f>
        <v>0</v>
      </c>
      <c r="AD79" s="22">
        <f>Sheet1!BI19</f>
        <v>0</v>
      </c>
      <c r="AE79" s="22">
        <f>Sheet1!BJ19</f>
        <v>0</v>
      </c>
      <c r="AF79" s="22">
        <f>Sheet1!BK19</f>
        <v>0</v>
      </c>
      <c r="AG79" s="22">
        <f>Sheet1!BL19</f>
        <v>0</v>
      </c>
    </row>
    <row r="80" spans="2:33" ht="16.5">
      <c r="B80" s="74"/>
      <c r="C80" s="81"/>
      <c r="D80" s="21" t="s">
        <v>54</v>
      </c>
      <c r="E80" s="21" t="s">
        <v>34</v>
      </c>
      <c r="F80" s="22">
        <f>Sheet1!AK20</f>
        <v>0</v>
      </c>
      <c r="G80" s="22">
        <f>Sheet1!AL20</f>
        <v>0</v>
      </c>
      <c r="H80" s="22">
        <f>Sheet1!AM20</f>
        <v>0</v>
      </c>
      <c r="I80" s="22">
        <f>Sheet1!AN20</f>
        <v>0</v>
      </c>
      <c r="J80" s="22">
        <f>Sheet1!AO20</f>
        <v>0</v>
      </c>
      <c r="K80" s="22">
        <f>Sheet1!AP20</f>
        <v>0</v>
      </c>
      <c r="L80" s="22">
        <f>Sheet1!AQ20</f>
        <v>0</v>
      </c>
      <c r="M80" s="22">
        <f>Sheet1!AR20</f>
        <v>0</v>
      </c>
      <c r="N80" s="22">
        <f>Sheet1!AS20</f>
        <v>0</v>
      </c>
      <c r="O80" s="22">
        <f>Sheet1!AT20</f>
        <v>0</v>
      </c>
      <c r="P80" s="22">
        <f>Sheet1!AU20</f>
        <v>0</v>
      </c>
      <c r="Q80" s="22">
        <f>Sheet1!AV20</f>
        <v>0</v>
      </c>
      <c r="R80" s="22">
        <f>Sheet1!AW20</f>
        <v>0</v>
      </c>
      <c r="S80" s="22">
        <f>Sheet1!AX20</f>
        <v>0</v>
      </c>
      <c r="T80" s="22">
        <f>Sheet1!AY20</f>
        <v>0</v>
      </c>
      <c r="U80" s="22">
        <f>Sheet1!AZ20</f>
        <v>0</v>
      </c>
      <c r="V80" s="22">
        <f>Sheet1!BA20</f>
        <v>0</v>
      </c>
      <c r="W80" s="22">
        <f>Sheet1!BB20</f>
        <v>0</v>
      </c>
      <c r="X80" s="22">
        <f>Sheet1!BC20</f>
        <v>0</v>
      </c>
      <c r="Y80" s="22">
        <f>Sheet1!BD20</f>
        <v>0</v>
      </c>
      <c r="Z80" s="22">
        <f>Sheet1!BE20</f>
        <v>0</v>
      </c>
      <c r="AA80" s="22">
        <f>Sheet1!BF20</f>
        <v>0</v>
      </c>
      <c r="AB80" s="22">
        <f>Sheet1!BG20</f>
        <v>0</v>
      </c>
      <c r="AC80" s="22">
        <f>Sheet1!BH20</f>
        <v>0</v>
      </c>
      <c r="AD80" s="22">
        <f>Sheet1!BI20</f>
        <v>0</v>
      </c>
      <c r="AE80" s="22">
        <f>Sheet1!BJ20</f>
        <v>0</v>
      </c>
      <c r="AF80" s="22">
        <f>Sheet1!BK20</f>
        <v>0</v>
      </c>
      <c r="AG80" s="22">
        <f>Sheet1!BL20</f>
        <v>0</v>
      </c>
    </row>
    <row r="81" spans="2:33" ht="16.5">
      <c r="B81" s="74"/>
      <c r="C81" s="81"/>
      <c r="D81" s="21" t="s">
        <v>55</v>
      </c>
      <c r="E81" s="21" t="s">
        <v>45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</row>
    <row r="82" spans="2:33" ht="16.5">
      <c r="B82" s="74"/>
      <c r="C82" s="81"/>
      <c r="D82" s="25" t="s">
        <v>38</v>
      </c>
      <c r="E82" s="25"/>
      <c r="F82" s="24">
        <f>SUBTOTAL(9,F76:F81)</f>
        <v>0</v>
      </c>
      <c r="G82" s="24">
        <f>SUBTOTAL(9,G76:G81)</f>
        <v>0</v>
      </c>
      <c r="H82" s="24">
        <f t="shared" ref="H82:AG82" si="19">SUBTOTAL(9,H76:H81)</f>
        <v>0</v>
      </c>
      <c r="I82" s="24">
        <f t="shared" si="19"/>
        <v>0</v>
      </c>
      <c r="J82" s="24">
        <f t="shared" si="19"/>
        <v>0</v>
      </c>
      <c r="K82" s="24">
        <f t="shared" si="19"/>
        <v>0</v>
      </c>
      <c r="L82" s="24">
        <f t="shared" si="19"/>
        <v>0</v>
      </c>
      <c r="M82" s="24">
        <f t="shared" si="19"/>
        <v>0</v>
      </c>
      <c r="N82" s="24">
        <f t="shared" si="19"/>
        <v>0</v>
      </c>
      <c r="O82" s="24">
        <f t="shared" si="19"/>
        <v>0</v>
      </c>
      <c r="P82" s="24">
        <f t="shared" si="19"/>
        <v>0</v>
      </c>
      <c r="Q82" s="24">
        <f t="shared" si="19"/>
        <v>0</v>
      </c>
      <c r="R82" s="24">
        <f t="shared" si="19"/>
        <v>0</v>
      </c>
      <c r="S82" s="24">
        <f t="shared" si="19"/>
        <v>0</v>
      </c>
      <c r="T82" s="24">
        <f t="shared" si="19"/>
        <v>0</v>
      </c>
      <c r="U82" s="24">
        <f t="shared" si="19"/>
        <v>0</v>
      </c>
      <c r="V82" s="24">
        <f t="shared" si="19"/>
        <v>0</v>
      </c>
      <c r="W82" s="24">
        <f t="shared" si="19"/>
        <v>0</v>
      </c>
      <c r="X82" s="24">
        <f t="shared" si="19"/>
        <v>0</v>
      </c>
      <c r="Y82" s="24">
        <f t="shared" si="19"/>
        <v>0</v>
      </c>
      <c r="Z82" s="24">
        <f t="shared" si="19"/>
        <v>0</v>
      </c>
      <c r="AA82" s="24">
        <f t="shared" si="19"/>
        <v>0</v>
      </c>
      <c r="AB82" s="24">
        <f t="shared" si="19"/>
        <v>0</v>
      </c>
      <c r="AC82" s="24">
        <f t="shared" si="19"/>
        <v>0</v>
      </c>
      <c r="AD82" s="24">
        <f t="shared" si="19"/>
        <v>0</v>
      </c>
      <c r="AE82" s="24">
        <f t="shared" si="19"/>
        <v>0</v>
      </c>
      <c r="AF82" s="24">
        <f t="shared" si="19"/>
        <v>0</v>
      </c>
      <c r="AG82" s="22">
        <f t="shared" si="19"/>
        <v>0</v>
      </c>
    </row>
    <row r="83" spans="2:33" ht="16.5">
      <c r="B83" s="74" t="s">
        <v>56</v>
      </c>
      <c r="C83" s="26" t="s">
        <v>57</v>
      </c>
      <c r="D83" s="26" t="s">
        <v>57</v>
      </c>
      <c r="E83" s="26" t="s">
        <v>34</v>
      </c>
      <c r="F83" s="22">
        <f>Sheet1!AK21</f>
        <v>0</v>
      </c>
      <c r="G83" s="22">
        <f>Sheet1!AL21</f>
        <v>0</v>
      </c>
      <c r="H83" s="22">
        <f>Sheet1!AM21</f>
        <v>0</v>
      </c>
      <c r="I83" s="22">
        <f>Sheet1!AN21</f>
        <v>0</v>
      </c>
      <c r="J83" s="22">
        <f>Sheet1!AO21</f>
        <v>0</v>
      </c>
      <c r="K83" s="22">
        <f>Sheet1!AP21</f>
        <v>0</v>
      </c>
      <c r="L83" s="22">
        <f>Sheet1!AQ21</f>
        <v>0</v>
      </c>
      <c r="M83" s="22">
        <f>Sheet1!AR21</f>
        <v>0</v>
      </c>
      <c r="N83" s="22">
        <f>Sheet1!AS21</f>
        <v>0</v>
      </c>
      <c r="O83" s="22">
        <f>Sheet1!AT21</f>
        <v>0</v>
      </c>
      <c r="P83" s="22">
        <f>Sheet1!AU21</f>
        <v>0</v>
      </c>
      <c r="Q83" s="22">
        <f>Sheet1!AV21</f>
        <v>0</v>
      </c>
      <c r="R83" s="22">
        <f>Sheet1!AW21</f>
        <v>0</v>
      </c>
      <c r="S83" s="22">
        <f>Sheet1!AX21</f>
        <v>0</v>
      </c>
      <c r="T83" s="22">
        <f>Sheet1!AY21</f>
        <v>0</v>
      </c>
      <c r="U83" s="22">
        <f>Sheet1!AZ21</f>
        <v>0</v>
      </c>
      <c r="V83" s="22">
        <f>Sheet1!BA21</f>
        <v>0</v>
      </c>
      <c r="W83" s="22">
        <f>Sheet1!BB21</f>
        <v>0</v>
      </c>
      <c r="X83" s="22">
        <f>Sheet1!BC21</f>
        <v>0</v>
      </c>
      <c r="Y83" s="22">
        <f>Sheet1!BD21</f>
        <v>0</v>
      </c>
      <c r="Z83" s="22">
        <f>Sheet1!BE21</f>
        <v>0</v>
      </c>
      <c r="AA83" s="22">
        <f>Sheet1!BF21</f>
        <v>0</v>
      </c>
      <c r="AB83" s="22">
        <f>Sheet1!BG21</f>
        <v>0</v>
      </c>
      <c r="AC83" s="22">
        <f>Sheet1!BH21</f>
        <v>0</v>
      </c>
      <c r="AD83" s="22">
        <f>Sheet1!BI21</f>
        <v>0</v>
      </c>
      <c r="AE83" s="22">
        <f>Sheet1!BJ21</f>
        <v>0</v>
      </c>
      <c r="AF83" s="22">
        <f>Sheet1!BK21</f>
        <v>0</v>
      </c>
      <c r="AG83" s="22">
        <f>Sheet1!BL21</f>
        <v>0</v>
      </c>
    </row>
    <row r="84" spans="2:33" ht="16.5">
      <c r="B84" s="74"/>
      <c r="C84" s="27" t="s">
        <v>58</v>
      </c>
      <c r="D84" s="27" t="s">
        <v>58</v>
      </c>
      <c r="E84" s="27" t="s">
        <v>34</v>
      </c>
      <c r="F84" s="22">
        <f>Sheet1!AK22</f>
        <v>0</v>
      </c>
      <c r="G84" s="22">
        <f>Sheet1!AL22</f>
        <v>0</v>
      </c>
      <c r="H84" s="22">
        <f>Sheet1!AM22</f>
        <v>0</v>
      </c>
      <c r="I84" s="22">
        <f>Sheet1!AN22</f>
        <v>0</v>
      </c>
      <c r="J84" s="22">
        <f>Sheet1!AO22</f>
        <v>0</v>
      </c>
      <c r="K84" s="22">
        <f>Sheet1!AP22</f>
        <v>0</v>
      </c>
      <c r="L84" s="22">
        <f>Sheet1!AQ22</f>
        <v>0</v>
      </c>
      <c r="M84" s="22">
        <f>Sheet1!AR22</f>
        <v>0</v>
      </c>
      <c r="N84" s="22">
        <f>Sheet1!AS22</f>
        <v>0</v>
      </c>
      <c r="O84" s="22">
        <f>Sheet1!AT22</f>
        <v>0</v>
      </c>
      <c r="P84" s="22">
        <f>Sheet1!AU22</f>
        <v>0</v>
      </c>
      <c r="Q84" s="22">
        <f>Sheet1!AV22</f>
        <v>0</v>
      </c>
      <c r="R84" s="22">
        <f>Sheet1!AW22</f>
        <v>0</v>
      </c>
      <c r="S84" s="22">
        <f>Sheet1!AX22</f>
        <v>0</v>
      </c>
      <c r="T84" s="22">
        <f>Sheet1!AY22</f>
        <v>0</v>
      </c>
      <c r="U84" s="22">
        <f>Sheet1!AZ22</f>
        <v>0</v>
      </c>
      <c r="V84" s="22">
        <f>Sheet1!BA22</f>
        <v>0</v>
      </c>
      <c r="W84" s="22">
        <f>Sheet1!BB22</f>
        <v>0</v>
      </c>
      <c r="X84" s="22">
        <f>Sheet1!BC22</f>
        <v>0</v>
      </c>
      <c r="Y84" s="22">
        <f>Sheet1!BD22</f>
        <v>0</v>
      </c>
      <c r="Z84" s="22">
        <f>Sheet1!BE22</f>
        <v>0</v>
      </c>
      <c r="AA84" s="22">
        <f>Sheet1!BF22</f>
        <v>0</v>
      </c>
      <c r="AB84" s="22">
        <f>Sheet1!BG22</f>
        <v>0</v>
      </c>
      <c r="AC84" s="22">
        <f>Sheet1!BH22</f>
        <v>0</v>
      </c>
      <c r="AD84" s="22">
        <f>Sheet1!BI22</f>
        <v>0</v>
      </c>
      <c r="AE84" s="22">
        <f>Sheet1!BJ22</f>
        <v>0</v>
      </c>
      <c r="AF84" s="22">
        <f>Sheet1!BK22</f>
        <v>0</v>
      </c>
      <c r="AG84" s="22">
        <f>Sheet1!BL22</f>
        <v>0</v>
      </c>
    </row>
    <row r="85" spans="2:33" ht="16.5">
      <c r="B85" s="74"/>
      <c r="C85" s="75" t="s">
        <v>38</v>
      </c>
      <c r="D85" s="75"/>
      <c r="E85" s="23"/>
      <c r="F85" s="24">
        <f>SUBTOTAL(9,F83:F84)</f>
        <v>0</v>
      </c>
      <c r="G85" s="24">
        <f>SUBTOTAL(9,G83:G84)</f>
        <v>0</v>
      </c>
      <c r="H85" s="24">
        <f t="shared" ref="H85:AG85" si="20">SUBTOTAL(9,H83:H84)</f>
        <v>0</v>
      </c>
      <c r="I85" s="24">
        <f t="shared" si="20"/>
        <v>0</v>
      </c>
      <c r="J85" s="24">
        <f t="shared" si="20"/>
        <v>0</v>
      </c>
      <c r="K85" s="24">
        <f t="shared" si="20"/>
        <v>0</v>
      </c>
      <c r="L85" s="24">
        <f t="shared" si="20"/>
        <v>0</v>
      </c>
      <c r="M85" s="24">
        <f t="shared" si="20"/>
        <v>0</v>
      </c>
      <c r="N85" s="24">
        <f t="shared" si="20"/>
        <v>0</v>
      </c>
      <c r="O85" s="24">
        <f t="shared" si="20"/>
        <v>0</v>
      </c>
      <c r="P85" s="24">
        <f t="shared" si="20"/>
        <v>0</v>
      </c>
      <c r="Q85" s="24">
        <f t="shared" si="20"/>
        <v>0</v>
      </c>
      <c r="R85" s="24">
        <f t="shared" si="20"/>
        <v>0</v>
      </c>
      <c r="S85" s="24">
        <f t="shared" si="20"/>
        <v>0</v>
      </c>
      <c r="T85" s="24">
        <f t="shared" si="20"/>
        <v>0</v>
      </c>
      <c r="U85" s="24">
        <f t="shared" si="20"/>
        <v>0</v>
      </c>
      <c r="V85" s="24">
        <f t="shared" si="20"/>
        <v>0</v>
      </c>
      <c r="W85" s="24">
        <f t="shared" si="20"/>
        <v>0</v>
      </c>
      <c r="X85" s="24">
        <f t="shared" si="20"/>
        <v>0</v>
      </c>
      <c r="Y85" s="24">
        <f t="shared" si="20"/>
        <v>0</v>
      </c>
      <c r="Z85" s="24">
        <f t="shared" si="20"/>
        <v>0</v>
      </c>
      <c r="AA85" s="24">
        <f t="shared" si="20"/>
        <v>0</v>
      </c>
      <c r="AB85" s="24">
        <f t="shared" si="20"/>
        <v>0</v>
      </c>
      <c r="AC85" s="24">
        <f t="shared" si="20"/>
        <v>0</v>
      </c>
      <c r="AD85" s="24">
        <f t="shared" si="20"/>
        <v>0</v>
      </c>
      <c r="AE85" s="24">
        <f t="shared" si="20"/>
        <v>0</v>
      </c>
      <c r="AF85" s="24">
        <f t="shared" si="20"/>
        <v>0</v>
      </c>
      <c r="AG85" s="22">
        <f t="shared" si="20"/>
        <v>0</v>
      </c>
    </row>
    <row r="86" spans="2:33" ht="16.5">
      <c r="B86" s="76" t="s">
        <v>59</v>
      </c>
      <c r="C86" s="76"/>
      <c r="D86" s="76"/>
      <c r="E86" s="28"/>
      <c r="F86" s="29">
        <f>SUBTOTAL(9,F65:F85)</f>
        <v>0</v>
      </c>
      <c r="G86" s="29">
        <f>SUBTOTAL(9,G65:G85)</f>
        <v>0</v>
      </c>
      <c r="H86" s="29">
        <f t="shared" ref="H86:AG86" si="21">SUBTOTAL(9,H65:H85)</f>
        <v>0</v>
      </c>
      <c r="I86" s="29">
        <f t="shared" si="21"/>
        <v>0</v>
      </c>
      <c r="J86" s="29">
        <f t="shared" si="21"/>
        <v>0</v>
      </c>
      <c r="K86" s="29">
        <f t="shared" si="21"/>
        <v>0</v>
      </c>
      <c r="L86" s="29">
        <f t="shared" si="21"/>
        <v>0</v>
      </c>
      <c r="M86" s="29">
        <f t="shared" si="21"/>
        <v>0</v>
      </c>
      <c r="N86" s="29">
        <f t="shared" si="21"/>
        <v>0</v>
      </c>
      <c r="O86" s="29">
        <f t="shared" si="21"/>
        <v>0</v>
      </c>
      <c r="P86" s="29">
        <f t="shared" si="21"/>
        <v>0</v>
      </c>
      <c r="Q86" s="29">
        <f t="shared" si="21"/>
        <v>0</v>
      </c>
      <c r="R86" s="29">
        <f t="shared" si="21"/>
        <v>0</v>
      </c>
      <c r="S86" s="29">
        <f t="shared" si="21"/>
        <v>0</v>
      </c>
      <c r="T86" s="29">
        <f t="shared" si="21"/>
        <v>0</v>
      </c>
      <c r="U86" s="29">
        <f t="shared" si="21"/>
        <v>0</v>
      </c>
      <c r="V86" s="29">
        <f t="shared" si="21"/>
        <v>0</v>
      </c>
      <c r="W86" s="29">
        <f t="shared" si="21"/>
        <v>0</v>
      </c>
      <c r="X86" s="29">
        <f t="shared" si="21"/>
        <v>0</v>
      </c>
      <c r="Y86" s="29">
        <f t="shared" si="21"/>
        <v>0</v>
      </c>
      <c r="Z86" s="29">
        <f t="shared" si="21"/>
        <v>0</v>
      </c>
      <c r="AA86" s="29">
        <f t="shared" si="21"/>
        <v>0</v>
      </c>
      <c r="AB86" s="29">
        <f t="shared" si="21"/>
        <v>0</v>
      </c>
      <c r="AC86" s="29">
        <f t="shared" si="21"/>
        <v>0</v>
      </c>
      <c r="AD86" s="29">
        <f t="shared" si="21"/>
        <v>0</v>
      </c>
      <c r="AE86" s="29">
        <f t="shared" si="21"/>
        <v>0</v>
      </c>
      <c r="AF86" s="29">
        <f t="shared" si="21"/>
        <v>0</v>
      </c>
      <c r="AG86" s="22">
        <f t="shared" si="21"/>
        <v>0</v>
      </c>
    </row>
    <row r="87" spans="2:33" ht="17.25" thickBot="1">
      <c r="B87" s="51"/>
      <c r="C87" s="51"/>
      <c r="D87" s="51"/>
      <c r="E87" s="51"/>
      <c r="F87" s="52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4"/>
      <c r="R87" s="55"/>
      <c r="S87" s="55"/>
      <c r="T87" s="55"/>
      <c r="U87" s="56"/>
      <c r="V87" s="53"/>
      <c r="W87" s="53"/>
      <c r="X87" s="52"/>
      <c r="Y87" s="53"/>
      <c r="Z87" s="52"/>
      <c r="AA87" s="52"/>
      <c r="AB87" s="52"/>
      <c r="AC87" s="52"/>
      <c r="AD87" s="52"/>
      <c r="AE87" s="52"/>
      <c r="AF87" s="52"/>
      <c r="AG87" s="52"/>
    </row>
    <row r="88" spans="2:33" ht="60">
      <c r="B88"/>
      <c r="C88"/>
      <c r="D88"/>
      <c r="E88"/>
      <c r="F88"/>
      <c r="G88"/>
      <c r="H88"/>
      <c r="I88"/>
      <c r="J88"/>
      <c r="K88"/>
      <c r="L88" s="30"/>
      <c r="M88" s="30"/>
      <c r="N88" s="31">
        <f>+U86+I86</f>
        <v>0</v>
      </c>
      <c r="O88" s="30"/>
      <c r="P88" s="8" t="s">
        <v>66</v>
      </c>
      <c r="Q88" s="9" t="s">
        <v>67</v>
      </c>
      <c r="R88" s="10" t="s">
        <v>68</v>
      </c>
      <c r="S88" s="10" t="s">
        <v>69</v>
      </c>
      <c r="T88" s="10">
        <v>0.3</v>
      </c>
      <c r="U88" s="11" t="s">
        <v>70</v>
      </c>
      <c r="V88" s="12" t="s">
        <v>71</v>
      </c>
    </row>
    <row r="89" spans="2:33" ht="15.75">
      <c r="B89"/>
      <c r="C89"/>
      <c r="D89"/>
      <c r="E89"/>
      <c r="F89"/>
      <c r="G89"/>
      <c r="H89"/>
      <c r="I89"/>
      <c r="J89"/>
      <c r="K89"/>
      <c r="L89" s="18"/>
      <c r="M89" s="18"/>
      <c r="N89" s="32"/>
      <c r="O89" s="18"/>
      <c r="P89" s="33" t="s">
        <v>80</v>
      </c>
      <c r="Q89" s="34">
        <f>+K75</f>
        <v>0</v>
      </c>
      <c r="R89" s="34">
        <f>S89-Q89</f>
        <v>0</v>
      </c>
      <c r="S89" s="35">
        <f>+S76</f>
        <v>0</v>
      </c>
      <c r="T89" s="35">
        <f>+T75</f>
        <v>0</v>
      </c>
      <c r="U89" s="36">
        <f>+S89+T89</f>
        <v>0</v>
      </c>
      <c r="V89" s="37" t="e">
        <f>(V86-U86-I86-AC86)/(H86+G86)</f>
        <v>#DIV/0!</v>
      </c>
    </row>
    <row r="90" spans="2:33" ht="16.5" thickBot="1">
      <c r="B90"/>
      <c r="C90"/>
      <c r="D90"/>
      <c r="E90"/>
      <c r="F90"/>
      <c r="G90"/>
      <c r="H90"/>
      <c r="I90"/>
      <c r="J90"/>
      <c r="K90"/>
      <c r="L90" s="18"/>
      <c r="M90" s="18"/>
      <c r="N90" s="18"/>
      <c r="O90" s="18"/>
      <c r="P90" s="45" t="s">
        <v>81</v>
      </c>
      <c r="Q90" s="46">
        <f>+K82</f>
        <v>0</v>
      </c>
      <c r="R90" s="46">
        <f>S90-Q90</f>
        <v>0</v>
      </c>
      <c r="S90" s="47">
        <f>+S83</f>
        <v>0</v>
      </c>
      <c r="T90" s="47">
        <f>+T82</f>
        <v>0</v>
      </c>
      <c r="U90" s="48">
        <f>+S90+T90</f>
        <v>0</v>
      </c>
      <c r="V90" s="49"/>
    </row>
  </sheetData>
  <mergeCells count="104">
    <mergeCell ref="K57:K58"/>
    <mergeCell ref="I57:J57"/>
    <mergeCell ref="C57:H57"/>
    <mergeCell ref="U27:U28"/>
    <mergeCell ref="V27:V28"/>
    <mergeCell ref="C28:H28"/>
    <mergeCell ref="I28:J28"/>
    <mergeCell ref="K28:K29"/>
    <mergeCell ref="B32:D32"/>
    <mergeCell ref="B23:B25"/>
    <mergeCell ref="C25:D25"/>
    <mergeCell ref="B26:D26"/>
    <mergeCell ref="B27:D27"/>
    <mergeCell ref="P27:P28"/>
    <mergeCell ref="Q27:Q28"/>
    <mergeCell ref="R27:R28"/>
    <mergeCell ref="S27:S28"/>
    <mergeCell ref="T27:T28"/>
    <mergeCell ref="AC3:AC4"/>
    <mergeCell ref="AD3:AD4"/>
    <mergeCell ref="AE3:AE4"/>
    <mergeCell ref="AF3:AF4"/>
    <mergeCell ref="B5:B7"/>
    <mergeCell ref="C7:D7"/>
    <mergeCell ref="B8:B22"/>
    <mergeCell ref="C8:C10"/>
    <mergeCell ref="C11:C15"/>
    <mergeCell ref="C16:C22"/>
    <mergeCell ref="B1:D1"/>
    <mergeCell ref="B2:D2"/>
    <mergeCell ref="B33:D34"/>
    <mergeCell ref="E33:E34"/>
    <mergeCell ref="F33:F34"/>
    <mergeCell ref="G33:G34"/>
    <mergeCell ref="AD33:AD34"/>
    <mergeCell ref="AE33:AE34"/>
    <mergeCell ref="AF33:AF34"/>
    <mergeCell ref="B3:D4"/>
    <mergeCell ref="E3:E4"/>
    <mergeCell ref="F3:F4"/>
    <mergeCell ref="G3:G4"/>
    <mergeCell ref="H3:H4"/>
    <mergeCell ref="I3:I4"/>
    <mergeCell ref="J3:S3"/>
    <mergeCell ref="T3:U3"/>
    <mergeCell ref="V3:V4"/>
    <mergeCell ref="W3:W4"/>
    <mergeCell ref="X3:X4"/>
    <mergeCell ref="Y3:Y4"/>
    <mergeCell ref="Z3:Z4"/>
    <mergeCell ref="AA3:AA4"/>
    <mergeCell ref="AB3:AB4"/>
    <mergeCell ref="AG33:AG34"/>
    <mergeCell ref="B35:B37"/>
    <mergeCell ref="C37:D37"/>
    <mergeCell ref="X33:X34"/>
    <mergeCell ref="Y33:Y34"/>
    <mergeCell ref="Z33:Z34"/>
    <mergeCell ref="AA33:AA34"/>
    <mergeCell ref="AB33:AB34"/>
    <mergeCell ref="AC33:AC34"/>
    <mergeCell ref="H33:H34"/>
    <mergeCell ref="I33:I34"/>
    <mergeCell ref="J33:S33"/>
    <mergeCell ref="T33:U33"/>
    <mergeCell ref="V33:V34"/>
    <mergeCell ref="W33:W34"/>
    <mergeCell ref="B56:D56"/>
    <mergeCell ref="B38:B52"/>
    <mergeCell ref="C38:C40"/>
    <mergeCell ref="C41:C45"/>
    <mergeCell ref="C46:C52"/>
    <mergeCell ref="B53:B55"/>
    <mergeCell ref="C55:D55"/>
    <mergeCell ref="X63:X64"/>
    <mergeCell ref="Y63:Y64"/>
    <mergeCell ref="B63:D64"/>
    <mergeCell ref="E63:E64"/>
    <mergeCell ref="F63:F64"/>
    <mergeCell ref="G63:G64"/>
    <mergeCell ref="H63:H64"/>
    <mergeCell ref="I63:I64"/>
    <mergeCell ref="B62:D62"/>
    <mergeCell ref="B83:B85"/>
    <mergeCell ref="C85:D85"/>
    <mergeCell ref="B86:D86"/>
    <mergeCell ref="AF63:AF64"/>
    <mergeCell ref="AG63:AG64"/>
    <mergeCell ref="B65:B67"/>
    <mergeCell ref="C67:D67"/>
    <mergeCell ref="B68:B82"/>
    <mergeCell ref="C68:C70"/>
    <mergeCell ref="C71:C75"/>
    <mergeCell ref="C76:C82"/>
    <mergeCell ref="Z63:Z64"/>
    <mergeCell ref="AA63:AA64"/>
    <mergeCell ref="AB63:AB64"/>
    <mergeCell ref="AC63:AC64"/>
    <mergeCell ref="AD63:AD64"/>
    <mergeCell ref="AE63:AE64"/>
    <mergeCell ref="J63:S63"/>
    <mergeCell ref="T63:U63"/>
    <mergeCell ref="V63:V64"/>
    <mergeCell ref="W63:W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C0C0-B05C-46AC-B36C-3CC168479889}">
  <sheetPr>
    <tabColor theme="5" tint="0.39997558519241921"/>
    <pageSetUpPr fitToPage="1"/>
  </sheetPr>
  <dimension ref="A1:AD63"/>
  <sheetViews>
    <sheetView topLeftCell="A13" zoomScale="85" zoomScaleNormal="85" workbookViewId="0">
      <selection activeCell="F45" sqref="F45"/>
    </sheetView>
  </sheetViews>
  <sheetFormatPr defaultColWidth="8.85546875" defaultRowHeight="15"/>
  <cols>
    <col min="1" max="1" width="9.42578125" style="162" customWidth="1"/>
    <col min="2" max="2" width="19.5703125" style="193" customWidth="1"/>
    <col min="3" max="3" width="7.85546875" style="194" customWidth="1"/>
    <col min="4" max="4" width="10.140625" style="194" customWidth="1"/>
    <col min="5" max="5" width="8" style="194" customWidth="1"/>
    <col min="6" max="6" width="9.5703125" style="194" customWidth="1"/>
    <col min="7" max="9" width="8" style="194" customWidth="1"/>
    <col min="10" max="11" width="8.85546875" style="194" customWidth="1"/>
    <col min="12" max="12" width="12.42578125" style="194" customWidth="1"/>
    <col min="13" max="13" width="10.85546875" style="194" customWidth="1"/>
    <col min="14" max="14" width="9.140625" style="194" customWidth="1"/>
    <col min="15" max="15" width="9.42578125" style="193" customWidth="1"/>
    <col min="16" max="16" width="10.7109375" style="193" hidden="1" customWidth="1"/>
    <col min="17" max="17" width="10.7109375" hidden="1" customWidth="1"/>
    <col min="18" max="18" width="12" style="169" customWidth="1"/>
    <col min="19" max="19" width="15.140625" style="193" customWidth="1"/>
    <col min="20" max="20" width="15.140625" style="194" customWidth="1"/>
    <col min="21" max="21" width="8.7109375" style="194" customWidth="1"/>
    <col min="22" max="22" width="13.85546875" style="194" customWidth="1"/>
    <col min="23" max="23" width="15.85546875" style="194" customWidth="1"/>
    <col min="24" max="24" width="15.85546875" style="194" hidden="1" customWidth="1"/>
    <col min="25" max="25" width="19.85546875" style="194" hidden="1" customWidth="1"/>
    <col min="26" max="26" width="15.85546875" style="194" hidden="1" customWidth="1"/>
    <col min="27" max="27" width="14.28515625" style="194" customWidth="1"/>
    <col min="28" max="29" width="14.28515625" customWidth="1"/>
  </cols>
  <sheetData>
    <row r="1" spans="1:30" ht="36" customHeight="1">
      <c r="A1" s="161" t="s">
        <v>278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</row>
    <row r="2" spans="1:30" ht="18.75" customHeight="1">
      <c r="B2" s="163"/>
      <c r="C2" s="164"/>
      <c r="D2" s="164"/>
      <c r="E2" s="165"/>
      <c r="F2" s="166" t="s">
        <v>279</v>
      </c>
      <c r="G2" s="167"/>
      <c r="H2" s="167"/>
      <c r="I2" s="167"/>
      <c r="J2" s="167"/>
      <c r="K2" s="168"/>
      <c r="L2" s="164"/>
      <c r="M2" s="164"/>
      <c r="N2" s="164"/>
      <c r="O2" s="163" t="s">
        <v>280</v>
      </c>
      <c r="P2" s="163" t="s">
        <v>281</v>
      </c>
      <c r="S2" s="170"/>
      <c r="T2" s="171" t="s">
        <v>62</v>
      </c>
      <c r="U2" s="171"/>
      <c r="V2" s="171" t="s">
        <v>282</v>
      </c>
      <c r="W2" s="171" t="s">
        <v>68</v>
      </c>
      <c r="X2" s="171" t="s">
        <v>283</v>
      </c>
      <c r="Y2" s="171" t="s">
        <v>284</v>
      </c>
      <c r="Z2" s="171" t="s">
        <v>285</v>
      </c>
      <c r="AA2" s="171" t="s">
        <v>286</v>
      </c>
      <c r="AB2" s="172" t="s">
        <v>287</v>
      </c>
    </row>
    <row r="3" spans="1:30" s="179" customFormat="1" ht="32.25" customHeight="1">
      <c r="A3" s="173"/>
      <c r="B3" s="174" t="s">
        <v>288</v>
      </c>
      <c r="C3" s="175" t="s">
        <v>289</v>
      </c>
      <c r="D3" s="175" t="s">
        <v>290</v>
      </c>
      <c r="E3" s="176">
        <v>0.3</v>
      </c>
      <c r="F3" s="176">
        <v>1.5</v>
      </c>
      <c r="G3" s="176">
        <v>2</v>
      </c>
      <c r="H3" s="176">
        <v>2.1</v>
      </c>
      <c r="I3" s="176">
        <v>2.7</v>
      </c>
      <c r="J3" s="176">
        <v>3</v>
      </c>
      <c r="K3" s="176">
        <v>3.9</v>
      </c>
      <c r="L3" s="177" t="s">
        <v>291</v>
      </c>
      <c r="M3" s="178" t="s">
        <v>292</v>
      </c>
      <c r="N3" s="177" t="s">
        <v>293</v>
      </c>
      <c r="O3" s="174"/>
      <c r="P3" s="174"/>
      <c r="R3" s="169"/>
      <c r="S3" s="180" t="s">
        <v>294</v>
      </c>
      <c r="T3" s="181" t="s">
        <v>295</v>
      </c>
      <c r="U3" s="181" t="s">
        <v>296</v>
      </c>
      <c r="V3" s="181" t="s">
        <v>297</v>
      </c>
      <c r="W3" s="181" t="s">
        <v>298</v>
      </c>
      <c r="X3" s="181"/>
      <c r="Y3" s="181"/>
      <c r="Z3" s="181"/>
      <c r="AA3" s="181" t="s">
        <v>299</v>
      </c>
      <c r="AB3" s="172"/>
    </row>
    <row r="4" spans="1:30" ht="27" customHeight="1">
      <c r="B4" s="163" t="s">
        <v>33</v>
      </c>
      <c r="C4" s="164">
        <f>Sum!F5</f>
        <v>0</v>
      </c>
      <c r="D4" s="164">
        <f>Sum!K5</f>
        <v>0</v>
      </c>
      <c r="E4" s="164">
        <f>Sum!T5</f>
        <v>0</v>
      </c>
      <c r="F4" s="164">
        <f>Sum!L5</f>
        <v>0</v>
      </c>
      <c r="G4" s="164">
        <f>Sum!M5</f>
        <v>0</v>
      </c>
      <c r="H4" s="164">
        <f>Sum!N5</f>
        <v>0</v>
      </c>
      <c r="I4" s="164">
        <f>Sum!O5</f>
        <v>0</v>
      </c>
      <c r="J4" s="164">
        <f>Sum!P7</f>
        <v>0</v>
      </c>
      <c r="K4" s="164">
        <f>Sum!Q7</f>
        <v>0</v>
      </c>
      <c r="L4" s="164">
        <f>SUM(F4:K4)</f>
        <v>0</v>
      </c>
      <c r="M4" s="164">
        <f>+F4*$F$21+G4*$G$21+H4*$H$21+I4*$I$21+J4*$J$21+K4*$K$21</f>
        <v>0</v>
      </c>
      <c r="N4" s="164">
        <f>L4+D4</f>
        <v>0</v>
      </c>
      <c r="O4" s="182">
        <f>M4+D4+E4</f>
        <v>0</v>
      </c>
      <c r="P4" s="182">
        <f>Sum!AC5</f>
        <v>0</v>
      </c>
      <c r="Q4" s="183">
        <f t="shared" ref="Q4:Q13" si="0">+SUM(D4:K4)</f>
        <v>0</v>
      </c>
      <c r="R4" s="169">
        <f>Sum!F35</f>
        <v>0</v>
      </c>
      <c r="S4" s="164">
        <f>+SUM(Sum!G5:H5)</f>
        <v>0</v>
      </c>
      <c r="T4" s="164">
        <f>+AA4-V4-W4-AB4</f>
        <v>0</v>
      </c>
      <c r="U4" s="184">
        <f>IFERROR(T4/S4,0)</f>
        <v>0</v>
      </c>
      <c r="V4" s="164">
        <f>Sum!U5</f>
        <v>0</v>
      </c>
      <c r="W4" s="164">
        <f>Sum!I5</f>
        <v>0</v>
      </c>
      <c r="X4" s="164">
        <f>Sum!AC5</f>
        <v>0</v>
      </c>
      <c r="Y4" s="164">
        <f>Sum!AD5</f>
        <v>0</v>
      </c>
      <c r="Z4" s="164">
        <f>Sum!AD5</f>
        <v>0</v>
      </c>
      <c r="AA4" s="164">
        <f>Sum!V5</f>
        <v>0</v>
      </c>
      <c r="AB4" s="185">
        <f>Sum!AC5+Sum!AD5+Sum!AE5</f>
        <v>0</v>
      </c>
    </row>
    <row r="5" spans="1:30" ht="27" customHeight="1">
      <c r="B5" s="163" t="s">
        <v>36</v>
      </c>
      <c r="C5" s="164">
        <f>Sum!F6</f>
        <v>0</v>
      </c>
      <c r="D5" s="164">
        <f>Sum!K6</f>
        <v>0</v>
      </c>
      <c r="E5" s="164">
        <f>Sum!T6</f>
        <v>0</v>
      </c>
      <c r="F5" s="164">
        <f>Sum!L6</f>
        <v>0</v>
      </c>
      <c r="G5" s="164">
        <f>Sum!M6</f>
        <v>0</v>
      </c>
      <c r="H5" s="164">
        <f>Sum!N6</f>
        <v>0</v>
      </c>
      <c r="I5" s="164">
        <f>Sum!O6</f>
        <v>0</v>
      </c>
      <c r="J5" s="164">
        <f>Sum!P6</f>
        <v>0</v>
      </c>
      <c r="K5" s="164">
        <f>Sum!Q8</f>
        <v>0</v>
      </c>
      <c r="L5" s="164">
        <f t="shared" ref="L5:L12" si="1">SUM(F5:K5)</f>
        <v>0</v>
      </c>
      <c r="M5" s="164">
        <f t="shared" ref="M5:M12" si="2">+F5*$F$21+G5*$G$21+H5*$H$21+I5*$I$21+J5*$J$21+K5*$K$21</f>
        <v>0</v>
      </c>
      <c r="N5" s="164">
        <f>L5+D5</f>
        <v>0</v>
      </c>
      <c r="O5" s="182">
        <f t="shared" ref="O5:O12" si="3">M5+D5+E5</f>
        <v>0</v>
      </c>
      <c r="P5" s="182">
        <f>Sum!AC6</f>
        <v>0</v>
      </c>
      <c r="Q5" s="183">
        <f t="shared" si="0"/>
        <v>0</v>
      </c>
      <c r="S5" s="164">
        <f>SUM(Sum!G6:H6)</f>
        <v>0</v>
      </c>
      <c r="T5" s="164">
        <f t="shared" ref="T5:T12" si="4">+AA5-V5-W5-AB5</f>
        <v>0</v>
      </c>
      <c r="U5" s="184">
        <f t="shared" ref="U5:U12" si="5">IFERROR(T5/S5,0)</f>
        <v>0</v>
      </c>
      <c r="V5" s="164">
        <f>Sum!U6</f>
        <v>0</v>
      </c>
      <c r="W5" s="164">
        <f>Sum!I6</f>
        <v>0</v>
      </c>
      <c r="X5" s="164">
        <f>Sum!AC6</f>
        <v>0</v>
      </c>
      <c r="Y5" s="164">
        <f>Sum!AD6</f>
        <v>0</v>
      </c>
      <c r="Z5" s="164">
        <f>Sum!AD6</f>
        <v>0</v>
      </c>
      <c r="AA5" s="164">
        <f>Sum!V6</f>
        <v>0</v>
      </c>
      <c r="AB5" s="185">
        <f>Sum!AC6+Sum!AD6+Sum!AE6</f>
        <v>0</v>
      </c>
    </row>
    <row r="6" spans="1:30" ht="27" customHeight="1">
      <c r="B6" s="163" t="s">
        <v>300</v>
      </c>
      <c r="C6" s="164">
        <f>Sum!F11</f>
        <v>0</v>
      </c>
      <c r="D6" s="164">
        <f>Sum!K9</f>
        <v>0</v>
      </c>
      <c r="E6" s="164">
        <f>Sum!T9</f>
        <v>0</v>
      </c>
      <c r="F6" s="164">
        <f>Sum!L10-Sum!L8</f>
        <v>0</v>
      </c>
      <c r="G6" s="164">
        <f>Sum!M10-Sum!M8</f>
        <v>0</v>
      </c>
      <c r="H6" s="164">
        <f>Sum!N10-Sum!N8</f>
        <v>0</v>
      </c>
      <c r="I6" s="164">
        <f>Sum!O11</f>
        <v>0</v>
      </c>
      <c r="J6" s="164">
        <f>Sum!P11</f>
        <v>0</v>
      </c>
      <c r="K6" s="164">
        <f>Sum!Q11</f>
        <v>0</v>
      </c>
      <c r="L6" s="164">
        <f t="shared" si="1"/>
        <v>0</v>
      </c>
      <c r="M6" s="164">
        <f t="shared" si="2"/>
        <v>0</v>
      </c>
      <c r="N6" s="164">
        <f>L6+D6</f>
        <v>0</v>
      </c>
      <c r="O6" s="182">
        <f>M6+D6+E6</f>
        <v>0</v>
      </c>
      <c r="P6" s="182">
        <f>Sum!AC11</f>
        <v>0</v>
      </c>
      <c r="Q6" s="183">
        <f t="shared" si="0"/>
        <v>0</v>
      </c>
      <c r="S6" s="164">
        <f>+Sum!G9+Sum!H9</f>
        <v>0</v>
      </c>
      <c r="T6" s="164">
        <f t="shared" si="4"/>
        <v>0</v>
      </c>
      <c r="U6" s="184">
        <f t="shared" si="5"/>
        <v>0</v>
      </c>
      <c r="V6" s="164">
        <f>+Sum!U9</f>
        <v>0</v>
      </c>
      <c r="W6" s="164">
        <f>+Sum!I9</f>
        <v>0</v>
      </c>
      <c r="X6" s="164">
        <f>+Sum!AC9</f>
        <v>0</v>
      </c>
      <c r="Y6" s="164">
        <f>+Sum!AD9</f>
        <v>0</v>
      </c>
      <c r="Z6" s="164">
        <f>+Sum!AD9</f>
        <v>0</v>
      </c>
      <c r="AA6" s="164">
        <f>+Sum!V9</f>
        <v>0</v>
      </c>
      <c r="AB6" s="185">
        <f>Sum!AC10+Sum!AD10+Sum!AE10</f>
        <v>0</v>
      </c>
    </row>
    <row r="7" spans="1:30" s="188" customFormat="1" ht="27" customHeight="1">
      <c r="A7" s="162" t="s">
        <v>301</v>
      </c>
      <c r="B7" s="163" t="s">
        <v>302</v>
      </c>
      <c r="C7" s="164">
        <f>+Sum!F15-Sum!F14</f>
        <v>0</v>
      </c>
      <c r="D7" s="164">
        <f>+Sum!K15-Sum!K14</f>
        <v>0</v>
      </c>
      <c r="E7" s="164">
        <f>+Sum!T15-Sum!T14</f>
        <v>0</v>
      </c>
      <c r="F7" s="164">
        <f>+Sum!L15-Sum!L14</f>
        <v>0</v>
      </c>
      <c r="G7" s="164">
        <f>+Sum!M15-Sum!M14</f>
        <v>0</v>
      </c>
      <c r="H7" s="164">
        <f>+Sum!N15-Sum!N14</f>
        <v>0</v>
      </c>
      <c r="I7" s="164">
        <f>+Sum!O15-Sum!O14</f>
        <v>0</v>
      </c>
      <c r="J7" s="164">
        <f>+Sum!P15-Sum!P14</f>
        <v>0</v>
      </c>
      <c r="K7" s="164">
        <f>+Sum!Q15-Sum!Q14</f>
        <v>0</v>
      </c>
      <c r="L7" s="164">
        <f>SUM(F7:K7)</f>
        <v>0</v>
      </c>
      <c r="M7" s="164">
        <f>+F7*$F$21+G7*$G$21+H7*$H$21+I7*$I$21+J7*$J$21+K7*$K$21</f>
        <v>0</v>
      </c>
      <c r="N7" s="164">
        <f>L7+D7</f>
        <v>0</v>
      </c>
      <c r="O7" s="182">
        <f>M7+D7+E7</f>
        <v>0</v>
      </c>
      <c r="P7" s="182">
        <f>+(Sum!AC9+Sum!AC10+Sum!AC12+Sum!AC13)</f>
        <v>0</v>
      </c>
      <c r="Q7" s="183">
        <f t="shared" si="0"/>
        <v>0</v>
      </c>
      <c r="R7" s="186">
        <f>+O7</f>
        <v>0</v>
      </c>
      <c r="S7" s="164">
        <f>+Sum!G15+Sum!H15-Sum!G14-Sum!H14</f>
        <v>0</v>
      </c>
      <c r="T7" s="164">
        <f t="shared" si="4"/>
        <v>0</v>
      </c>
      <c r="U7" s="184">
        <f t="shared" si="5"/>
        <v>0</v>
      </c>
      <c r="V7" s="164">
        <f>+Sum!U15-Sum!U14</f>
        <v>0</v>
      </c>
      <c r="W7" s="164">
        <f>+Sum!I15-Sum!I14</f>
        <v>0</v>
      </c>
      <c r="X7" s="164">
        <f>+Sum!AC15-Sum!AC14</f>
        <v>0</v>
      </c>
      <c r="Y7" s="164">
        <f>+Sum!AD15-Sum!AD14</f>
        <v>0</v>
      </c>
      <c r="Z7" s="164">
        <f>+Sum!AD15-Sum!AD14</f>
        <v>0</v>
      </c>
      <c r="AA7" s="164">
        <f>+Sum!V15-Sum!V14</f>
        <v>0</v>
      </c>
      <c r="AB7" s="187">
        <f>Sum!AC15+Sum!AD15+Sum!AE15</f>
        <v>0</v>
      </c>
    </row>
    <row r="8" spans="1:30" s="188" customFormat="1" ht="27" customHeight="1">
      <c r="A8" s="162"/>
      <c r="B8" s="163" t="s">
        <v>303</v>
      </c>
      <c r="C8" s="164">
        <f>+Sum!F14</f>
        <v>0</v>
      </c>
      <c r="D8" s="189">
        <f>+Sum!K14</f>
        <v>0</v>
      </c>
      <c r="E8" s="189">
        <f>+Sum!T14</f>
        <v>0</v>
      </c>
      <c r="F8" s="189">
        <f>+Sum!L14</f>
        <v>0</v>
      </c>
      <c r="G8" s="189">
        <f>+Sum!M14</f>
        <v>0</v>
      </c>
      <c r="H8" s="164">
        <f>+Sum!N14</f>
        <v>0</v>
      </c>
      <c r="I8" s="164">
        <f>+Sum!O14</f>
        <v>0</v>
      </c>
      <c r="J8" s="164"/>
      <c r="K8" s="164"/>
      <c r="L8" s="164">
        <f t="shared" ref="L8" si="6">SUM(F8:K8)</f>
        <v>0</v>
      </c>
      <c r="M8" s="164">
        <f t="shared" si="2"/>
        <v>0</v>
      </c>
      <c r="N8" s="164">
        <f>L8+D8</f>
        <v>0</v>
      </c>
      <c r="O8" s="182">
        <f t="shared" ref="O8:O9" si="7">M8+D8+E8</f>
        <v>0</v>
      </c>
      <c r="P8" s="182">
        <f>+(Sum!AC10+Sum!AC11+Sum!AC13+Sum!AC14)</f>
        <v>0</v>
      </c>
      <c r="Q8" s="183">
        <f t="shared" si="0"/>
        <v>0</v>
      </c>
      <c r="R8" s="186"/>
      <c r="S8" s="164">
        <f>+Sum!G14+Sum!H14</f>
        <v>0</v>
      </c>
      <c r="T8" s="164">
        <f t="shared" si="4"/>
        <v>0</v>
      </c>
      <c r="U8" s="184">
        <f t="shared" si="5"/>
        <v>0</v>
      </c>
      <c r="V8" s="164">
        <f>+Sum!U14</f>
        <v>0</v>
      </c>
      <c r="W8" s="164">
        <f>+Sum!I14</f>
        <v>0</v>
      </c>
      <c r="X8" s="164">
        <f>+Sum!AC14</f>
        <v>0</v>
      </c>
      <c r="Y8" s="164">
        <f>+Sum!AD14</f>
        <v>0</v>
      </c>
      <c r="Z8" s="164">
        <f>+Sum!AD14</f>
        <v>0</v>
      </c>
      <c r="AA8" s="164">
        <f>+Sum!V14</f>
        <v>0</v>
      </c>
      <c r="AB8" s="190"/>
    </row>
    <row r="9" spans="1:30" ht="27" customHeight="1">
      <c r="B9" s="163" t="s">
        <v>304</v>
      </c>
      <c r="C9" s="164">
        <f>+Sum!F8</f>
        <v>0</v>
      </c>
      <c r="D9" s="164">
        <f>+Sum!K8</f>
        <v>0</v>
      </c>
      <c r="E9" s="164">
        <f>+Sum!T8</f>
        <v>0</v>
      </c>
      <c r="F9" s="164">
        <f>+Sum!L8</f>
        <v>0</v>
      </c>
      <c r="G9" s="164">
        <f>+Sum!M8</f>
        <v>0</v>
      </c>
      <c r="H9" s="164">
        <f>+Sum!N8</f>
        <v>0</v>
      </c>
      <c r="I9" s="164">
        <f>+Sum!O8</f>
        <v>0</v>
      </c>
      <c r="J9" s="164">
        <f>Sum!P8</f>
        <v>0</v>
      </c>
      <c r="K9" s="164">
        <f>Sum!Q8</f>
        <v>0</v>
      </c>
      <c r="L9" s="164">
        <f t="shared" si="1"/>
        <v>0</v>
      </c>
      <c r="M9" s="164">
        <f t="shared" si="2"/>
        <v>0</v>
      </c>
      <c r="N9" s="164">
        <f t="shared" ref="N9" si="8">L9+D9</f>
        <v>0</v>
      </c>
      <c r="O9" s="182">
        <f t="shared" si="7"/>
        <v>0</v>
      </c>
      <c r="P9" s="182">
        <f>+Sum!AC8</f>
        <v>0</v>
      </c>
      <c r="Q9" s="183">
        <f t="shared" si="0"/>
        <v>0</v>
      </c>
      <c r="S9" s="164">
        <f>+SUM(Sum!G8:H8)</f>
        <v>0</v>
      </c>
      <c r="T9" s="164">
        <f t="shared" si="4"/>
        <v>0</v>
      </c>
      <c r="U9" s="184">
        <f t="shared" si="5"/>
        <v>0</v>
      </c>
      <c r="V9" s="164">
        <f>Sum!U8</f>
        <v>0</v>
      </c>
      <c r="W9" s="164">
        <f>+Sum!I8</f>
        <v>0</v>
      </c>
      <c r="X9" s="164">
        <f>+Sum!AC8</f>
        <v>0</v>
      </c>
      <c r="Y9" s="164">
        <f>+Sum!AD8</f>
        <v>0</v>
      </c>
      <c r="Z9" s="164">
        <f>+Sum!AD8</f>
        <v>0</v>
      </c>
      <c r="AA9" s="164">
        <f>Sum!V8</f>
        <v>0</v>
      </c>
      <c r="AB9" s="185">
        <f>Sum!AC8+Sum!AD8+Sum!AE8</f>
        <v>0</v>
      </c>
    </row>
    <row r="10" spans="1:30" ht="27" customHeight="1">
      <c r="B10" s="163" t="s">
        <v>305</v>
      </c>
      <c r="C10" s="164">
        <f>+Sum!F22-Sum!F21</f>
        <v>0</v>
      </c>
      <c r="D10" s="164">
        <f>+Sum!K22-Sum!K21</f>
        <v>0</v>
      </c>
      <c r="E10" s="164">
        <f>+Sum!T22-Sum!T21</f>
        <v>0</v>
      </c>
      <c r="F10" s="164">
        <f>+Sum!L22-Sum!L21</f>
        <v>0</v>
      </c>
      <c r="G10" s="164">
        <f>+Sum!M22-Sum!M21</f>
        <v>0</v>
      </c>
      <c r="H10" s="164">
        <f>+Sum!N22-Sum!N21</f>
        <v>0</v>
      </c>
      <c r="I10" s="164">
        <f>+Sum!O22-Sum!O21</f>
        <v>0</v>
      </c>
      <c r="J10" s="164">
        <f>+Sum!P22</f>
        <v>0</v>
      </c>
      <c r="K10" s="164">
        <f>+Sum!Q22</f>
        <v>0</v>
      </c>
      <c r="L10" s="164">
        <f t="shared" si="1"/>
        <v>0</v>
      </c>
      <c r="M10" s="164">
        <f t="shared" si="2"/>
        <v>0</v>
      </c>
      <c r="N10" s="164">
        <f>L10+D10</f>
        <v>0</v>
      </c>
      <c r="O10" s="182">
        <f>M10+D10+E10</f>
        <v>0</v>
      </c>
      <c r="P10" s="182">
        <f>+Sum!AC23</f>
        <v>0</v>
      </c>
      <c r="Q10" s="183">
        <f t="shared" si="0"/>
        <v>0</v>
      </c>
      <c r="S10" s="164">
        <f>+Sum!G22+Sum!H22-Sum!G21-Sum!H21</f>
        <v>0</v>
      </c>
      <c r="T10" s="164">
        <f t="shared" si="4"/>
        <v>0</v>
      </c>
      <c r="U10" s="184">
        <f t="shared" si="5"/>
        <v>0</v>
      </c>
      <c r="V10" s="164">
        <f>+Sum!U22-Sum!U21</f>
        <v>0</v>
      </c>
      <c r="W10" s="164">
        <f>+Sum!I22-Sum!I21</f>
        <v>0</v>
      </c>
      <c r="X10" s="164">
        <f>+Sum!AC22-Sum!AC21</f>
        <v>0</v>
      </c>
      <c r="Y10" s="164">
        <f>+Sum!AD22-Sum!AD21</f>
        <v>0</v>
      </c>
      <c r="Z10" s="164">
        <f>+Sum!AD22-Sum!AD21</f>
        <v>0</v>
      </c>
      <c r="AA10" s="164">
        <f>+Sum!V22-Sum!V21</f>
        <v>0</v>
      </c>
      <c r="AB10" s="185">
        <f>Sum!AC22+Sum!AD22+Sum!AE22</f>
        <v>0</v>
      </c>
    </row>
    <row r="11" spans="1:30" ht="27" customHeight="1">
      <c r="B11" s="163" t="s">
        <v>306</v>
      </c>
      <c r="C11" s="164">
        <f>+Sum!F21</f>
        <v>0</v>
      </c>
      <c r="D11" s="164">
        <f>+Sum!K21</f>
        <v>0</v>
      </c>
      <c r="E11" s="164">
        <f>+Sum!T21</f>
        <v>0</v>
      </c>
      <c r="F11" s="164">
        <f>+Sum!L21</f>
        <v>0</v>
      </c>
      <c r="G11" s="164">
        <f>+Sum!M21</f>
        <v>0</v>
      </c>
      <c r="H11" s="164">
        <f>+Sum!N21</f>
        <v>0</v>
      </c>
      <c r="I11" s="164">
        <f>+Sum!O21</f>
        <v>0</v>
      </c>
      <c r="J11" s="164">
        <f>+Sum!P21</f>
        <v>0</v>
      </c>
      <c r="K11" s="164">
        <f>+Sum!Q21</f>
        <v>0</v>
      </c>
      <c r="L11" s="164">
        <f t="shared" si="1"/>
        <v>0</v>
      </c>
      <c r="M11" s="164">
        <f t="shared" si="2"/>
        <v>0</v>
      </c>
      <c r="N11" s="164">
        <f>L11+D11</f>
        <v>0</v>
      </c>
      <c r="O11" s="182">
        <f>M11+D11+E11</f>
        <v>0</v>
      </c>
      <c r="P11" s="182">
        <f>+Sum!AC24</f>
        <v>0</v>
      </c>
      <c r="Q11" s="183">
        <f t="shared" si="0"/>
        <v>0</v>
      </c>
      <c r="R11" s="169">
        <f>+O11+O10</f>
        <v>0</v>
      </c>
      <c r="S11" s="164">
        <f>+Sum!G21+Sum!H21</f>
        <v>0</v>
      </c>
      <c r="T11" s="164">
        <f t="shared" si="4"/>
        <v>0</v>
      </c>
      <c r="U11" s="184">
        <f t="shared" si="5"/>
        <v>0</v>
      </c>
      <c r="V11" s="164">
        <f>+Sum!T21</f>
        <v>0</v>
      </c>
      <c r="W11" s="164">
        <f>+Sum!I21</f>
        <v>0</v>
      </c>
      <c r="X11" s="164">
        <f>+Sum!AC21</f>
        <v>0</v>
      </c>
      <c r="Y11" s="164">
        <f>+Sum!AD21</f>
        <v>0</v>
      </c>
      <c r="Z11" s="164">
        <f>+Sum!AD21</f>
        <v>0</v>
      </c>
      <c r="AA11" s="164">
        <f>+Sum!V21</f>
        <v>0</v>
      </c>
      <c r="AB11" s="191"/>
    </row>
    <row r="12" spans="1:30" ht="27" customHeight="1">
      <c r="B12" s="163" t="s">
        <v>307</v>
      </c>
      <c r="C12" s="164">
        <f>+Sum!F25</f>
        <v>0</v>
      </c>
      <c r="D12" s="164">
        <f>+Sum!K25</f>
        <v>0</v>
      </c>
      <c r="E12" s="164">
        <f>+Sum!T25</f>
        <v>0</v>
      </c>
      <c r="F12" s="164">
        <f>+Sum!L25</f>
        <v>0</v>
      </c>
      <c r="G12" s="164">
        <f>+Sum!M25</f>
        <v>0</v>
      </c>
      <c r="H12" s="164">
        <f>+Sum!N25</f>
        <v>0</v>
      </c>
      <c r="I12" s="164">
        <f>+Sum!O25</f>
        <v>0</v>
      </c>
      <c r="J12" s="164">
        <f>Sum!P26</f>
        <v>0</v>
      </c>
      <c r="K12" s="164">
        <f>Sum!Q26</f>
        <v>0</v>
      </c>
      <c r="L12" s="164">
        <f t="shared" si="1"/>
        <v>0</v>
      </c>
      <c r="M12" s="164">
        <f t="shared" si="2"/>
        <v>0</v>
      </c>
      <c r="N12" s="164">
        <f>L12+D12</f>
        <v>0</v>
      </c>
      <c r="O12" s="182">
        <f t="shared" si="3"/>
        <v>0</v>
      </c>
      <c r="P12" s="182">
        <f>+Sum!AC26</f>
        <v>0</v>
      </c>
      <c r="Q12" s="183">
        <f t="shared" si="0"/>
        <v>0</v>
      </c>
      <c r="S12" s="164">
        <f>+Sum!G25+Sum!H25</f>
        <v>0</v>
      </c>
      <c r="T12" s="164">
        <f t="shared" si="4"/>
        <v>0</v>
      </c>
      <c r="U12" s="184">
        <f t="shared" si="5"/>
        <v>0</v>
      </c>
      <c r="V12" s="164"/>
      <c r="W12" s="164">
        <f>+Sum!I25</f>
        <v>0</v>
      </c>
      <c r="X12" s="164">
        <f>+Sum!AC25</f>
        <v>0</v>
      </c>
      <c r="Y12" s="164">
        <f>+Sum!AD25</f>
        <v>0</v>
      </c>
      <c r="Z12" s="164">
        <f>+Sum!AD25</f>
        <v>0</v>
      </c>
      <c r="AA12" s="164">
        <f>+Sum!V25</f>
        <v>0</v>
      </c>
      <c r="AB12" s="185">
        <f>Sum!AC25+Sum!AD25+Sum!AE25</f>
        <v>0</v>
      </c>
    </row>
    <row r="13" spans="1:30" ht="27" customHeight="1">
      <c r="B13" s="163" t="s">
        <v>293</v>
      </c>
      <c r="C13" s="164">
        <f>SUM(C4:C12)</f>
        <v>0</v>
      </c>
      <c r="D13" s="164">
        <f>SUM(D4:D12)</f>
        <v>0</v>
      </c>
      <c r="E13" s="164">
        <f>SUM(E4:E12)</f>
        <v>0</v>
      </c>
      <c r="F13" s="164">
        <f t="shared" ref="F13:P13" si="9">SUM(F4:F12)</f>
        <v>0</v>
      </c>
      <c r="G13" s="164">
        <f t="shared" si="9"/>
        <v>0</v>
      </c>
      <c r="H13" s="164">
        <f t="shared" si="9"/>
        <v>0</v>
      </c>
      <c r="I13" s="164">
        <f t="shared" si="9"/>
        <v>0</v>
      </c>
      <c r="J13" s="164">
        <f t="shared" si="9"/>
        <v>0</v>
      </c>
      <c r="K13" s="164">
        <f t="shared" si="9"/>
        <v>0</v>
      </c>
      <c r="L13" s="164">
        <f t="shared" si="9"/>
        <v>0</v>
      </c>
      <c r="M13" s="164">
        <f t="shared" si="9"/>
        <v>0</v>
      </c>
      <c r="N13" s="164">
        <f>SUM(N4:N12)</f>
        <v>0</v>
      </c>
      <c r="O13" s="164">
        <f t="shared" si="9"/>
        <v>0</v>
      </c>
      <c r="P13" s="182">
        <f t="shared" si="9"/>
        <v>0</v>
      </c>
      <c r="Q13" s="183">
        <f t="shared" si="0"/>
        <v>0</v>
      </c>
      <c r="S13" s="164">
        <f>SUM(S4:S12)</f>
        <v>0</v>
      </c>
      <c r="T13" s="164">
        <f>+AA13-V13-W13-AB13</f>
        <v>0</v>
      </c>
      <c r="U13" s="184">
        <f>IFERROR(T13/S13,0)</f>
        <v>0</v>
      </c>
      <c r="V13" s="164">
        <f t="shared" ref="V13:Z13" si="10">SUM(V4:V12)</f>
        <v>0</v>
      </c>
      <c r="W13" s="164">
        <f>SUM(W4:W12)</f>
        <v>0</v>
      </c>
      <c r="X13" s="164">
        <f>SUM(X4:X12)</f>
        <v>0</v>
      </c>
      <c r="Y13" s="164">
        <f t="shared" si="10"/>
        <v>0</v>
      </c>
      <c r="Z13" s="164">
        <f t="shared" si="10"/>
        <v>0</v>
      </c>
      <c r="AA13" s="164">
        <f>SUM(AA4:AA12)</f>
        <v>0</v>
      </c>
      <c r="AB13" s="185">
        <f>SUM(AB4:AB12)</f>
        <v>0</v>
      </c>
      <c r="AC13" s="169"/>
      <c r="AD13" s="192"/>
    </row>
    <row r="14" spans="1:30" hidden="1">
      <c r="O14" s="194"/>
      <c r="P14" s="194"/>
      <c r="Q14" s="195"/>
      <c r="S14" s="196" t="e">
        <f>+S13-Sum!#REF!-Sum!#REF!</f>
        <v>#REF!</v>
      </c>
      <c r="AB14" s="197"/>
    </row>
    <row r="15" spans="1:30" hidden="1">
      <c r="O15" s="194"/>
      <c r="P15" s="194"/>
      <c r="Q15" s="195"/>
      <c r="AB15" s="197"/>
    </row>
    <row r="16" spans="1:30" hidden="1">
      <c r="D16" s="194" t="s">
        <v>308</v>
      </c>
    </row>
    <row r="17" spans="1:30" hidden="1">
      <c r="D17" s="194" t="s">
        <v>309</v>
      </c>
    </row>
    <row r="18" spans="1:30" ht="15" customHeight="1">
      <c r="D18" s="194" t="s">
        <v>310</v>
      </c>
      <c r="U18" s="198"/>
    </row>
    <row r="19" spans="1:30">
      <c r="O19" s="199"/>
      <c r="P19" s="199"/>
      <c r="Q19" s="183"/>
    </row>
    <row r="20" spans="1:30" ht="16.5" customHeight="1">
      <c r="B20" s="163"/>
      <c r="C20" s="164"/>
      <c r="D20" s="164"/>
      <c r="E20" s="165"/>
      <c r="F20" s="166" t="s">
        <v>279</v>
      </c>
      <c r="G20" s="167"/>
      <c r="H20" s="167"/>
      <c r="I20" s="167"/>
      <c r="J20" s="167"/>
      <c r="K20" s="168"/>
      <c r="L20" s="164"/>
      <c r="M20" s="164"/>
      <c r="N20" s="164"/>
      <c r="O20" s="163" t="s">
        <v>280</v>
      </c>
      <c r="P20" s="163" t="s">
        <v>281</v>
      </c>
      <c r="S20" s="170"/>
      <c r="T20" s="171" t="s">
        <v>62</v>
      </c>
      <c r="U20" s="171"/>
      <c r="V20" s="171" t="s">
        <v>282</v>
      </c>
      <c r="W20" s="171" t="s">
        <v>68</v>
      </c>
      <c r="X20" s="171" t="s">
        <v>283</v>
      </c>
      <c r="Y20" s="171" t="s">
        <v>284</v>
      </c>
      <c r="Z20" s="171" t="s">
        <v>285</v>
      </c>
      <c r="AA20" s="171" t="s">
        <v>286</v>
      </c>
      <c r="AB20" s="172" t="s">
        <v>287</v>
      </c>
    </row>
    <row r="21" spans="1:30" s="179" customFormat="1" ht="36.75" customHeight="1">
      <c r="A21" s="173"/>
      <c r="B21" s="174" t="s">
        <v>288</v>
      </c>
      <c r="C21" s="175" t="s">
        <v>289</v>
      </c>
      <c r="D21" s="175" t="s">
        <v>290</v>
      </c>
      <c r="E21" s="176">
        <v>0.3</v>
      </c>
      <c r="F21" s="176">
        <v>1.5</v>
      </c>
      <c r="G21" s="176">
        <v>2</v>
      </c>
      <c r="H21" s="176">
        <v>2.1</v>
      </c>
      <c r="I21" s="176">
        <v>2.7</v>
      </c>
      <c r="J21" s="176">
        <v>3</v>
      </c>
      <c r="K21" s="176">
        <v>3.9</v>
      </c>
      <c r="L21" s="177" t="s">
        <v>291</v>
      </c>
      <c r="M21" s="178" t="s">
        <v>292</v>
      </c>
      <c r="N21" s="177" t="s">
        <v>293</v>
      </c>
      <c r="O21" s="174"/>
      <c r="P21" s="174"/>
      <c r="R21" s="169"/>
      <c r="S21" s="180" t="s">
        <v>294</v>
      </c>
      <c r="T21" s="180" t="s">
        <v>311</v>
      </c>
      <c r="U21" s="180" t="s">
        <v>312</v>
      </c>
      <c r="V21" s="180" t="s">
        <v>313</v>
      </c>
      <c r="W21" s="180" t="s">
        <v>314</v>
      </c>
      <c r="X21" s="180" t="s">
        <v>314</v>
      </c>
      <c r="Y21" s="180" t="s">
        <v>314</v>
      </c>
      <c r="Z21" s="180" t="s">
        <v>314</v>
      </c>
      <c r="AA21" s="180" t="s">
        <v>315</v>
      </c>
      <c r="AB21" s="172"/>
    </row>
    <row r="22" spans="1:30" ht="27" customHeight="1">
      <c r="B22" s="163" t="s">
        <v>33</v>
      </c>
      <c r="C22" s="164">
        <f>+Sum!F35</f>
        <v>0</v>
      </c>
      <c r="D22" s="164">
        <f>+Sum!K35</f>
        <v>0</v>
      </c>
      <c r="E22" s="164">
        <f>+Sum!T35</f>
        <v>0</v>
      </c>
      <c r="F22" s="164">
        <f>+Sum!L35</f>
        <v>0</v>
      </c>
      <c r="G22" s="164">
        <f>+Sum!M35</f>
        <v>0</v>
      </c>
      <c r="H22" s="164">
        <f>+Sum!N35</f>
        <v>0</v>
      </c>
      <c r="I22" s="164">
        <f>+Sum!O35</f>
        <v>0</v>
      </c>
      <c r="J22" s="164">
        <f>+Sum!P35</f>
        <v>0</v>
      </c>
      <c r="K22" s="164">
        <f>+Sum!Q35</f>
        <v>0</v>
      </c>
      <c r="L22" s="164">
        <f>SUM(F22:K22)</f>
        <v>0</v>
      </c>
      <c r="M22" s="164">
        <f>+F22*$F$21+G22*$G$21+H22*$H$21+I22*$I$21+J22*$J$21+K22*$K$21</f>
        <v>0</v>
      </c>
      <c r="N22" s="164">
        <f>L22+D22</f>
        <v>0</v>
      </c>
      <c r="O22" s="182">
        <f>M22+D22+E22</f>
        <v>0</v>
      </c>
      <c r="P22" s="182">
        <v>0</v>
      </c>
      <c r="Q22" s="183"/>
      <c r="S22" s="164">
        <f>SUM(Sum!G35:H35)</f>
        <v>0</v>
      </c>
      <c r="T22" s="164">
        <f>AA22-Z22-V22-W22-Y22-X22-AB22</f>
        <v>0</v>
      </c>
      <c r="U22" s="184">
        <f>IFERROR(T22/S22,0)</f>
        <v>0</v>
      </c>
      <c r="V22" s="164">
        <f>+Sum!U35</f>
        <v>0</v>
      </c>
      <c r="W22" s="164">
        <f>+Sum!I35</f>
        <v>0</v>
      </c>
      <c r="X22" s="164">
        <f>+Sum!AC35</f>
        <v>0</v>
      </c>
      <c r="Y22" s="164">
        <f>+Sum!AD35</f>
        <v>0</v>
      </c>
      <c r="Z22" s="164"/>
      <c r="AA22" s="164">
        <f>+Sum!V35</f>
        <v>0</v>
      </c>
      <c r="AB22" s="185">
        <f>Sum!AC35+Sum!AD35+Sum!AE35</f>
        <v>0</v>
      </c>
    </row>
    <row r="23" spans="1:30" ht="27" customHeight="1">
      <c r="B23" s="163" t="s">
        <v>36</v>
      </c>
      <c r="C23" s="164">
        <f>+Sum!F36</f>
        <v>0</v>
      </c>
      <c r="D23" s="164">
        <f>+Sum!K36</f>
        <v>0</v>
      </c>
      <c r="E23" s="164">
        <f>+Sum!T36</f>
        <v>0</v>
      </c>
      <c r="F23" s="164">
        <f>+Sum!L36</f>
        <v>0</v>
      </c>
      <c r="G23" s="164">
        <f>+Sum!M36</f>
        <v>0</v>
      </c>
      <c r="H23" s="164">
        <f>+Sum!N36</f>
        <v>0</v>
      </c>
      <c r="I23" s="164">
        <f>+Sum!O36</f>
        <v>0</v>
      </c>
      <c r="J23" s="164">
        <f>+Sum!P36</f>
        <v>0</v>
      </c>
      <c r="K23" s="164">
        <f>+Sum!Q36</f>
        <v>0</v>
      </c>
      <c r="L23" s="164">
        <f>SUM(F23:K23)</f>
        <v>0</v>
      </c>
      <c r="M23" s="164">
        <f t="shared" ref="M23:M27" si="11">+F23*$F$21+G23*$G$21+H23*$H$21+I23*$I$21+J23*$J$21+K23*$K$21</f>
        <v>0</v>
      </c>
      <c r="N23" s="164">
        <f>L23+D23</f>
        <v>0</v>
      </c>
      <c r="O23" s="182">
        <f t="shared" ref="O23:O27" si="12">M23+D23+E23</f>
        <v>0</v>
      </c>
      <c r="P23" s="182">
        <v>0</v>
      </c>
      <c r="Q23" s="183"/>
      <c r="S23" s="164">
        <f>SUM(Sum!G36:H36)</f>
        <v>0</v>
      </c>
      <c r="T23" s="164">
        <f t="shared" ref="T23:T29" si="13">AA23-Z23-V23-W23-Y23-X23-AB23</f>
        <v>0</v>
      </c>
      <c r="U23" s="184">
        <f t="shared" ref="U23:U31" si="14">IFERROR(T23/S23,0)</f>
        <v>0</v>
      </c>
      <c r="V23" s="164">
        <f>+Sum!U36</f>
        <v>0</v>
      </c>
      <c r="W23" s="164">
        <f>+Sum!I36</f>
        <v>0</v>
      </c>
      <c r="X23" s="164">
        <f>+Sum!AC36</f>
        <v>0</v>
      </c>
      <c r="Y23" s="164">
        <f>+Sum!AD36</f>
        <v>0</v>
      </c>
      <c r="Z23" s="164"/>
      <c r="AA23" s="164">
        <f>+Sum!V36</f>
        <v>0</v>
      </c>
      <c r="AB23" s="185">
        <f>Sum!AC36+Sum!AD36+Sum!AE36</f>
        <v>0</v>
      </c>
    </row>
    <row r="24" spans="1:30" ht="27" customHeight="1">
      <c r="B24" s="163" t="s">
        <v>300</v>
      </c>
      <c r="C24" s="164">
        <f>+Sum!F41</f>
        <v>0</v>
      </c>
      <c r="D24" s="164">
        <f>+Sum!K39</f>
        <v>0</v>
      </c>
      <c r="E24" s="164">
        <f>+Sum!T38</f>
        <v>0</v>
      </c>
      <c r="F24" s="164">
        <f>+Sum!L39</f>
        <v>0</v>
      </c>
      <c r="G24" s="164">
        <f>+Sum!M39</f>
        <v>0</v>
      </c>
      <c r="H24" s="164">
        <f>+Sum!N39</f>
        <v>0</v>
      </c>
      <c r="I24" s="164">
        <f>+Sum!O39</f>
        <v>0</v>
      </c>
      <c r="J24" s="164">
        <f>+Sum!P39</f>
        <v>0</v>
      </c>
      <c r="K24" s="164">
        <f>+Sum!Q39</f>
        <v>0</v>
      </c>
      <c r="L24" s="164">
        <f t="shared" ref="L24" si="15">SUM(F24:K24)</f>
        <v>0</v>
      </c>
      <c r="M24" s="164">
        <f t="shared" si="11"/>
        <v>0</v>
      </c>
      <c r="N24" s="164">
        <f>L24+D24</f>
        <v>0</v>
      </c>
      <c r="O24" s="182">
        <f t="shared" si="12"/>
        <v>0</v>
      </c>
      <c r="P24" s="182">
        <v>0</v>
      </c>
      <c r="Q24" s="183"/>
      <c r="R24" s="200"/>
      <c r="S24" s="164">
        <f>+Sum!G39+Sum!H39</f>
        <v>0</v>
      </c>
      <c r="T24" s="164">
        <f t="shared" si="13"/>
        <v>0</v>
      </c>
      <c r="U24" s="184">
        <f t="shared" si="14"/>
        <v>0</v>
      </c>
      <c r="V24" s="164">
        <f>+Sum!U39</f>
        <v>0</v>
      </c>
      <c r="W24" s="164">
        <f>+Sum!I39</f>
        <v>0</v>
      </c>
      <c r="X24" s="164">
        <f>+Sum!AC39</f>
        <v>0</v>
      </c>
      <c r="Y24" s="164">
        <f>+Sum!AD39</f>
        <v>0</v>
      </c>
      <c r="Z24" s="164"/>
      <c r="AA24" s="164">
        <f>+Sum!V39</f>
        <v>0</v>
      </c>
      <c r="AB24" s="185">
        <f>Sum!AC40+Sum!AD40+Sum!AE40</f>
        <v>0</v>
      </c>
    </row>
    <row r="25" spans="1:30" s="188" customFormat="1" ht="27" customHeight="1">
      <c r="A25" s="162" t="s">
        <v>316</v>
      </c>
      <c r="B25" s="163" t="s">
        <v>302</v>
      </c>
      <c r="C25" s="164">
        <f>+Sum!F45-C26</f>
        <v>0</v>
      </c>
      <c r="D25" s="164">
        <f>+Sum!K45-D26</f>
        <v>0</v>
      </c>
      <c r="E25" s="164">
        <f>+Sum!T45-E26</f>
        <v>0</v>
      </c>
      <c r="F25" s="164">
        <f>+Sum!L45-F26</f>
        <v>0</v>
      </c>
      <c r="G25" s="164">
        <f>+Sum!M45-G26</f>
        <v>0</v>
      </c>
      <c r="H25" s="164">
        <f>+Sum!N45-H26</f>
        <v>0</v>
      </c>
      <c r="I25" s="164">
        <f>+Sum!O45-I26</f>
        <v>0</v>
      </c>
      <c r="J25" s="164">
        <f>+Sum!P45</f>
        <v>0</v>
      </c>
      <c r="K25" s="164">
        <f>+Sum!Q45</f>
        <v>0</v>
      </c>
      <c r="L25" s="164">
        <f>SUM(F25:K25)</f>
        <v>0</v>
      </c>
      <c r="M25" s="164">
        <f>+F25*$F$21+G25*$G$21+H25*$H$21+I25*$I$21+J25*$J$21+K25*$K$21</f>
        <v>0</v>
      </c>
      <c r="N25" s="164">
        <f>L25+D25</f>
        <v>0</v>
      </c>
      <c r="O25" s="182">
        <f>M25+D25+E25</f>
        <v>0</v>
      </c>
      <c r="P25" s="182">
        <v>0</v>
      </c>
      <c r="Q25" s="201"/>
      <c r="R25" s="201">
        <f>+O25+P25*8+O26</f>
        <v>0</v>
      </c>
      <c r="S25" s="164">
        <f>+Sum!G45+Sum!H45-S26</f>
        <v>0</v>
      </c>
      <c r="T25" s="164">
        <f t="shared" si="13"/>
        <v>0</v>
      </c>
      <c r="U25" s="184">
        <f t="shared" si="14"/>
        <v>0</v>
      </c>
      <c r="V25" s="164">
        <f>+Sum!U45-V26</f>
        <v>0</v>
      </c>
      <c r="W25" s="164">
        <f>+Sum!I45-W26</f>
        <v>0</v>
      </c>
      <c r="X25" s="164">
        <f>+Sum!AC45-X26</f>
        <v>0</v>
      </c>
      <c r="Y25" s="164">
        <f>+Sum!AD45-Y26</f>
        <v>0</v>
      </c>
      <c r="Z25" s="164"/>
      <c r="AA25" s="164">
        <f>+Sum!V45-AA26</f>
        <v>0</v>
      </c>
      <c r="AB25" s="187">
        <f>Sum!AC45+Sum!AD45+Sum!AE45</f>
        <v>0</v>
      </c>
    </row>
    <row r="26" spans="1:30" s="188" customFormat="1" ht="27" customHeight="1">
      <c r="A26" s="162"/>
      <c r="B26" s="163" t="s">
        <v>303</v>
      </c>
      <c r="C26" s="164">
        <f>+Sum!F44</f>
        <v>0</v>
      </c>
      <c r="D26" s="164">
        <f>+Sum!K44</f>
        <v>0</v>
      </c>
      <c r="E26" s="164">
        <f>+Sum!T44</f>
        <v>0</v>
      </c>
      <c r="F26" s="164">
        <f>+Sum!L44</f>
        <v>0</v>
      </c>
      <c r="G26" s="164">
        <f>+Sum!M44</f>
        <v>0</v>
      </c>
      <c r="H26" s="164">
        <f>+Sum!N44</f>
        <v>0</v>
      </c>
      <c r="I26" s="164">
        <f>+Sum!O44</f>
        <v>0</v>
      </c>
      <c r="J26" s="164">
        <f>+Sum!P44</f>
        <v>0</v>
      </c>
      <c r="K26" s="164"/>
      <c r="L26" s="164">
        <f>SUM(F26:K26)</f>
        <v>0</v>
      </c>
      <c r="M26" s="164">
        <f>+F26*$F$21+G26*$G$21+H26*$H$21+I26*$I$21+J26*$J$21+K26*$K$21</f>
        <v>0</v>
      </c>
      <c r="N26" s="164">
        <f>L26+D26</f>
        <v>0</v>
      </c>
      <c r="O26" s="182">
        <f>M26+D26+E26</f>
        <v>0</v>
      </c>
      <c r="P26" s="182">
        <v>0</v>
      </c>
      <c r="Q26" s="202"/>
      <c r="R26" s="186"/>
      <c r="S26" s="164">
        <f>+Sum!G44+Sum!H44</f>
        <v>0</v>
      </c>
      <c r="T26" s="164">
        <f t="shared" si="13"/>
        <v>0</v>
      </c>
      <c r="U26" s="184">
        <f t="shared" si="14"/>
        <v>0</v>
      </c>
      <c r="V26" s="164">
        <f>+Sum!U44</f>
        <v>0</v>
      </c>
      <c r="W26" s="164">
        <f>+Sum!I44</f>
        <v>0</v>
      </c>
      <c r="X26" s="164">
        <f>+Sum!AC44</f>
        <v>0</v>
      </c>
      <c r="Y26" s="164">
        <f>+Sum!AD44</f>
        <v>0</v>
      </c>
      <c r="Z26" s="164"/>
      <c r="AA26" s="164">
        <f>+Sum!V44</f>
        <v>0</v>
      </c>
      <c r="AB26" s="190"/>
    </row>
    <row r="27" spans="1:30" ht="27" customHeight="1">
      <c r="B27" s="163" t="s">
        <v>304</v>
      </c>
      <c r="C27" s="164">
        <f>+Sum!F38</f>
        <v>0</v>
      </c>
      <c r="D27" s="164">
        <f>+Sum!K38</f>
        <v>0</v>
      </c>
      <c r="E27" s="164">
        <f>+Sum!T38</f>
        <v>0</v>
      </c>
      <c r="F27" s="164">
        <f>+Sum!L38</f>
        <v>0</v>
      </c>
      <c r="G27" s="164">
        <f>+Sum!M38</f>
        <v>0</v>
      </c>
      <c r="H27" s="164">
        <f>+Sum!N38</f>
        <v>0</v>
      </c>
      <c r="I27" s="164">
        <f>+Sum!O38</f>
        <v>0</v>
      </c>
      <c r="J27" s="164">
        <f>+Sum!P38</f>
        <v>0</v>
      </c>
      <c r="K27" s="164">
        <f>+Sum!Q38</f>
        <v>0</v>
      </c>
      <c r="L27" s="164">
        <f t="shared" ref="L27:L28" si="16">SUM(F27:K27)</f>
        <v>0</v>
      </c>
      <c r="M27" s="164">
        <f t="shared" si="11"/>
        <v>0</v>
      </c>
      <c r="N27" s="164">
        <f t="shared" ref="N27" si="17">L27+D27</f>
        <v>0</v>
      </c>
      <c r="O27" s="182">
        <f t="shared" si="12"/>
        <v>0</v>
      </c>
      <c r="P27" s="182">
        <v>0</v>
      </c>
      <c r="Q27" s="183"/>
      <c r="S27" s="164">
        <f>+SUM(Sum!G38:H38)</f>
        <v>0</v>
      </c>
      <c r="T27" s="164">
        <f t="shared" si="13"/>
        <v>0</v>
      </c>
      <c r="U27" s="184">
        <f t="shared" si="14"/>
        <v>0</v>
      </c>
      <c r="V27" s="164">
        <f>+Sum!U38</f>
        <v>0</v>
      </c>
      <c r="W27" s="164">
        <f>+Sum!I38</f>
        <v>0</v>
      </c>
      <c r="X27" s="164">
        <f>+Sum!AC38</f>
        <v>0</v>
      </c>
      <c r="Y27" s="164">
        <f>+Sum!AD38</f>
        <v>0</v>
      </c>
      <c r="Z27" s="164"/>
      <c r="AA27" s="164">
        <f>+Sum!V38</f>
        <v>0</v>
      </c>
      <c r="AB27" s="185">
        <f>Sum!AC38+Sum!AD38+Sum!AE38</f>
        <v>0</v>
      </c>
    </row>
    <row r="28" spans="1:30" ht="27" customHeight="1">
      <c r="B28" s="163" t="s">
        <v>305</v>
      </c>
      <c r="C28" s="164">
        <f>+Sum!F52-Sum!F51</f>
        <v>0</v>
      </c>
      <c r="D28" s="164">
        <f>+Sum!K52-Sum!K51</f>
        <v>0</v>
      </c>
      <c r="E28" s="164">
        <f>+Sum!T52-Sum!T51</f>
        <v>0</v>
      </c>
      <c r="F28" s="164">
        <f>+Sum!L52-Sum!L51</f>
        <v>0</v>
      </c>
      <c r="G28" s="164">
        <f>+Sum!M52-Sum!M51</f>
        <v>0</v>
      </c>
      <c r="H28" s="164">
        <f>+Sum!N52-Sum!N51</f>
        <v>0</v>
      </c>
      <c r="I28" s="164">
        <f>+Sum!O52-Sum!O51</f>
        <v>0</v>
      </c>
      <c r="J28" s="164">
        <f>+Sum!P52-Sum!P51</f>
        <v>0</v>
      </c>
      <c r="K28" s="164">
        <f>+Sum!Q52-Sum!Q51</f>
        <v>0</v>
      </c>
      <c r="L28" s="164">
        <f t="shared" si="16"/>
        <v>0</v>
      </c>
      <c r="M28" s="203">
        <f>+F28*$F$21+G28*$G$21+H28*$H$21+I28*$I$21+J28*$J$21+K28*$K$21</f>
        <v>0</v>
      </c>
      <c r="N28" s="164">
        <f>L28+D28</f>
        <v>0</v>
      </c>
      <c r="O28" s="182">
        <f>M28+D28+E28</f>
        <v>0</v>
      </c>
      <c r="P28" s="182">
        <v>0</v>
      </c>
      <c r="Q28" s="183"/>
      <c r="S28" s="164">
        <f>+Sum!G52+Sum!H52-Sum!G51-Sum!H51</f>
        <v>0</v>
      </c>
      <c r="T28" s="164">
        <f t="shared" si="13"/>
        <v>0</v>
      </c>
      <c r="U28" s="184">
        <f t="shared" si="14"/>
        <v>0</v>
      </c>
      <c r="V28" s="164">
        <f>+Sum!U52-Sum!U51</f>
        <v>0</v>
      </c>
      <c r="W28" s="164">
        <f>+Sum!I52-Sum!I51</f>
        <v>0</v>
      </c>
      <c r="X28" s="164">
        <f>+Sum!AC52-Sum!AC51</f>
        <v>0</v>
      </c>
      <c r="Y28" s="164">
        <f>+Sum!AD52-Sum!AD51</f>
        <v>0</v>
      </c>
      <c r="Z28" s="164"/>
      <c r="AA28" s="164">
        <f>+Sum!V52-Sum!V51</f>
        <v>0</v>
      </c>
      <c r="AB28" s="185">
        <f>Sum!AC52+Sum!AD52+Sum!AE52</f>
        <v>0</v>
      </c>
    </row>
    <row r="29" spans="1:30" ht="27" customHeight="1">
      <c r="B29" s="163" t="s">
        <v>306</v>
      </c>
      <c r="C29" s="164">
        <f>+Sum!F51</f>
        <v>0</v>
      </c>
      <c r="D29" s="164">
        <f>+Sum!K51</f>
        <v>0</v>
      </c>
      <c r="E29" s="164">
        <f>+Sum!T51</f>
        <v>0</v>
      </c>
      <c r="F29" s="164">
        <f>+Sum!L51</f>
        <v>0</v>
      </c>
      <c r="G29" s="164">
        <f>+Sum!M51</f>
        <v>0</v>
      </c>
      <c r="H29" s="164">
        <f>+Sum!N51</f>
        <v>0</v>
      </c>
      <c r="I29" s="164">
        <f>+Sum!O51</f>
        <v>0</v>
      </c>
      <c r="J29" s="164">
        <f>+Sum!P51</f>
        <v>0</v>
      </c>
      <c r="K29" s="164">
        <f>+Sum!Q51</f>
        <v>0</v>
      </c>
      <c r="L29" s="164">
        <f>SUM(F29:K29)</f>
        <v>0</v>
      </c>
      <c r="M29" s="203">
        <f>+F29*$F$21+G29*$G$21+H29*$H$21+I29*$I$21+J29*$J$21+K29*$K$21</f>
        <v>0</v>
      </c>
      <c r="N29" s="164">
        <f>L29+D29</f>
        <v>0</v>
      </c>
      <c r="O29" s="182">
        <f>M29+D29+E29</f>
        <v>0</v>
      </c>
      <c r="P29" s="182">
        <v>0</v>
      </c>
      <c r="Q29" s="183"/>
      <c r="R29" s="169">
        <f>+O29+O28+P28*8</f>
        <v>0</v>
      </c>
      <c r="S29" s="164">
        <f>+Sum!G51+Sum!H51</f>
        <v>0</v>
      </c>
      <c r="T29" s="164">
        <f t="shared" si="13"/>
        <v>0</v>
      </c>
      <c r="U29" s="184">
        <f t="shared" si="14"/>
        <v>0</v>
      </c>
      <c r="V29" s="164">
        <f>+Sum!U51</f>
        <v>0</v>
      </c>
      <c r="W29" s="164">
        <f>+Sum!I51</f>
        <v>0</v>
      </c>
      <c r="X29" s="164">
        <f>+Sum!AC51</f>
        <v>0</v>
      </c>
      <c r="Y29" s="164">
        <f>+Sum!AD51</f>
        <v>0</v>
      </c>
      <c r="Z29" s="164"/>
      <c r="AA29" s="164">
        <f>+Sum!V51</f>
        <v>0</v>
      </c>
      <c r="AB29" s="191"/>
      <c r="AC29" s="183"/>
    </row>
    <row r="30" spans="1:30" ht="27" customHeight="1">
      <c r="B30" s="163" t="s">
        <v>307</v>
      </c>
      <c r="C30" s="164">
        <f>+Sum!F55</f>
        <v>0</v>
      </c>
      <c r="D30" s="164">
        <f>+Sum!K55</f>
        <v>0</v>
      </c>
      <c r="E30" s="164">
        <f>+Sum!T55</f>
        <v>0</v>
      </c>
      <c r="F30" s="164">
        <f>+Sum!L55</f>
        <v>0</v>
      </c>
      <c r="G30" s="164">
        <f>+Sum!M55</f>
        <v>0</v>
      </c>
      <c r="H30" s="164">
        <f>+Sum!N55</f>
        <v>0</v>
      </c>
      <c r="I30" s="164">
        <f>+Sum!O55</f>
        <v>0</v>
      </c>
      <c r="J30" s="164">
        <f>+Sum!P55</f>
        <v>0</v>
      </c>
      <c r="K30" s="164">
        <f>+Sum!Q55</f>
        <v>0</v>
      </c>
      <c r="L30" s="164">
        <f>SUM(F30:K30)</f>
        <v>0</v>
      </c>
      <c r="M30" s="164">
        <f>+F30*$F$21+G30*$G$21+H30*$H$21+I30*$I$21+J30*$J$21+K30*$K$21</f>
        <v>0</v>
      </c>
      <c r="N30" s="164">
        <f>L30+D30</f>
        <v>0</v>
      </c>
      <c r="O30" s="182">
        <f>M30+D30+E30</f>
        <v>0</v>
      </c>
      <c r="P30" s="182">
        <v>0</v>
      </c>
      <c r="Q30" s="183"/>
      <c r="S30" s="164">
        <f>+Sum!G55+Sum!H55</f>
        <v>0</v>
      </c>
      <c r="T30" s="164">
        <f>AA30-Z30-V30-W30-Y30-X30-AB30</f>
        <v>0</v>
      </c>
      <c r="U30" s="184">
        <f t="shared" si="14"/>
        <v>0</v>
      </c>
      <c r="V30" s="164">
        <f>+Sum!U55</f>
        <v>0</v>
      </c>
      <c r="W30" s="164">
        <f>+Sum!I55</f>
        <v>0</v>
      </c>
      <c r="X30" s="164">
        <f>+Sum!AC55</f>
        <v>0</v>
      </c>
      <c r="Y30" s="164">
        <f>+Sum!AD55</f>
        <v>0</v>
      </c>
      <c r="Z30" s="164"/>
      <c r="AA30" s="164">
        <f>+Sum!V55</f>
        <v>0</v>
      </c>
      <c r="AB30" s="185">
        <f>Sum!AC55+Sum!AD55+Sum!AE55</f>
        <v>0</v>
      </c>
    </row>
    <row r="31" spans="1:30" ht="27" customHeight="1">
      <c r="B31" s="163" t="s">
        <v>293</v>
      </c>
      <c r="C31" s="164">
        <f t="shared" ref="C31:N31" si="18">SUM(C22:C30)</f>
        <v>0</v>
      </c>
      <c r="D31" s="164">
        <f t="shared" si="18"/>
        <v>0</v>
      </c>
      <c r="E31" s="164">
        <f t="shared" si="18"/>
        <v>0</v>
      </c>
      <c r="F31" s="164">
        <f>SUM(F22:F30)</f>
        <v>0</v>
      </c>
      <c r="G31" s="164">
        <f t="shared" ref="G31:K31" si="19">SUM(G22:G30)</f>
        <v>0</v>
      </c>
      <c r="H31" s="164">
        <f t="shared" si="19"/>
        <v>0</v>
      </c>
      <c r="I31" s="164">
        <f t="shared" si="19"/>
        <v>0</v>
      </c>
      <c r="J31" s="164">
        <f t="shared" si="19"/>
        <v>0</v>
      </c>
      <c r="K31" s="164">
        <f t="shared" si="19"/>
        <v>0</v>
      </c>
      <c r="L31" s="164">
        <f t="shared" si="18"/>
        <v>0</v>
      </c>
      <c r="M31" s="164">
        <f t="shared" si="18"/>
        <v>0</v>
      </c>
      <c r="N31" s="164">
        <f t="shared" si="18"/>
        <v>0</v>
      </c>
      <c r="O31" s="164">
        <f>M31+D31+E31</f>
        <v>0</v>
      </c>
      <c r="P31" s="164">
        <f>+SUM(P22:P30)</f>
        <v>0</v>
      </c>
      <c r="Q31" s="204"/>
      <c r="S31" s="164">
        <f>SUM(S22:S30)</f>
        <v>0</v>
      </c>
      <c r="T31" s="164">
        <f>+AA31-V31-W31-AB31</f>
        <v>0</v>
      </c>
      <c r="U31" s="184">
        <f t="shared" si="14"/>
        <v>0</v>
      </c>
      <c r="V31" s="164">
        <f t="shared" ref="V31:AA31" si="20">SUM(V22:V30)</f>
        <v>0</v>
      </c>
      <c r="W31" s="164">
        <f t="shared" ref="W31" si="21">SUM(W22:W30)</f>
        <v>0</v>
      </c>
      <c r="X31" s="164">
        <f t="shared" si="20"/>
        <v>0</v>
      </c>
      <c r="Y31" s="164">
        <f t="shared" si="20"/>
        <v>0</v>
      </c>
      <c r="Z31" s="164"/>
      <c r="AA31" s="164">
        <f t="shared" si="20"/>
        <v>0</v>
      </c>
      <c r="AB31" s="185">
        <f>SUM(AB22:AB30)</f>
        <v>0</v>
      </c>
      <c r="AD31" s="183"/>
    </row>
    <row r="32" spans="1:30" hidden="1">
      <c r="O32" s="194"/>
      <c r="P32" s="194"/>
      <c r="Q32" s="195"/>
      <c r="S32" s="196"/>
      <c r="AB32" s="197"/>
    </row>
    <row r="33" spans="1:29" hidden="1">
      <c r="D33" s="194" t="s">
        <v>308</v>
      </c>
      <c r="O33" s="199">
        <f>'[1]실적(확정)(W1-&gt;5)'!$J$19</f>
        <v>33539.85</v>
      </c>
      <c r="P33" s="199">
        <f>'[1]실적(확정)(W1-&gt;5)'!$J$19</f>
        <v>33539.85</v>
      </c>
      <c r="Q33" s="183"/>
    </row>
    <row r="34" spans="1:29" hidden="1">
      <c r="D34" s="194" t="s">
        <v>309</v>
      </c>
      <c r="O34" s="199">
        <f>O33-O28</f>
        <v>33539.85</v>
      </c>
      <c r="P34" s="199">
        <f>P33-P28</f>
        <v>33539.85</v>
      </c>
      <c r="Q34" s="183"/>
    </row>
    <row r="35" spans="1:29" hidden="1">
      <c r="F35" s="194">
        <f t="shared" ref="F35:K35" si="22">+F25*F21</f>
        <v>0</v>
      </c>
      <c r="G35" s="194">
        <f t="shared" si="22"/>
        <v>0</v>
      </c>
      <c r="H35" s="194">
        <f t="shared" si="22"/>
        <v>0</v>
      </c>
      <c r="I35" s="194">
        <f t="shared" si="22"/>
        <v>0</v>
      </c>
      <c r="J35" s="194">
        <f t="shared" si="22"/>
        <v>0</v>
      </c>
      <c r="K35" s="194">
        <f t="shared" si="22"/>
        <v>0</v>
      </c>
    </row>
    <row r="36" spans="1:29">
      <c r="M36" s="194">
        <f>+F28*1.5+H28*2.1</f>
        <v>0</v>
      </c>
      <c r="AC36" s="183"/>
    </row>
    <row r="37" spans="1:29" ht="18.75" customHeight="1">
      <c r="B37" s="163"/>
      <c r="C37" s="164"/>
      <c r="D37" s="164"/>
      <c r="E37" s="165"/>
      <c r="F37" s="166" t="s">
        <v>279</v>
      </c>
      <c r="G37" s="167"/>
      <c r="H37" s="167"/>
      <c r="I37" s="167"/>
      <c r="J37" s="167"/>
      <c r="K37" s="168"/>
      <c r="L37" s="164"/>
      <c r="M37" s="164"/>
      <c r="N37" s="164"/>
      <c r="O37" s="163" t="s">
        <v>280</v>
      </c>
      <c r="P37" s="163" t="s">
        <v>281</v>
      </c>
      <c r="S37" s="170"/>
      <c r="T37" s="170" t="s">
        <v>317</v>
      </c>
      <c r="U37" s="170"/>
      <c r="V37" s="170">
        <v>0.3</v>
      </c>
      <c r="W37" s="170"/>
      <c r="X37" s="171" t="s">
        <v>283</v>
      </c>
      <c r="Y37" s="171" t="s">
        <v>284</v>
      </c>
      <c r="Z37" s="171" t="s">
        <v>285</v>
      </c>
      <c r="AA37" s="170"/>
      <c r="AB37" s="205"/>
    </row>
    <row r="38" spans="1:29" s="179" customFormat="1" ht="27" customHeight="1">
      <c r="A38" s="173"/>
      <c r="B38" s="174" t="s">
        <v>288</v>
      </c>
      <c r="C38" s="175" t="s">
        <v>289</v>
      </c>
      <c r="D38" s="175" t="s">
        <v>290</v>
      </c>
      <c r="E38" s="176">
        <v>0.3</v>
      </c>
      <c r="F38" s="176">
        <v>1.5</v>
      </c>
      <c r="G38" s="176">
        <v>2</v>
      </c>
      <c r="H38" s="176">
        <v>2.1</v>
      </c>
      <c r="I38" s="176">
        <v>2.7</v>
      </c>
      <c r="J38" s="176">
        <v>3</v>
      </c>
      <c r="K38" s="176">
        <v>3.9</v>
      </c>
      <c r="L38" s="177" t="s">
        <v>291</v>
      </c>
      <c r="M38" s="178" t="s">
        <v>318</v>
      </c>
      <c r="N38" s="177" t="s">
        <v>293</v>
      </c>
      <c r="O38" s="174"/>
      <c r="P38" s="174"/>
      <c r="R38" s="169"/>
      <c r="S38" s="180" t="s">
        <v>319</v>
      </c>
      <c r="T38" s="180" t="s">
        <v>311</v>
      </c>
      <c r="U38" s="180" t="s">
        <v>312</v>
      </c>
      <c r="V38" s="180" t="s">
        <v>313</v>
      </c>
      <c r="W38" s="180" t="s">
        <v>314</v>
      </c>
      <c r="X38" s="180" t="s">
        <v>314</v>
      </c>
      <c r="Y38" s="180" t="s">
        <v>314</v>
      </c>
      <c r="Z38" s="180" t="s">
        <v>314</v>
      </c>
      <c r="AA38" s="180" t="s">
        <v>315</v>
      </c>
      <c r="AB38" s="206" t="str">
        <f>+AB20</f>
        <v>Support</v>
      </c>
    </row>
    <row r="39" spans="1:29" ht="27" customHeight="1">
      <c r="B39" s="163" t="s">
        <v>33</v>
      </c>
      <c r="C39" s="164">
        <f t="shared" ref="C39:C48" si="23">+C22-C4</f>
        <v>0</v>
      </c>
      <c r="D39" s="164">
        <f t="shared" ref="D39:E48" si="24">D22-D4</f>
        <v>0</v>
      </c>
      <c r="E39" s="164">
        <f t="shared" si="24"/>
        <v>0</v>
      </c>
      <c r="F39" s="164">
        <f t="shared" ref="F39:P48" si="25">+F22-F4</f>
        <v>0</v>
      </c>
      <c r="G39" s="164">
        <f t="shared" si="25"/>
        <v>0</v>
      </c>
      <c r="H39" s="164">
        <f t="shared" si="25"/>
        <v>0</v>
      </c>
      <c r="I39" s="164">
        <f t="shared" si="25"/>
        <v>0</v>
      </c>
      <c r="J39" s="164">
        <f t="shared" si="25"/>
        <v>0</v>
      </c>
      <c r="K39" s="164">
        <f t="shared" si="25"/>
        <v>0</v>
      </c>
      <c r="L39" s="164">
        <f t="shared" si="25"/>
        <v>0</v>
      </c>
      <c r="M39" s="164">
        <f t="shared" si="25"/>
        <v>0</v>
      </c>
      <c r="N39" s="164">
        <f t="shared" si="25"/>
        <v>0</v>
      </c>
      <c r="O39" s="182">
        <f t="shared" si="25"/>
        <v>0</v>
      </c>
      <c r="P39" s="182">
        <f t="shared" si="25"/>
        <v>0</v>
      </c>
      <c r="Q39" s="183"/>
      <c r="S39" s="164">
        <f>+S22-S4</f>
        <v>0</v>
      </c>
      <c r="T39" s="164">
        <f t="shared" ref="T39:Z39" si="26">+T22-T4</f>
        <v>0</v>
      </c>
      <c r="U39" s="184">
        <f t="shared" si="26"/>
        <v>0</v>
      </c>
      <c r="V39" s="164">
        <f t="shared" si="26"/>
        <v>0</v>
      </c>
      <c r="W39" s="164">
        <f t="shared" si="26"/>
        <v>0</v>
      </c>
      <c r="X39" s="164">
        <f t="shared" si="26"/>
        <v>0</v>
      </c>
      <c r="Y39" s="164">
        <f t="shared" si="26"/>
        <v>0</v>
      </c>
      <c r="Z39" s="164">
        <f t="shared" si="26"/>
        <v>0</v>
      </c>
      <c r="AA39" s="164">
        <f>+AA22-AA4</f>
        <v>0</v>
      </c>
      <c r="AB39" s="164">
        <f>+AB22-AB4</f>
        <v>0</v>
      </c>
    </row>
    <row r="40" spans="1:29" ht="27" customHeight="1">
      <c r="B40" s="163" t="s">
        <v>36</v>
      </c>
      <c r="C40" s="164">
        <f t="shared" si="23"/>
        <v>0</v>
      </c>
      <c r="D40" s="164">
        <f t="shared" si="24"/>
        <v>0</v>
      </c>
      <c r="E40" s="164">
        <f t="shared" si="24"/>
        <v>0</v>
      </c>
      <c r="F40" s="164">
        <f t="shared" si="25"/>
        <v>0</v>
      </c>
      <c r="G40" s="164">
        <f t="shared" si="25"/>
        <v>0</v>
      </c>
      <c r="H40" s="164">
        <f t="shared" si="25"/>
        <v>0</v>
      </c>
      <c r="I40" s="164">
        <f t="shared" si="25"/>
        <v>0</v>
      </c>
      <c r="J40" s="164">
        <f t="shared" si="25"/>
        <v>0</v>
      </c>
      <c r="K40" s="164">
        <f t="shared" si="25"/>
        <v>0</v>
      </c>
      <c r="L40" s="164">
        <f t="shared" si="25"/>
        <v>0</v>
      </c>
      <c r="M40" s="164">
        <f t="shared" si="25"/>
        <v>0</v>
      </c>
      <c r="N40" s="164">
        <f t="shared" si="25"/>
        <v>0</v>
      </c>
      <c r="O40" s="182">
        <f t="shared" si="25"/>
        <v>0</v>
      </c>
      <c r="P40" s="182">
        <f t="shared" si="25"/>
        <v>0</v>
      </c>
      <c r="Q40" s="183"/>
      <c r="S40" s="164">
        <f t="shared" ref="S40:AB48" si="27">+S23-S5</f>
        <v>0</v>
      </c>
      <c r="T40" s="164">
        <f t="shared" si="27"/>
        <v>0</v>
      </c>
      <c r="U40" s="184">
        <f t="shared" si="27"/>
        <v>0</v>
      </c>
      <c r="V40" s="164">
        <f t="shared" si="27"/>
        <v>0</v>
      </c>
      <c r="W40" s="164">
        <f t="shared" si="27"/>
        <v>0</v>
      </c>
      <c r="X40" s="164">
        <f t="shared" si="27"/>
        <v>0</v>
      </c>
      <c r="Y40" s="164">
        <f t="shared" si="27"/>
        <v>0</v>
      </c>
      <c r="Z40" s="164">
        <f t="shared" si="27"/>
        <v>0</v>
      </c>
      <c r="AA40" s="164">
        <f t="shared" si="27"/>
        <v>0</v>
      </c>
      <c r="AB40" s="164">
        <f t="shared" si="27"/>
        <v>0</v>
      </c>
    </row>
    <row r="41" spans="1:29" ht="27" customHeight="1">
      <c r="B41" s="163" t="s">
        <v>300</v>
      </c>
      <c r="C41" s="164">
        <f t="shared" si="23"/>
        <v>0</v>
      </c>
      <c r="D41" s="164">
        <f t="shared" si="24"/>
        <v>0</v>
      </c>
      <c r="E41" s="164">
        <f t="shared" si="24"/>
        <v>0</v>
      </c>
      <c r="F41" s="164">
        <f t="shared" si="25"/>
        <v>0</v>
      </c>
      <c r="G41" s="164">
        <f t="shared" si="25"/>
        <v>0</v>
      </c>
      <c r="H41" s="164">
        <f t="shared" si="25"/>
        <v>0</v>
      </c>
      <c r="I41" s="164">
        <f t="shared" si="25"/>
        <v>0</v>
      </c>
      <c r="J41" s="164">
        <f t="shared" si="25"/>
        <v>0</v>
      </c>
      <c r="K41" s="164">
        <f t="shared" si="25"/>
        <v>0</v>
      </c>
      <c r="L41" s="164">
        <f t="shared" si="25"/>
        <v>0</v>
      </c>
      <c r="M41" s="164">
        <f t="shared" si="25"/>
        <v>0</v>
      </c>
      <c r="N41" s="164">
        <f t="shared" si="25"/>
        <v>0</v>
      </c>
      <c r="O41" s="182">
        <f t="shared" si="25"/>
        <v>0</v>
      </c>
      <c r="P41" s="182">
        <f t="shared" si="25"/>
        <v>0</v>
      </c>
      <c r="Q41" s="183"/>
      <c r="S41" s="164">
        <f t="shared" si="27"/>
        <v>0</v>
      </c>
      <c r="T41" s="164">
        <f t="shared" si="27"/>
        <v>0</v>
      </c>
      <c r="U41" s="184">
        <f t="shared" si="27"/>
        <v>0</v>
      </c>
      <c r="V41" s="164">
        <f t="shared" si="27"/>
        <v>0</v>
      </c>
      <c r="W41" s="164">
        <f t="shared" si="27"/>
        <v>0</v>
      </c>
      <c r="X41" s="164">
        <f t="shared" si="27"/>
        <v>0</v>
      </c>
      <c r="Y41" s="164">
        <f t="shared" si="27"/>
        <v>0</v>
      </c>
      <c r="Z41" s="164">
        <f t="shared" si="27"/>
        <v>0</v>
      </c>
      <c r="AA41" s="164">
        <f t="shared" si="27"/>
        <v>0</v>
      </c>
      <c r="AB41" s="164">
        <f t="shared" si="27"/>
        <v>0</v>
      </c>
    </row>
    <row r="42" spans="1:29" ht="27" customHeight="1">
      <c r="A42" s="162" t="s">
        <v>320</v>
      </c>
      <c r="B42" s="163" t="s">
        <v>302</v>
      </c>
      <c r="C42" s="164">
        <f t="shared" si="23"/>
        <v>0</v>
      </c>
      <c r="D42" s="164">
        <f t="shared" si="24"/>
        <v>0</v>
      </c>
      <c r="E42" s="164">
        <f t="shared" si="24"/>
        <v>0</v>
      </c>
      <c r="F42" s="164">
        <f t="shared" si="25"/>
        <v>0</v>
      </c>
      <c r="G42" s="164">
        <f t="shared" si="25"/>
        <v>0</v>
      </c>
      <c r="H42" s="164">
        <f t="shared" si="25"/>
        <v>0</v>
      </c>
      <c r="I42" s="164">
        <f t="shared" si="25"/>
        <v>0</v>
      </c>
      <c r="J42" s="164">
        <f t="shared" si="25"/>
        <v>0</v>
      </c>
      <c r="K42" s="164">
        <f t="shared" si="25"/>
        <v>0</v>
      </c>
      <c r="L42" s="164">
        <f t="shared" si="25"/>
        <v>0</v>
      </c>
      <c r="M42" s="164">
        <f t="shared" si="25"/>
        <v>0</v>
      </c>
      <c r="N42" s="164">
        <f t="shared" si="25"/>
        <v>0</v>
      </c>
      <c r="O42" s="182">
        <f t="shared" si="25"/>
        <v>0</v>
      </c>
      <c r="P42" s="182">
        <f t="shared" si="25"/>
        <v>0</v>
      </c>
      <c r="Q42" s="183"/>
      <c r="R42" s="207">
        <f>+R25-R7</f>
        <v>0</v>
      </c>
      <c r="S42" s="164">
        <f t="shared" si="27"/>
        <v>0</v>
      </c>
      <c r="T42" s="164">
        <f t="shared" si="27"/>
        <v>0</v>
      </c>
      <c r="U42" s="184">
        <f t="shared" si="27"/>
        <v>0</v>
      </c>
      <c r="V42" s="164">
        <f t="shared" si="27"/>
        <v>0</v>
      </c>
      <c r="W42" s="164">
        <f t="shared" si="27"/>
        <v>0</v>
      </c>
      <c r="X42" s="164">
        <f t="shared" si="27"/>
        <v>0</v>
      </c>
      <c r="Y42" s="164">
        <f t="shared" si="27"/>
        <v>0</v>
      </c>
      <c r="Z42" s="164">
        <f t="shared" si="27"/>
        <v>0</v>
      </c>
      <c r="AA42" s="164">
        <f t="shared" si="27"/>
        <v>0</v>
      </c>
      <c r="AB42" s="164">
        <f t="shared" si="27"/>
        <v>0</v>
      </c>
    </row>
    <row r="43" spans="1:29" ht="27" customHeight="1">
      <c r="B43" s="163" t="s">
        <v>303</v>
      </c>
      <c r="C43" s="164">
        <f t="shared" si="23"/>
        <v>0</v>
      </c>
      <c r="D43" s="164">
        <f t="shared" si="24"/>
        <v>0</v>
      </c>
      <c r="E43" s="164">
        <f t="shared" si="24"/>
        <v>0</v>
      </c>
      <c r="F43" s="164">
        <f t="shared" si="25"/>
        <v>0</v>
      </c>
      <c r="G43" s="164">
        <f t="shared" si="25"/>
        <v>0</v>
      </c>
      <c r="H43" s="164">
        <f t="shared" si="25"/>
        <v>0</v>
      </c>
      <c r="I43" s="164">
        <f t="shared" si="25"/>
        <v>0</v>
      </c>
      <c r="J43" s="164">
        <f t="shared" si="25"/>
        <v>0</v>
      </c>
      <c r="K43" s="164">
        <f t="shared" si="25"/>
        <v>0</v>
      </c>
      <c r="L43" s="164">
        <f t="shared" si="25"/>
        <v>0</v>
      </c>
      <c r="M43" s="164">
        <f t="shared" si="25"/>
        <v>0</v>
      </c>
      <c r="N43" s="164">
        <f t="shared" si="25"/>
        <v>0</v>
      </c>
      <c r="O43" s="182">
        <f t="shared" si="25"/>
        <v>0</v>
      </c>
      <c r="P43" s="182">
        <f t="shared" si="25"/>
        <v>0</v>
      </c>
      <c r="Q43" s="183"/>
      <c r="S43" s="164">
        <f t="shared" si="27"/>
        <v>0</v>
      </c>
      <c r="T43" s="164">
        <f t="shared" si="27"/>
        <v>0</v>
      </c>
      <c r="U43" s="184">
        <f t="shared" si="27"/>
        <v>0</v>
      </c>
      <c r="V43" s="164">
        <f t="shared" si="27"/>
        <v>0</v>
      </c>
      <c r="W43" s="164">
        <f t="shared" si="27"/>
        <v>0</v>
      </c>
      <c r="X43" s="164">
        <f t="shared" si="27"/>
        <v>0</v>
      </c>
      <c r="Y43" s="164">
        <f t="shared" si="27"/>
        <v>0</v>
      </c>
      <c r="Z43" s="164">
        <f t="shared" si="27"/>
        <v>0</v>
      </c>
      <c r="AA43" s="164">
        <f t="shared" si="27"/>
        <v>0</v>
      </c>
      <c r="AB43" s="164">
        <f t="shared" si="27"/>
        <v>0</v>
      </c>
    </row>
    <row r="44" spans="1:29" ht="27" customHeight="1">
      <c r="B44" s="163" t="s">
        <v>304</v>
      </c>
      <c r="C44" s="164">
        <f t="shared" si="23"/>
        <v>0</v>
      </c>
      <c r="D44" s="164">
        <f t="shared" si="24"/>
        <v>0</v>
      </c>
      <c r="E44" s="164">
        <f t="shared" si="24"/>
        <v>0</v>
      </c>
      <c r="F44" s="164">
        <f t="shared" si="25"/>
        <v>0</v>
      </c>
      <c r="G44" s="164">
        <f t="shared" si="25"/>
        <v>0</v>
      </c>
      <c r="H44" s="164">
        <f t="shared" si="25"/>
        <v>0</v>
      </c>
      <c r="I44" s="164">
        <f t="shared" si="25"/>
        <v>0</v>
      </c>
      <c r="J44" s="164">
        <f t="shared" si="25"/>
        <v>0</v>
      </c>
      <c r="K44" s="164">
        <f t="shared" si="25"/>
        <v>0</v>
      </c>
      <c r="L44" s="164">
        <f t="shared" si="25"/>
        <v>0</v>
      </c>
      <c r="M44" s="164">
        <f t="shared" si="25"/>
        <v>0</v>
      </c>
      <c r="N44" s="164">
        <f t="shared" si="25"/>
        <v>0</v>
      </c>
      <c r="O44" s="182">
        <f t="shared" si="25"/>
        <v>0</v>
      </c>
      <c r="P44" s="182">
        <f t="shared" si="25"/>
        <v>0</v>
      </c>
      <c r="Q44" s="183"/>
      <c r="S44" s="164">
        <f t="shared" si="27"/>
        <v>0</v>
      </c>
      <c r="T44" s="164">
        <f t="shared" si="27"/>
        <v>0</v>
      </c>
      <c r="U44" s="184">
        <f t="shared" si="27"/>
        <v>0</v>
      </c>
      <c r="V44" s="164">
        <f t="shared" si="27"/>
        <v>0</v>
      </c>
      <c r="W44" s="164">
        <f t="shared" si="27"/>
        <v>0</v>
      </c>
      <c r="X44" s="164">
        <f t="shared" si="27"/>
        <v>0</v>
      </c>
      <c r="Y44" s="164">
        <f t="shared" si="27"/>
        <v>0</v>
      </c>
      <c r="Z44" s="164">
        <f t="shared" si="27"/>
        <v>0</v>
      </c>
      <c r="AA44" s="164">
        <f t="shared" si="27"/>
        <v>0</v>
      </c>
      <c r="AB44" s="164">
        <f t="shared" si="27"/>
        <v>0</v>
      </c>
    </row>
    <row r="45" spans="1:29" ht="27" customHeight="1">
      <c r="B45" s="163" t="s">
        <v>305</v>
      </c>
      <c r="C45" s="164">
        <f t="shared" si="23"/>
        <v>0</v>
      </c>
      <c r="D45" s="164">
        <f t="shared" si="24"/>
        <v>0</v>
      </c>
      <c r="E45" s="164">
        <f t="shared" si="24"/>
        <v>0</v>
      </c>
      <c r="F45" s="164">
        <f t="shared" si="25"/>
        <v>0</v>
      </c>
      <c r="G45" s="164">
        <f t="shared" si="25"/>
        <v>0</v>
      </c>
      <c r="H45" s="164">
        <f t="shared" si="25"/>
        <v>0</v>
      </c>
      <c r="I45" s="164">
        <f t="shared" si="25"/>
        <v>0</v>
      </c>
      <c r="J45" s="164">
        <f t="shared" si="25"/>
        <v>0</v>
      </c>
      <c r="K45" s="164">
        <f t="shared" si="25"/>
        <v>0</v>
      </c>
      <c r="L45" s="164">
        <f t="shared" si="25"/>
        <v>0</v>
      </c>
      <c r="M45" s="164">
        <f t="shared" si="25"/>
        <v>0</v>
      </c>
      <c r="N45" s="164">
        <f t="shared" si="25"/>
        <v>0</v>
      </c>
      <c r="O45" s="182">
        <f t="shared" si="25"/>
        <v>0</v>
      </c>
      <c r="P45" s="182">
        <f t="shared" si="25"/>
        <v>0</v>
      </c>
      <c r="Q45" s="183"/>
      <c r="R45" s="169">
        <f>+R29-R11</f>
        <v>0</v>
      </c>
      <c r="S45" s="164">
        <f t="shared" si="27"/>
        <v>0</v>
      </c>
      <c r="T45" s="164">
        <f t="shared" si="27"/>
        <v>0</v>
      </c>
      <c r="U45" s="184">
        <f t="shared" si="27"/>
        <v>0</v>
      </c>
      <c r="V45" s="164">
        <f t="shared" si="27"/>
        <v>0</v>
      </c>
      <c r="W45" s="164">
        <f t="shared" si="27"/>
        <v>0</v>
      </c>
      <c r="X45" s="164">
        <f t="shared" si="27"/>
        <v>0</v>
      </c>
      <c r="Y45" s="164">
        <f t="shared" si="27"/>
        <v>0</v>
      </c>
      <c r="Z45" s="164">
        <f t="shared" si="27"/>
        <v>0</v>
      </c>
      <c r="AA45" s="164">
        <f t="shared" si="27"/>
        <v>0</v>
      </c>
      <c r="AB45" s="164">
        <f t="shared" si="27"/>
        <v>0</v>
      </c>
    </row>
    <row r="46" spans="1:29" ht="27" customHeight="1">
      <c r="B46" s="163" t="s">
        <v>306</v>
      </c>
      <c r="C46" s="164">
        <f t="shared" si="23"/>
        <v>0</v>
      </c>
      <c r="D46" s="164">
        <f t="shared" si="24"/>
        <v>0</v>
      </c>
      <c r="E46" s="164">
        <f t="shared" si="24"/>
        <v>0</v>
      </c>
      <c r="F46" s="164">
        <f t="shared" si="25"/>
        <v>0</v>
      </c>
      <c r="G46" s="164">
        <f t="shared" si="25"/>
        <v>0</v>
      </c>
      <c r="H46" s="164">
        <f t="shared" si="25"/>
        <v>0</v>
      </c>
      <c r="I46" s="164">
        <f t="shared" si="25"/>
        <v>0</v>
      </c>
      <c r="J46" s="164">
        <f t="shared" si="25"/>
        <v>0</v>
      </c>
      <c r="K46" s="164">
        <f t="shared" si="25"/>
        <v>0</v>
      </c>
      <c r="L46" s="164">
        <f t="shared" si="25"/>
        <v>0</v>
      </c>
      <c r="M46" s="164">
        <f t="shared" si="25"/>
        <v>0</v>
      </c>
      <c r="N46" s="164">
        <f t="shared" si="25"/>
        <v>0</v>
      </c>
      <c r="O46" s="182">
        <f t="shared" si="25"/>
        <v>0</v>
      </c>
      <c r="P46" s="182">
        <f t="shared" si="25"/>
        <v>0</v>
      </c>
      <c r="Q46" s="183"/>
      <c r="R46" s="208"/>
      <c r="S46" s="164">
        <f t="shared" si="27"/>
        <v>0</v>
      </c>
      <c r="T46" s="164">
        <f t="shared" si="27"/>
        <v>0</v>
      </c>
      <c r="U46" s="184">
        <f t="shared" si="27"/>
        <v>0</v>
      </c>
      <c r="V46" s="164">
        <f t="shared" si="27"/>
        <v>0</v>
      </c>
      <c r="W46" s="164">
        <f t="shared" si="27"/>
        <v>0</v>
      </c>
      <c r="X46" s="164">
        <f t="shared" si="27"/>
        <v>0</v>
      </c>
      <c r="Y46" s="164">
        <f t="shared" si="27"/>
        <v>0</v>
      </c>
      <c r="Z46" s="164">
        <f t="shared" si="27"/>
        <v>0</v>
      </c>
      <c r="AA46" s="164">
        <f t="shared" si="27"/>
        <v>0</v>
      </c>
      <c r="AB46" s="164">
        <f t="shared" si="27"/>
        <v>0</v>
      </c>
    </row>
    <row r="47" spans="1:29" ht="27" customHeight="1">
      <c r="B47" s="163" t="s">
        <v>307</v>
      </c>
      <c r="C47" s="164">
        <f t="shared" si="23"/>
        <v>0</v>
      </c>
      <c r="D47" s="164">
        <f t="shared" si="24"/>
        <v>0</v>
      </c>
      <c r="E47" s="164">
        <f t="shared" si="24"/>
        <v>0</v>
      </c>
      <c r="F47" s="164">
        <f t="shared" si="25"/>
        <v>0</v>
      </c>
      <c r="G47" s="164">
        <f t="shared" si="25"/>
        <v>0</v>
      </c>
      <c r="H47" s="164">
        <f t="shared" si="25"/>
        <v>0</v>
      </c>
      <c r="I47" s="164">
        <f t="shared" si="25"/>
        <v>0</v>
      </c>
      <c r="J47" s="164">
        <f t="shared" si="25"/>
        <v>0</v>
      </c>
      <c r="K47" s="164">
        <f t="shared" si="25"/>
        <v>0</v>
      </c>
      <c r="L47" s="164">
        <f t="shared" si="25"/>
        <v>0</v>
      </c>
      <c r="M47" s="164">
        <f t="shared" si="25"/>
        <v>0</v>
      </c>
      <c r="N47" s="164">
        <f t="shared" si="25"/>
        <v>0</v>
      </c>
      <c r="O47" s="182">
        <f t="shared" si="25"/>
        <v>0</v>
      </c>
      <c r="P47" s="182">
        <f t="shared" si="25"/>
        <v>0</v>
      </c>
      <c r="Q47" s="183"/>
      <c r="S47" s="164">
        <f t="shared" si="27"/>
        <v>0</v>
      </c>
      <c r="T47" s="164">
        <f t="shared" si="27"/>
        <v>0</v>
      </c>
      <c r="U47" s="184">
        <f t="shared" si="27"/>
        <v>0</v>
      </c>
      <c r="V47" s="164">
        <f t="shared" si="27"/>
        <v>0</v>
      </c>
      <c r="W47" s="164">
        <f t="shared" si="27"/>
        <v>0</v>
      </c>
      <c r="X47" s="164">
        <f t="shared" si="27"/>
        <v>0</v>
      </c>
      <c r="Y47" s="164">
        <f t="shared" si="27"/>
        <v>0</v>
      </c>
      <c r="Z47" s="164">
        <f t="shared" si="27"/>
        <v>0</v>
      </c>
      <c r="AA47" s="164">
        <f t="shared" si="27"/>
        <v>0</v>
      </c>
      <c r="AB47" s="164">
        <f t="shared" si="27"/>
        <v>0</v>
      </c>
    </row>
    <row r="48" spans="1:29" ht="27" customHeight="1">
      <c r="B48" s="163" t="s">
        <v>293</v>
      </c>
      <c r="C48" s="164">
        <f t="shared" si="23"/>
        <v>0</v>
      </c>
      <c r="D48" s="164">
        <f t="shared" si="24"/>
        <v>0</v>
      </c>
      <c r="E48" s="164">
        <f t="shared" si="24"/>
        <v>0</v>
      </c>
      <c r="F48" s="164">
        <f t="shared" si="25"/>
        <v>0</v>
      </c>
      <c r="G48" s="164">
        <f t="shared" si="25"/>
        <v>0</v>
      </c>
      <c r="H48" s="164">
        <f t="shared" si="25"/>
        <v>0</v>
      </c>
      <c r="I48" s="164">
        <f t="shared" si="25"/>
        <v>0</v>
      </c>
      <c r="J48" s="164">
        <f t="shared" si="25"/>
        <v>0</v>
      </c>
      <c r="K48" s="164">
        <f t="shared" si="25"/>
        <v>0</v>
      </c>
      <c r="L48" s="164">
        <f t="shared" si="25"/>
        <v>0</v>
      </c>
      <c r="M48" s="164">
        <f t="shared" si="25"/>
        <v>0</v>
      </c>
      <c r="N48" s="164">
        <f t="shared" si="25"/>
        <v>0</v>
      </c>
      <c r="O48" s="182">
        <f t="shared" si="25"/>
        <v>0</v>
      </c>
      <c r="P48" s="182">
        <f t="shared" si="25"/>
        <v>0</v>
      </c>
      <c r="Q48" s="183"/>
      <c r="S48" s="164">
        <f t="shared" si="27"/>
        <v>0</v>
      </c>
      <c r="T48" s="164">
        <f t="shared" si="27"/>
        <v>0</v>
      </c>
      <c r="U48" s="184">
        <f t="shared" si="27"/>
        <v>0</v>
      </c>
      <c r="V48" s="164">
        <f t="shared" si="27"/>
        <v>0</v>
      </c>
      <c r="W48" s="164">
        <f t="shared" si="27"/>
        <v>0</v>
      </c>
      <c r="X48" s="164">
        <f t="shared" si="27"/>
        <v>0</v>
      </c>
      <c r="Y48" s="164">
        <f t="shared" si="27"/>
        <v>0</v>
      </c>
      <c r="Z48" s="164">
        <f t="shared" si="27"/>
        <v>0</v>
      </c>
      <c r="AA48" s="164">
        <f t="shared" si="27"/>
        <v>0</v>
      </c>
      <c r="AB48" s="164">
        <f t="shared" si="27"/>
        <v>0</v>
      </c>
    </row>
    <row r="49" spans="1:28" hidden="1"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4"/>
      <c r="S49" s="209"/>
      <c r="T49" s="209"/>
      <c r="U49" s="210"/>
      <c r="V49" s="209"/>
      <c r="W49" s="209"/>
      <c r="X49" s="209"/>
      <c r="Y49" s="209"/>
      <c r="Z49" s="209"/>
      <c r="AA49" s="209"/>
      <c r="AB49" s="197"/>
    </row>
    <row r="50" spans="1:28">
      <c r="O50" s="194"/>
      <c r="P50" s="194"/>
      <c r="Q50" s="195"/>
    </row>
    <row r="51" spans="1:28" hidden="1">
      <c r="D51" s="194" t="s">
        <v>308</v>
      </c>
      <c r="N51" s="211"/>
      <c r="O51" s="211"/>
      <c r="P51" s="211"/>
      <c r="Q51" s="208"/>
    </row>
    <row r="52" spans="1:28" hidden="1">
      <c r="D52" s="194" t="s">
        <v>309</v>
      </c>
      <c r="N52" s="211"/>
      <c r="O52" s="211"/>
      <c r="P52" s="211"/>
      <c r="Q52" s="208"/>
    </row>
    <row r="53" spans="1:28" ht="20.25" hidden="1" customHeight="1">
      <c r="B53" s="163"/>
      <c r="C53" s="164"/>
      <c r="D53" s="164"/>
      <c r="E53" s="165"/>
      <c r="F53" s="166" t="s">
        <v>279</v>
      </c>
      <c r="G53" s="167"/>
      <c r="H53" s="167"/>
      <c r="I53" s="167"/>
      <c r="J53" s="167"/>
      <c r="K53" s="168"/>
      <c r="L53" s="164"/>
      <c r="M53" s="164"/>
      <c r="N53" s="164"/>
      <c r="O53" s="163" t="s">
        <v>280</v>
      </c>
      <c r="P53" s="163" t="s">
        <v>280</v>
      </c>
      <c r="S53" s="164"/>
      <c r="T53" s="164" t="s">
        <v>317</v>
      </c>
      <c r="U53" s="164"/>
      <c r="V53" s="164">
        <v>0.3</v>
      </c>
      <c r="W53" s="164"/>
      <c r="X53" s="164"/>
      <c r="Y53" s="164"/>
      <c r="Z53" s="164"/>
      <c r="AA53" s="164"/>
    </row>
    <row r="54" spans="1:28" s="179" customFormat="1" ht="20.25" hidden="1" customHeight="1">
      <c r="A54" s="173"/>
      <c r="B54" s="174" t="s">
        <v>288</v>
      </c>
      <c r="C54" s="175" t="s">
        <v>289</v>
      </c>
      <c r="D54" s="175" t="s">
        <v>290</v>
      </c>
      <c r="E54" s="176">
        <v>0.3</v>
      </c>
      <c r="F54" s="176">
        <v>1.5</v>
      </c>
      <c r="G54" s="176">
        <v>2</v>
      </c>
      <c r="H54" s="176">
        <v>2.1</v>
      </c>
      <c r="I54" s="176">
        <v>2.7</v>
      </c>
      <c r="J54" s="176">
        <v>3</v>
      </c>
      <c r="K54" s="176">
        <v>3.9</v>
      </c>
      <c r="L54" s="177" t="s">
        <v>291</v>
      </c>
      <c r="M54" s="178" t="s">
        <v>318</v>
      </c>
      <c r="N54" s="177" t="s">
        <v>293</v>
      </c>
      <c r="O54" s="174"/>
      <c r="P54" s="174"/>
      <c r="R54" s="169"/>
      <c r="S54" s="175" t="s">
        <v>294</v>
      </c>
      <c r="T54" s="175" t="s">
        <v>311</v>
      </c>
      <c r="U54" s="175" t="s">
        <v>312</v>
      </c>
      <c r="V54" s="175" t="s">
        <v>313</v>
      </c>
      <c r="W54" s="175" t="s">
        <v>314</v>
      </c>
      <c r="X54" s="175" t="s">
        <v>314</v>
      </c>
      <c r="Y54" s="175" t="s">
        <v>314</v>
      </c>
      <c r="Z54" s="175" t="s">
        <v>314</v>
      </c>
      <c r="AA54" s="175" t="s">
        <v>315</v>
      </c>
    </row>
    <row r="55" spans="1:28" ht="20.25" hidden="1" customHeight="1">
      <c r="B55" s="163" t="s">
        <v>33</v>
      </c>
      <c r="C55" s="184" t="str">
        <f t="shared" ref="C55:D58" si="28">IFERROR(C39/C4,"")</f>
        <v/>
      </c>
      <c r="D55" s="184" t="str">
        <f t="shared" si="28"/>
        <v/>
      </c>
      <c r="E55" s="184"/>
      <c r="F55" s="184" t="str">
        <f t="shared" ref="F55:P58" si="29">IFERROR(F39/F4,"")</f>
        <v/>
      </c>
      <c r="G55" s="184" t="str">
        <f t="shared" si="29"/>
        <v/>
      </c>
      <c r="H55" s="184" t="str">
        <f t="shared" si="29"/>
        <v/>
      </c>
      <c r="I55" s="184" t="str">
        <f t="shared" si="29"/>
        <v/>
      </c>
      <c r="J55" s="184" t="str">
        <f t="shared" si="29"/>
        <v/>
      </c>
      <c r="K55" s="184" t="str">
        <f t="shared" si="29"/>
        <v/>
      </c>
      <c r="L55" s="184" t="str">
        <f t="shared" si="29"/>
        <v/>
      </c>
      <c r="M55" s="184" t="str">
        <f t="shared" si="29"/>
        <v/>
      </c>
      <c r="N55" s="184" t="str">
        <f t="shared" si="29"/>
        <v/>
      </c>
      <c r="O55" s="184" t="str">
        <f t="shared" si="29"/>
        <v/>
      </c>
      <c r="P55" s="184" t="str">
        <f t="shared" si="29"/>
        <v/>
      </c>
      <c r="Q55" s="212"/>
      <c r="S55" s="184" t="str">
        <f t="shared" ref="S55:T58" si="30">IFERROR(S39/S4,"")</f>
        <v/>
      </c>
      <c r="T55" s="184" t="str">
        <f t="shared" si="30"/>
        <v/>
      </c>
      <c r="U55" s="184"/>
      <c r="V55" s="184" t="str">
        <f t="shared" ref="V55:AB58" si="31">IFERROR(V39/V4,"")</f>
        <v/>
      </c>
      <c r="W55" s="184" t="str">
        <f t="shared" si="31"/>
        <v/>
      </c>
      <c r="X55" s="184" t="str">
        <f t="shared" si="31"/>
        <v/>
      </c>
      <c r="Y55" s="184" t="str">
        <f t="shared" si="31"/>
        <v/>
      </c>
      <c r="Z55" s="184" t="str">
        <f t="shared" si="31"/>
        <v/>
      </c>
      <c r="AA55" s="184" t="str">
        <f t="shared" si="31"/>
        <v/>
      </c>
      <c r="AB55" s="200" t="str">
        <f t="shared" si="31"/>
        <v/>
      </c>
    </row>
    <row r="56" spans="1:28" ht="20.25" hidden="1" customHeight="1">
      <c r="B56" s="163" t="s">
        <v>36</v>
      </c>
      <c r="C56" s="184" t="str">
        <f t="shared" si="28"/>
        <v/>
      </c>
      <c r="D56" s="184" t="str">
        <f t="shared" si="28"/>
        <v/>
      </c>
      <c r="E56" s="184"/>
      <c r="F56" s="184" t="str">
        <f t="shared" si="29"/>
        <v/>
      </c>
      <c r="G56" s="184" t="str">
        <f t="shared" si="29"/>
        <v/>
      </c>
      <c r="H56" s="184" t="str">
        <f t="shared" si="29"/>
        <v/>
      </c>
      <c r="I56" s="184" t="str">
        <f t="shared" si="29"/>
        <v/>
      </c>
      <c r="J56" s="184"/>
      <c r="K56" s="184"/>
      <c r="L56" s="184"/>
      <c r="M56" s="184"/>
      <c r="N56" s="184" t="str">
        <f t="shared" si="29"/>
        <v/>
      </c>
      <c r="O56" s="184" t="str">
        <f t="shared" si="29"/>
        <v/>
      </c>
      <c r="P56" s="184" t="str">
        <f t="shared" si="29"/>
        <v/>
      </c>
      <c r="Q56" s="212"/>
      <c r="S56" s="184" t="str">
        <f t="shared" si="30"/>
        <v/>
      </c>
      <c r="T56" s="184" t="str">
        <f t="shared" si="30"/>
        <v/>
      </c>
      <c r="U56" s="184"/>
      <c r="V56" s="184"/>
      <c r="W56" s="184"/>
      <c r="X56" s="184"/>
      <c r="Y56" s="184"/>
      <c r="Z56" s="184"/>
      <c r="AA56" s="184" t="str">
        <f t="shared" si="31"/>
        <v/>
      </c>
      <c r="AB56" s="200" t="str">
        <f t="shared" si="31"/>
        <v/>
      </c>
    </row>
    <row r="57" spans="1:28" ht="20.25" hidden="1" customHeight="1">
      <c r="B57" s="163" t="s">
        <v>300</v>
      </c>
      <c r="C57" s="184" t="str">
        <f t="shared" si="28"/>
        <v/>
      </c>
      <c r="D57" s="184" t="str">
        <f t="shared" si="28"/>
        <v/>
      </c>
      <c r="E57" s="184"/>
      <c r="F57" s="184" t="str">
        <f t="shared" si="29"/>
        <v/>
      </c>
      <c r="G57" s="184" t="str">
        <f t="shared" si="29"/>
        <v/>
      </c>
      <c r="H57" s="184" t="str">
        <f t="shared" si="29"/>
        <v/>
      </c>
      <c r="I57" s="184" t="str">
        <f t="shared" si="29"/>
        <v/>
      </c>
      <c r="J57" s="184" t="str">
        <f t="shared" si="29"/>
        <v/>
      </c>
      <c r="K57" s="184" t="str">
        <f t="shared" si="29"/>
        <v/>
      </c>
      <c r="L57" s="184" t="str">
        <f t="shared" si="29"/>
        <v/>
      </c>
      <c r="M57" s="184" t="str">
        <f t="shared" si="29"/>
        <v/>
      </c>
      <c r="N57" s="184" t="str">
        <f t="shared" si="29"/>
        <v/>
      </c>
      <c r="O57" s="184" t="str">
        <f t="shared" si="29"/>
        <v/>
      </c>
      <c r="P57" s="184" t="str">
        <f t="shared" si="29"/>
        <v/>
      </c>
      <c r="Q57" s="212"/>
      <c r="S57" s="184" t="str">
        <f t="shared" si="30"/>
        <v/>
      </c>
      <c r="T57" s="184" t="str">
        <f t="shared" si="30"/>
        <v/>
      </c>
      <c r="U57" s="184"/>
      <c r="V57" s="184" t="str">
        <f t="shared" ref="V57:Z58" si="32">IFERROR(V41/V6,"")</f>
        <v/>
      </c>
      <c r="W57" s="184" t="str">
        <f t="shared" si="32"/>
        <v/>
      </c>
      <c r="X57" s="184" t="str">
        <f t="shared" si="32"/>
        <v/>
      </c>
      <c r="Y57" s="184" t="str">
        <f t="shared" si="32"/>
        <v/>
      </c>
      <c r="Z57" s="184" t="str">
        <f t="shared" si="32"/>
        <v/>
      </c>
      <c r="AA57" s="184" t="str">
        <f t="shared" si="31"/>
        <v/>
      </c>
      <c r="AB57" s="200" t="str">
        <f t="shared" si="31"/>
        <v/>
      </c>
    </row>
    <row r="58" spans="1:28" ht="20.25" hidden="1" customHeight="1">
      <c r="A58" s="162" t="s">
        <v>320</v>
      </c>
      <c r="B58" s="163" t="s">
        <v>302</v>
      </c>
      <c r="C58" s="184" t="str">
        <f t="shared" si="28"/>
        <v/>
      </c>
      <c r="D58" s="184" t="str">
        <f t="shared" si="28"/>
        <v/>
      </c>
      <c r="E58" s="184"/>
      <c r="F58" s="184" t="str">
        <f t="shared" si="29"/>
        <v/>
      </c>
      <c r="G58" s="184" t="str">
        <f t="shared" si="29"/>
        <v/>
      </c>
      <c r="H58" s="184" t="str">
        <f t="shared" si="29"/>
        <v/>
      </c>
      <c r="I58" s="184" t="str">
        <f t="shared" si="29"/>
        <v/>
      </c>
      <c r="J58" s="184" t="str">
        <f t="shared" si="29"/>
        <v/>
      </c>
      <c r="K58" s="184" t="str">
        <f t="shared" si="29"/>
        <v/>
      </c>
      <c r="L58" s="184" t="str">
        <f t="shared" si="29"/>
        <v/>
      </c>
      <c r="M58" s="184" t="str">
        <f t="shared" si="29"/>
        <v/>
      </c>
      <c r="N58" s="184" t="str">
        <f t="shared" si="29"/>
        <v/>
      </c>
      <c r="O58" s="184" t="str">
        <f t="shared" si="29"/>
        <v/>
      </c>
      <c r="P58" s="184" t="str">
        <f t="shared" si="29"/>
        <v/>
      </c>
      <c r="Q58" s="212"/>
      <c r="S58" s="184" t="str">
        <f t="shared" si="30"/>
        <v/>
      </c>
      <c r="T58" s="184" t="str">
        <f t="shared" si="30"/>
        <v/>
      </c>
      <c r="U58" s="184"/>
      <c r="V58" s="184" t="str">
        <f t="shared" si="32"/>
        <v/>
      </c>
      <c r="W58" s="184" t="str">
        <f t="shared" si="32"/>
        <v/>
      </c>
      <c r="X58" s="184" t="str">
        <f t="shared" si="32"/>
        <v/>
      </c>
      <c r="Y58" s="184" t="str">
        <f t="shared" si="32"/>
        <v/>
      </c>
      <c r="Z58" s="184" t="str">
        <f t="shared" si="32"/>
        <v/>
      </c>
      <c r="AA58" s="184" t="str">
        <f t="shared" si="31"/>
        <v/>
      </c>
      <c r="AB58" s="200" t="str">
        <f t="shared" si="31"/>
        <v/>
      </c>
    </row>
    <row r="59" spans="1:28" ht="20.25" hidden="1" customHeight="1">
      <c r="B59" s="163" t="s">
        <v>304</v>
      </c>
      <c r="C59" s="184" t="str">
        <f t="shared" ref="C59:D63" si="33">IFERROR(C44/C9,"")</f>
        <v/>
      </c>
      <c r="D59" s="184" t="str">
        <f t="shared" si="33"/>
        <v/>
      </c>
      <c r="E59" s="184"/>
      <c r="F59" s="184" t="str">
        <f t="shared" ref="F59:P63" si="34">IFERROR(F44/F9,"")</f>
        <v/>
      </c>
      <c r="G59" s="184" t="str">
        <f t="shared" si="34"/>
        <v/>
      </c>
      <c r="H59" s="184" t="str">
        <f t="shared" si="34"/>
        <v/>
      </c>
      <c r="I59" s="184" t="str">
        <f t="shared" si="34"/>
        <v/>
      </c>
      <c r="J59" s="184" t="str">
        <f t="shared" si="34"/>
        <v/>
      </c>
      <c r="K59" s="184" t="str">
        <f t="shared" si="34"/>
        <v/>
      </c>
      <c r="L59" s="184" t="str">
        <f t="shared" si="34"/>
        <v/>
      </c>
      <c r="M59" s="184" t="str">
        <f t="shared" si="34"/>
        <v/>
      </c>
      <c r="N59" s="184" t="str">
        <f t="shared" si="34"/>
        <v/>
      </c>
      <c r="O59" s="184" t="str">
        <f t="shared" si="34"/>
        <v/>
      </c>
      <c r="P59" s="184" t="str">
        <f t="shared" si="34"/>
        <v/>
      </c>
      <c r="Q59" s="212"/>
      <c r="S59" s="184" t="str">
        <f>IFERROR(S44/S9,"")</f>
        <v/>
      </c>
      <c r="T59" s="184" t="str">
        <f>IFERROR(T44/T9,"")</f>
        <v/>
      </c>
      <c r="U59" s="184"/>
      <c r="V59" s="184" t="str">
        <f t="shared" ref="V59:AB63" si="35">IFERROR(V44/V9,"")</f>
        <v/>
      </c>
      <c r="W59" s="184" t="str">
        <f t="shared" si="35"/>
        <v/>
      </c>
      <c r="X59" s="184" t="str">
        <f t="shared" si="35"/>
        <v/>
      </c>
      <c r="Y59" s="184" t="str">
        <f t="shared" si="35"/>
        <v/>
      </c>
      <c r="Z59" s="184" t="str">
        <f t="shared" si="35"/>
        <v/>
      </c>
      <c r="AA59" s="184" t="str">
        <f t="shared" si="35"/>
        <v/>
      </c>
      <c r="AB59" s="200" t="str">
        <f t="shared" si="35"/>
        <v/>
      </c>
    </row>
    <row r="60" spans="1:28" ht="20.25" hidden="1" customHeight="1">
      <c r="B60" s="163" t="s">
        <v>305</v>
      </c>
      <c r="C60" s="184" t="str">
        <f t="shared" si="33"/>
        <v/>
      </c>
      <c r="D60" s="184" t="str">
        <f t="shared" si="33"/>
        <v/>
      </c>
      <c r="E60" s="184"/>
      <c r="F60" s="184" t="str">
        <f t="shared" si="34"/>
        <v/>
      </c>
      <c r="G60" s="184" t="str">
        <f t="shared" si="34"/>
        <v/>
      </c>
      <c r="H60" s="184" t="str">
        <f t="shared" si="34"/>
        <v/>
      </c>
      <c r="I60" s="184" t="str">
        <f t="shared" si="34"/>
        <v/>
      </c>
      <c r="J60" s="184" t="str">
        <f t="shared" si="34"/>
        <v/>
      </c>
      <c r="K60" s="184" t="str">
        <f t="shared" si="34"/>
        <v/>
      </c>
      <c r="L60" s="184" t="str">
        <f t="shared" si="34"/>
        <v/>
      </c>
      <c r="M60" s="184" t="str">
        <f t="shared" si="34"/>
        <v/>
      </c>
      <c r="N60" s="184" t="str">
        <f t="shared" si="34"/>
        <v/>
      </c>
      <c r="O60" s="184" t="str">
        <f t="shared" si="34"/>
        <v/>
      </c>
      <c r="P60" s="184" t="str">
        <f t="shared" si="34"/>
        <v/>
      </c>
      <c r="Q60" s="212"/>
      <c r="S60" s="184" t="str">
        <f>IFERROR(S45/S10,"")</f>
        <v/>
      </c>
      <c r="T60" s="184" t="str">
        <f>IFERROR(T45/T10,"")</f>
        <v/>
      </c>
      <c r="U60" s="184"/>
      <c r="V60" s="184" t="str">
        <f t="shared" si="35"/>
        <v/>
      </c>
      <c r="W60" s="184" t="str">
        <f t="shared" si="35"/>
        <v/>
      </c>
      <c r="X60" s="184" t="str">
        <f t="shared" si="35"/>
        <v/>
      </c>
      <c r="Y60" s="184" t="str">
        <f t="shared" si="35"/>
        <v/>
      </c>
      <c r="Z60" s="184" t="str">
        <f t="shared" si="35"/>
        <v/>
      </c>
      <c r="AA60" s="184" t="str">
        <f t="shared" si="35"/>
        <v/>
      </c>
      <c r="AB60" s="200" t="str">
        <f t="shared" si="35"/>
        <v/>
      </c>
    </row>
    <row r="61" spans="1:28" ht="20.25" hidden="1" customHeight="1">
      <c r="B61" s="163" t="s">
        <v>321</v>
      </c>
      <c r="C61" s="184" t="str">
        <f t="shared" si="33"/>
        <v/>
      </c>
      <c r="D61" s="184" t="str">
        <f t="shared" si="33"/>
        <v/>
      </c>
      <c r="E61" s="184"/>
      <c r="F61" s="184" t="str">
        <f t="shared" si="34"/>
        <v/>
      </c>
      <c r="G61" s="184" t="str">
        <f t="shared" si="34"/>
        <v/>
      </c>
      <c r="H61" s="184" t="str">
        <f t="shared" si="34"/>
        <v/>
      </c>
      <c r="I61" s="184" t="str">
        <f t="shared" si="34"/>
        <v/>
      </c>
      <c r="J61" s="184" t="str">
        <f t="shared" si="34"/>
        <v/>
      </c>
      <c r="K61" s="184" t="str">
        <f t="shared" si="34"/>
        <v/>
      </c>
      <c r="L61" s="184" t="str">
        <f t="shared" si="34"/>
        <v/>
      </c>
      <c r="M61" s="184" t="str">
        <f t="shared" si="34"/>
        <v/>
      </c>
      <c r="N61" s="184" t="str">
        <f t="shared" si="34"/>
        <v/>
      </c>
      <c r="O61" s="184" t="str">
        <f t="shared" si="34"/>
        <v/>
      </c>
      <c r="P61" s="184" t="str">
        <f t="shared" si="34"/>
        <v/>
      </c>
      <c r="Q61" s="212"/>
      <c r="S61" s="184" t="str">
        <f t="shared" ref="S61:T62" si="36">IFERROR(S46/S11,"")</f>
        <v/>
      </c>
      <c r="T61" s="184" t="str">
        <f t="shared" si="36"/>
        <v/>
      </c>
      <c r="U61" s="184"/>
      <c r="V61" s="184" t="str">
        <f t="shared" si="35"/>
        <v/>
      </c>
      <c r="W61" s="184" t="str">
        <f t="shared" si="35"/>
        <v/>
      </c>
      <c r="X61" s="184" t="str">
        <f t="shared" si="35"/>
        <v/>
      </c>
      <c r="Y61" s="184" t="str">
        <f t="shared" si="35"/>
        <v/>
      </c>
      <c r="Z61" s="184" t="str">
        <f t="shared" si="35"/>
        <v/>
      </c>
      <c r="AA61" s="184" t="str">
        <f t="shared" si="35"/>
        <v/>
      </c>
      <c r="AB61" s="200"/>
    </row>
    <row r="62" spans="1:28" ht="20.25" hidden="1" customHeight="1">
      <c r="B62" s="163" t="s">
        <v>307</v>
      </c>
      <c r="C62" s="184" t="str">
        <f t="shared" si="33"/>
        <v/>
      </c>
      <c r="D62" s="184" t="str">
        <f t="shared" si="33"/>
        <v/>
      </c>
      <c r="E62" s="184"/>
      <c r="F62" s="184" t="str">
        <f t="shared" si="34"/>
        <v/>
      </c>
      <c r="G62" s="184" t="str">
        <f t="shared" si="34"/>
        <v/>
      </c>
      <c r="H62" s="184" t="str">
        <f t="shared" si="34"/>
        <v/>
      </c>
      <c r="I62" s="184" t="str">
        <f t="shared" si="34"/>
        <v/>
      </c>
      <c r="J62" s="184" t="str">
        <f t="shared" si="34"/>
        <v/>
      </c>
      <c r="K62" s="184" t="str">
        <f t="shared" si="34"/>
        <v/>
      </c>
      <c r="L62" s="184" t="str">
        <f t="shared" si="34"/>
        <v/>
      </c>
      <c r="M62" s="184" t="str">
        <f t="shared" si="34"/>
        <v/>
      </c>
      <c r="N62" s="184" t="str">
        <f t="shared" si="34"/>
        <v/>
      </c>
      <c r="O62" s="184" t="str">
        <f t="shared" si="34"/>
        <v/>
      </c>
      <c r="P62" s="184" t="str">
        <f t="shared" si="34"/>
        <v/>
      </c>
      <c r="Q62" s="212"/>
      <c r="S62" s="184" t="str">
        <f t="shared" si="36"/>
        <v/>
      </c>
      <c r="T62" s="184" t="str">
        <f t="shared" si="36"/>
        <v/>
      </c>
      <c r="U62" s="184"/>
      <c r="V62" s="184" t="str">
        <f t="shared" si="35"/>
        <v/>
      </c>
      <c r="W62" s="184" t="str">
        <f t="shared" si="35"/>
        <v/>
      </c>
      <c r="X62" s="184" t="str">
        <f t="shared" si="35"/>
        <v/>
      </c>
      <c r="Y62" s="184" t="str">
        <f t="shared" si="35"/>
        <v/>
      </c>
      <c r="Z62" s="184" t="str">
        <f t="shared" si="35"/>
        <v/>
      </c>
      <c r="AA62" s="184" t="str">
        <f t="shared" si="35"/>
        <v/>
      </c>
      <c r="AB62" s="200" t="str">
        <f>IFERROR(AB47/AB12,"")</f>
        <v/>
      </c>
    </row>
    <row r="63" spans="1:28" ht="20.25" hidden="1" customHeight="1">
      <c r="B63" s="163" t="s">
        <v>293</v>
      </c>
      <c r="C63" s="184" t="str">
        <f t="shared" si="33"/>
        <v/>
      </c>
      <c r="D63" s="184" t="str">
        <f t="shared" si="33"/>
        <v/>
      </c>
      <c r="E63" s="184"/>
      <c r="F63" s="184" t="str">
        <f t="shared" si="34"/>
        <v/>
      </c>
      <c r="G63" s="184" t="str">
        <f t="shared" si="34"/>
        <v/>
      </c>
      <c r="H63" s="184" t="str">
        <f t="shared" si="34"/>
        <v/>
      </c>
      <c r="I63" s="184" t="str">
        <f t="shared" si="34"/>
        <v/>
      </c>
      <c r="J63" s="184" t="str">
        <f t="shared" si="34"/>
        <v/>
      </c>
      <c r="K63" s="184" t="str">
        <f t="shared" si="34"/>
        <v/>
      </c>
      <c r="L63" s="184" t="str">
        <f t="shared" si="34"/>
        <v/>
      </c>
      <c r="M63" s="184" t="str">
        <f t="shared" si="34"/>
        <v/>
      </c>
      <c r="N63" s="184" t="str">
        <f t="shared" si="34"/>
        <v/>
      </c>
      <c r="O63" s="184" t="str">
        <f t="shared" si="34"/>
        <v/>
      </c>
      <c r="P63" s="184" t="str">
        <f t="shared" si="34"/>
        <v/>
      </c>
      <c r="Q63" s="212"/>
      <c r="S63" s="184" t="str">
        <f>IFERROR(S48/S13,"")</f>
        <v/>
      </c>
      <c r="T63" s="184" t="str">
        <f>IFERROR(T48/T13,"")</f>
        <v/>
      </c>
      <c r="U63" s="184"/>
      <c r="V63" s="184" t="str">
        <f t="shared" si="35"/>
        <v/>
      </c>
      <c r="W63" s="184" t="str">
        <f t="shared" si="35"/>
        <v/>
      </c>
      <c r="X63" s="184" t="str">
        <f t="shared" si="35"/>
        <v/>
      </c>
      <c r="Y63" s="184" t="str">
        <f t="shared" si="35"/>
        <v/>
      </c>
      <c r="Z63" s="184" t="str">
        <f t="shared" si="35"/>
        <v/>
      </c>
      <c r="AA63" s="184" t="str">
        <f t="shared" si="35"/>
        <v/>
      </c>
      <c r="AB63" s="200" t="str">
        <f>IFERROR(AB48/AB13,"")</f>
        <v/>
      </c>
    </row>
  </sheetData>
  <mergeCells count="7">
    <mergeCell ref="F53:K53"/>
    <mergeCell ref="A1:AA1"/>
    <mergeCell ref="F2:K2"/>
    <mergeCell ref="AB2:AB3"/>
    <mergeCell ref="F20:K20"/>
    <mergeCell ref="AB20:AB21"/>
    <mergeCell ref="F37:K37"/>
  </mergeCells>
  <pageMargins left="0.44" right="0.16" top="0.16" bottom="0.16" header="0.65" footer="0.16"/>
  <pageSetup paperSize="8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9A65-8B3A-4E17-AB01-F83ABE78336A}">
  <sheetPr>
    <tabColor theme="5" tint="0.39997558519241921"/>
    <pageSetUpPr fitToPage="1"/>
  </sheetPr>
  <dimension ref="A1:AB43"/>
  <sheetViews>
    <sheetView showGridLines="0" topLeftCell="B1" zoomScale="70" zoomScaleNormal="70" workbookViewId="0">
      <pane xSplit="4" ySplit="4" topLeftCell="F5" activePane="bottomRight" state="frozen"/>
      <selection activeCell="I14" sqref="I14"/>
      <selection pane="topRight" activeCell="I14" sqref="I14"/>
      <selection pane="bottomLeft" activeCell="I14" sqref="I14"/>
      <selection pane="bottomRight" activeCell="I20" sqref="I20:I23"/>
    </sheetView>
  </sheetViews>
  <sheetFormatPr defaultColWidth="8.7109375" defaultRowHeight="13.5"/>
  <cols>
    <col min="1" max="1" width="8.5703125" style="293" hidden="1" customWidth="1"/>
    <col min="2" max="2" width="12.140625" style="293" customWidth="1"/>
    <col min="3" max="3" width="9.85546875" style="293" customWidth="1"/>
    <col min="4" max="4" width="11.140625" style="293" customWidth="1"/>
    <col min="5" max="7" width="16.7109375" style="293" customWidth="1"/>
    <col min="8" max="8" width="14.42578125" style="293" customWidth="1"/>
    <col min="9" max="9" width="44.85546875" style="293" customWidth="1"/>
    <col min="10" max="10" width="11.140625" style="293" customWidth="1"/>
    <col min="11" max="11" width="12.42578125" style="293" customWidth="1"/>
    <col min="12" max="12" width="12.42578125" style="293" bestFit="1" customWidth="1"/>
    <col min="13" max="16384" width="8.7109375" style="293"/>
  </cols>
  <sheetData>
    <row r="1" spans="1:28" s="213" customFormat="1" ht="27" customHeight="1">
      <c r="B1" s="213" t="s">
        <v>322</v>
      </c>
      <c r="D1" s="214"/>
      <c r="E1" s="214"/>
      <c r="G1" s="215"/>
    </row>
    <row r="2" spans="1:28" s="216" customFormat="1" ht="18.600000000000001" customHeight="1" thickBot="1">
      <c r="D2" s="217"/>
      <c r="E2" s="217"/>
      <c r="G2" s="218"/>
      <c r="J2" s="219" t="s">
        <v>323</v>
      </c>
    </row>
    <row r="3" spans="1:28" s="216" customFormat="1" ht="31.9" customHeight="1">
      <c r="B3" s="220" t="s">
        <v>324</v>
      </c>
      <c r="C3" s="221"/>
      <c r="D3" s="222"/>
      <c r="E3" s="223" t="str">
        <f>UPPER(TEXT(Sheet1!A1*28,"MMM"))</f>
        <v>JAN</v>
      </c>
      <c r="F3" s="223"/>
      <c r="G3" s="223"/>
      <c r="H3" s="224"/>
      <c r="I3" s="225" t="s">
        <v>325</v>
      </c>
      <c r="J3" s="226" t="s">
        <v>326</v>
      </c>
    </row>
    <row r="4" spans="1:28" s="216" customFormat="1" ht="27.6" customHeight="1" thickBot="1">
      <c r="A4" s="227"/>
      <c r="B4" s="228"/>
      <c r="C4" s="229"/>
      <c r="D4" s="230"/>
      <c r="E4" s="231" t="s">
        <v>327</v>
      </c>
      <c r="F4" s="232" t="s">
        <v>269</v>
      </c>
      <c r="G4" s="233" t="s">
        <v>328</v>
      </c>
      <c r="H4" s="234" t="s">
        <v>329</v>
      </c>
      <c r="I4" s="235"/>
      <c r="J4" s="236"/>
    </row>
    <row r="5" spans="1:28" s="216" customFormat="1" ht="40.5" customHeight="1">
      <c r="A5" s="220" t="s">
        <v>330</v>
      </c>
      <c r="B5" s="237" t="s">
        <v>331</v>
      </c>
      <c r="C5" s="238"/>
      <c r="D5" s="239"/>
      <c r="E5" s="240">
        <f>+'급여 요약'!C7</f>
        <v>0</v>
      </c>
      <c r="F5" s="240">
        <f>+'급여 요약'!C25+'급여 요약'!C26</f>
        <v>0</v>
      </c>
      <c r="G5" s="241">
        <f>F5-E5</f>
        <v>0</v>
      </c>
      <c r="H5" s="242" t="str">
        <f>IFERROR(G5/E5,"")</f>
        <v/>
      </c>
      <c r="I5" s="243"/>
      <c r="J5" s="244"/>
      <c r="K5" s="217"/>
    </row>
    <row r="6" spans="1:28" s="216" customFormat="1" ht="40.5" customHeight="1">
      <c r="A6" s="245"/>
      <c r="B6" s="246" t="s">
        <v>332</v>
      </c>
      <c r="C6" s="247" t="s">
        <v>333</v>
      </c>
      <c r="D6" s="248"/>
      <c r="E6" s="249">
        <f>+'급여 요약'!D7+'급여 요약'!D8</f>
        <v>0</v>
      </c>
      <c r="F6" s="249">
        <f>+'급여 요약'!D25+'급여 요약'!D26</f>
        <v>0</v>
      </c>
      <c r="G6" s="250">
        <f t="shared" ref="G6:G15" si="0">F6-E6</f>
        <v>0</v>
      </c>
      <c r="H6" s="251" t="str">
        <f t="shared" ref="H6:H33" si="1">IFERROR(G6/E6,"")</f>
        <v/>
      </c>
      <c r="I6" s="252"/>
      <c r="J6" s="253"/>
    </row>
    <row r="7" spans="1:28" s="216" customFormat="1" ht="40.5" customHeight="1">
      <c r="A7" s="245"/>
      <c r="B7" s="254"/>
      <c r="C7" s="247" t="s">
        <v>334</v>
      </c>
      <c r="D7" s="248"/>
      <c r="E7" s="249">
        <f>+'급여 요약'!P7*8</f>
        <v>0</v>
      </c>
      <c r="F7" s="249">
        <f>+'급여 요약'!P25*8</f>
        <v>0</v>
      </c>
      <c r="G7" s="250">
        <f t="shared" si="0"/>
        <v>0</v>
      </c>
      <c r="H7" s="251" t="str">
        <f t="shared" si="1"/>
        <v/>
      </c>
      <c r="I7" s="252"/>
      <c r="J7" s="253"/>
    </row>
    <row r="8" spans="1:28" s="216" customFormat="1" ht="40.5" customHeight="1">
      <c r="A8" s="245"/>
      <c r="B8" s="254"/>
      <c r="C8" s="255" t="s">
        <v>335</v>
      </c>
      <c r="D8" s="256">
        <v>1.5</v>
      </c>
      <c r="E8" s="249">
        <f>+'급여 요약'!F7+'급여 요약'!F8</f>
        <v>0</v>
      </c>
      <c r="F8" s="249">
        <f>+'급여 요약'!F25+'급여 요약'!F26</f>
        <v>0</v>
      </c>
      <c r="G8" s="250">
        <f t="shared" si="0"/>
        <v>0</v>
      </c>
      <c r="H8" s="257" t="str">
        <f t="shared" si="1"/>
        <v/>
      </c>
      <c r="I8" s="258"/>
      <c r="J8" s="253"/>
    </row>
    <row r="9" spans="1:28" s="216" customFormat="1" ht="96" customHeight="1">
      <c r="A9" s="245"/>
      <c r="B9" s="254"/>
      <c r="C9" s="259"/>
      <c r="D9" s="256">
        <v>2</v>
      </c>
      <c r="E9" s="249">
        <f>+'급여 요약'!G7+'급여 요약'!G8</f>
        <v>0</v>
      </c>
      <c r="F9" s="249">
        <f>+'급여 요약'!G25+'급여 요약'!G26</f>
        <v>0</v>
      </c>
      <c r="G9" s="250">
        <f t="shared" si="0"/>
        <v>0</v>
      </c>
      <c r="H9" s="257" t="str">
        <f t="shared" si="1"/>
        <v/>
      </c>
      <c r="I9" s="260"/>
      <c r="J9" s="253"/>
    </row>
    <row r="10" spans="1:28" s="216" customFormat="1" ht="40.5" customHeight="1">
      <c r="A10" s="245"/>
      <c r="B10" s="254"/>
      <c r="C10" s="259"/>
      <c r="D10" s="256">
        <v>2.1</v>
      </c>
      <c r="E10" s="249">
        <f>+'급여 요약'!H7+'급여 요약'!H8</f>
        <v>0</v>
      </c>
      <c r="F10" s="249">
        <f>+'급여 요약'!H25+'급여 요약'!H26</f>
        <v>0</v>
      </c>
      <c r="G10" s="250">
        <f t="shared" si="0"/>
        <v>0</v>
      </c>
      <c r="H10" s="257" t="str">
        <f t="shared" si="1"/>
        <v/>
      </c>
      <c r="I10" s="261"/>
      <c r="J10" s="253"/>
    </row>
    <row r="11" spans="1:28" s="216" customFormat="1" ht="40.5" customHeight="1">
      <c r="A11" s="245"/>
      <c r="B11" s="254"/>
      <c r="C11" s="259"/>
      <c r="D11" s="256">
        <v>2.7</v>
      </c>
      <c r="E11" s="249">
        <f>+'급여 요약'!I7+'급여 요약'!I8</f>
        <v>0</v>
      </c>
      <c r="F11" s="249">
        <f>+'급여 요약'!I25+'급여 요약'!I26</f>
        <v>0</v>
      </c>
      <c r="G11" s="250">
        <f t="shared" si="0"/>
        <v>0</v>
      </c>
      <c r="H11" s="257" t="str">
        <f t="shared" si="1"/>
        <v/>
      </c>
      <c r="I11" s="261"/>
      <c r="J11" s="253"/>
    </row>
    <row r="12" spans="1:28" s="216" customFormat="1" ht="40.5" customHeight="1">
      <c r="A12" s="245"/>
      <c r="B12" s="254"/>
      <c r="C12" s="262"/>
      <c r="D12" s="256">
        <v>3</v>
      </c>
      <c r="E12" s="249">
        <f>+'급여 요약'!J7</f>
        <v>0</v>
      </c>
      <c r="F12" s="249">
        <f>+'급여 요약'!J25</f>
        <v>0</v>
      </c>
      <c r="G12" s="250">
        <f t="shared" si="0"/>
        <v>0</v>
      </c>
      <c r="H12" s="257" t="str">
        <f t="shared" si="1"/>
        <v/>
      </c>
      <c r="I12" s="263"/>
      <c r="J12" s="253"/>
      <c r="AB12" s="216" t="s">
        <v>336</v>
      </c>
    </row>
    <row r="13" spans="1:28" s="216" customFormat="1" ht="40.5" customHeight="1">
      <c r="A13" s="245"/>
      <c r="B13" s="254"/>
      <c r="C13" s="262"/>
      <c r="D13" s="256">
        <v>3.9</v>
      </c>
      <c r="E13" s="249">
        <f>+'급여 요약'!K7</f>
        <v>0</v>
      </c>
      <c r="F13" s="249">
        <f>+'급여 요약'!K25</f>
        <v>0</v>
      </c>
      <c r="G13" s="250">
        <f t="shared" si="0"/>
        <v>0</v>
      </c>
      <c r="H13" s="257" t="str">
        <f t="shared" si="1"/>
        <v/>
      </c>
      <c r="I13" s="264"/>
      <c r="J13" s="253"/>
    </row>
    <row r="14" spans="1:28" s="216" customFormat="1" ht="40.5" customHeight="1">
      <c r="A14" s="245"/>
      <c r="B14" s="254"/>
      <c r="C14" s="265"/>
      <c r="D14" s="266" t="s">
        <v>38</v>
      </c>
      <c r="E14" s="249">
        <f>SUM(E8:E11)</f>
        <v>0</v>
      </c>
      <c r="F14" s="249">
        <f>SUM(F8:F11)</f>
        <v>0</v>
      </c>
      <c r="G14" s="249">
        <f>SUM(G8:G11)</f>
        <v>0</v>
      </c>
      <c r="H14" s="257" t="str">
        <f t="shared" si="1"/>
        <v/>
      </c>
      <c r="I14" s="267"/>
      <c r="J14" s="253"/>
    </row>
    <row r="15" spans="1:28" s="216" customFormat="1" ht="40.5" customHeight="1">
      <c r="A15" s="245"/>
      <c r="B15" s="254"/>
      <c r="C15" s="268" t="s">
        <v>337</v>
      </c>
      <c r="D15" s="266">
        <v>0.3</v>
      </c>
      <c r="E15" s="249">
        <f>+'급여 요약'!E7+'급여 요약'!E8</f>
        <v>0</v>
      </c>
      <c r="F15" s="249">
        <f>+'급여 요약'!E25+'급여 요약'!E26</f>
        <v>0</v>
      </c>
      <c r="G15" s="250">
        <f t="shared" si="0"/>
        <v>0</v>
      </c>
      <c r="H15" s="257" t="str">
        <f t="shared" si="1"/>
        <v/>
      </c>
      <c r="I15" s="267"/>
      <c r="J15" s="253"/>
    </row>
    <row r="16" spans="1:28" s="216" customFormat="1" ht="40.5" customHeight="1">
      <c r="A16" s="245"/>
      <c r="B16" s="254"/>
      <c r="C16" s="269" t="s">
        <v>338</v>
      </c>
      <c r="D16" s="248"/>
      <c r="E16" s="270">
        <f>+E15+E14+E6+E7</f>
        <v>0</v>
      </c>
      <c r="F16" s="270">
        <f>+F15+F14+F6+F7</f>
        <v>0</v>
      </c>
      <c r="G16" s="271">
        <f>F16-E16</f>
        <v>0</v>
      </c>
      <c r="H16" s="272" t="str">
        <f>IFERROR(G16/E16,"")</f>
        <v/>
      </c>
      <c r="I16" s="267"/>
      <c r="J16" s="253"/>
    </row>
    <row r="17" spans="1:12" s="216" customFormat="1" ht="40.5" customHeight="1">
      <c r="A17" s="245"/>
      <c r="B17" s="273"/>
      <c r="C17" s="269" t="s">
        <v>339</v>
      </c>
      <c r="D17" s="248"/>
      <c r="E17" s="272">
        <f>+'급여 요약'!U7</f>
        <v>0</v>
      </c>
      <c r="F17" s="274">
        <f>+'급여 요약'!U25</f>
        <v>0</v>
      </c>
      <c r="G17" s="274">
        <f>F17-E17</f>
        <v>0</v>
      </c>
      <c r="H17" s="274" t="str">
        <f t="shared" si="1"/>
        <v/>
      </c>
      <c r="I17" s="267"/>
      <c r="J17" s="253"/>
    </row>
    <row r="18" spans="1:12" s="216" customFormat="1" ht="40.5" customHeight="1">
      <c r="A18" s="245"/>
      <c r="B18" s="275" t="s">
        <v>340</v>
      </c>
      <c r="C18" s="247" t="s">
        <v>333</v>
      </c>
      <c r="D18" s="248"/>
      <c r="E18" s="249">
        <f>+E6</f>
        <v>0</v>
      </c>
      <c r="F18" s="249">
        <f>+F6</f>
        <v>0</v>
      </c>
      <c r="G18" s="250">
        <f t="shared" ref="G18:G33" si="2">F18-E18</f>
        <v>0</v>
      </c>
      <c r="H18" s="251" t="str">
        <f t="shared" si="1"/>
        <v/>
      </c>
      <c r="I18" s="267"/>
      <c r="J18" s="253"/>
    </row>
    <row r="19" spans="1:12" s="216" customFormat="1" ht="40.5" hidden="1" customHeight="1">
      <c r="A19" s="245"/>
      <c r="B19" s="276"/>
      <c r="C19" s="247" t="s">
        <v>334</v>
      </c>
      <c r="D19" s="248"/>
      <c r="E19" s="249">
        <f>+E7</f>
        <v>0</v>
      </c>
      <c r="F19" s="249">
        <f>F7</f>
        <v>0</v>
      </c>
      <c r="G19" s="250">
        <f t="shared" si="2"/>
        <v>0</v>
      </c>
      <c r="H19" s="251" t="str">
        <f t="shared" si="1"/>
        <v/>
      </c>
      <c r="I19" s="267"/>
      <c r="J19" s="253"/>
    </row>
    <row r="20" spans="1:12" s="216" customFormat="1" ht="45.75" customHeight="1">
      <c r="A20" s="245"/>
      <c r="B20" s="277"/>
      <c r="C20" s="255" t="s">
        <v>335</v>
      </c>
      <c r="D20" s="256">
        <v>1.5</v>
      </c>
      <c r="E20" s="249">
        <f>+E8*1.5</f>
        <v>0</v>
      </c>
      <c r="F20" s="249">
        <f>+F8*1.5</f>
        <v>0</v>
      </c>
      <c r="G20" s="250">
        <f>F20-E20</f>
        <v>0</v>
      </c>
      <c r="H20" s="257" t="str">
        <f t="shared" si="1"/>
        <v/>
      </c>
      <c r="I20" s="260"/>
      <c r="J20" s="253"/>
    </row>
    <row r="21" spans="1:12" s="216" customFormat="1" ht="45.75" customHeight="1">
      <c r="A21" s="245"/>
      <c r="B21" s="277"/>
      <c r="C21" s="259"/>
      <c r="D21" s="256">
        <v>2</v>
      </c>
      <c r="E21" s="249">
        <f>+E9*2</f>
        <v>0</v>
      </c>
      <c r="F21" s="249">
        <f>+F9*2</f>
        <v>0</v>
      </c>
      <c r="G21" s="250">
        <f>F21-E21</f>
        <v>0</v>
      </c>
      <c r="H21" s="257" t="str">
        <f>IFERROR(G21/E21,"")</f>
        <v/>
      </c>
      <c r="I21" s="261"/>
      <c r="J21" s="253"/>
    </row>
    <row r="22" spans="1:12" s="216" customFormat="1" ht="60.75" customHeight="1">
      <c r="A22" s="245"/>
      <c r="B22" s="277"/>
      <c r="C22" s="259"/>
      <c r="D22" s="256">
        <v>2.1</v>
      </c>
      <c r="E22" s="249">
        <f>+E10*2.1</f>
        <v>0</v>
      </c>
      <c r="F22" s="249">
        <f>+F10*2.1</f>
        <v>0</v>
      </c>
      <c r="G22" s="250">
        <f t="shared" ref="G22:G26" si="3">F22-E22</f>
        <v>0</v>
      </c>
      <c r="H22" s="257" t="str">
        <f t="shared" si="1"/>
        <v/>
      </c>
      <c r="I22" s="261"/>
      <c r="J22" s="253"/>
    </row>
    <row r="23" spans="1:12" s="216" customFormat="1" ht="68.25" customHeight="1">
      <c r="A23" s="245"/>
      <c r="B23" s="277"/>
      <c r="C23" s="259"/>
      <c r="D23" s="256">
        <v>2.7</v>
      </c>
      <c r="E23" s="249">
        <f>+E11*2.7</f>
        <v>0</v>
      </c>
      <c r="F23" s="249">
        <f>+F11*2.7</f>
        <v>0</v>
      </c>
      <c r="G23" s="250">
        <f t="shared" si="3"/>
        <v>0</v>
      </c>
      <c r="H23" s="257" t="str">
        <f t="shared" si="1"/>
        <v/>
      </c>
      <c r="I23" s="263"/>
      <c r="J23" s="253"/>
    </row>
    <row r="24" spans="1:12" s="216" customFormat="1" ht="40.5" customHeight="1">
      <c r="A24" s="245"/>
      <c r="B24" s="277"/>
      <c r="C24" s="262"/>
      <c r="D24" s="256">
        <v>3</v>
      </c>
      <c r="E24" s="249">
        <f>+E12*3</f>
        <v>0</v>
      </c>
      <c r="F24" s="249">
        <f>+F12*3</f>
        <v>0</v>
      </c>
      <c r="G24" s="250">
        <f t="shared" si="3"/>
        <v>0</v>
      </c>
      <c r="H24" s="257" t="str">
        <f t="shared" si="1"/>
        <v/>
      </c>
      <c r="I24" s="267"/>
      <c r="J24" s="253"/>
    </row>
    <row r="25" spans="1:12" s="216" customFormat="1" ht="40.5" customHeight="1">
      <c r="A25" s="245"/>
      <c r="B25" s="277"/>
      <c r="C25" s="262"/>
      <c r="D25" s="256">
        <v>3.9</v>
      </c>
      <c r="E25" s="249">
        <f>+E13*3.9</f>
        <v>0</v>
      </c>
      <c r="F25" s="249">
        <f>+F13*3.9</f>
        <v>0</v>
      </c>
      <c r="G25" s="250">
        <f t="shared" si="3"/>
        <v>0</v>
      </c>
      <c r="H25" s="257" t="str">
        <f t="shared" si="1"/>
        <v/>
      </c>
      <c r="I25" s="267"/>
      <c r="J25" s="253"/>
    </row>
    <row r="26" spans="1:12" s="216" customFormat="1" ht="40.5" customHeight="1">
      <c r="A26" s="245"/>
      <c r="B26" s="277"/>
      <c r="C26" s="265"/>
      <c r="D26" s="266" t="s">
        <v>38</v>
      </c>
      <c r="E26" s="249">
        <f>SUM(E20:E25)</f>
        <v>0</v>
      </c>
      <c r="F26" s="249">
        <f>SUM(F20:F25)</f>
        <v>0</v>
      </c>
      <c r="G26" s="250">
        <f t="shared" si="3"/>
        <v>0</v>
      </c>
      <c r="H26" s="257" t="str">
        <f t="shared" si="1"/>
        <v/>
      </c>
      <c r="I26" s="267"/>
      <c r="J26" s="253"/>
    </row>
    <row r="27" spans="1:12" s="216" customFormat="1" ht="40.5" customHeight="1">
      <c r="A27" s="245"/>
      <c r="B27" s="278"/>
      <c r="C27" s="268" t="s">
        <v>337</v>
      </c>
      <c r="D27" s="266">
        <v>0.3</v>
      </c>
      <c r="E27" s="249">
        <f>+E15</f>
        <v>0</v>
      </c>
      <c r="F27" s="249">
        <f>+F15</f>
        <v>0</v>
      </c>
      <c r="G27" s="250">
        <f t="shared" si="2"/>
        <v>0</v>
      </c>
      <c r="H27" s="257" t="str">
        <f t="shared" si="1"/>
        <v/>
      </c>
      <c r="I27" s="252"/>
      <c r="J27" s="253"/>
    </row>
    <row r="28" spans="1:12" s="216" customFormat="1" ht="40.5" customHeight="1">
      <c r="A28" s="245"/>
      <c r="B28" s="279"/>
      <c r="C28" s="269" t="s">
        <v>338</v>
      </c>
      <c r="D28" s="248"/>
      <c r="E28" s="249">
        <f>+E27+E26+E18+E19</f>
        <v>0</v>
      </c>
      <c r="F28" s="249">
        <f>+F27+F26+F18+F19</f>
        <v>0</v>
      </c>
      <c r="G28" s="250">
        <f>F28-E28</f>
        <v>0</v>
      </c>
      <c r="H28" s="274" t="str">
        <f t="shared" si="1"/>
        <v/>
      </c>
      <c r="J28" s="253"/>
      <c r="K28" s="280"/>
    </row>
    <row r="29" spans="1:12" s="216" customFormat="1" ht="40.5" customHeight="1">
      <c r="A29" s="245"/>
      <c r="B29" s="281" t="s">
        <v>341</v>
      </c>
      <c r="C29" s="247" t="str">
        <f>C18</f>
        <v>Normal</v>
      </c>
      <c r="D29" s="248"/>
      <c r="E29" s="249">
        <f>+E34-E33-E31-E30</f>
        <v>0</v>
      </c>
      <c r="F29" s="249">
        <f>+F34-F33-F31-F30-F32</f>
        <v>0</v>
      </c>
      <c r="G29" s="250">
        <f t="shared" si="2"/>
        <v>0</v>
      </c>
      <c r="H29" s="257" t="str">
        <f t="shared" si="1"/>
        <v/>
      </c>
      <c r="I29" s="267"/>
      <c r="J29" s="253"/>
      <c r="L29" s="282"/>
    </row>
    <row r="30" spans="1:12" s="216" customFormat="1" ht="40.5" customHeight="1">
      <c r="A30" s="245"/>
      <c r="B30" s="283"/>
      <c r="C30" s="247" t="str">
        <f>C20</f>
        <v>O/T</v>
      </c>
      <c r="D30" s="248"/>
      <c r="E30" s="249">
        <f>+('급여 요약'!W7+'급여 요약'!W8)/1000</f>
        <v>0</v>
      </c>
      <c r="F30" s="249">
        <f>+('급여 요약'!W25+'급여 요약'!W26)/1000</f>
        <v>0</v>
      </c>
      <c r="G30" s="250">
        <f t="shared" si="2"/>
        <v>0</v>
      </c>
      <c r="H30" s="257" t="str">
        <f t="shared" si="1"/>
        <v/>
      </c>
      <c r="I30" s="284"/>
      <c r="J30" s="253"/>
      <c r="L30" s="217"/>
    </row>
    <row r="31" spans="1:12" s="216" customFormat="1" ht="40.5" hidden="1" customHeight="1">
      <c r="A31" s="245"/>
      <c r="B31" s="283"/>
      <c r="C31" s="247" t="s">
        <v>287</v>
      </c>
      <c r="D31" s="248"/>
      <c r="E31" s="249">
        <f>+('급여 요약'!Y7+'급여 요약'!Y8)/1000</f>
        <v>0</v>
      </c>
      <c r="F31" s="249">
        <f>('급여 요약'!Y25+'급여 요약'!Y26+'급여 요약'!Z25+'급여 요약'!Z26)/1000</f>
        <v>0</v>
      </c>
      <c r="G31" s="250">
        <f t="shared" si="2"/>
        <v>0</v>
      </c>
      <c r="H31" s="257" t="str">
        <f t="shared" si="1"/>
        <v/>
      </c>
      <c r="I31" s="267"/>
      <c r="J31" s="253"/>
    </row>
    <row r="32" spans="1:12" s="216" customFormat="1" ht="40.5" hidden="1" customHeight="1">
      <c r="A32" s="245"/>
      <c r="B32" s="283"/>
      <c r="C32" s="247" t="s">
        <v>342</v>
      </c>
      <c r="D32" s="248"/>
      <c r="E32" s="249">
        <v>0</v>
      </c>
      <c r="F32" s="249">
        <f>+'급여 요약'!X25/1000</f>
        <v>0</v>
      </c>
      <c r="G32" s="250">
        <f t="shared" si="2"/>
        <v>0</v>
      </c>
      <c r="H32" s="257" t="str">
        <f t="shared" si="1"/>
        <v/>
      </c>
      <c r="I32" s="267"/>
      <c r="J32" s="253"/>
    </row>
    <row r="33" spans="1:10" s="216" customFormat="1" ht="40.5" customHeight="1">
      <c r="A33" s="245"/>
      <c r="B33" s="283"/>
      <c r="C33" s="247" t="str">
        <f>C27</f>
        <v>Night shift</v>
      </c>
      <c r="D33" s="248"/>
      <c r="E33" s="249">
        <f>+('급여 요약'!V7+'급여 요약'!V8)/1000</f>
        <v>0</v>
      </c>
      <c r="F33" s="249">
        <f>+('급여 요약'!V26+'급여 요약'!V25)/1000</f>
        <v>0</v>
      </c>
      <c r="G33" s="250">
        <f t="shared" si="2"/>
        <v>0</v>
      </c>
      <c r="H33" s="257" t="str">
        <f t="shared" si="1"/>
        <v/>
      </c>
      <c r="I33" s="267"/>
      <c r="J33" s="253"/>
    </row>
    <row r="34" spans="1:10" s="216" customFormat="1" ht="40.5" customHeight="1" thickBot="1">
      <c r="A34" s="228"/>
      <c r="B34" s="228"/>
      <c r="C34" s="285" t="str">
        <f>C28</f>
        <v>Total</v>
      </c>
      <c r="D34" s="286"/>
      <c r="E34" s="287">
        <f>+('급여 요약'!AA7+'급여 요약'!AA8)/1000</f>
        <v>0</v>
      </c>
      <c r="F34" s="287">
        <f>+('급여 요약'!AA25+'급여 요약'!AA26)/1000</f>
        <v>0</v>
      </c>
      <c r="G34" s="288">
        <f>F34-E34</f>
        <v>0</v>
      </c>
      <c r="H34" s="289" t="str">
        <f>IFERROR(G34/E34,"")</f>
        <v/>
      </c>
      <c r="I34" s="234"/>
      <c r="J34" s="290"/>
    </row>
    <row r="35" spans="1:10" s="216" customFormat="1" ht="14.25">
      <c r="D35" s="217"/>
      <c r="E35" s="217"/>
      <c r="G35" s="218"/>
    </row>
    <row r="36" spans="1:10" s="216" customFormat="1" ht="14.25">
      <c r="D36" s="217"/>
      <c r="E36" s="291">
        <f>+Sum!V15</f>
        <v>0</v>
      </c>
      <c r="F36" s="292">
        <f>+Sum!V45</f>
        <v>0</v>
      </c>
      <c r="G36" s="218"/>
    </row>
    <row r="37" spans="1:10" s="216" customFormat="1" ht="14.25">
      <c r="D37" s="217"/>
      <c r="E37" s="217"/>
      <c r="F37" s="282"/>
      <c r="G37" s="218"/>
    </row>
    <row r="38" spans="1:10" s="216" customFormat="1" ht="14.25">
      <c r="D38" s="217"/>
      <c r="E38" s="217">
        <f>+E36/1000-E34</f>
        <v>0</v>
      </c>
      <c r="F38" s="217">
        <f>+F36/1000-F34</f>
        <v>0</v>
      </c>
      <c r="G38" s="218"/>
    </row>
    <row r="39" spans="1:10" s="216" customFormat="1" ht="14.25">
      <c r="D39" s="217"/>
      <c r="E39" s="217"/>
      <c r="G39" s="218"/>
    </row>
    <row r="40" spans="1:10" s="216" customFormat="1" ht="14.25">
      <c r="D40" s="217"/>
      <c r="E40" s="217"/>
      <c r="G40" s="218"/>
    </row>
    <row r="41" spans="1:10" ht="14.25">
      <c r="A41" s="216"/>
      <c r="B41" s="216"/>
      <c r="C41" s="216"/>
      <c r="D41" s="217"/>
      <c r="E41" s="217"/>
      <c r="F41" s="216"/>
      <c r="G41" s="218"/>
      <c r="H41" s="216"/>
      <c r="I41" s="216"/>
      <c r="J41" s="216"/>
    </row>
    <row r="42" spans="1:10" ht="14.25">
      <c r="A42" s="216"/>
      <c r="B42" s="216"/>
      <c r="C42" s="216"/>
      <c r="D42" s="217"/>
      <c r="E42" s="217"/>
      <c r="F42" s="216"/>
      <c r="G42" s="218"/>
      <c r="H42" s="216"/>
      <c r="I42" s="216"/>
      <c r="J42" s="216"/>
    </row>
    <row r="43" spans="1:10" ht="14.25">
      <c r="A43" s="216"/>
      <c r="B43" s="216"/>
      <c r="C43" s="216"/>
      <c r="D43" s="217"/>
      <c r="E43" s="217"/>
      <c r="F43" s="216"/>
      <c r="G43" s="218"/>
      <c r="H43" s="216"/>
      <c r="I43" s="216"/>
      <c r="J43" s="216"/>
    </row>
  </sheetData>
  <mergeCells count="26">
    <mergeCell ref="C28:D28"/>
    <mergeCell ref="B29:B34"/>
    <mergeCell ref="C29:D29"/>
    <mergeCell ref="C30:D30"/>
    <mergeCell ref="C31:D31"/>
    <mergeCell ref="C32:D32"/>
    <mergeCell ref="C33:D33"/>
    <mergeCell ref="C34:D34"/>
    <mergeCell ref="I9:I12"/>
    <mergeCell ref="C16:D16"/>
    <mergeCell ref="C17:D17"/>
    <mergeCell ref="B18:B26"/>
    <mergeCell ref="C18:D18"/>
    <mergeCell ref="C19:D19"/>
    <mergeCell ref="C20:C23"/>
    <mergeCell ref="I20:I23"/>
    <mergeCell ref="B3:D4"/>
    <mergeCell ref="E3:H3"/>
    <mergeCell ref="I3:I4"/>
    <mergeCell ref="J3:J4"/>
    <mergeCell ref="A5:A34"/>
    <mergeCell ref="B5:D5"/>
    <mergeCell ref="B6:B17"/>
    <mergeCell ref="C6:D6"/>
    <mergeCell ref="C7:D7"/>
    <mergeCell ref="C8:C11"/>
  </mergeCells>
  <pageMargins left="0.56000000000000005" right="0.3" top="0.51" bottom="0.18" header="0.31496062992126" footer="0.31496062992126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D52B-F540-4B05-953D-17F62656ACA3}">
  <sheetPr>
    <tabColor theme="5" tint="0.39997558519241921"/>
    <pageSetUpPr fitToPage="1"/>
  </sheetPr>
  <dimension ref="A1:L52"/>
  <sheetViews>
    <sheetView showGridLines="0" topLeftCell="B1" zoomScale="85" zoomScaleNormal="85" workbookViewId="0">
      <selection activeCell="E1" sqref="E1"/>
    </sheetView>
  </sheetViews>
  <sheetFormatPr defaultColWidth="8.7109375" defaultRowHeight="13.5"/>
  <cols>
    <col min="1" max="1" width="6.5703125" style="293" hidden="1" customWidth="1"/>
    <col min="2" max="2" width="12" style="293" customWidth="1"/>
    <col min="3" max="3" width="14.7109375" style="293" customWidth="1"/>
    <col min="4" max="7" width="16.7109375" style="293" customWidth="1"/>
    <col min="8" max="8" width="10.140625" style="293" customWidth="1"/>
    <col min="9" max="9" width="45.5703125" style="293" customWidth="1"/>
    <col min="10" max="10" width="11.140625" style="293" customWidth="1"/>
    <col min="11" max="11" width="14.42578125" style="293" customWidth="1"/>
    <col min="12" max="12" width="12.42578125" style="293" bestFit="1" customWidth="1"/>
    <col min="13" max="16384" width="8.7109375" style="293"/>
  </cols>
  <sheetData>
    <row r="1" spans="1:11" s="213" customFormat="1" ht="27" customHeight="1">
      <c r="B1" s="213" t="s">
        <v>343</v>
      </c>
      <c r="D1" s="214"/>
      <c r="E1" s="214"/>
      <c r="G1" s="215"/>
    </row>
    <row r="2" spans="1:11" s="216" customFormat="1" ht="18.600000000000001" customHeight="1" thickBot="1">
      <c r="D2" s="217"/>
      <c r="E2" s="217"/>
      <c r="G2" s="218"/>
      <c r="J2" s="219" t="s">
        <v>323</v>
      </c>
    </row>
    <row r="3" spans="1:11" s="216" customFormat="1" ht="31.9" customHeight="1">
      <c r="B3" s="220" t="s">
        <v>344</v>
      </c>
      <c r="C3" s="221"/>
      <c r="D3" s="222"/>
      <c r="E3" s="223" t="str">
        <f>UPPER(TEXT(Sheet1!A1*28,"MMM"))</f>
        <v>JAN</v>
      </c>
      <c r="F3" s="223"/>
      <c r="G3" s="223"/>
      <c r="H3" s="224"/>
      <c r="I3" s="294" t="s">
        <v>325</v>
      </c>
      <c r="J3" s="226" t="s">
        <v>326</v>
      </c>
    </row>
    <row r="4" spans="1:11" s="216" customFormat="1" ht="27.6" customHeight="1" thickBot="1">
      <c r="A4" s="227"/>
      <c r="B4" s="228"/>
      <c r="C4" s="229"/>
      <c r="D4" s="230"/>
      <c r="E4" s="231" t="s">
        <v>327</v>
      </c>
      <c r="F4" s="232" t="s">
        <v>269</v>
      </c>
      <c r="G4" s="233" t="s">
        <v>328</v>
      </c>
      <c r="H4" s="295" t="s">
        <v>329</v>
      </c>
      <c r="I4" s="296"/>
      <c r="J4" s="236"/>
    </row>
    <row r="5" spans="1:11" s="216" customFormat="1" ht="35.25" customHeight="1">
      <c r="A5" s="220" t="s">
        <v>330</v>
      </c>
      <c r="B5" s="237" t="s">
        <v>331</v>
      </c>
      <c r="C5" s="238"/>
      <c r="D5" s="239"/>
      <c r="E5" s="240" t="e">
        <f>+Sum!C10+Sum!C11</f>
        <v>#VALUE!</v>
      </c>
      <c r="F5" s="240" t="e">
        <f>+Sum!C28+Sum!C29</f>
        <v>#VALUE!</v>
      </c>
      <c r="G5" s="241" t="e">
        <f>F5-E5</f>
        <v>#VALUE!</v>
      </c>
      <c r="H5" s="242" t="str">
        <f>IFERROR(G5/E5,"")</f>
        <v/>
      </c>
      <c r="I5" s="243"/>
      <c r="J5" s="244"/>
    </row>
    <row r="6" spans="1:11" s="216" customFormat="1" ht="35.25" customHeight="1">
      <c r="A6" s="245"/>
      <c r="B6" s="246" t="s">
        <v>332</v>
      </c>
      <c r="C6" s="247" t="s">
        <v>333</v>
      </c>
      <c r="D6" s="248"/>
      <c r="E6" s="249" t="e">
        <f>+Sum!D10+Sum!D11</f>
        <v>#VALUE!</v>
      </c>
      <c r="F6" s="249" t="e">
        <f>+Sum!D28+Sum!D29</f>
        <v>#VALUE!</v>
      </c>
      <c r="G6" s="250" t="e">
        <f t="shared" ref="G6:G15" si="0">F6-E6</f>
        <v>#VALUE!</v>
      </c>
      <c r="H6" s="251" t="str">
        <f t="shared" ref="H6:H34" si="1">IFERROR(G6/E6,"")</f>
        <v/>
      </c>
      <c r="I6" s="252"/>
      <c r="J6" s="253"/>
      <c r="K6" s="297"/>
    </row>
    <row r="7" spans="1:11" s="216" customFormat="1" ht="35.25" customHeight="1">
      <c r="A7" s="245"/>
      <c r="B7" s="254"/>
      <c r="C7" s="247" t="s">
        <v>334</v>
      </c>
      <c r="D7" s="248"/>
      <c r="E7" s="249">
        <f>+Sum!P10*8</f>
        <v>0</v>
      </c>
      <c r="F7" s="249">
        <f>+Sum!P28*8</f>
        <v>0</v>
      </c>
      <c r="G7" s="250">
        <f t="shared" si="0"/>
        <v>0</v>
      </c>
      <c r="H7" s="251" t="str">
        <f t="shared" si="1"/>
        <v/>
      </c>
      <c r="I7" s="252"/>
      <c r="J7" s="253"/>
      <c r="K7" s="297"/>
    </row>
    <row r="8" spans="1:11" s="216" customFormat="1" ht="45" customHeight="1">
      <c r="A8" s="245"/>
      <c r="B8" s="254"/>
      <c r="C8" s="255" t="s">
        <v>335</v>
      </c>
      <c r="D8" s="256">
        <v>1.5</v>
      </c>
      <c r="E8" s="249">
        <f>+Sum!F10+Sum!F11</f>
        <v>0</v>
      </c>
      <c r="F8" s="249" t="e">
        <f>+Sum!F28+Sum!F29</f>
        <v>#VALUE!</v>
      </c>
      <c r="G8" s="250" t="e">
        <f t="shared" si="0"/>
        <v>#VALUE!</v>
      </c>
      <c r="H8" s="257" t="str">
        <f t="shared" si="1"/>
        <v/>
      </c>
      <c r="I8" s="298"/>
      <c r="J8" s="253"/>
      <c r="K8" s="297"/>
    </row>
    <row r="9" spans="1:11" s="216" customFormat="1" ht="45" customHeight="1">
      <c r="A9" s="245"/>
      <c r="B9" s="254"/>
      <c r="C9" s="259"/>
      <c r="D9" s="256">
        <v>2</v>
      </c>
      <c r="E9" s="249">
        <f>+Sum!G10+Sum!G11</f>
        <v>0</v>
      </c>
      <c r="F9" s="249" t="e">
        <f>+Sum!G28+Sum!G29</f>
        <v>#VALUE!</v>
      </c>
      <c r="G9" s="250" t="e">
        <f t="shared" si="0"/>
        <v>#VALUE!</v>
      </c>
      <c r="H9" s="257" t="str">
        <f t="shared" si="1"/>
        <v/>
      </c>
      <c r="I9" s="299"/>
      <c r="J9" s="253"/>
    </row>
    <row r="10" spans="1:11" s="216" customFormat="1" ht="35.25" customHeight="1">
      <c r="A10" s="245"/>
      <c r="B10" s="254"/>
      <c r="C10" s="259"/>
      <c r="D10" s="256">
        <v>2.1</v>
      </c>
      <c r="E10" s="249">
        <f>+Sum!H10+Sum!H11</f>
        <v>0</v>
      </c>
      <c r="F10" s="249" t="e">
        <f>+Sum!H28+Sum!H29</f>
        <v>#VALUE!</v>
      </c>
      <c r="G10" s="250" t="e">
        <f>F10-E10</f>
        <v>#VALUE!</v>
      </c>
      <c r="H10" s="257" t="str">
        <f t="shared" si="1"/>
        <v/>
      </c>
      <c r="I10" s="299"/>
      <c r="J10" s="253"/>
    </row>
    <row r="11" spans="1:11" s="216" customFormat="1" ht="35.25" customHeight="1">
      <c r="A11" s="245"/>
      <c r="B11" s="254"/>
      <c r="C11" s="259"/>
      <c r="D11" s="256">
        <v>2.7</v>
      </c>
      <c r="E11" s="249">
        <f>+Sum!I10+Sum!I11</f>
        <v>0</v>
      </c>
      <c r="F11" s="249" t="e">
        <f>+Sum!I28+Sum!I29</f>
        <v>#VALUE!</v>
      </c>
      <c r="G11" s="250" t="e">
        <f t="shared" si="0"/>
        <v>#VALUE!</v>
      </c>
      <c r="H11" s="257" t="str">
        <f t="shared" si="1"/>
        <v/>
      </c>
      <c r="I11" s="299"/>
      <c r="J11" s="253"/>
    </row>
    <row r="12" spans="1:11" s="216" customFormat="1" ht="35.25" customHeight="1">
      <c r="A12" s="245"/>
      <c r="B12" s="254"/>
      <c r="C12" s="262"/>
      <c r="D12" s="256">
        <v>3</v>
      </c>
      <c r="E12" s="249">
        <f>+Sum!J10</f>
        <v>0</v>
      </c>
      <c r="F12" s="249">
        <f>+Sum!J28</f>
        <v>0</v>
      </c>
      <c r="G12" s="250">
        <f t="shared" si="0"/>
        <v>0</v>
      </c>
      <c r="H12" s="257" t="str">
        <f t="shared" si="1"/>
        <v/>
      </c>
      <c r="I12" s="299"/>
      <c r="J12" s="253"/>
    </row>
    <row r="13" spans="1:11" s="216" customFormat="1" ht="35.25" customHeight="1">
      <c r="A13" s="245"/>
      <c r="B13" s="254"/>
      <c r="C13" s="262"/>
      <c r="D13" s="256">
        <v>3.9</v>
      </c>
      <c r="E13" s="249">
        <f>+Sum!K10</f>
        <v>0</v>
      </c>
      <c r="F13" s="249" t="str">
        <f>+Sum!K28</f>
        <v>Total actual working day</v>
      </c>
      <c r="G13" s="250" t="e">
        <f t="shared" si="0"/>
        <v>#VALUE!</v>
      </c>
      <c r="H13" s="257" t="str">
        <f t="shared" si="1"/>
        <v/>
      </c>
      <c r="I13" s="299"/>
      <c r="J13" s="253"/>
    </row>
    <row r="14" spans="1:11" s="216" customFormat="1" ht="35.25" customHeight="1">
      <c r="A14" s="245"/>
      <c r="B14" s="254"/>
      <c r="C14" s="265"/>
      <c r="D14" s="266" t="s">
        <v>38</v>
      </c>
      <c r="E14" s="249">
        <f>SUM(E8:E13)</f>
        <v>0</v>
      </c>
      <c r="F14" s="249" t="e">
        <f>SUM(F8:F13)</f>
        <v>#VALUE!</v>
      </c>
      <c r="G14" s="249" t="e">
        <f>SUM(G8:G11)</f>
        <v>#VALUE!</v>
      </c>
      <c r="H14" s="257" t="str">
        <f t="shared" si="1"/>
        <v/>
      </c>
      <c r="I14" s="267"/>
      <c r="J14" s="253"/>
    </row>
    <row r="15" spans="1:11" s="216" customFormat="1" ht="35.25" customHeight="1">
      <c r="A15" s="245"/>
      <c r="B15" s="254"/>
      <c r="C15" s="268" t="s">
        <v>337</v>
      </c>
      <c r="D15" s="266">
        <v>0.3</v>
      </c>
      <c r="E15" s="249" t="e">
        <f>+Sum!E10+Sum!E11</f>
        <v>#VALUE!</v>
      </c>
      <c r="F15" s="249" t="e">
        <f>+Sum!E28+Sum!E29</f>
        <v>#VALUE!</v>
      </c>
      <c r="G15" s="250" t="e">
        <f t="shared" si="0"/>
        <v>#VALUE!</v>
      </c>
      <c r="H15" s="257" t="str">
        <f t="shared" si="1"/>
        <v/>
      </c>
      <c r="I15" s="267"/>
      <c r="J15" s="253"/>
      <c r="K15" s="280"/>
    </row>
    <row r="16" spans="1:11" s="216" customFormat="1" ht="35.25" customHeight="1">
      <c r="A16" s="245"/>
      <c r="B16" s="254"/>
      <c r="C16" s="269" t="s">
        <v>338</v>
      </c>
      <c r="D16" s="248"/>
      <c r="E16" s="270" t="e">
        <f>+E15+E14+E6+E7</f>
        <v>#VALUE!</v>
      </c>
      <c r="F16" s="270" t="e">
        <f>+F15+F14+F6+F7</f>
        <v>#VALUE!</v>
      </c>
      <c r="G16" s="271" t="e">
        <f>F16-E16</f>
        <v>#VALUE!</v>
      </c>
      <c r="H16" s="272" t="str">
        <f t="shared" si="1"/>
        <v/>
      </c>
      <c r="I16" s="267"/>
      <c r="J16" s="253"/>
    </row>
    <row r="17" spans="1:12" s="216" customFormat="1" ht="35.25" customHeight="1">
      <c r="A17" s="245"/>
      <c r="B17" s="273"/>
      <c r="C17" s="269" t="s">
        <v>339</v>
      </c>
      <c r="D17" s="248"/>
      <c r="E17" s="272">
        <f>+Sum!U10</f>
        <v>0</v>
      </c>
      <c r="F17" s="272">
        <f>+Sum!U28</f>
        <v>0</v>
      </c>
      <c r="G17" s="272">
        <f>F17-E17</f>
        <v>0</v>
      </c>
      <c r="H17" s="272" t="str">
        <f>IFERROR(G17/E17,"")</f>
        <v/>
      </c>
      <c r="I17" s="267"/>
      <c r="J17" s="253"/>
    </row>
    <row r="18" spans="1:12" s="216" customFormat="1" ht="35.25" customHeight="1">
      <c r="A18" s="245"/>
      <c r="B18" s="275" t="s">
        <v>340</v>
      </c>
      <c r="C18" s="247" t="s">
        <v>333</v>
      </c>
      <c r="D18" s="248"/>
      <c r="E18" s="249" t="e">
        <f>+E6</f>
        <v>#VALUE!</v>
      </c>
      <c r="F18" s="249" t="e">
        <f>+F6</f>
        <v>#VALUE!</v>
      </c>
      <c r="G18" s="250" t="e">
        <f t="shared" ref="G18:G43" si="2">F18-E18</f>
        <v>#VALUE!</v>
      </c>
      <c r="H18" s="251" t="str">
        <f t="shared" si="1"/>
        <v/>
      </c>
      <c r="I18" s="298"/>
      <c r="J18" s="253"/>
    </row>
    <row r="19" spans="1:12" s="216" customFormat="1" ht="35.25" hidden="1" customHeight="1">
      <c r="A19" s="245"/>
      <c r="B19" s="276"/>
      <c r="C19" s="247" t="s">
        <v>334</v>
      </c>
      <c r="D19" s="248"/>
      <c r="E19" s="249">
        <f>+E7</f>
        <v>0</v>
      </c>
      <c r="F19" s="249">
        <f>+F7</f>
        <v>0</v>
      </c>
      <c r="G19" s="250">
        <f t="shared" si="2"/>
        <v>0</v>
      </c>
      <c r="H19" s="251" t="str">
        <f t="shared" si="1"/>
        <v/>
      </c>
      <c r="I19" s="299"/>
      <c r="J19" s="253"/>
    </row>
    <row r="20" spans="1:12" s="216" customFormat="1" ht="35.25" customHeight="1">
      <c r="A20" s="245"/>
      <c r="B20" s="277"/>
      <c r="C20" s="255" t="s">
        <v>335</v>
      </c>
      <c r="D20" s="256">
        <v>1.5</v>
      </c>
      <c r="E20" s="249">
        <f>+E8*1.5</f>
        <v>0</v>
      </c>
      <c r="F20" s="249" t="e">
        <f>+F8*1.5</f>
        <v>#VALUE!</v>
      </c>
      <c r="G20" s="250" t="e">
        <f>F20-E20</f>
        <v>#VALUE!</v>
      </c>
      <c r="H20" s="257" t="str">
        <f t="shared" si="1"/>
        <v/>
      </c>
      <c r="I20" s="299"/>
      <c r="J20" s="253"/>
    </row>
    <row r="21" spans="1:12" s="216" customFormat="1" ht="45" customHeight="1">
      <c r="A21" s="245"/>
      <c r="B21" s="277"/>
      <c r="C21" s="259"/>
      <c r="D21" s="256">
        <v>2</v>
      </c>
      <c r="E21" s="249">
        <f>+E9*2</f>
        <v>0</v>
      </c>
      <c r="F21" s="249" t="e">
        <f>+F9*2</f>
        <v>#VALUE!</v>
      </c>
      <c r="G21" s="250" t="e">
        <f t="shared" ref="G21:G26" si="3">F21-E21</f>
        <v>#VALUE!</v>
      </c>
      <c r="H21" s="251" t="str">
        <f t="shared" si="1"/>
        <v/>
      </c>
      <c r="I21" s="299"/>
      <c r="J21" s="253"/>
    </row>
    <row r="22" spans="1:12" s="216" customFormat="1" ht="35.25" customHeight="1">
      <c r="A22" s="245"/>
      <c r="B22" s="277"/>
      <c r="C22" s="259"/>
      <c r="D22" s="256">
        <v>2.1</v>
      </c>
      <c r="E22" s="249">
        <f>+E10*2.1</f>
        <v>0</v>
      </c>
      <c r="F22" s="249" t="e">
        <f>+F10*2.1</f>
        <v>#VALUE!</v>
      </c>
      <c r="G22" s="250" t="e">
        <f t="shared" si="3"/>
        <v>#VALUE!</v>
      </c>
      <c r="H22" s="257" t="str">
        <f t="shared" si="1"/>
        <v/>
      </c>
      <c r="I22" s="299"/>
      <c r="J22" s="253"/>
    </row>
    <row r="23" spans="1:12" s="216" customFormat="1" ht="35.25" customHeight="1">
      <c r="A23" s="245"/>
      <c r="B23" s="277"/>
      <c r="C23" s="259"/>
      <c r="D23" s="256">
        <v>2.7</v>
      </c>
      <c r="E23" s="249">
        <f>+E11*2.7</f>
        <v>0</v>
      </c>
      <c r="F23" s="249" t="e">
        <f>+F11*2.7</f>
        <v>#VALUE!</v>
      </c>
      <c r="G23" s="250" t="e">
        <f t="shared" si="3"/>
        <v>#VALUE!</v>
      </c>
      <c r="H23" s="257" t="str">
        <f t="shared" si="1"/>
        <v/>
      </c>
      <c r="I23" s="299"/>
      <c r="J23" s="253"/>
    </row>
    <row r="24" spans="1:12" s="216" customFormat="1" ht="35.25" customHeight="1">
      <c r="A24" s="245"/>
      <c r="B24" s="277"/>
      <c r="C24" s="262"/>
      <c r="D24" s="256">
        <v>3</v>
      </c>
      <c r="E24" s="249">
        <f>+E12*3</f>
        <v>0</v>
      </c>
      <c r="F24" s="249">
        <f>+F12*3</f>
        <v>0</v>
      </c>
      <c r="G24" s="250">
        <f t="shared" si="3"/>
        <v>0</v>
      </c>
      <c r="H24" s="257" t="str">
        <f t="shared" si="1"/>
        <v/>
      </c>
      <c r="I24" s="299"/>
      <c r="J24" s="253"/>
    </row>
    <row r="25" spans="1:12" s="216" customFormat="1" ht="35.25" customHeight="1">
      <c r="A25" s="245"/>
      <c r="B25" s="277"/>
      <c r="C25" s="262"/>
      <c r="D25" s="256">
        <v>3.9</v>
      </c>
      <c r="E25" s="249">
        <f>+E13*3.9</f>
        <v>0</v>
      </c>
      <c r="F25" s="249" t="e">
        <f>+F13*3.9</f>
        <v>#VALUE!</v>
      </c>
      <c r="G25" s="250" t="e">
        <f t="shared" si="3"/>
        <v>#VALUE!</v>
      </c>
      <c r="H25" s="257" t="str">
        <f t="shared" si="1"/>
        <v/>
      </c>
      <c r="I25" s="300"/>
      <c r="J25" s="253"/>
    </row>
    <row r="26" spans="1:12" s="216" customFormat="1" ht="35.25" customHeight="1">
      <c r="A26" s="245"/>
      <c r="B26" s="277"/>
      <c r="C26" s="265"/>
      <c r="D26" s="266" t="s">
        <v>38</v>
      </c>
      <c r="E26" s="249">
        <f>SUM(E20:E25)</f>
        <v>0</v>
      </c>
      <c r="F26" s="249" t="e">
        <f>SUM(F20:F25)</f>
        <v>#VALUE!</v>
      </c>
      <c r="G26" s="250" t="e">
        <f t="shared" si="3"/>
        <v>#VALUE!</v>
      </c>
      <c r="H26" s="257" t="str">
        <f t="shared" si="1"/>
        <v/>
      </c>
      <c r="I26" s="267"/>
      <c r="J26" s="253"/>
    </row>
    <row r="27" spans="1:12" s="216" customFormat="1" ht="35.25" customHeight="1">
      <c r="A27" s="245"/>
      <c r="B27" s="278"/>
      <c r="C27" s="268" t="s">
        <v>337</v>
      </c>
      <c r="D27" s="266">
        <v>0.3</v>
      </c>
      <c r="E27" s="249" t="e">
        <f>+E15</f>
        <v>#VALUE!</v>
      </c>
      <c r="F27" s="249" t="e">
        <f>+F15</f>
        <v>#VALUE!</v>
      </c>
      <c r="G27" s="250" t="e">
        <f t="shared" si="2"/>
        <v>#VALUE!</v>
      </c>
      <c r="H27" s="257" t="str">
        <f t="shared" si="1"/>
        <v/>
      </c>
      <c r="I27" s="252"/>
      <c r="J27" s="253"/>
    </row>
    <row r="28" spans="1:12" s="216" customFormat="1" ht="35.25" customHeight="1">
      <c r="A28" s="245"/>
      <c r="B28" s="279"/>
      <c r="C28" s="269" t="s">
        <v>338</v>
      </c>
      <c r="D28" s="248"/>
      <c r="E28" s="249" t="e">
        <f>+E27+E26+E18+E19</f>
        <v>#VALUE!</v>
      </c>
      <c r="F28" s="249" t="e">
        <f>+F27+F26+F18+F19</f>
        <v>#VALUE!</v>
      </c>
      <c r="G28" s="250" t="e">
        <f>F28-E28</f>
        <v>#VALUE!</v>
      </c>
      <c r="H28" s="274" t="str">
        <f>IFERROR(G28/E28,"")</f>
        <v/>
      </c>
      <c r="J28" s="253"/>
    </row>
    <row r="29" spans="1:12" s="216" customFormat="1" ht="35.25" customHeight="1">
      <c r="A29" s="245"/>
      <c r="B29" s="281" t="s">
        <v>341</v>
      </c>
      <c r="C29" s="247" t="str">
        <f>C18</f>
        <v>Normal</v>
      </c>
      <c r="D29" s="248"/>
      <c r="E29" s="249">
        <f>(E34-E31-E33-E30)-E32</f>
        <v>0</v>
      </c>
      <c r="F29" s="249" t="e">
        <f>(F34-F31-F33-F30)-F32</f>
        <v>#DIV/0!</v>
      </c>
      <c r="G29" s="250" t="e">
        <f>F29-E29</f>
        <v>#DIV/0!</v>
      </c>
      <c r="H29" s="257" t="str">
        <f t="shared" si="1"/>
        <v/>
      </c>
      <c r="I29" s="252"/>
      <c r="J29" s="253"/>
      <c r="L29" s="282"/>
    </row>
    <row r="30" spans="1:12" s="216" customFormat="1" ht="35.25" customHeight="1">
      <c r="A30" s="245"/>
      <c r="B30" s="283"/>
      <c r="C30" s="247" t="str">
        <f>C20</f>
        <v>O/T</v>
      </c>
      <c r="D30" s="248"/>
      <c r="E30" s="249">
        <f>+Sum!W10/1000+Sum!W11/1000</f>
        <v>0</v>
      </c>
      <c r="F30" s="249">
        <f>+Sum!W28/1000+Sum!W29/1000</f>
        <v>0</v>
      </c>
      <c r="G30" s="250">
        <f>F30-E30</f>
        <v>0</v>
      </c>
      <c r="H30" s="257" t="str">
        <f t="shared" si="1"/>
        <v/>
      </c>
      <c r="I30" s="284"/>
      <c r="J30" s="253"/>
      <c r="L30" s="282"/>
    </row>
    <row r="31" spans="1:12" s="216" customFormat="1" ht="35.25" hidden="1" customHeight="1">
      <c r="A31" s="245"/>
      <c r="B31" s="283"/>
      <c r="C31" s="247" t="s">
        <v>287</v>
      </c>
      <c r="D31" s="248"/>
      <c r="E31" s="249">
        <f>+Sum!Y10+Sum!Y11</f>
        <v>0</v>
      </c>
      <c r="F31" s="249">
        <f>+(Sum!Y28+Sum!Z28)/1000</f>
        <v>0</v>
      </c>
      <c r="G31" s="250">
        <f t="shared" si="2"/>
        <v>0</v>
      </c>
      <c r="H31" s="257" t="str">
        <f t="shared" si="1"/>
        <v/>
      </c>
      <c r="I31" s="284"/>
      <c r="J31" s="253"/>
    </row>
    <row r="32" spans="1:12" s="216" customFormat="1" ht="35.25" hidden="1" customHeight="1">
      <c r="A32" s="245"/>
      <c r="B32" s="283"/>
      <c r="C32" s="247" t="s">
        <v>342</v>
      </c>
      <c r="D32" s="248"/>
      <c r="E32" s="249">
        <f>(Sum!X10+Sum!Y10+Sum!Z10)/1000</f>
        <v>0</v>
      </c>
      <c r="F32" s="249">
        <f>+Sum!X28/1000</f>
        <v>0</v>
      </c>
      <c r="G32" s="250">
        <f t="shared" si="2"/>
        <v>0</v>
      </c>
      <c r="H32" s="257" t="str">
        <f t="shared" si="1"/>
        <v/>
      </c>
      <c r="I32" s="252"/>
      <c r="J32" s="253"/>
    </row>
    <row r="33" spans="1:12" s="216" customFormat="1" ht="35.25" customHeight="1">
      <c r="A33" s="245"/>
      <c r="B33" s="283"/>
      <c r="C33" s="247" t="str">
        <f>C27</f>
        <v>Night shift</v>
      </c>
      <c r="D33" s="248"/>
      <c r="E33" s="249">
        <f>+Sum!V10/1000+Sum!V11/1000</f>
        <v>0</v>
      </c>
      <c r="F33" s="249" t="e">
        <f>+Sum!V28/1000+Sum!V29/1000</f>
        <v>#DIV/0!</v>
      </c>
      <c r="G33" s="250" t="e">
        <f t="shared" si="2"/>
        <v>#DIV/0!</v>
      </c>
      <c r="H33" s="257" t="str">
        <f t="shared" si="1"/>
        <v/>
      </c>
      <c r="I33" s="252"/>
      <c r="J33" s="253"/>
    </row>
    <row r="34" spans="1:12" s="216" customFormat="1" ht="35.25" customHeight="1" thickBot="1">
      <c r="A34" s="228"/>
      <c r="B34" s="228"/>
      <c r="C34" s="285" t="str">
        <f>C28</f>
        <v>Total</v>
      </c>
      <c r="D34" s="286"/>
      <c r="E34" s="287">
        <f>+Sum!AA10/1000+Sum!AA11/1000</f>
        <v>0</v>
      </c>
      <c r="F34" s="287">
        <f>+Sum!AA28/1000+Sum!AA29/1000</f>
        <v>0</v>
      </c>
      <c r="G34" s="288">
        <f t="shared" si="2"/>
        <v>0</v>
      </c>
      <c r="H34" s="289" t="str">
        <f t="shared" si="1"/>
        <v/>
      </c>
      <c r="I34" s="234"/>
      <c r="J34" s="290"/>
    </row>
    <row r="35" spans="1:12" s="216" customFormat="1" ht="31.15" hidden="1" customHeight="1">
      <c r="A35" s="301" t="s">
        <v>345</v>
      </c>
      <c r="B35" s="302" t="s">
        <v>331</v>
      </c>
      <c r="C35" s="303"/>
      <c r="D35" s="304">
        <v>115</v>
      </c>
      <c r="E35" s="305">
        <f>[4]Summary!E18</f>
        <v>103</v>
      </c>
      <c r="F35" s="306">
        <f>[4]Summary!E51</f>
        <v>105</v>
      </c>
      <c r="G35" s="307">
        <f t="shared" si="2"/>
        <v>2</v>
      </c>
      <c r="H35" s="308">
        <f t="shared" ref="H35:H43" si="4">G35/E35</f>
        <v>1.9417475728155338E-2</v>
      </c>
      <c r="I35" s="309" t="s">
        <v>346</v>
      </c>
      <c r="J35" s="253"/>
      <c r="L35" s="282"/>
    </row>
    <row r="36" spans="1:12" s="216" customFormat="1" ht="31.15" hidden="1" customHeight="1">
      <c r="A36" s="283"/>
      <c r="B36" s="310" t="s">
        <v>347</v>
      </c>
      <c r="C36" s="268" t="s">
        <v>333</v>
      </c>
      <c r="D36" s="311">
        <v>18881</v>
      </c>
      <c r="E36" s="312">
        <f>[4]Summary!J18*8</f>
        <v>18787.199999999983</v>
      </c>
      <c r="F36" s="313">
        <f>[4]Summary!J51*8</f>
        <v>19300</v>
      </c>
      <c r="G36" s="250">
        <f t="shared" si="2"/>
        <v>512.80000000001746</v>
      </c>
      <c r="H36" s="314">
        <f t="shared" si="4"/>
        <v>2.7295179696815809E-2</v>
      </c>
      <c r="I36" s="315"/>
      <c r="J36" s="253"/>
    </row>
    <row r="37" spans="1:12" s="216" customFormat="1" ht="31.15" hidden="1" customHeight="1">
      <c r="A37" s="283"/>
      <c r="B37" s="283"/>
      <c r="C37" s="268" t="s">
        <v>335</v>
      </c>
      <c r="D37" s="311">
        <f>15394-527</f>
        <v>14867</v>
      </c>
      <c r="E37" s="312">
        <f>E39-E36-E38</f>
        <v>4110.8399999999947</v>
      </c>
      <c r="F37" s="249">
        <f>F39-F36-F38</f>
        <v>9389.3000000000029</v>
      </c>
      <c r="G37" s="250">
        <f t="shared" si="2"/>
        <v>5278.4600000000082</v>
      </c>
      <c r="H37" s="314">
        <f t="shared" si="4"/>
        <v>1.2840344065933034</v>
      </c>
      <c r="I37" s="315"/>
      <c r="J37" s="253"/>
    </row>
    <row r="38" spans="1:12" s="216" customFormat="1" ht="31.15" hidden="1" customHeight="1">
      <c r="A38" s="283"/>
      <c r="B38" s="283"/>
      <c r="C38" s="268" t="s">
        <v>337</v>
      </c>
      <c r="D38" s="311">
        <v>527</v>
      </c>
      <c r="E38" s="312">
        <f>[4]Summary!S18*0.3</f>
        <v>601.91999999999996</v>
      </c>
      <c r="F38" s="249">
        <f>[4]Summary!S51*0.3</f>
        <v>511.2</v>
      </c>
      <c r="G38" s="250">
        <f t="shared" si="2"/>
        <v>-90.71999999999997</v>
      </c>
      <c r="H38" s="314">
        <f t="shared" si="4"/>
        <v>-0.15071770334928225</v>
      </c>
      <c r="I38" s="315"/>
      <c r="J38" s="253"/>
    </row>
    <row r="39" spans="1:12" s="216" customFormat="1" ht="31.15" hidden="1" customHeight="1">
      <c r="A39" s="283"/>
      <c r="B39" s="316"/>
      <c r="C39" s="317" t="s">
        <v>338</v>
      </c>
      <c r="D39" s="311">
        <f>D38+D37+D36</f>
        <v>34275</v>
      </c>
      <c r="E39" s="312">
        <f>[4]Summary!R18+E38</f>
        <v>23499.959999999977</v>
      </c>
      <c r="F39" s="249">
        <f>[4]Summary!R51+F38</f>
        <v>29200.500000000004</v>
      </c>
      <c r="G39" s="250">
        <f t="shared" si="2"/>
        <v>5700.5400000000263</v>
      </c>
      <c r="H39" s="318">
        <f t="shared" si="4"/>
        <v>0.24257658310907898</v>
      </c>
      <c r="I39" s="315"/>
      <c r="J39" s="253"/>
    </row>
    <row r="40" spans="1:12" s="216" customFormat="1" ht="31.15" hidden="1" customHeight="1">
      <c r="A40" s="283"/>
      <c r="B40" s="281" t="s">
        <v>341</v>
      </c>
      <c r="C40" s="268" t="str">
        <f>C36</f>
        <v>Normal</v>
      </c>
      <c r="D40" s="311"/>
      <c r="E40" s="312">
        <f>E43-E41-E42</f>
        <v>511693.75</v>
      </c>
      <c r="F40" s="249">
        <f>F43-F41-F42</f>
        <v>525633.25182291667</v>
      </c>
      <c r="G40" s="250">
        <f t="shared" si="2"/>
        <v>13939.501822916674</v>
      </c>
      <c r="H40" s="314">
        <f t="shared" si="4"/>
        <v>2.7241884081868645E-2</v>
      </c>
      <c r="I40" s="315" t="s">
        <v>348</v>
      </c>
      <c r="J40" s="253"/>
      <c r="L40" s="282">
        <f>[4]Summary!F81+[4]Summary!G81</f>
        <v>10528000</v>
      </c>
    </row>
    <row r="41" spans="1:12" s="216" customFormat="1" ht="31.15" hidden="1" customHeight="1">
      <c r="A41" s="283"/>
      <c r="B41" s="283"/>
      <c r="C41" s="268" t="str">
        <f>C37</f>
        <v>O/T</v>
      </c>
      <c r="D41" s="311"/>
      <c r="E41" s="319">
        <f>[4]Summary!H18/1000</f>
        <v>98909.249999999985</v>
      </c>
      <c r="F41" s="249">
        <f>[4]Summary!H51/1000</f>
        <v>224537.33567708332</v>
      </c>
      <c r="G41" s="250">
        <f t="shared" si="2"/>
        <v>125628.08567708333</v>
      </c>
      <c r="H41" s="314">
        <f t="shared" si="4"/>
        <v>1.2701348526764014</v>
      </c>
      <c r="I41" s="315" t="s">
        <v>349</v>
      </c>
      <c r="J41" s="253"/>
    </row>
    <row r="42" spans="1:12" s="216" customFormat="1" ht="31.15" hidden="1" customHeight="1">
      <c r="A42" s="283"/>
      <c r="B42" s="283"/>
      <c r="C42" s="268" t="str">
        <f>C38</f>
        <v>Night shift</v>
      </c>
      <c r="D42" s="311"/>
      <c r="E42" s="319">
        <f>[4]Summary!T18/1000</f>
        <v>14615.655000000001</v>
      </c>
      <c r="F42" s="249">
        <f>[4]Summary!T51/1000</f>
        <v>11945.8125</v>
      </c>
      <c r="G42" s="250">
        <f t="shared" si="2"/>
        <v>-2669.8425000000007</v>
      </c>
      <c r="H42" s="314">
        <f t="shared" si="4"/>
        <v>-0.18267005481451229</v>
      </c>
      <c r="I42" s="320" t="s">
        <v>350</v>
      </c>
      <c r="J42" s="253"/>
    </row>
    <row r="43" spans="1:12" s="216" customFormat="1" ht="31.15" hidden="1" customHeight="1" thickBot="1">
      <c r="A43" s="321"/>
      <c r="B43" s="228"/>
      <c r="C43" s="322" t="str">
        <f>C39</f>
        <v>Total</v>
      </c>
      <c r="D43" s="323"/>
      <c r="E43" s="324">
        <f>[4]Summary!U18/1000</f>
        <v>625218.65500000003</v>
      </c>
      <c r="F43" s="287">
        <f>[4]Summary!U51/1000</f>
        <v>762116.4</v>
      </c>
      <c r="G43" s="288">
        <f t="shared" si="2"/>
        <v>136897.745</v>
      </c>
      <c r="H43" s="325">
        <f t="shared" si="4"/>
        <v>0.2189597893556135</v>
      </c>
      <c r="I43" s="326"/>
      <c r="J43" s="290"/>
    </row>
    <row r="44" spans="1:12" s="216" customFormat="1" ht="14.25" hidden="1">
      <c r="D44" s="217"/>
      <c r="E44" s="217"/>
      <c r="G44" s="218"/>
    </row>
    <row r="45" spans="1:12" s="216" customFormat="1" ht="14.25" hidden="1">
      <c r="D45" s="217"/>
      <c r="E45" s="217"/>
      <c r="G45" s="218"/>
    </row>
    <row r="46" spans="1:12" s="216" customFormat="1" ht="14.25" hidden="1">
      <c r="D46" s="217"/>
      <c r="E46" s="217"/>
      <c r="G46" s="218"/>
    </row>
    <row r="47" spans="1:12" s="216" customFormat="1" ht="14.25" hidden="1">
      <c r="D47" s="217"/>
      <c r="E47" s="217"/>
      <c r="G47" s="218"/>
    </row>
    <row r="48" spans="1:12" s="216" customFormat="1" ht="14.25" hidden="1">
      <c r="D48" s="217"/>
      <c r="E48" s="217"/>
      <c r="G48" s="218"/>
    </row>
    <row r="49" spans="1:10" s="216" customFormat="1" ht="14.25" hidden="1">
      <c r="D49" s="217"/>
      <c r="E49" s="217"/>
      <c r="G49" s="218"/>
    </row>
    <row r="50" spans="1:10" ht="14.25" hidden="1">
      <c r="A50" s="216"/>
      <c r="B50" s="216"/>
      <c r="C50" s="216"/>
      <c r="D50" s="217"/>
      <c r="E50" s="217"/>
      <c r="F50" s="216"/>
      <c r="G50" s="218"/>
      <c r="H50" s="216"/>
      <c r="I50" s="216"/>
      <c r="J50" s="216"/>
    </row>
    <row r="51" spans="1:10" ht="14.25" hidden="1">
      <c r="A51" s="216"/>
      <c r="B51" s="216"/>
      <c r="C51" s="216"/>
      <c r="D51" s="217"/>
      <c r="E51" s="217"/>
      <c r="F51" s="216"/>
      <c r="G51" s="218"/>
      <c r="H51" s="216"/>
      <c r="I51" s="216"/>
      <c r="J51" s="216"/>
    </row>
    <row r="52" spans="1:10" ht="14.25">
      <c r="A52" s="216"/>
      <c r="B52" s="216"/>
      <c r="C52" s="216"/>
      <c r="D52" s="217"/>
      <c r="E52" s="217"/>
      <c r="F52" s="216"/>
      <c r="G52" s="218"/>
      <c r="H52" s="216"/>
      <c r="I52" s="216"/>
      <c r="J52" s="216"/>
    </row>
  </sheetData>
  <mergeCells count="29">
    <mergeCell ref="A35:A43"/>
    <mergeCell ref="B36:B39"/>
    <mergeCell ref="B40:B43"/>
    <mergeCell ref="C28:D28"/>
    <mergeCell ref="B29:B34"/>
    <mergeCell ref="C29:D29"/>
    <mergeCell ref="C30:D30"/>
    <mergeCell ref="C31:D31"/>
    <mergeCell ref="C32:D32"/>
    <mergeCell ref="C33:D33"/>
    <mergeCell ref="C34:D34"/>
    <mergeCell ref="I8:I13"/>
    <mergeCell ref="C16:D16"/>
    <mergeCell ref="C17:D17"/>
    <mergeCell ref="B18:B26"/>
    <mergeCell ref="C18:D18"/>
    <mergeCell ref="I18:I25"/>
    <mergeCell ref="C19:D19"/>
    <mergeCell ref="C20:C23"/>
    <mergeCell ref="B3:D4"/>
    <mergeCell ref="E3:H3"/>
    <mergeCell ref="I3:I4"/>
    <mergeCell ref="J3:J4"/>
    <mergeCell ref="A5:A34"/>
    <mergeCell ref="B5:D5"/>
    <mergeCell ref="B6:B17"/>
    <mergeCell ref="C6:D6"/>
    <mergeCell ref="C7:D7"/>
    <mergeCell ref="C8:C11"/>
  </mergeCells>
  <pageMargins left="0.56000000000000005" right="0.3" top="0.51" bottom="0.18" header="0.31496062992126" footer="0.31496062992126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Sum</vt:lpstr>
      <vt:lpstr>급여 요약</vt:lpstr>
      <vt:lpstr>ENGLISH(production)</vt:lpstr>
      <vt:lpstr>ENGLISH(qct)</vt:lpstr>
      <vt:lpstr>'ENGLISH(production)'!Print_Area</vt:lpstr>
      <vt:lpstr>'ENGLISH(qct)'!Print_Area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2023-02-18T04:16:25Z</dcterms:modified>
</cp:coreProperties>
</file>