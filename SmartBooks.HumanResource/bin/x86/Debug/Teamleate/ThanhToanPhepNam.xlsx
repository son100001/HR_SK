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E:\SSAUDIT\GitHub\ISVietNam\SmartBooks.HumanResource\bin\x86\Debug\Teamleate\"/>
    </mc:Choice>
  </mc:AlternateContent>
  <xr:revisionPtr revIDLastSave="0" documentId="13_ncr:1_{32B25A37-308D-407F-8F3D-5A0A983B4F25}" xr6:coauthVersionLast="45" xr6:coauthVersionMax="45" xr10:uidLastSave="{00000000-0000-0000-0000-000000000000}"/>
  <bookViews>
    <workbookView xWindow="20370" yWindow="-120" windowWidth="29040" windowHeight="16440"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4" i="1" l="1"/>
  <c r="F3" i="1"/>
  <c r="V15" i="1" l="1"/>
  <c r="X15" i="1" l="1"/>
  <c r="W15" i="1" s="1"/>
  <c r="R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L11" authorId="0" shapeId="0" xr:uid="{00000000-0006-0000-0000-000001000000}">
      <text>
        <r>
          <rPr>
            <b/>
            <sz val="8"/>
            <color indexed="81"/>
            <rFont val="Tahoma"/>
            <family val="2"/>
          </rPr>
          <t>Tinh tro cap thoi viec gom LCB + Phu cap luong - (Xang +Dien thoai)</t>
        </r>
      </text>
    </comment>
  </commentList>
</comments>
</file>

<file path=xl/sharedStrings.xml><?xml version="1.0" encoding="utf-8"?>
<sst xmlns="http://schemas.openxmlformats.org/spreadsheetml/2006/main" count="68" uniqueCount="60">
  <si>
    <t>No</t>
  </si>
  <si>
    <t>Employee_ID</t>
  </si>
  <si>
    <t>FullName</t>
  </si>
  <si>
    <t>StartedDate</t>
  </si>
  <si>
    <t>TienLuong1</t>
  </si>
  <si>
    <t>TienLuong2</t>
  </si>
  <si>
    <t>TienLuong3</t>
  </si>
  <si>
    <t>TienLuong4</t>
  </si>
  <si>
    <t>TienLuong5</t>
  </si>
  <si>
    <t>TienLuong6</t>
  </si>
  <si>
    <t>LuongBQ</t>
  </si>
  <si>
    <t>ATM</t>
  </si>
  <si>
    <t>Tiền lương (1)</t>
  </si>
  <si>
    <t>Tiền lương (2)</t>
  </si>
  <si>
    <t>Tiền lương (3)</t>
  </si>
  <si>
    <t>Tiền lương (4)</t>
  </si>
  <si>
    <t>Tiền lương (5)</t>
  </si>
  <si>
    <t>Tiền lương (6)</t>
  </si>
  <si>
    <t>Lô số A2-6 KCN Tây Bắc Củ Chi, huyện Củ Chi, TP.HCM</t>
  </si>
  <si>
    <t>CÔNG TY TNHH I.S Việt Nam</t>
  </si>
  <si>
    <r>
      <t xml:space="preserve">STT
</t>
    </r>
    <r>
      <rPr>
        <i/>
        <sz val="10"/>
        <rFont val="Times New Roman"/>
        <family val="1"/>
      </rPr>
      <t>No</t>
    </r>
  </si>
  <si>
    <r>
      <t xml:space="preserve">MSNV
</t>
    </r>
    <r>
      <rPr>
        <i/>
        <sz val="10"/>
        <rFont val="Times New Roman"/>
        <family val="1"/>
      </rPr>
      <t>Code</t>
    </r>
  </si>
  <si>
    <r>
      <t xml:space="preserve">Vị trí
</t>
    </r>
    <r>
      <rPr>
        <i/>
        <sz val="10"/>
        <rFont val="Times New Roman"/>
        <family val="1"/>
      </rPr>
      <t>Position</t>
    </r>
  </si>
  <si>
    <r>
      <t xml:space="preserve">Họ và Tên
</t>
    </r>
    <r>
      <rPr>
        <i/>
        <sz val="10"/>
        <rFont val="Times New Roman"/>
        <family val="1"/>
      </rPr>
      <t>Full name</t>
    </r>
  </si>
  <si>
    <r>
      <t>Ngày vào
S</t>
    </r>
    <r>
      <rPr>
        <i/>
        <sz val="10"/>
        <rFont val="Times New Roman"/>
        <family val="1"/>
      </rPr>
      <t>tarting date</t>
    </r>
  </si>
  <si>
    <r>
      <t xml:space="preserve">LCB &amp; Phụ cấp lương 06 tháng liền kề 
</t>
    </r>
    <r>
      <rPr>
        <i/>
        <sz val="10"/>
        <rFont val="Times New Roman"/>
        <family val="1"/>
      </rPr>
      <t>Basic salary and salary allowance of Average 06 months</t>
    </r>
  </si>
  <si>
    <r>
      <t xml:space="preserve">Trung bình lương của 06 tháng </t>
    </r>
    <r>
      <rPr>
        <i/>
        <sz val="10"/>
        <rFont val="Times New Roman"/>
        <family val="1"/>
      </rPr>
      <t>Average salary of 06 month</t>
    </r>
  </si>
  <si>
    <r>
      <t xml:space="preserve">Số tiền thành toán
</t>
    </r>
    <r>
      <rPr>
        <i/>
        <sz val="10"/>
        <rFont val="Times New Roman"/>
        <family val="1"/>
      </rPr>
      <t>Payment amount</t>
    </r>
  </si>
  <si>
    <r>
      <t xml:space="preserve">Số tiền thanh toán làm tròn </t>
    </r>
    <r>
      <rPr>
        <i/>
        <sz val="10"/>
        <rFont val="Times New Roman"/>
        <family val="1"/>
      </rPr>
      <t>Amount rounded</t>
    </r>
  </si>
  <si>
    <r>
      <t xml:space="preserve">Ký nhận
</t>
    </r>
    <r>
      <rPr>
        <i/>
        <sz val="10"/>
        <rFont val="Times New Roman"/>
        <family val="1"/>
      </rPr>
      <t>Signature</t>
    </r>
  </si>
  <si>
    <t>Người lập biểu</t>
  </si>
  <si>
    <t>Kế Toán Trưởng</t>
  </si>
  <si>
    <t>BAN GIÁM ĐỐC</t>
  </si>
  <si>
    <t>Reporter</t>
  </si>
  <si>
    <t>Chief Accountant</t>
  </si>
  <si>
    <t>ACCOUNTANT MANAGER</t>
  </si>
  <si>
    <t>BOARD OF DIRECTORS</t>
  </si>
  <si>
    <t>KWAK JUNSUN</t>
  </si>
  <si>
    <t>CHOI KYUNG SHIK</t>
  </si>
  <si>
    <t xml:space="preserve">Số ngày phép không nghỉ Unused Annual leave </t>
  </si>
  <si>
    <t>Tiền phép năm theo luật
(x 100%)</t>
  </si>
  <si>
    <r>
      <rPr>
        <i/>
        <u/>
        <sz val="11"/>
        <color indexed="10"/>
        <rFont val="VNI-Times"/>
      </rPr>
      <t xml:space="preserve">Ghi chuù </t>
    </r>
    <r>
      <rPr>
        <i/>
        <sz val="11"/>
        <rFont val="VNI-Times"/>
      </rPr>
      <t>: Tieàn löông khoâng nghæ pheùp naêm coøn laïi ñöôïc tính baèng 100% .Aùp duïng theo Nghò ñònh 05/2015/NÑ-CP ngaøy 12/01/2015</t>
    </r>
  </si>
  <si>
    <t>taïi khoaûn 04 Ñieàu 26 cho tröôøng hôïp ngöôøi lao ñoäng do thoâi vieäc,bò maát vieäc laøm hoaëc vì lyù do khaùc maø chöa nghæ heát soá ngaøy nghæ haèng naêm.</t>
  </si>
  <si>
    <t>- Tieàn löông laøm caên cöù ñeå tính laø tieàn löông bình quaân theo hôïp ñoàng lao ñoäng cuûa 06 thaùng lieàn keà tröôùc khi ngöôøi lao ñoäng nghæ vieäc.</t>
  </si>
  <si>
    <t>- Ñoái vôùi ngöôøi lao ñoäng laøm vieäc döôùi 06 thaùng thì tieàn löông bình quaân theo hôïp ñoàng lao ñoäng cuûa toaøn boä thôøi gian laøm vieäc.</t>
  </si>
  <si>
    <t>NGUYỄN THỊ TUYẾT MAI</t>
  </si>
  <si>
    <t>NGUYỄN THỊ KIM HẠNH</t>
  </si>
  <si>
    <t>SoNgayPNTon</t>
  </si>
  <si>
    <t>TienPN</t>
  </si>
  <si>
    <t>Số tiền truy thu
Retrospective amount
BHYT</t>
  </si>
  <si>
    <t>BankAccount</t>
  </si>
  <si>
    <t>sectionname</t>
  </si>
  <si>
    <t>key</t>
  </si>
  <si>
    <t>Salary_Month</t>
  </si>
  <si>
    <t>Salary_Year</t>
  </si>
  <si>
    <t>PayDate</t>
  </si>
  <si>
    <t>SalaryKey</t>
  </si>
  <si>
    <t>s46</t>
  </si>
  <si>
    <t>s54</t>
  </si>
  <si>
    <t>s55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</si>
</sst>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quot;T&quot;00&quot;.2019&quot;"/>
    <numFmt numFmtId="166" formatCode="_-* #,##0_-;\-* #,##0_-;_-* &quot;-&quot;??_-;_-@_-"/>
    <numFmt numFmtId="167" formatCode="&quot;TP.HCM, ngaøy&quot;\ dd\ &quot;Thaùng&quot;\ mm\ &quot;naêm&quot;\ yyyy"/>
  </numFmts>
  <fonts count="24" x14ac:knownFonts="1">
    <font>
      <sz val="11"/>
      <color theme="1"/>
      <name val="Calibri"/>
      <family val="2"/>
      <scheme val="minor"/>
    </font>
    <font>
      <sz val="11"/>
      <color theme="1"/>
      <name val="Calibri"/>
      <family val="2"/>
      <scheme val="minor"/>
    </font>
    <font>
      <sz val="10"/>
      <name val="VNI-Times"/>
    </font>
    <font>
      <b/>
      <sz val="10"/>
      <name val="Times New Roman"/>
      <family val="1"/>
    </font>
    <font>
      <i/>
      <sz val="10"/>
      <name val="Times New Roman"/>
      <family val="1"/>
    </font>
    <font>
      <b/>
      <sz val="8"/>
      <color indexed="81"/>
      <name val="Tahoma"/>
      <family val="2"/>
    </font>
    <font>
      <b/>
      <sz val="16"/>
      <name val="Times New Roman"/>
      <family val="1"/>
    </font>
    <font>
      <b/>
      <sz val="11"/>
      <name val="Times New Roman"/>
      <family val="1"/>
    </font>
    <font>
      <sz val="10"/>
      <name val="Times New Roman"/>
      <family val="1"/>
    </font>
    <font>
      <sz val="10"/>
      <color indexed="14"/>
      <name val="Times New Roman"/>
      <family val="1"/>
    </font>
    <font>
      <sz val="10"/>
      <name val="Arial"/>
      <family val="2"/>
    </font>
    <font>
      <b/>
      <sz val="9"/>
      <name val="Times New Roman"/>
      <family val="1"/>
    </font>
    <font>
      <sz val="10"/>
      <color indexed="12"/>
      <name val="Times New Roman"/>
      <family val="1"/>
    </font>
    <font>
      <b/>
      <sz val="11"/>
      <color indexed="12"/>
      <name val="Times New Roman"/>
      <family val="1"/>
    </font>
    <font>
      <sz val="10"/>
      <name val="VNI-Palatin"/>
    </font>
    <font>
      <i/>
      <sz val="11"/>
      <name val="VNI-Times"/>
    </font>
    <font>
      <i/>
      <u/>
      <sz val="11"/>
      <color indexed="10"/>
      <name val="VNI-Times"/>
    </font>
    <font>
      <i/>
      <sz val="11"/>
      <name val="VNI-Korin"/>
    </font>
    <font>
      <i/>
      <sz val="8"/>
      <name val="VNI-Times"/>
    </font>
    <font>
      <i/>
      <sz val="10"/>
      <name val="VNI-Times"/>
    </font>
    <font>
      <sz val="11"/>
      <name val="VNI-Times"/>
    </font>
    <font>
      <sz val="11"/>
      <name val="VNI-Korin"/>
    </font>
    <font>
      <i/>
      <sz val="11"/>
      <color indexed="12"/>
      <name val="VNI-Times"/>
    </font>
    <font>
      <b/>
      <sz val="12"/>
      <name val="Times New Roman"/>
      <family val="1"/>
    </font>
  </fonts>
  <fills count="3">
    <fill>
      <patternFill patternType="none"/>
    </fill>
    <fill>
      <patternFill patternType="gray125"/>
    </fill>
    <fill>
      <patternFill patternType="solid">
        <fgColor indexed="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0" fontId="2" fillId="0" borderId="0"/>
    <xf numFmtId="0" fontId="2" fillId="0" borderId="0"/>
    <xf numFmtId="0" fontId="10" fillId="0" borderId="0"/>
    <xf numFmtId="0" fontId="10" fillId="0" borderId="0"/>
  </cellStyleXfs>
  <cellXfs count="52">
    <xf numFmtId="0" fontId="0" fillId="0" borderId="0" xfId="0"/>
    <xf numFmtId="165" fontId="3" fillId="2" borderId="1" xfId="3" applyNumberFormat="1" applyFont="1" applyFill="1" applyBorder="1" applyAlignment="1">
      <alignment horizontal="center" vertical="center" wrapText="1"/>
    </xf>
    <xf numFmtId="0" fontId="8" fillId="0" borderId="0" xfId="3" applyFont="1"/>
    <xf numFmtId="0" fontId="9" fillId="0" borderId="0" xfId="3" applyFont="1" applyAlignment="1">
      <alignment horizontal="center"/>
    </xf>
    <xf numFmtId="0" fontId="0" fillId="0" borderId="1" xfId="0" applyBorder="1"/>
    <xf numFmtId="14" fontId="0" fillId="0" borderId="1" xfId="0" applyNumberFormat="1" applyBorder="1"/>
    <xf numFmtId="166" fontId="0" fillId="0" borderId="1" xfId="1" applyNumberFormat="1" applyFont="1" applyBorder="1"/>
    <xf numFmtId="0" fontId="11" fillId="0" borderId="0" xfId="4" applyFont="1" applyAlignment="1"/>
    <xf numFmtId="0" fontId="14" fillId="0" borderId="0" xfId="2" applyFont="1"/>
    <xf numFmtId="0" fontId="15" fillId="0" borderId="0" xfId="2" applyFont="1" applyAlignment="1">
      <alignment horizontal="left"/>
    </xf>
    <xf numFmtId="0" fontId="17" fillId="0" borderId="0" xfId="2" applyFont="1" applyAlignment="1">
      <alignment horizontal="center"/>
    </xf>
    <xf numFmtId="0" fontId="15" fillId="0" borderId="0" xfId="2" applyFont="1" applyFill="1" applyAlignment="1">
      <alignment horizontal="center"/>
    </xf>
    <xf numFmtId="0" fontId="18" fillId="0" borderId="0" xfId="2" applyFont="1" applyFill="1" applyAlignment="1">
      <alignment horizontal="center"/>
    </xf>
    <xf numFmtId="0" fontId="19" fillId="0" borderId="0" xfId="2" applyFont="1"/>
    <xf numFmtId="0" fontId="15" fillId="0" borderId="0" xfId="2" quotePrefix="1" applyFont="1" applyAlignment="1">
      <alignment horizontal="left"/>
    </xf>
    <xf numFmtId="0" fontId="20" fillId="0" borderId="0" xfId="2" applyFont="1" applyAlignment="1">
      <alignment horizontal="left"/>
    </xf>
    <xf numFmtId="0" fontId="21" fillId="0" borderId="0" xfId="2" applyFont="1" applyAlignment="1">
      <alignment horizontal="center"/>
    </xf>
    <xf numFmtId="0" fontId="7" fillId="0" borderId="0" xfId="2" applyFont="1" applyFill="1" applyAlignment="1"/>
    <xf numFmtId="0" fontId="3" fillId="0" borderId="0" xfId="2" applyFont="1" applyAlignment="1"/>
    <xf numFmtId="0" fontId="8" fillId="0" borderId="0" xfId="2" applyFont="1"/>
    <xf numFmtId="0" fontId="3" fillId="0" borderId="0" xfId="2" applyFont="1" applyAlignment="1">
      <alignment horizontal="center"/>
    </xf>
    <xf numFmtId="0" fontId="3" fillId="0" borderId="0" xfId="2" applyFont="1" applyFill="1" applyAlignment="1">
      <alignment horizontal="center"/>
    </xf>
    <xf numFmtId="0" fontId="8" fillId="0" borderId="0" xfId="5" applyFont="1"/>
    <xf numFmtId="164" fontId="3" fillId="0" borderId="0" xfId="2" applyNumberFormat="1" applyFont="1" applyAlignment="1">
      <alignment horizontal="center"/>
    </xf>
    <xf numFmtId="0" fontId="12" fillId="0" borderId="0" xfId="5" applyFont="1"/>
    <xf numFmtId="0" fontId="13" fillId="0" borderId="0" xfId="5" applyFont="1" applyAlignment="1"/>
    <xf numFmtId="0" fontId="23" fillId="0" borderId="0" xfId="2" applyFont="1" applyFill="1" applyAlignment="1"/>
    <xf numFmtId="166" fontId="0" fillId="0" borderId="0" xfId="1" applyNumberFormat="1" applyFont="1"/>
    <xf numFmtId="0" fontId="7" fillId="0" borderId="0" xfId="3" applyFont="1" applyAlignment="1">
      <alignment horizontal="center" vertical="top"/>
    </xf>
    <xf numFmtId="0" fontId="0" fillId="0" borderId="0" xfId="0" applyNumberFormat="1" applyFont="1" applyFill="1" applyBorder="1" applyProtection="1"/>
    <xf numFmtId="14" fontId="0" fillId="0" borderId="0" xfId="0" applyNumberFormat="1" applyFont="1" applyFill="1" applyBorder="1" applyProtection="1"/>
    <xf numFmtId="14" fontId="0" fillId="0" borderId="0" xfId="0" applyNumberFormat="1"/>
    <xf numFmtId="0" fontId="6" fillId="0" borderId="0" xfId="3" applyFont="1" applyAlignment="1">
      <alignment horizontal="center"/>
    </xf>
    <xf numFmtId="0" fontId="7" fillId="0" borderId="0" xfId="3" applyFont="1" applyAlignment="1">
      <alignment horizontal="center" vertical="top"/>
    </xf>
    <xf numFmtId="0" fontId="3" fillId="0" borderId="0" xfId="3" applyFont="1" applyBorder="1" applyAlignment="1">
      <alignment horizontal="center"/>
    </xf>
    <xf numFmtId="0" fontId="3" fillId="2" borderId="2" xfId="3" applyFont="1" applyFill="1" applyBorder="1" applyAlignment="1">
      <alignment horizontal="center" vertical="center" wrapText="1"/>
    </xf>
    <xf numFmtId="0" fontId="3" fillId="2" borderId="6" xfId="3" applyFont="1" applyFill="1" applyBorder="1" applyAlignment="1">
      <alignment horizontal="center" vertical="center" wrapText="1"/>
    </xf>
    <xf numFmtId="0" fontId="3" fillId="2" borderId="10" xfId="3" applyFont="1" applyFill="1" applyBorder="1" applyAlignment="1">
      <alignment horizontal="center" vertical="center" wrapText="1"/>
    </xf>
    <xf numFmtId="0" fontId="3" fillId="2" borderId="3" xfId="3" applyFont="1" applyFill="1" applyBorder="1" applyAlignment="1">
      <alignment horizontal="center" vertical="center" wrapText="1"/>
    </xf>
    <xf numFmtId="0" fontId="3" fillId="2" borderId="4" xfId="3" applyFont="1" applyFill="1" applyBorder="1" applyAlignment="1">
      <alignment horizontal="center" vertical="center" wrapText="1"/>
    </xf>
    <xf numFmtId="0" fontId="3" fillId="2" borderId="5" xfId="3" applyFont="1" applyFill="1" applyBorder="1" applyAlignment="1">
      <alignment horizontal="center" vertical="center" wrapText="1"/>
    </xf>
    <xf numFmtId="0" fontId="3" fillId="2" borderId="7" xfId="3" applyFont="1" applyFill="1" applyBorder="1" applyAlignment="1">
      <alignment horizontal="center" vertical="center" wrapText="1"/>
    </xf>
    <xf numFmtId="0" fontId="3" fillId="2" borderId="8" xfId="3" applyFont="1" applyFill="1" applyBorder="1" applyAlignment="1">
      <alignment horizontal="center" vertical="center" wrapText="1"/>
    </xf>
    <xf numFmtId="0" fontId="3" fillId="2" borderId="9" xfId="3" applyFont="1" applyFill="1" applyBorder="1" applyAlignment="1">
      <alignment horizontal="center" vertical="center" wrapText="1"/>
    </xf>
    <xf numFmtId="0" fontId="13" fillId="0" borderId="0" xfId="5" applyFont="1" applyAlignment="1">
      <alignment horizontal="center"/>
    </xf>
    <xf numFmtId="167" fontId="22" fillId="0" borderId="0" xfId="2" applyNumberFormat="1" applyFont="1" applyBorder="1" applyAlignment="1">
      <alignment horizontal="center"/>
    </xf>
    <xf numFmtId="0" fontId="7" fillId="0" borderId="0" xfId="2" applyFont="1" applyAlignment="1">
      <alignment horizontal="center"/>
    </xf>
    <xf numFmtId="0" fontId="7" fillId="0" borderId="0" xfId="2" applyFont="1" applyFill="1" applyAlignment="1">
      <alignment horizontal="center"/>
    </xf>
    <xf numFmtId="0" fontId="11" fillId="0" borderId="0" xfId="4" applyFont="1" applyAlignment="1">
      <alignment horizontal="center"/>
    </xf>
    <xf numFmtId="0" fontId="3" fillId="0" borderId="0" xfId="2" applyFont="1" applyAlignment="1">
      <alignment horizontal="center"/>
    </xf>
    <xf numFmtId="0" fontId="23" fillId="0" borderId="0" xfId="2" applyFont="1" applyAlignment="1">
      <alignment horizontal="center"/>
    </xf>
    <xf numFmtId="0" fontId="23" fillId="0" borderId="0" xfId="2" applyFont="1" applyFill="1" applyAlignment="1">
      <alignment horizontal="center"/>
    </xf>
  </cellXfs>
  <cellStyles count="6">
    <cellStyle name="Comma" xfId="1" builtinId="3"/>
    <cellStyle name="Normal" xfId="0" builtinId="0"/>
    <cellStyle name="Normal 10" xfId="5" xr:uid="{00000000-0005-0000-0000-000002000000}"/>
    <cellStyle name="Normal 2 3" xfId="2" xr:uid="{00000000-0005-0000-0000-000003000000}"/>
    <cellStyle name="Normal 3" xfId="4" xr:uid="{00000000-0005-0000-0000-000004000000}"/>
    <cellStyle name="Normal_THANH TOAN CAC CHE DO LUONG" xfId="3"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0"/>
  <sheetViews>
    <sheetView tabSelected="1" topLeftCell="F1" workbookViewId="0">
      <selection activeCell="F15" sqref="F15"/>
    </sheetView>
  </sheetViews>
  <sheetFormatPr defaultRowHeight="15" x14ac:dyDescent="0.25"/>
  <cols>
    <col min="1" max="4" width="9.140625" hidden="1" customWidth="1"/>
    <col min="5" max="5" width="9.140625" style="31" hidden="1" customWidth="1"/>
    <col min="6" max="6" width="5.85546875" customWidth="1"/>
    <col min="7" max="7" width="10.85546875" customWidth="1"/>
    <col min="8" max="8" width="12.28515625" customWidth="1"/>
    <col min="9" max="9" width="22.42578125" customWidth="1"/>
    <col min="11" max="11" width="11.140625" customWidth="1"/>
    <col min="12" max="17" width="11.28515625" customWidth="1"/>
    <col min="18" max="18" width="11.42578125" customWidth="1"/>
    <col min="19" max="23" width="12.5703125" customWidth="1"/>
    <col min="25" max="25" width="10.5703125" bestFit="1" customWidth="1"/>
  </cols>
  <sheetData>
    <row r="1" spans="1:25" x14ac:dyDescent="0.25">
      <c r="A1">
        <v>1</v>
      </c>
      <c r="F1" t="s">
        <v>19</v>
      </c>
    </row>
    <row r="2" spans="1:25" x14ac:dyDescent="0.25">
      <c r="A2">
        <v>2</v>
      </c>
      <c r="F2" t="s">
        <v>18</v>
      </c>
    </row>
    <row r="3" spans="1:25" ht="20.25" x14ac:dyDescent="0.3">
      <c r="F3" s="32" t="str">
        <f>"DANH SÁCH THANH TOÁN KHÔNG NGHỈ PHÉP NĂM "&amp;YEAR(A2)</f>
        <v>DANH SÁCH THANH TOÁN KHÔNG NGHỈ PHÉP NĂM 1900</v>
      </c>
      <c r="G3" s="32"/>
      <c r="H3" s="32"/>
      <c r="I3" s="32"/>
      <c r="J3" s="32"/>
      <c r="K3" s="32"/>
      <c r="L3" s="32"/>
      <c r="M3" s="32"/>
      <c r="N3" s="32"/>
      <c r="O3" s="32"/>
      <c r="P3" s="32"/>
      <c r="Q3" s="32"/>
      <c r="R3" s="32"/>
      <c r="S3" s="32"/>
      <c r="T3" s="32"/>
      <c r="U3" s="32"/>
      <c r="V3" s="32"/>
      <c r="W3" s="32"/>
      <c r="X3" s="32"/>
    </row>
    <row r="4" spans="1:25" x14ac:dyDescent="0.25">
      <c r="F4" s="33" t="str">
        <f>"PAYMENT FOR UNUSED ANNUAL LEAVE IN YEAR "&amp;YEAR(A2)</f>
        <v>PAYMENT FOR UNUSED ANNUAL LEAVE IN YEAR 1900</v>
      </c>
      <c r="G4" s="33"/>
      <c r="H4" s="33"/>
      <c r="I4" s="33"/>
      <c r="J4" s="33"/>
      <c r="K4" s="33"/>
      <c r="L4" s="33"/>
      <c r="M4" s="33"/>
      <c r="N4" s="33"/>
      <c r="O4" s="33"/>
      <c r="P4" s="33"/>
      <c r="Q4" s="33"/>
      <c r="R4" s="33"/>
      <c r="S4" s="33"/>
      <c r="T4" s="33"/>
      <c r="U4" s="33"/>
      <c r="V4" s="33"/>
      <c r="W4" s="33"/>
      <c r="X4" s="33"/>
    </row>
    <row r="5" spans="1:25" x14ac:dyDescent="0.25">
      <c r="F5" s="28"/>
      <c r="G5" s="28"/>
      <c r="H5" s="28"/>
      <c r="I5" s="28"/>
      <c r="J5" s="28"/>
      <c r="K5" s="28"/>
      <c r="L5" s="28"/>
      <c r="M5" s="28"/>
      <c r="N5" s="28"/>
      <c r="O5" s="28"/>
      <c r="P5" s="28"/>
      <c r="Q5" s="28"/>
      <c r="R5" s="28"/>
      <c r="S5" s="28"/>
      <c r="T5" s="28"/>
      <c r="U5" s="28"/>
      <c r="V5" s="28"/>
      <c r="W5" s="28"/>
      <c r="X5" s="28"/>
    </row>
    <row r="6" spans="1:25" x14ac:dyDescent="0.25">
      <c r="F6" s="28"/>
      <c r="G6" s="28"/>
      <c r="H6" s="28"/>
      <c r="I6" s="28"/>
      <c r="J6" s="28"/>
      <c r="K6" s="28"/>
      <c r="L6" s="28"/>
      <c r="M6" s="28"/>
      <c r="N6" s="28"/>
      <c r="O6" s="28"/>
      <c r="P6" s="28"/>
      <c r="Q6" s="28"/>
      <c r="R6" s="28"/>
      <c r="S6" s="28"/>
      <c r="T6" s="28"/>
      <c r="U6" s="28"/>
      <c r="V6" s="28"/>
      <c r="W6" s="28"/>
      <c r="X6" s="28"/>
    </row>
    <row r="7" spans="1:25" hidden="1" x14ac:dyDescent="0.25">
      <c r="B7" s="29">
        <v>2</v>
      </c>
      <c r="C7" s="29">
        <v>2</v>
      </c>
      <c r="D7" s="29">
        <v>2</v>
      </c>
      <c r="E7" s="29">
        <v>2</v>
      </c>
      <c r="F7">
        <v>2</v>
      </c>
      <c r="G7">
        <v>2</v>
      </c>
      <c r="H7">
        <v>2</v>
      </c>
      <c r="I7">
        <v>2</v>
      </c>
      <c r="J7">
        <v>2</v>
      </c>
      <c r="K7">
        <v>2</v>
      </c>
      <c r="L7">
        <v>2</v>
      </c>
      <c r="M7">
        <v>2</v>
      </c>
      <c r="N7">
        <v>2</v>
      </c>
      <c r="O7">
        <v>2</v>
      </c>
      <c r="P7">
        <v>2</v>
      </c>
      <c r="Q7">
        <v>2</v>
      </c>
      <c r="R7">
        <v>2</v>
      </c>
      <c r="S7">
        <v>1</v>
      </c>
      <c r="T7">
        <v>1</v>
      </c>
      <c r="U7">
        <v>1</v>
      </c>
      <c r="V7">
        <v>1</v>
      </c>
      <c r="W7">
        <v>1</v>
      </c>
      <c r="X7">
        <v>2</v>
      </c>
    </row>
    <row r="8" spans="1:25" hidden="1" x14ac:dyDescent="0.25">
      <c r="B8" s="29" t="s">
        <v>52</v>
      </c>
      <c r="C8" s="29" t="s">
        <v>53</v>
      </c>
      <c r="D8" s="29" t="s">
        <v>54</v>
      </c>
      <c r="E8" s="30"/>
      <c r="F8" s="2"/>
      <c r="G8" t="s">
        <v>1</v>
      </c>
      <c r="H8" s="2"/>
      <c r="I8" s="2"/>
      <c r="J8" s="2"/>
      <c r="K8" s="2"/>
      <c r="L8" s="2"/>
      <c r="M8" s="2"/>
      <c r="N8" s="34"/>
      <c r="O8" s="34"/>
      <c r="P8" s="34"/>
      <c r="Q8" s="34"/>
      <c r="R8" s="34"/>
      <c r="S8" s="3"/>
      <c r="T8" s="3"/>
      <c r="U8" s="3"/>
      <c r="V8" s="3"/>
      <c r="W8" s="3"/>
      <c r="X8" s="2"/>
    </row>
    <row r="9" spans="1:25" hidden="1" x14ac:dyDescent="0.25">
      <c r="B9" s="29" t="s">
        <v>52</v>
      </c>
      <c r="C9" s="29" t="s">
        <v>53</v>
      </c>
      <c r="D9" s="29" t="s">
        <v>54</v>
      </c>
      <c r="E9" s="30" t="s">
        <v>55</v>
      </c>
      <c r="G9" t="s">
        <v>1</v>
      </c>
      <c r="T9" t="s">
        <v>57</v>
      </c>
      <c r="V9" t="s">
        <v>58</v>
      </c>
      <c r="W9" t="s">
        <v>59</v>
      </c>
    </row>
    <row r="10" spans="1:25" hidden="1" x14ac:dyDescent="0.25">
      <c r="B10" s="29" t="s">
        <v>56</v>
      </c>
      <c r="C10" s="29" t="s">
        <v>53</v>
      </c>
      <c r="D10" s="29" t="s">
        <v>54</v>
      </c>
      <c r="E10" s="30" t="s">
        <v>55</v>
      </c>
      <c r="F10" t="s">
        <v>0</v>
      </c>
      <c r="G10" t="s">
        <v>1</v>
      </c>
      <c r="H10" t="s">
        <v>51</v>
      </c>
      <c r="I10" t="s">
        <v>2</v>
      </c>
      <c r="J10" t="s">
        <v>50</v>
      </c>
      <c r="K10" t="s">
        <v>3</v>
      </c>
      <c r="L10" t="s">
        <v>4</v>
      </c>
      <c r="M10" t="s">
        <v>5</v>
      </c>
      <c r="N10" t="s">
        <v>6</v>
      </c>
      <c r="O10" t="s">
        <v>7</v>
      </c>
      <c r="P10" t="s">
        <v>8</v>
      </c>
      <c r="Q10" t="s">
        <v>9</v>
      </c>
      <c r="R10" t="s">
        <v>10</v>
      </c>
      <c r="S10" t="s">
        <v>47</v>
      </c>
      <c r="T10" t="s">
        <v>48</v>
      </c>
    </row>
    <row r="11" spans="1:25" ht="38.25" customHeight="1" x14ac:dyDescent="0.25">
      <c r="F11" s="35" t="s">
        <v>20</v>
      </c>
      <c r="G11" s="35" t="s">
        <v>21</v>
      </c>
      <c r="H11" s="35" t="s">
        <v>22</v>
      </c>
      <c r="I11" s="35" t="s">
        <v>23</v>
      </c>
      <c r="J11" s="35" t="s">
        <v>11</v>
      </c>
      <c r="K11" s="35" t="s">
        <v>24</v>
      </c>
      <c r="L11" s="38" t="s">
        <v>25</v>
      </c>
      <c r="M11" s="39"/>
      <c r="N11" s="39"/>
      <c r="O11" s="39"/>
      <c r="P11" s="39"/>
      <c r="Q11" s="40"/>
      <c r="R11" s="35" t="s">
        <v>26</v>
      </c>
      <c r="S11" s="35" t="s">
        <v>39</v>
      </c>
      <c r="T11" s="35" t="s">
        <v>40</v>
      </c>
      <c r="U11" s="35" t="s">
        <v>49</v>
      </c>
      <c r="V11" s="35" t="s">
        <v>27</v>
      </c>
      <c r="W11" s="35" t="s">
        <v>28</v>
      </c>
      <c r="X11" s="35" t="s">
        <v>29</v>
      </c>
    </row>
    <row r="12" spans="1:25" ht="38.25" customHeight="1" x14ac:dyDescent="0.25">
      <c r="F12" s="36"/>
      <c r="G12" s="36"/>
      <c r="H12" s="36"/>
      <c r="I12" s="36"/>
      <c r="J12" s="36"/>
      <c r="K12" s="36"/>
      <c r="L12" s="41"/>
      <c r="M12" s="42"/>
      <c r="N12" s="42"/>
      <c r="O12" s="42"/>
      <c r="P12" s="42"/>
      <c r="Q12" s="43"/>
      <c r="R12" s="36"/>
      <c r="S12" s="36"/>
      <c r="T12" s="36"/>
      <c r="U12" s="36"/>
      <c r="V12" s="36"/>
      <c r="W12" s="36"/>
      <c r="X12" s="36"/>
    </row>
    <row r="13" spans="1:25" ht="25.5" x14ac:dyDescent="0.25">
      <c r="F13" s="37"/>
      <c r="G13" s="37"/>
      <c r="H13" s="37"/>
      <c r="I13" s="37"/>
      <c r="J13" s="37"/>
      <c r="K13" s="37"/>
      <c r="L13" s="1" t="s">
        <v>12</v>
      </c>
      <c r="M13" s="1" t="s">
        <v>13</v>
      </c>
      <c r="N13" s="1" t="s">
        <v>14</v>
      </c>
      <c r="O13" s="1" t="s">
        <v>15</v>
      </c>
      <c r="P13" s="1" t="s">
        <v>16</v>
      </c>
      <c r="Q13" s="1" t="s">
        <v>17</v>
      </c>
      <c r="R13" s="37"/>
      <c r="S13" s="37"/>
      <c r="T13" s="37"/>
      <c r="U13" s="37"/>
      <c r="V13" s="37"/>
      <c r="W13" s="37"/>
      <c r="X13" s="37"/>
    </row>
    <row r="14" spans="1:25" hidden="1" x14ac:dyDescent="0.25">
      <c r="G14">
        <v>1</v>
      </c>
      <c r="H14">
        <v>2</v>
      </c>
      <c r="I14">
        <v>3</v>
      </c>
      <c r="J14">
        <v>4</v>
      </c>
      <c r="K14">
        <v>5</v>
      </c>
      <c r="L14">
        <v>6</v>
      </c>
      <c r="M14">
        <v>7</v>
      </c>
      <c r="N14">
        <v>8</v>
      </c>
      <c r="O14">
        <v>9</v>
      </c>
      <c r="P14">
        <v>10</v>
      </c>
      <c r="Q14">
        <v>11</v>
      </c>
      <c r="R14">
        <v>12</v>
      </c>
      <c r="S14">
        <v>22</v>
      </c>
      <c r="T14">
        <v>24</v>
      </c>
      <c r="V14">
        <v>23</v>
      </c>
      <c r="W14">
        <v>25</v>
      </c>
      <c r="X14">
        <v>26</v>
      </c>
    </row>
    <row r="15" spans="1:25" x14ac:dyDescent="0.25">
      <c r="F15" s="4"/>
      <c r="G15" s="4"/>
      <c r="H15" s="4"/>
      <c r="I15" s="4"/>
      <c r="J15" s="4"/>
      <c r="K15" s="5"/>
      <c r="L15" s="6"/>
      <c r="M15" s="6"/>
      <c r="N15" s="6"/>
      <c r="O15" s="6"/>
      <c r="P15" s="6"/>
      <c r="Q15" s="6"/>
      <c r="R15" s="6"/>
      <c r="S15" s="6"/>
      <c r="T15" s="6"/>
      <c r="U15" s="6"/>
      <c r="V15" s="6">
        <f>T15-U15</f>
        <v>0</v>
      </c>
      <c r="W15" s="6">
        <f>ROUND(IF(X15="ATM",V15,CEILING(V15,0.5)),3)</f>
        <v>0</v>
      </c>
      <c r="X15" s="4" t="str">
        <f>IF(J15&gt;=1,"ATM","")</f>
        <v/>
      </c>
      <c r="Y15" s="27"/>
    </row>
    <row r="20" spans="6:24" ht="16.5" x14ac:dyDescent="0.3">
      <c r="F20" s="8"/>
      <c r="G20" s="8"/>
      <c r="H20" s="8"/>
      <c r="I20" s="9" t="s">
        <v>41</v>
      </c>
      <c r="J20" s="9"/>
      <c r="K20" s="10"/>
      <c r="L20" s="10"/>
      <c r="M20" s="10"/>
      <c r="N20" s="10"/>
      <c r="O20" s="10"/>
      <c r="P20" s="10"/>
      <c r="Q20" s="10"/>
      <c r="R20" s="11"/>
      <c r="S20" s="12"/>
      <c r="T20" s="12"/>
      <c r="U20" s="12"/>
      <c r="V20" s="12"/>
      <c r="W20" s="12"/>
      <c r="X20" s="13"/>
    </row>
    <row r="21" spans="6:24" ht="16.5" x14ac:dyDescent="0.3">
      <c r="F21" s="8"/>
      <c r="G21" s="8"/>
      <c r="H21" s="8"/>
      <c r="I21" s="9" t="s">
        <v>42</v>
      </c>
      <c r="J21" s="9"/>
      <c r="K21" s="10"/>
      <c r="L21" s="10"/>
      <c r="M21" s="10"/>
      <c r="N21" s="10"/>
      <c r="O21" s="10"/>
      <c r="P21" s="10"/>
      <c r="Q21" s="10"/>
      <c r="R21" s="11"/>
      <c r="S21" s="12"/>
      <c r="T21" s="12"/>
      <c r="U21" s="12"/>
      <c r="V21" s="12"/>
      <c r="W21" s="12"/>
      <c r="X21" s="13"/>
    </row>
    <row r="22" spans="6:24" ht="16.5" x14ac:dyDescent="0.3">
      <c r="F22" s="8"/>
      <c r="G22" s="8"/>
      <c r="H22" s="8"/>
      <c r="I22" s="14" t="s">
        <v>43</v>
      </c>
      <c r="J22" s="9"/>
      <c r="K22" s="10"/>
      <c r="L22" s="10"/>
      <c r="M22" s="10"/>
      <c r="N22" s="10"/>
      <c r="O22" s="10"/>
      <c r="P22" s="10"/>
      <c r="Q22" s="10"/>
      <c r="R22" s="11"/>
      <c r="S22" s="12"/>
      <c r="T22" s="12"/>
      <c r="U22" s="12"/>
      <c r="V22" s="12"/>
      <c r="W22" s="12"/>
      <c r="X22" s="13"/>
    </row>
    <row r="23" spans="6:24" ht="16.5" x14ac:dyDescent="0.3">
      <c r="F23" s="8"/>
      <c r="G23" s="8"/>
      <c r="H23" s="8"/>
      <c r="I23" s="14" t="s">
        <v>44</v>
      </c>
      <c r="J23" s="9"/>
      <c r="K23" s="10"/>
      <c r="L23" s="10"/>
      <c r="M23" s="10"/>
      <c r="N23" s="10"/>
      <c r="O23" s="10"/>
      <c r="P23" s="10"/>
      <c r="Q23" s="10"/>
      <c r="R23" s="11"/>
      <c r="S23" s="12"/>
      <c r="T23" s="12"/>
      <c r="U23" s="12"/>
      <c r="V23" s="12"/>
      <c r="W23" s="12"/>
      <c r="X23" s="13"/>
    </row>
    <row r="24" spans="6:24" ht="17.25" x14ac:dyDescent="0.3">
      <c r="F24" s="8"/>
      <c r="G24" s="8"/>
      <c r="H24" s="8"/>
      <c r="I24" s="15"/>
      <c r="J24" s="15"/>
      <c r="K24" s="16"/>
      <c r="L24" s="16"/>
      <c r="M24" s="16"/>
      <c r="N24" s="16"/>
      <c r="O24" s="16"/>
      <c r="P24" s="16"/>
      <c r="Q24" s="16"/>
      <c r="R24" s="45">
        <f ca="1">TODAY()</f>
        <v>43969</v>
      </c>
      <c r="S24" s="45"/>
      <c r="T24" s="45"/>
      <c r="U24" s="45"/>
      <c r="V24" s="45"/>
      <c r="W24" s="45"/>
      <c r="X24" s="45"/>
    </row>
    <row r="25" spans="6:24" x14ac:dyDescent="0.25">
      <c r="F25" s="46" t="s">
        <v>30</v>
      </c>
      <c r="G25" s="46"/>
      <c r="H25" s="46"/>
      <c r="I25" s="46"/>
      <c r="J25" s="17"/>
      <c r="K25" s="47" t="s">
        <v>31</v>
      </c>
      <c r="L25" s="47"/>
      <c r="M25" s="47"/>
      <c r="N25" s="47"/>
      <c r="O25" s="17"/>
      <c r="P25" s="17"/>
      <c r="Q25" s="7"/>
      <c r="R25" s="7"/>
      <c r="S25" s="7"/>
      <c r="T25" s="7"/>
      <c r="U25" s="7"/>
      <c r="V25" s="48" t="s">
        <v>32</v>
      </c>
      <c r="W25" s="48"/>
      <c r="X25" s="48"/>
    </row>
    <row r="26" spans="6:24" x14ac:dyDescent="0.25">
      <c r="F26" s="49" t="s">
        <v>33</v>
      </c>
      <c r="G26" s="49"/>
      <c r="H26" s="49"/>
      <c r="I26" s="49"/>
      <c r="J26" s="18"/>
      <c r="K26" s="49" t="s">
        <v>34</v>
      </c>
      <c r="L26" s="49"/>
      <c r="M26" s="49"/>
      <c r="N26" s="49"/>
      <c r="O26" s="18"/>
      <c r="P26" s="18"/>
      <c r="Q26" s="49" t="s">
        <v>35</v>
      </c>
      <c r="R26" s="49"/>
      <c r="S26" s="49"/>
      <c r="T26" s="7"/>
      <c r="U26" s="7"/>
      <c r="V26" s="48" t="s">
        <v>36</v>
      </c>
      <c r="W26" s="48"/>
      <c r="X26" s="48"/>
    </row>
    <row r="27" spans="6:24" x14ac:dyDescent="0.25">
      <c r="F27" s="19"/>
      <c r="G27" s="19"/>
      <c r="H27" s="19"/>
      <c r="I27" s="20"/>
      <c r="J27" s="20"/>
      <c r="K27" s="20"/>
      <c r="L27" s="20"/>
      <c r="M27" s="20"/>
      <c r="N27" s="20"/>
      <c r="O27" s="20"/>
      <c r="P27" s="20"/>
      <c r="Q27" s="20"/>
      <c r="R27" s="21"/>
      <c r="S27" s="22"/>
      <c r="T27" s="22"/>
      <c r="U27" s="22"/>
      <c r="V27" s="22"/>
      <c r="W27" s="22"/>
      <c r="X27" s="22"/>
    </row>
    <row r="28" spans="6:24" x14ac:dyDescent="0.25">
      <c r="F28" s="19"/>
      <c r="G28" s="19"/>
      <c r="H28" s="19"/>
      <c r="I28" s="20"/>
      <c r="J28" s="20"/>
      <c r="K28" s="20"/>
      <c r="L28" s="20"/>
      <c r="M28" s="20"/>
      <c r="N28" s="20"/>
      <c r="O28" s="20"/>
      <c r="P28" s="20"/>
      <c r="Q28" s="23"/>
      <c r="R28" s="21"/>
      <c r="S28" s="24"/>
      <c r="T28" s="22"/>
      <c r="U28" s="22"/>
      <c r="V28" s="24"/>
      <c r="W28" s="22"/>
      <c r="X28" s="25"/>
    </row>
    <row r="29" spans="6:24" x14ac:dyDescent="0.25">
      <c r="F29" s="19"/>
      <c r="G29" s="19"/>
      <c r="H29" s="19"/>
      <c r="I29" s="20"/>
      <c r="J29" s="20"/>
      <c r="K29" s="20"/>
      <c r="L29" s="20"/>
      <c r="M29" s="20"/>
      <c r="N29" s="20"/>
      <c r="O29" s="20"/>
      <c r="P29" s="20"/>
      <c r="Q29" s="20"/>
      <c r="R29" s="21"/>
      <c r="S29" s="22"/>
      <c r="T29" s="22"/>
      <c r="U29" s="22"/>
      <c r="V29" s="22"/>
      <c r="W29" s="22"/>
      <c r="X29" s="22"/>
    </row>
    <row r="30" spans="6:24" ht="15.75" x14ac:dyDescent="0.25">
      <c r="F30" s="50" t="s">
        <v>45</v>
      </c>
      <c r="G30" s="50"/>
      <c r="H30" s="50"/>
      <c r="I30" s="50"/>
      <c r="J30" s="26"/>
      <c r="K30" s="51" t="s">
        <v>46</v>
      </c>
      <c r="L30" s="51"/>
      <c r="M30" s="51"/>
      <c r="N30" s="51"/>
      <c r="O30" s="26"/>
      <c r="P30" s="26"/>
      <c r="Q30" s="44" t="s">
        <v>37</v>
      </c>
      <c r="R30" s="44"/>
      <c r="S30" s="44"/>
      <c r="T30" s="25"/>
      <c r="U30" s="25"/>
      <c r="V30" s="44" t="s">
        <v>38</v>
      </c>
      <c r="W30" s="44"/>
      <c r="X30" s="44"/>
    </row>
  </sheetData>
  <mergeCells count="29">
    <mergeCell ref="Q30:S30"/>
    <mergeCell ref="V30:X30"/>
    <mergeCell ref="U11:U13"/>
    <mergeCell ref="R24:X24"/>
    <mergeCell ref="F25:I25"/>
    <mergeCell ref="K25:N25"/>
    <mergeCell ref="V25:X25"/>
    <mergeCell ref="F26:I26"/>
    <mergeCell ref="K26:N26"/>
    <mergeCell ref="Q26:S26"/>
    <mergeCell ref="V26:X26"/>
    <mergeCell ref="F30:I30"/>
    <mergeCell ref="K30:N30"/>
    <mergeCell ref="F3:X3"/>
    <mergeCell ref="F4:X4"/>
    <mergeCell ref="N8:R8"/>
    <mergeCell ref="F11:F13"/>
    <mergeCell ref="S11:S13"/>
    <mergeCell ref="T11:T13"/>
    <mergeCell ref="V11:V13"/>
    <mergeCell ref="W11:W13"/>
    <mergeCell ref="X11:X13"/>
    <mergeCell ref="R11:R13"/>
    <mergeCell ref="G11:G13"/>
    <mergeCell ref="H11:H13"/>
    <mergeCell ref="I11:I13"/>
    <mergeCell ref="J11:J13"/>
    <mergeCell ref="K11:K13"/>
    <mergeCell ref="L11:Q12"/>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2020-02-13T18:24:24Z</dcterms:created>
  <dcterms:modified xsi:type="dcterms:W3CDTF">2020-05-18T08:04:57Z</dcterms:modified>
</cp:coreProperties>
</file>