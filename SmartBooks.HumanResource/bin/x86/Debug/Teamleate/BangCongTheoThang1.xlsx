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31C8651B-0874-4814-B346-5DA1F2A293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Sheet1!$9:$10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1" i="1" l="1"/>
  <c r="AO11" i="1" s="1"/>
  <c r="BF11" i="1" l="1"/>
  <c r="AQ11" i="1" l="1"/>
  <c r="B5" i="1" l="1"/>
  <c r="AM8" i="1" l="1"/>
  <c r="AM9" i="1" s="1"/>
  <c r="AL8" i="1"/>
  <c r="AL9" i="1" s="1"/>
  <c r="AK8" i="1"/>
  <c r="AK9" i="1" s="1"/>
  <c r="AJ8" i="1"/>
  <c r="AJ9" i="1" s="1"/>
  <c r="AI8" i="1"/>
  <c r="AI9" i="1" s="1"/>
  <c r="AH8" i="1"/>
  <c r="AH9" i="1" s="1"/>
  <c r="AG8" i="1"/>
  <c r="AG9" i="1" s="1"/>
  <c r="AF8" i="1"/>
  <c r="AF9" i="1" s="1"/>
  <c r="AE8" i="1"/>
  <c r="AE9" i="1" s="1"/>
  <c r="AD8" i="1"/>
  <c r="AD9" i="1" s="1"/>
  <c r="AC8" i="1"/>
  <c r="AC9" i="1" s="1"/>
  <c r="AB8" i="1"/>
  <c r="AB9" i="1" s="1"/>
  <c r="AA8" i="1"/>
  <c r="AA9" i="1" s="1"/>
  <c r="Z8" i="1"/>
  <c r="Z9" i="1" s="1"/>
  <c r="Y8" i="1"/>
  <c r="Y9" i="1" s="1"/>
  <c r="X8" i="1"/>
  <c r="X9" i="1" s="1"/>
  <c r="W8" i="1"/>
  <c r="W9" i="1" s="1"/>
  <c r="V8" i="1"/>
  <c r="V9" i="1" s="1"/>
  <c r="U8" i="1"/>
  <c r="U9" i="1" s="1"/>
  <c r="T8" i="1"/>
  <c r="T9" i="1" s="1"/>
  <c r="S8" i="1"/>
  <c r="S9" i="1" s="1"/>
  <c r="R8" i="1"/>
  <c r="R9" i="1" s="1"/>
  <c r="Q8" i="1"/>
  <c r="Q9" i="1" s="1"/>
  <c r="P8" i="1"/>
  <c r="P9" i="1" s="1"/>
  <c r="O8" i="1"/>
  <c r="O9" i="1" s="1"/>
  <c r="N8" i="1"/>
  <c r="N9" i="1" s="1"/>
  <c r="M8" i="1"/>
  <c r="M9" i="1" s="1"/>
  <c r="L8" i="1"/>
  <c r="L9" i="1" s="1"/>
  <c r="K8" i="1"/>
  <c r="K9" i="1" s="1"/>
  <c r="J8" i="1"/>
  <c r="J9" i="1" s="1"/>
  <c r="I8" i="1"/>
  <c r="I9" i="1" s="1"/>
</calcChain>
</file>

<file path=xl/sharedStrings.xml><?xml version="1.0" encoding="utf-8"?>
<sst xmlns="http://schemas.openxmlformats.org/spreadsheetml/2006/main" count="120" uniqueCount="92">
  <si>
    <t>No</t>
  </si>
  <si>
    <t>Join Date</t>
  </si>
  <si>
    <t>STT</t>
  </si>
  <si>
    <t>Ngày vào</t>
  </si>
  <si>
    <t>G</t>
  </si>
  <si>
    <t>Employee_ID</t>
  </si>
  <si>
    <t>FullName</t>
  </si>
  <si>
    <t>StartedDate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</si>
  <si>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</si>
  <si>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</si>
  <si>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</si>
  <si>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</si>
  <si>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</si>
  <si>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</si>
  <si>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</si>
  <si>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</si>
  <si>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</si>
  <si>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</si>
  <si>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</si>
  <si>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</si>
  <si>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</si>
  <si>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</si>
  <si>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</si>
  <si>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</si>
  <si>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</si>
  <si>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</si>
  <si>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</si>
  <si>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</si>
  <si>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</si>
  <si>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</si>
  <si>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</si>
  <si>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</si>
  <si>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</si>
  <si>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</si>
  <si>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</si>
  <si>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</si>
  <si>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</si>
  <si>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</si>
  <si>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</si>
  <si>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Mã bộ phận</t>
  </si>
  <si>
    <t>BẢNG CHẤM CÔNG - WORKING SUMMARY</t>
  </si>
  <si>
    <t>Expired Date</t>
  </si>
  <si>
    <t>Ngày nghỉ việc</t>
  </si>
  <si>
    <t>TernimationDate</t>
  </si>
  <si>
    <t>Nghỉ do covid</t>
  </si>
  <si>
    <t>Ký tên xác nhận</t>
  </si>
  <si>
    <t>Total_wt1</t>
  </si>
  <si>
    <t>Nghỉ không lương</t>
  </si>
  <si>
    <t>NghiCovid</t>
  </si>
  <si>
    <t>Factory Name</t>
  </si>
  <si>
    <t>NghiLe</t>
  </si>
  <si>
    <t>Employee ID
Mã số</t>
  </si>
  <si>
    <t>Full Name
Họ và tên</t>
  </si>
  <si>
    <t>Covid quarantine</t>
  </si>
  <si>
    <t>Số giờ 100% đi làm thực tế</t>
  </si>
  <si>
    <t>Số giờ 100% đi làm thực tế và phép hưởng lương</t>
  </si>
  <si>
    <t>Số ngày đi làm thực tế</t>
  </si>
  <si>
    <t>Số ngày đi làm thực tế và phép hưởng lương</t>
  </si>
  <si>
    <t>Annual leave
Nghỉ PN</t>
  </si>
  <si>
    <t>Tổng PN</t>
  </si>
  <si>
    <t>Date work in month
Công trong tháng</t>
  </si>
  <si>
    <t>Thời gian ĐT-VS</t>
  </si>
  <si>
    <t>SoNgayCongTieuChuan</t>
  </si>
  <si>
    <t>TongPN</t>
  </si>
  <si>
    <t>KL</t>
  </si>
  <si>
    <t>Nghỉ không phép</t>
  </si>
  <si>
    <t>KP</t>
  </si>
  <si>
    <t>ThoiGianDiTreVeSom</t>
  </si>
  <si>
    <t>SoLanDiTreVeSom</t>
  </si>
  <si>
    <t>Số lần đi trễ về sớm</t>
  </si>
  <si>
    <t>SoLanXinRaNgoai</t>
  </si>
  <si>
    <t>SectionName</t>
  </si>
  <si>
    <t>Contract date</t>
  </si>
  <si>
    <t>Ngày ký HĐ</t>
  </si>
  <si>
    <t>ContractDate</t>
  </si>
  <si>
    <t>Overtime</t>
  </si>
  <si>
    <t>Probation date</t>
  </si>
  <si>
    <t>Date work contract</t>
  </si>
  <si>
    <t>Công HĐ</t>
  </si>
  <si>
    <t>Công TV</t>
  </si>
  <si>
    <t>TongGioTangCa</t>
  </si>
  <si>
    <t>GioTangCa1H</t>
  </si>
  <si>
    <t>SoNgayCongTV</t>
  </si>
  <si>
    <t>SoNgayCongCT</t>
  </si>
  <si>
    <t>SoLanQuenQuetVanTay</t>
  </si>
  <si>
    <t>Lỗi quẹt vân tay
Finger</t>
  </si>
  <si>
    <t>Ra giữa giờ</t>
  </si>
  <si>
    <t>Holiday
Nghỉ lễ,tết</t>
  </si>
  <si>
    <t>Nghỉ DS + Thai sản</t>
  </si>
  <si>
    <t>TS_DS</t>
  </si>
  <si>
    <t>Thời gian làm thêm</t>
  </si>
  <si>
    <t xml:space="preserve">Tổng thời gian làm việc trong tháng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</si>
</sst>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_-;\-* #,##0.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rgb="FF000080"/>
      <name val="Times New Roman"/>
      <family val="1"/>
    </font>
    <font>
      <sz val="12"/>
      <color rgb="FF000080"/>
      <name val="Times New Roman"/>
      <family val="1"/>
    </font>
    <font>
      <b/>
      <sz val="10"/>
      <color rgb="FF000080"/>
      <name val="Times New Roman"/>
      <family val="1"/>
    </font>
    <font>
      <sz val="10"/>
      <color rgb="FF000080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7"/>
      <name val="Times New Roman"/>
      <family val="1"/>
    </font>
    <font>
      <b/>
      <sz val="9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164" fontId="13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1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7" fillId="0" borderId="0" xfId="0" applyNumberFormat="1" applyFont="1" applyBorder="1" applyAlignment="1">
      <alignment vertical="center"/>
    </xf>
    <xf numFmtId="0" fontId="3" fillId="0" borderId="2" xfId="0" applyFont="1" applyBorder="1" applyAlignment="1">
      <alignment wrapText="1"/>
    </xf>
    <xf numFmtId="2" fontId="3" fillId="0" borderId="0" xfId="0" applyNumberFormat="1" applyFont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vertical="center"/>
    </xf>
    <xf numFmtId="0" fontId="2" fillId="0" borderId="0" xfId="1" applyNumberFormat="1" applyFont="1" applyAlignment="1">
      <alignment vertical="center"/>
    </xf>
    <xf numFmtId="0" fontId="8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horizontal="right" vertical="center"/>
    </xf>
    <xf numFmtId="0" fontId="9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10" fillId="2" borderId="1" xfId="0" applyNumberFormat="1" applyFont="1" applyFill="1" applyBorder="1" applyAlignment="1">
      <alignment horizontal="center" vertical="center"/>
    </xf>
    <xf numFmtId="0" fontId="10" fillId="2" borderId="2" xfId="0" applyNumberFormat="1" applyFont="1" applyFill="1" applyBorder="1" applyAlignment="1">
      <alignment horizontal="center" vertical="center"/>
    </xf>
    <xf numFmtId="0" fontId="10" fillId="2" borderId="2" xfId="0" applyNumberFormat="1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vertical="center"/>
    </xf>
    <xf numFmtId="0" fontId="10" fillId="2" borderId="2" xfId="0" applyNumberFormat="1" applyFont="1" applyFill="1" applyBorder="1" applyAlignment="1">
      <alignment horizontal="center" vertical="center"/>
    </xf>
    <xf numFmtId="0" fontId="12" fillId="2" borderId="2" xfId="0" applyNumberFormat="1" applyFont="1" applyFill="1" applyBorder="1" applyAlignment="1">
      <alignment vertical="center" wrapText="1"/>
    </xf>
    <xf numFmtId="0" fontId="12" fillId="2" borderId="2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/>
    </xf>
    <xf numFmtId="0" fontId="12" fillId="2" borderId="2" xfId="0" applyNumberFormat="1" applyFont="1" applyFill="1" applyBorder="1" applyAlignment="1">
      <alignment horizontal="center" vertical="center" wrapText="1"/>
    </xf>
    <xf numFmtId="0" fontId="10" fillId="2" borderId="2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/>
    </xf>
    <xf numFmtId="0" fontId="12" fillId="2" borderId="2" xfId="0" applyNumberFormat="1" applyFont="1" applyFill="1" applyBorder="1" applyAlignment="1">
      <alignment horizontal="center" vertical="center" wrapText="1"/>
    </xf>
    <xf numFmtId="165" fontId="3" fillId="0" borderId="0" xfId="2" applyNumberFormat="1" applyFont="1" applyAlignment="1">
      <alignment vertical="center"/>
    </xf>
    <xf numFmtId="165" fontId="9" fillId="0" borderId="0" xfId="2" applyNumberFormat="1" applyFont="1" applyAlignment="1">
      <alignment horizontal="right" vertical="center"/>
    </xf>
    <xf numFmtId="165" fontId="6" fillId="0" borderId="0" xfId="2" applyNumberFormat="1" applyFont="1" applyAlignment="1">
      <alignment vertical="center"/>
    </xf>
    <xf numFmtId="165" fontId="7" fillId="0" borderId="0" xfId="2" applyNumberFormat="1" applyFont="1" applyBorder="1" applyAlignment="1">
      <alignment vertical="center"/>
    </xf>
    <xf numFmtId="165" fontId="3" fillId="0" borderId="0" xfId="2" applyNumberFormat="1" applyFont="1" applyAlignment="1">
      <alignment horizontal="center"/>
    </xf>
    <xf numFmtId="165" fontId="3" fillId="0" borderId="2" xfId="2" applyNumberFormat="1" applyFont="1" applyBorder="1" applyAlignment="1">
      <alignment horizontal="center"/>
    </xf>
    <xf numFmtId="0" fontId="4" fillId="0" borderId="0" xfId="0" applyNumberFormat="1" applyFont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12" fillId="2" borderId="4" xfId="0" applyNumberFormat="1" applyFont="1" applyFill="1" applyBorder="1" applyAlignment="1">
      <alignment horizontal="center" vertical="center" wrapText="1"/>
    </xf>
    <xf numFmtId="0" fontId="11" fillId="2" borderId="2" xfId="0" applyNumberFormat="1" applyFont="1" applyFill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center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0" fontId="12" fillId="2" borderId="3" xfId="0" applyNumberFormat="1" applyFont="1" applyFill="1" applyBorder="1" applyAlignment="1">
      <alignment horizontal="center" vertical="center" wrapText="1"/>
    </xf>
    <xf numFmtId="0" fontId="12" fillId="2" borderId="2" xfId="0" applyNumberFormat="1" applyFont="1" applyFill="1" applyBorder="1" applyAlignment="1">
      <alignment horizontal="center" vertical="center" wrapText="1"/>
    </xf>
    <xf numFmtId="0" fontId="10" fillId="2" borderId="2" xfId="0" applyNumberFormat="1" applyFont="1" applyFill="1" applyBorder="1" applyAlignment="1">
      <alignment horizontal="center" vertical="center"/>
    </xf>
    <xf numFmtId="0" fontId="10" fillId="2" borderId="2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 wrapText="1"/>
    </xf>
    <xf numFmtId="165" fontId="12" fillId="2" borderId="6" xfId="2" applyNumberFormat="1" applyFont="1" applyFill="1" applyBorder="1" applyAlignment="1">
      <alignment horizontal="center" vertical="center" wrapText="1"/>
    </xf>
    <xf numFmtId="165" fontId="12" fillId="2" borderId="7" xfId="2" applyNumberFormat="1" applyFont="1" applyFill="1" applyBorder="1" applyAlignment="1">
      <alignment horizontal="center" vertical="center" wrapText="1"/>
    </xf>
    <xf numFmtId="165" fontId="12" fillId="2" borderId="8" xfId="2" applyNumberFormat="1" applyFont="1" applyFill="1" applyBorder="1" applyAlignment="1">
      <alignment horizontal="center" vertical="center" wrapText="1"/>
    </xf>
    <xf numFmtId="165" fontId="12" fillId="2" borderId="9" xfId="2" applyNumberFormat="1" applyFont="1" applyFill="1" applyBorder="1" applyAlignment="1">
      <alignment horizontal="center" vertical="center" wrapText="1"/>
    </xf>
    <xf numFmtId="165" fontId="12" fillId="2" borderId="10" xfId="2" applyNumberFormat="1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3" xfId="1" xr:uid="{00000000-0005-0000-0000-000002000000}"/>
  </cellStyles>
  <dxfs count="1"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01"/>
  <sheetViews>
    <sheetView showZeros="0" tabSelected="1" topLeftCell="B1" zoomScaleNormal="100" workbookViewId="0">
      <pane xSplit="7" ySplit="10" topLeftCell="AI11" activePane="bottomRight" state="frozen"/>
      <selection activeCell="B1" sqref="B1"/>
      <selection pane="topRight" activeCell="H1" sqref="H1"/>
      <selection pane="bottomLeft" activeCell="B11" sqref="B11"/>
      <selection pane="bottomRight" activeCell="BG7" sqref="BG7"/>
    </sheetView>
  </sheetViews>
  <sheetFormatPr defaultRowHeight="15"/>
  <cols>
    <col min="1" max="1" width="9.140625" style="1" hidden="1" customWidth="1"/>
    <col min="2" max="2" width="5" style="2" customWidth="1"/>
    <col min="3" max="3" width="12.28515625" style="22" customWidth="1"/>
    <col min="4" max="4" width="11.85546875" style="2" customWidth="1"/>
    <col min="5" max="5" width="18.140625" style="7" customWidth="1"/>
    <col min="6" max="7" width="9.7109375" style="2" customWidth="1"/>
    <col min="8" max="8" width="12" style="2" customWidth="1"/>
    <col min="9" max="39" width="4" style="2" customWidth="1"/>
    <col min="40" max="40" width="9.28515625" style="11" customWidth="1"/>
    <col min="41" max="41" width="7" style="11" customWidth="1"/>
    <col min="42" max="46" width="6.42578125" style="11" customWidth="1"/>
    <col min="47" max="47" width="6.7109375" style="11" customWidth="1"/>
    <col min="48" max="48" width="8.85546875" style="11" customWidth="1"/>
    <col min="49" max="56" width="6.42578125" style="11" customWidth="1"/>
    <col min="57" max="58" width="6.42578125" style="41" hidden="1" customWidth="1"/>
    <col min="59" max="59" width="6.42578125" style="41" customWidth="1"/>
    <col min="60" max="61" width="8.7109375" style="11" customWidth="1"/>
    <col min="62" max="62" width="20.7109375" style="11" customWidth="1"/>
    <col min="63" max="64" width="23" bestFit="1" customWidth="1"/>
    <col min="65" max="65" width="19.85546875" bestFit="1" customWidth="1"/>
    <col min="66" max="68" width="17" bestFit="1" customWidth="1"/>
    <col min="69" max="69" width="23" bestFit="1" customWidth="1"/>
    <col min="70" max="70" width="14.140625" bestFit="1" customWidth="1"/>
    <col min="71" max="71" width="18" bestFit="1" customWidth="1"/>
    <col min="72" max="72" width="17.7109375" bestFit="1" customWidth="1"/>
    <col min="80" max="16384" width="9.140625" style="1"/>
  </cols>
  <sheetData>
    <row r="1" spans="1:79" s="8" customFormat="1" ht="15" customHeight="1">
      <c r="A1" s="8">
        <v>1</v>
      </c>
      <c r="B1" s="13"/>
      <c r="C1" s="15"/>
      <c r="D1" s="15"/>
      <c r="E1" s="28"/>
      <c r="F1" s="15"/>
      <c r="G1" s="15"/>
      <c r="H1" s="15"/>
      <c r="I1" s="15"/>
      <c r="J1" s="15"/>
      <c r="K1" s="15"/>
      <c r="L1" s="15"/>
      <c r="M1" s="13"/>
      <c r="N1" s="13"/>
      <c r="O1" s="13"/>
      <c r="P1" s="13"/>
      <c r="Q1" s="13"/>
      <c r="R1" s="13"/>
      <c r="S1" s="13"/>
      <c r="T1" s="13"/>
      <c r="U1" s="13"/>
      <c r="V1" s="14"/>
      <c r="W1" s="14"/>
      <c r="X1" s="14"/>
      <c r="Y1" s="14"/>
      <c r="Z1" s="14"/>
      <c r="AA1" s="16"/>
      <c r="AB1" s="16"/>
      <c r="AC1" s="17"/>
      <c r="AD1" s="18"/>
      <c r="AE1" s="18"/>
      <c r="AF1" s="14"/>
      <c r="AG1" s="14"/>
      <c r="AH1" s="17"/>
      <c r="AI1" s="18"/>
      <c r="AJ1" s="17"/>
      <c r="AK1" s="14"/>
      <c r="AL1" s="18"/>
      <c r="AM1" s="17"/>
      <c r="AN1" s="18"/>
      <c r="AO1" s="18"/>
      <c r="AP1" s="18"/>
      <c r="AQ1" s="18"/>
      <c r="AR1" s="18"/>
      <c r="AS1" s="18"/>
      <c r="AT1" s="18"/>
      <c r="BE1" s="37"/>
      <c r="BF1" s="37"/>
      <c r="BG1" s="37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</row>
    <row r="2" spans="1:79" s="8" customFormat="1" ht="15" customHeight="1">
      <c r="A2" s="8">
        <v>2</v>
      </c>
      <c r="B2" s="13"/>
      <c r="C2" s="15"/>
      <c r="D2" s="15"/>
      <c r="E2" s="28"/>
      <c r="F2" s="15"/>
      <c r="G2" s="15"/>
      <c r="H2" s="15"/>
      <c r="I2" s="15"/>
      <c r="J2" s="15"/>
      <c r="K2" s="15"/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4"/>
      <c r="X2" s="14"/>
      <c r="Y2" s="14"/>
      <c r="Z2" s="14"/>
      <c r="AA2" s="16"/>
      <c r="AB2" s="16"/>
      <c r="AC2" s="17"/>
      <c r="AD2" s="18"/>
      <c r="AE2" s="18"/>
      <c r="AF2" s="14"/>
      <c r="AG2" s="14"/>
      <c r="AH2" s="17"/>
      <c r="AI2" s="18"/>
      <c r="AJ2" s="17"/>
      <c r="AK2" s="14"/>
      <c r="AL2" s="18"/>
      <c r="AM2" s="17"/>
      <c r="AN2" s="18"/>
      <c r="AO2" s="18"/>
      <c r="AP2" s="18"/>
      <c r="AQ2" s="18"/>
      <c r="AR2" s="18"/>
      <c r="AS2" s="18"/>
      <c r="AT2" s="18"/>
      <c r="BE2" s="37"/>
      <c r="BF2" s="37"/>
      <c r="BG2" s="37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</row>
    <row r="3" spans="1:79" s="8" customFormat="1" ht="15" customHeight="1">
      <c r="A3" s="8">
        <v>3</v>
      </c>
      <c r="B3" s="13"/>
      <c r="C3" s="15"/>
      <c r="D3" s="15"/>
      <c r="E3" s="14"/>
      <c r="F3" s="15"/>
      <c r="G3" s="15"/>
      <c r="H3" s="15"/>
      <c r="I3" s="15"/>
      <c r="J3" s="15"/>
      <c r="K3" s="15"/>
      <c r="L3" s="13"/>
      <c r="M3" s="13"/>
      <c r="N3" s="13"/>
      <c r="O3" s="13"/>
      <c r="P3" s="13"/>
      <c r="Q3" s="13"/>
      <c r="R3" s="13"/>
      <c r="S3" s="13"/>
      <c r="T3" s="13"/>
      <c r="U3" s="13"/>
      <c r="V3" s="14"/>
      <c r="W3" s="14"/>
      <c r="X3" s="14"/>
      <c r="Y3" s="14"/>
      <c r="Z3" s="14"/>
      <c r="AA3" s="16"/>
      <c r="AB3" s="16"/>
      <c r="AC3" s="17"/>
      <c r="AD3" s="18"/>
      <c r="AE3" s="18"/>
      <c r="AF3" s="14"/>
      <c r="AG3" s="14"/>
      <c r="AH3" s="17"/>
      <c r="AI3" s="18"/>
      <c r="AJ3" s="17"/>
      <c r="AK3" s="14"/>
      <c r="AL3" s="18"/>
      <c r="AM3" s="17"/>
      <c r="AN3" s="18"/>
      <c r="AO3" s="18"/>
      <c r="AP3" s="18"/>
      <c r="AQ3" s="18"/>
      <c r="AR3" s="18"/>
      <c r="AS3" s="18"/>
      <c r="AT3" s="18"/>
      <c r="AU3" s="17"/>
      <c r="AV3" s="17"/>
      <c r="AW3" s="18"/>
      <c r="AX3" s="18"/>
      <c r="AY3" s="18"/>
      <c r="AZ3" s="18"/>
      <c r="BA3" s="18"/>
      <c r="BB3" s="17"/>
      <c r="BC3" s="18"/>
      <c r="BD3" s="18"/>
      <c r="BE3" s="38"/>
      <c r="BF3" s="38"/>
      <c r="BG3" s="38"/>
      <c r="BH3" s="17"/>
      <c r="BI3" s="17"/>
      <c r="BJ3" s="18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</row>
    <row r="4" spans="1:79" s="8" customFormat="1" ht="22.5">
      <c r="A4" s="8">
        <v>4</v>
      </c>
      <c r="B4" s="54" t="s">
        <v>40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43"/>
      <c r="AT4" s="43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39"/>
      <c r="BF4" s="39"/>
      <c r="BG4" s="39"/>
      <c r="BH4" s="19"/>
      <c r="BI4" s="19"/>
      <c r="BJ4" s="19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</row>
    <row r="5" spans="1:79" s="8" customFormat="1" ht="15.75">
      <c r="A5" s="8">
        <v>5</v>
      </c>
      <c r="B5" s="55" t="str">
        <f>"Month:" &amp; "  " &amp; A1 &amp; " - " &amp; A2</f>
        <v>Month:  1 - 2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44"/>
      <c r="AT5" s="44"/>
      <c r="AU5" s="9"/>
      <c r="AV5" s="9"/>
      <c r="AW5" s="9"/>
      <c r="AX5" s="9"/>
      <c r="AY5" s="9"/>
      <c r="AZ5" s="9"/>
      <c r="BA5" s="9"/>
      <c r="BB5" s="9"/>
      <c r="BC5" s="9"/>
      <c r="BD5" s="9"/>
      <c r="BE5" s="40"/>
      <c r="BF5" s="40"/>
      <c r="BG5" s="40"/>
      <c r="BH5" s="9"/>
      <c r="BI5" s="9"/>
      <c r="BJ5" s="9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</row>
    <row r="6" spans="1:79" ht="15.75" customHeight="1">
      <c r="A6" s="1">
        <v>6</v>
      </c>
      <c r="B6" s="20">
        <v>2</v>
      </c>
      <c r="C6" s="20" t="s">
        <v>4</v>
      </c>
      <c r="D6" s="20" t="s">
        <v>4</v>
      </c>
      <c r="E6" s="21" t="s">
        <v>4</v>
      </c>
      <c r="F6" s="20" t="s">
        <v>4</v>
      </c>
      <c r="G6" s="20" t="s">
        <v>4</v>
      </c>
      <c r="H6" s="20" t="s">
        <v>4</v>
      </c>
      <c r="I6" s="20">
        <v>1</v>
      </c>
      <c r="J6" s="20">
        <v>1</v>
      </c>
      <c r="K6" s="20">
        <v>1</v>
      </c>
      <c r="L6" s="20">
        <v>1</v>
      </c>
      <c r="M6" s="20">
        <v>1</v>
      </c>
      <c r="N6" s="20">
        <v>1</v>
      </c>
      <c r="O6" s="20">
        <v>1</v>
      </c>
      <c r="P6" s="20">
        <v>1</v>
      </c>
      <c r="Q6" s="20">
        <v>1</v>
      </c>
      <c r="R6" s="20">
        <v>1</v>
      </c>
      <c r="S6" s="20">
        <v>1</v>
      </c>
      <c r="T6" s="20">
        <v>1</v>
      </c>
      <c r="U6" s="20">
        <v>1</v>
      </c>
      <c r="V6" s="20">
        <v>1</v>
      </c>
      <c r="W6" s="20">
        <v>1</v>
      </c>
      <c r="X6" s="20">
        <v>1</v>
      </c>
      <c r="Y6" s="20">
        <v>1</v>
      </c>
      <c r="Z6" s="20">
        <v>1</v>
      </c>
      <c r="AA6" s="20">
        <v>1</v>
      </c>
      <c r="AB6" s="20">
        <v>1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20">
        <v>1</v>
      </c>
      <c r="AJ6" s="20">
        <v>1</v>
      </c>
      <c r="AK6" s="20">
        <v>1</v>
      </c>
      <c r="AL6" s="20">
        <v>1</v>
      </c>
      <c r="AM6" s="20">
        <v>1</v>
      </c>
      <c r="AN6" s="11" t="s">
        <v>4</v>
      </c>
      <c r="AO6" s="11" t="s">
        <v>4</v>
      </c>
      <c r="AP6" s="20" t="s">
        <v>4</v>
      </c>
      <c r="AQ6" s="20" t="s">
        <v>4</v>
      </c>
      <c r="AR6" s="20" t="s">
        <v>4</v>
      </c>
      <c r="AS6" s="41" t="s">
        <v>4</v>
      </c>
      <c r="AT6" s="20"/>
      <c r="AU6" s="20" t="s">
        <v>4</v>
      </c>
      <c r="AV6" s="20" t="s">
        <v>4</v>
      </c>
      <c r="AW6" s="20" t="s">
        <v>4</v>
      </c>
      <c r="AX6" s="20" t="s">
        <v>4</v>
      </c>
      <c r="AY6" s="20" t="s">
        <v>4</v>
      </c>
      <c r="AZ6" s="20" t="s">
        <v>4</v>
      </c>
      <c r="BA6" s="20" t="s">
        <v>4</v>
      </c>
      <c r="BB6" s="20" t="s">
        <v>4</v>
      </c>
      <c r="BC6" s="20" t="s">
        <v>4</v>
      </c>
      <c r="BD6" s="20" t="s">
        <v>4</v>
      </c>
      <c r="BE6" s="41" t="s">
        <v>4</v>
      </c>
      <c r="BF6" s="41" t="s">
        <v>4</v>
      </c>
      <c r="BG6" s="41" t="s">
        <v>4</v>
      </c>
      <c r="BH6" s="20" t="s">
        <v>4</v>
      </c>
      <c r="BI6" s="20" t="s">
        <v>4</v>
      </c>
      <c r="BJ6" s="20" t="s">
        <v>4</v>
      </c>
    </row>
    <row r="7" spans="1:79" ht="15.75" customHeight="1">
      <c r="B7" s="20" t="s">
        <v>0</v>
      </c>
      <c r="C7" s="20" t="s">
        <v>5</v>
      </c>
      <c r="D7" s="20" t="s">
        <v>71</v>
      </c>
      <c r="E7" s="21" t="s">
        <v>6</v>
      </c>
      <c r="F7" s="20" t="s">
        <v>7</v>
      </c>
      <c r="G7" s="20" t="s">
        <v>74</v>
      </c>
      <c r="H7" s="20" t="s">
        <v>43</v>
      </c>
      <c r="I7" s="20" t="s">
        <v>8</v>
      </c>
      <c r="J7" s="20" t="s">
        <v>9</v>
      </c>
      <c r="K7" s="20" t="s">
        <v>10</v>
      </c>
      <c r="L7" s="20" t="s">
        <v>11</v>
      </c>
      <c r="M7" s="20" t="s">
        <v>12</v>
      </c>
      <c r="N7" s="20" t="s">
        <v>13</v>
      </c>
      <c r="O7" s="20" t="s">
        <v>14</v>
      </c>
      <c r="P7" s="20" t="s">
        <v>15</v>
      </c>
      <c r="Q7" s="20" t="s">
        <v>16</v>
      </c>
      <c r="R7" s="20" t="s">
        <v>17</v>
      </c>
      <c r="S7" s="20" t="s">
        <v>18</v>
      </c>
      <c r="T7" s="20" t="s">
        <v>19</v>
      </c>
      <c r="U7" s="20" t="s">
        <v>20</v>
      </c>
      <c r="V7" s="20" t="s">
        <v>21</v>
      </c>
      <c r="W7" s="20" t="s">
        <v>22</v>
      </c>
      <c r="X7" s="20" t="s">
        <v>23</v>
      </c>
      <c r="Y7" s="20" t="s">
        <v>24</v>
      </c>
      <c r="Z7" s="20" t="s">
        <v>25</v>
      </c>
      <c r="AA7" s="20" t="s">
        <v>26</v>
      </c>
      <c r="AB7" s="20" t="s">
        <v>27</v>
      </c>
      <c r="AC7" s="20" t="s">
        <v>28</v>
      </c>
      <c r="AD7" s="20" t="s">
        <v>29</v>
      </c>
      <c r="AE7" s="20" t="s">
        <v>30</v>
      </c>
      <c r="AF7" s="20" t="s">
        <v>31</v>
      </c>
      <c r="AG7" s="20" t="s">
        <v>32</v>
      </c>
      <c r="AH7" s="20" t="s">
        <v>33</v>
      </c>
      <c r="AI7" s="20" t="s">
        <v>34</v>
      </c>
      <c r="AJ7" s="20" t="s">
        <v>35</v>
      </c>
      <c r="AK7" s="20" t="s">
        <v>36</v>
      </c>
      <c r="AL7" s="20" t="s">
        <v>37</v>
      </c>
      <c r="AM7" s="20" t="s">
        <v>38</v>
      </c>
      <c r="AP7" s="20" t="s">
        <v>46</v>
      </c>
      <c r="AQ7" s="20"/>
      <c r="AR7" s="20" t="s">
        <v>62</v>
      </c>
      <c r="AS7" s="41" t="s">
        <v>80</v>
      </c>
      <c r="AT7" s="20"/>
      <c r="AU7" s="20" t="s">
        <v>50</v>
      </c>
      <c r="AV7" s="20" t="s">
        <v>63</v>
      </c>
      <c r="AW7" s="20" t="s">
        <v>66</v>
      </c>
      <c r="AX7" s="20" t="s">
        <v>64</v>
      </c>
      <c r="AY7" s="20" t="s">
        <v>89</v>
      </c>
      <c r="AZ7" s="20" t="s">
        <v>48</v>
      </c>
      <c r="BA7" s="20" t="s">
        <v>67</v>
      </c>
      <c r="BB7" s="20" t="s">
        <v>84</v>
      </c>
      <c r="BC7" s="20" t="s">
        <v>68</v>
      </c>
      <c r="BD7" s="20" t="s">
        <v>70</v>
      </c>
      <c r="BE7" s="41" t="s">
        <v>81</v>
      </c>
      <c r="BG7" s="41" t="s">
        <v>80</v>
      </c>
      <c r="BH7" s="20" t="s">
        <v>82</v>
      </c>
      <c r="BI7" s="20" t="s">
        <v>83</v>
      </c>
      <c r="BJ7" s="20"/>
      <c r="BL7" s="20"/>
      <c r="BM7" s="20"/>
    </row>
    <row r="8" spans="1:79" ht="15.75" customHeight="1">
      <c r="B8" s="20"/>
      <c r="C8" s="20"/>
      <c r="D8" s="20"/>
      <c r="E8" s="21"/>
      <c r="F8" s="20"/>
      <c r="G8" s="20"/>
      <c r="H8" s="20"/>
      <c r="I8" s="3">
        <f>DATE($A$2,$A$1,1)</f>
        <v>732</v>
      </c>
      <c r="J8" s="3">
        <f>DATE($A$2,$A$1,2)</f>
        <v>733</v>
      </c>
      <c r="K8" s="3">
        <f>DATE($A$2,$A$1,3)</f>
        <v>734</v>
      </c>
      <c r="L8" s="3">
        <f>DATE($A$2,$A$1,4)</f>
        <v>735</v>
      </c>
      <c r="M8" s="3">
        <f>DATE($A$2,$A$1,5)</f>
        <v>736</v>
      </c>
      <c r="N8" s="3">
        <f>DATE($A$2,$A$1,6)</f>
        <v>737</v>
      </c>
      <c r="O8" s="3">
        <f>DATE($A$2,$A$1,7)</f>
        <v>738</v>
      </c>
      <c r="P8" s="3">
        <f>DATE($A$2,$A$1,8)</f>
        <v>739</v>
      </c>
      <c r="Q8" s="3">
        <f>DATE($A$2,$A$1,9)</f>
        <v>740</v>
      </c>
      <c r="R8" s="3">
        <f>DATE($A$2,$A$1,10)</f>
        <v>741</v>
      </c>
      <c r="S8" s="3">
        <f>DATE($A$2,$A$1,11)</f>
        <v>742</v>
      </c>
      <c r="T8" s="3">
        <f>DATE($A$2,$A$1,12)</f>
        <v>743</v>
      </c>
      <c r="U8" s="3">
        <f>DATE($A$2,$A$1,13)</f>
        <v>744</v>
      </c>
      <c r="V8" s="3">
        <f>DATE($A$2,$A$1,14)</f>
        <v>745</v>
      </c>
      <c r="W8" s="3">
        <f>DATE($A$2,$A$1,15)</f>
        <v>746</v>
      </c>
      <c r="X8" s="3">
        <f>DATE($A$2,$A$1,16)</f>
        <v>747</v>
      </c>
      <c r="Y8" s="3">
        <f>DATE($A$2,$A$1,17)</f>
        <v>748</v>
      </c>
      <c r="Z8" s="3">
        <f>DATE($A$2,$A$1,18)</f>
        <v>749</v>
      </c>
      <c r="AA8" s="3">
        <f>DATE($A$2,$A$1,19)</f>
        <v>750</v>
      </c>
      <c r="AB8" s="3">
        <f>DATE($A$2,$A$1,20)</f>
        <v>751</v>
      </c>
      <c r="AC8" s="3">
        <f>DATE($A$2,$A$1,21)</f>
        <v>752</v>
      </c>
      <c r="AD8" s="3">
        <f>DATE($A$2,$A$1,22)</f>
        <v>753</v>
      </c>
      <c r="AE8" s="3">
        <f>DATE($A$2,$A$1,23)</f>
        <v>754</v>
      </c>
      <c r="AF8" s="3">
        <f>DATE($A$2,$A$1,24)</f>
        <v>755</v>
      </c>
      <c r="AG8" s="3">
        <f>DATE($A$2,$A$1,25)</f>
        <v>756</v>
      </c>
      <c r="AH8" s="3">
        <f>DATE($A$2,$A$1,26)</f>
        <v>757</v>
      </c>
      <c r="AI8" s="3">
        <f>DATE($A$2,$A$1,27)</f>
        <v>758</v>
      </c>
      <c r="AJ8" s="3">
        <f>DATE($A$2,$A$1,28)</f>
        <v>759</v>
      </c>
      <c r="AK8" s="3">
        <f>DATE($A$2,$A$1,29)</f>
        <v>760</v>
      </c>
      <c r="AL8" s="3">
        <f>DATE($A$2,$A$1,30)</f>
        <v>761</v>
      </c>
      <c r="AM8" s="3">
        <f>DATE($A$2,$A$1,31)</f>
        <v>762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H8" s="20"/>
      <c r="BI8" s="20"/>
      <c r="BJ8" s="20"/>
    </row>
    <row r="9" spans="1:79" ht="38.25" customHeight="1">
      <c r="A9" s="5"/>
      <c r="B9" s="51" t="s">
        <v>2</v>
      </c>
      <c r="C9" s="52" t="s">
        <v>51</v>
      </c>
      <c r="D9" s="29" t="s">
        <v>49</v>
      </c>
      <c r="E9" s="52" t="s">
        <v>52</v>
      </c>
      <c r="F9" s="25" t="s">
        <v>1</v>
      </c>
      <c r="G9" s="34" t="s">
        <v>72</v>
      </c>
      <c r="H9" s="26" t="s">
        <v>41</v>
      </c>
      <c r="I9" s="46" t="str">
        <f>+IF(WEEKDAY(I8)=1,"SUN",IF(WEEKDAY(I8)=2,"MON",IF(WEEKDAY(I8)=3,"TUE",IF(WEEKDAY(I8)=4,"WED",IF(WEEKDAY(I8)=5,"THU",IF(WEEKDAY(I8)=6,"FRI",IF(WEEKDAY(I8)=7,"SAT"))))))) &amp; "
" &amp;DAY(I8)</f>
        <v>WED
1</v>
      </c>
      <c r="J9" s="46" t="str">
        <f t="shared" ref="J9:AM9" si="0">+IF(WEEKDAY(J8)=1,"SUN",IF(WEEKDAY(J8)=2,"MON",IF(WEEKDAY(J8)=3,"TUE",IF(WEEKDAY(J8)=4,"WED",IF(WEEKDAY(J8)=5,"THU",IF(WEEKDAY(J8)=6,"FRI",IF(WEEKDAY(J8)=7,"SAT"))))))) &amp; "
" &amp;DAY(J8)</f>
        <v>THU
2</v>
      </c>
      <c r="K9" s="46" t="str">
        <f t="shared" si="0"/>
        <v>FRI
3</v>
      </c>
      <c r="L9" s="46" t="str">
        <f t="shared" si="0"/>
        <v>SAT
4</v>
      </c>
      <c r="M9" s="46" t="str">
        <f t="shared" si="0"/>
        <v>SUN
5</v>
      </c>
      <c r="N9" s="46" t="str">
        <f t="shared" si="0"/>
        <v>MON
6</v>
      </c>
      <c r="O9" s="46" t="str">
        <f t="shared" si="0"/>
        <v>TUE
7</v>
      </c>
      <c r="P9" s="46" t="str">
        <f t="shared" si="0"/>
        <v>WED
8</v>
      </c>
      <c r="Q9" s="46" t="str">
        <f t="shared" si="0"/>
        <v>THU
9</v>
      </c>
      <c r="R9" s="46" t="str">
        <f t="shared" si="0"/>
        <v>FRI
10</v>
      </c>
      <c r="S9" s="46" t="str">
        <f t="shared" si="0"/>
        <v>SAT
11</v>
      </c>
      <c r="T9" s="46" t="str">
        <f t="shared" si="0"/>
        <v>SUN
12</v>
      </c>
      <c r="U9" s="46" t="str">
        <f t="shared" si="0"/>
        <v>MON
13</v>
      </c>
      <c r="V9" s="46" t="str">
        <f t="shared" si="0"/>
        <v>TUE
14</v>
      </c>
      <c r="W9" s="46" t="str">
        <f t="shared" si="0"/>
        <v>WED
15</v>
      </c>
      <c r="X9" s="46" t="str">
        <f t="shared" si="0"/>
        <v>THU
16</v>
      </c>
      <c r="Y9" s="46" t="str">
        <f t="shared" si="0"/>
        <v>FRI
17</v>
      </c>
      <c r="Z9" s="46" t="str">
        <f t="shared" si="0"/>
        <v>SAT
18</v>
      </c>
      <c r="AA9" s="46" t="str">
        <f t="shared" si="0"/>
        <v>SUN
19</v>
      </c>
      <c r="AB9" s="46" t="str">
        <f t="shared" si="0"/>
        <v>MON
20</v>
      </c>
      <c r="AC9" s="46" t="str">
        <f t="shared" si="0"/>
        <v>TUE
21</v>
      </c>
      <c r="AD9" s="46" t="str">
        <f t="shared" si="0"/>
        <v>WED
22</v>
      </c>
      <c r="AE9" s="46" t="str">
        <f t="shared" si="0"/>
        <v>THU
23</v>
      </c>
      <c r="AF9" s="46" t="str">
        <f t="shared" si="0"/>
        <v>FRI
24</v>
      </c>
      <c r="AG9" s="46" t="str">
        <f t="shared" si="0"/>
        <v>SAT
25</v>
      </c>
      <c r="AH9" s="46" t="str">
        <f t="shared" si="0"/>
        <v>SUN
26</v>
      </c>
      <c r="AI9" s="46" t="str">
        <f t="shared" si="0"/>
        <v>MON
27</v>
      </c>
      <c r="AJ9" s="46" t="str">
        <f t="shared" si="0"/>
        <v>TUE
28</v>
      </c>
      <c r="AK9" s="46" t="str">
        <f t="shared" si="0"/>
        <v>WED
29</v>
      </c>
      <c r="AL9" s="46" t="str">
        <f t="shared" si="0"/>
        <v>THU
30</v>
      </c>
      <c r="AM9" s="46" t="str">
        <f t="shared" si="0"/>
        <v>FRI
31</v>
      </c>
      <c r="AN9" s="50" t="s">
        <v>55</v>
      </c>
      <c r="AO9" s="48" t="s">
        <v>57</v>
      </c>
      <c r="AP9" s="50" t="s">
        <v>54</v>
      </c>
      <c r="AQ9" s="48" t="s">
        <v>56</v>
      </c>
      <c r="AR9" s="48" t="s">
        <v>60</v>
      </c>
      <c r="AS9" s="48" t="s">
        <v>90</v>
      </c>
      <c r="AT9" s="48" t="s">
        <v>91</v>
      </c>
      <c r="AU9" s="48" t="s">
        <v>87</v>
      </c>
      <c r="AV9" s="45" t="s">
        <v>58</v>
      </c>
      <c r="AW9" s="48" t="s">
        <v>65</v>
      </c>
      <c r="AX9" s="48" t="s">
        <v>47</v>
      </c>
      <c r="AY9" s="48" t="s">
        <v>88</v>
      </c>
      <c r="AZ9" s="33" t="s">
        <v>53</v>
      </c>
      <c r="BA9" s="48" t="s">
        <v>61</v>
      </c>
      <c r="BB9" s="48" t="s">
        <v>85</v>
      </c>
      <c r="BC9" s="48" t="s">
        <v>69</v>
      </c>
      <c r="BD9" s="48" t="s">
        <v>86</v>
      </c>
      <c r="BE9" s="56" t="s">
        <v>75</v>
      </c>
      <c r="BF9" s="57"/>
      <c r="BG9" s="58"/>
      <c r="BH9" s="36" t="s">
        <v>76</v>
      </c>
      <c r="BI9" s="36" t="s">
        <v>77</v>
      </c>
      <c r="BJ9" s="50" t="s">
        <v>45</v>
      </c>
    </row>
    <row r="10" spans="1:79" ht="40.5" customHeight="1">
      <c r="A10" s="5"/>
      <c r="B10" s="51"/>
      <c r="C10" s="53"/>
      <c r="D10" s="27" t="s">
        <v>39</v>
      </c>
      <c r="E10" s="52"/>
      <c r="F10" s="24" t="s">
        <v>3</v>
      </c>
      <c r="G10" s="35" t="s">
        <v>73</v>
      </c>
      <c r="H10" s="27" t="s">
        <v>42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8"/>
      <c r="AO10" s="49"/>
      <c r="AP10" s="48"/>
      <c r="AQ10" s="49"/>
      <c r="AR10" s="49"/>
      <c r="AS10" s="49"/>
      <c r="AT10" s="49"/>
      <c r="AU10" s="49"/>
      <c r="AV10" s="31" t="s">
        <v>59</v>
      </c>
      <c r="AW10" s="49"/>
      <c r="AX10" s="49"/>
      <c r="AY10" s="49"/>
      <c r="AZ10" s="30" t="s">
        <v>44</v>
      </c>
      <c r="BA10" s="49"/>
      <c r="BB10" s="49"/>
      <c r="BC10" s="49"/>
      <c r="BD10" s="49"/>
      <c r="BE10" s="59"/>
      <c r="BF10" s="60"/>
      <c r="BG10" s="61"/>
      <c r="BH10" s="36" t="s">
        <v>79</v>
      </c>
      <c r="BI10" s="36" t="s">
        <v>78</v>
      </c>
      <c r="BJ10" s="50"/>
    </row>
    <row r="11" spans="1:79" ht="13.5" customHeight="1">
      <c r="B11" s="4"/>
      <c r="C11" s="23"/>
      <c r="D11" s="6"/>
      <c r="E11" s="10"/>
      <c r="F11" s="6"/>
      <c r="G11" s="6"/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12">
        <f>(BH11+BI11)*8</f>
        <v>0</v>
      </c>
      <c r="AO11" s="12">
        <f>AN11/8</f>
        <v>0</v>
      </c>
      <c r="AP11" s="12"/>
      <c r="AQ11" s="12">
        <f>AP11/8</f>
        <v>0</v>
      </c>
      <c r="AR11" s="32"/>
      <c r="AS11" s="32"/>
      <c r="AT11" s="32"/>
      <c r="AU11" s="12"/>
      <c r="AV11" s="32"/>
      <c r="AW11" s="32"/>
      <c r="AX11" s="32"/>
      <c r="AY11" s="32"/>
      <c r="AZ11" s="12"/>
      <c r="BA11" s="32"/>
      <c r="BB11" s="12"/>
      <c r="BC11" s="32"/>
      <c r="BD11" s="32"/>
      <c r="BE11" s="42"/>
      <c r="BF11" s="42">
        <f>BG11-BE11</f>
        <v>0</v>
      </c>
      <c r="BG11" s="42"/>
      <c r="BH11" s="12"/>
      <c r="BI11" s="12"/>
      <c r="BJ11" s="12"/>
    </row>
    <row r="12" spans="1:79" ht="13.5" customHeight="1"/>
    <row r="13" spans="1:79" ht="13.5" customHeight="1"/>
    <row r="14" spans="1:79" ht="13.5" customHeight="1"/>
    <row r="15" spans="1:79" ht="13.5" customHeight="1"/>
    <row r="16" spans="1:79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</sheetData>
  <mergeCells count="53">
    <mergeCell ref="BE9:BG10"/>
    <mergeCell ref="AS9:AS10"/>
    <mergeCell ref="AT9:AT10"/>
    <mergeCell ref="BJ9:BJ10"/>
    <mergeCell ref="N9:N10"/>
    <mergeCell ref="E9:E10"/>
    <mergeCell ref="AU9:AU10"/>
    <mergeCell ref="BC9:BC10"/>
    <mergeCell ref="BD9:BD10"/>
    <mergeCell ref="I9:I10"/>
    <mergeCell ref="J9:J10"/>
    <mergeCell ref="K9:K10"/>
    <mergeCell ref="L9:L10"/>
    <mergeCell ref="M9:M10"/>
    <mergeCell ref="AL9:AL10"/>
    <mergeCell ref="AF9:AF10"/>
    <mergeCell ref="AH9:AH10"/>
    <mergeCell ref="O9:O10"/>
    <mergeCell ref="W9:W10"/>
    <mergeCell ref="B4:AR4"/>
    <mergeCell ref="B5:AR5"/>
    <mergeCell ref="V9:V10"/>
    <mergeCell ref="AI9:AI10"/>
    <mergeCell ref="X9:X10"/>
    <mergeCell ref="Y9:Y10"/>
    <mergeCell ref="Z9:Z10"/>
    <mergeCell ref="AA9:AA10"/>
    <mergeCell ref="AB9:AB10"/>
    <mergeCell ref="AC9:AC10"/>
    <mergeCell ref="AD9:AD10"/>
    <mergeCell ref="AE9:AE10"/>
    <mergeCell ref="T9:T10"/>
    <mergeCell ref="AG9:AG10"/>
    <mergeCell ref="B9:B10"/>
    <mergeCell ref="BA9:BA10"/>
    <mergeCell ref="AW9:AW10"/>
    <mergeCell ref="AY9:AY10"/>
    <mergeCell ref="C9:C10"/>
    <mergeCell ref="AR9:AR10"/>
    <mergeCell ref="U9:U10"/>
    <mergeCell ref="AM9:AM10"/>
    <mergeCell ref="AK9:AK10"/>
    <mergeCell ref="P9:P10"/>
    <mergeCell ref="Q9:Q10"/>
    <mergeCell ref="R9:R10"/>
    <mergeCell ref="S9:S10"/>
    <mergeCell ref="AJ9:AJ10"/>
    <mergeCell ref="BB9:BB10"/>
    <mergeCell ref="AX9:AX10"/>
    <mergeCell ref="AQ9:AQ10"/>
    <mergeCell ref="AO9:AO10"/>
    <mergeCell ref="AN9:AN10"/>
    <mergeCell ref="AP9:AP10"/>
  </mergeCells>
  <conditionalFormatting sqref="I9:AM10">
    <cfRule type="containsText" dxfId="0" priority="1" operator="containsText" text="SUN">
      <formula>NOT(ISERROR(SEARCH("SUN",I9)))</formula>
    </cfRule>
  </conditionalFormatting>
  <pageMargins left="0.11811023622047245" right="0.11811023622047245" top="0.11811023622047245" bottom="0.3" header="0" footer="0"/>
  <pageSetup paperSize="9" scale="60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2022-12-08T07:21:33Z</dcterms:modified>
</cp:coreProperties>
</file>