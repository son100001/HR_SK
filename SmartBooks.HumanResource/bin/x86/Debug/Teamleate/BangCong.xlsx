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SAUDIT\GitHub\CapGlobal\HR_CapGlobal\SmartBooks.HumanResource\bin\x86\Debug\Teamleate\"/>
    </mc:Choice>
  </mc:AlternateContent>
  <xr:revisionPtr revIDLastSave="0" documentId="13_ncr:1_{6F4819D1-A2AD-489E-B82D-A25612E90435}" xr6:coauthVersionLast="45" xr6:coauthVersionMax="45" xr10:uidLastSave="{00000000-0000-0000-0000-000000000000}"/>
  <bookViews>
    <workbookView xWindow="20370" yWindow="-120" windowWidth="29040" windowHeight="16440" xr2:uid="{2ED4EDBE-50AC-42F6-8CC0-26027B85288A}"/>
  </bookViews>
  <sheets>
    <sheet name="Sheet1" sheetId="1" r:id="rId1"/>
  </sheets>
  <definedNames>
    <definedName name="_xlnm._FilterDatabase" localSheetId="0" hidden="1">Sheet1!$A$15:$CK$15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8" i="1" l="1"/>
  <c r="AP16" i="1" l="1"/>
  <c r="AQ16" i="1" s="1"/>
  <c r="AW10" i="1" l="1"/>
  <c r="AW14" i="1" s="1"/>
  <c r="AX10" i="1"/>
  <c r="AX14" i="1" s="1"/>
  <c r="AY10" i="1"/>
  <c r="AY14" i="1" s="1"/>
  <c r="AZ10" i="1"/>
  <c r="AZ14" i="1" s="1"/>
  <c r="BA10" i="1"/>
  <c r="BA14" i="1" s="1"/>
  <c r="BB10" i="1"/>
  <c r="BB14" i="1" s="1"/>
  <c r="BC10" i="1"/>
  <c r="BC14" i="1" s="1"/>
  <c r="BD10" i="1"/>
  <c r="BD14" i="1" s="1"/>
  <c r="BE10" i="1"/>
  <c r="BE14" i="1" s="1"/>
  <c r="BF10" i="1"/>
  <c r="BF14" i="1" s="1"/>
  <c r="BG10" i="1"/>
  <c r="BG14" i="1" s="1"/>
  <c r="BH10" i="1"/>
  <c r="BH14" i="1" s="1"/>
  <c r="BI10" i="1"/>
  <c r="BI14" i="1" s="1"/>
  <c r="BJ10" i="1"/>
  <c r="BJ14" i="1" s="1"/>
  <c r="BK10" i="1"/>
  <c r="BK14" i="1" s="1"/>
  <c r="BL10" i="1"/>
  <c r="BL14" i="1" s="1"/>
  <c r="BM10" i="1"/>
  <c r="BM14" i="1" s="1"/>
  <c r="BN10" i="1"/>
  <c r="BN14" i="1" s="1"/>
  <c r="BO10" i="1"/>
  <c r="BO14" i="1" s="1"/>
  <c r="BP10" i="1"/>
  <c r="BP14" i="1" s="1"/>
  <c r="BQ10" i="1"/>
  <c r="BQ14" i="1" s="1"/>
  <c r="BR10" i="1"/>
  <c r="BR14" i="1" s="1"/>
  <c r="BS10" i="1"/>
  <c r="BS14" i="1" s="1"/>
  <c r="BT10" i="1"/>
  <c r="BT14" i="1" s="1"/>
  <c r="BU10" i="1"/>
  <c r="BU14" i="1" s="1"/>
  <c r="BV10" i="1"/>
  <c r="BV14" i="1" s="1"/>
  <c r="BW10" i="1"/>
  <c r="BW14" i="1" s="1"/>
  <c r="BX10" i="1"/>
  <c r="BX14" i="1" s="1"/>
  <c r="BY10" i="1"/>
  <c r="BY14" i="1" s="1"/>
  <c r="BZ10" i="1"/>
  <c r="BZ14" i="1" s="1"/>
  <c r="AV10" i="1"/>
  <c r="AV14" i="1" s="1"/>
  <c r="H10" i="1"/>
  <c r="H14" i="1" s="1"/>
  <c r="I10" i="1"/>
  <c r="I14" i="1" s="1"/>
  <c r="J10" i="1"/>
  <c r="J14" i="1" s="1"/>
  <c r="K10" i="1"/>
  <c r="K14" i="1" s="1"/>
  <c r="L10" i="1"/>
  <c r="L14" i="1" s="1"/>
  <c r="M10" i="1"/>
  <c r="M14" i="1" s="1"/>
  <c r="N10" i="1"/>
  <c r="N14" i="1" s="1"/>
  <c r="O10" i="1"/>
  <c r="O14" i="1" s="1"/>
  <c r="P10" i="1"/>
  <c r="P14" i="1" s="1"/>
  <c r="Q10" i="1"/>
  <c r="Q14" i="1" s="1"/>
  <c r="R10" i="1"/>
  <c r="R14" i="1" s="1"/>
  <c r="S10" i="1"/>
  <c r="S14" i="1" s="1"/>
  <c r="T10" i="1"/>
  <c r="T14" i="1" s="1"/>
  <c r="U10" i="1"/>
  <c r="U14" i="1" s="1"/>
  <c r="V10" i="1"/>
  <c r="V14" i="1" s="1"/>
  <c r="W10" i="1"/>
  <c r="W14" i="1" s="1"/>
  <c r="X10" i="1"/>
  <c r="X14" i="1" s="1"/>
  <c r="Y10" i="1"/>
  <c r="Y14" i="1" s="1"/>
  <c r="Z10" i="1"/>
  <c r="Z14" i="1" s="1"/>
  <c r="AA10" i="1"/>
  <c r="AA14" i="1" s="1"/>
  <c r="AB10" i="1"/>
  <c r="AB14" i="1" s="1"/>
  <c r="AC10" i="1"/>
  <c r="AC14" i="1" s="1"/>
  <c r="AD10" i="1"/>
  <c r="AD14" i="1" s="1"/>
  <c r="AE10" i="1"/>
  <c r="AE14" i="1" s="1"/>
  <c r="AF10" i="1"/>
  <c r="AF14" i="1" s="1"/>
  <c r="AG10" i="1"/>
  <c r="AG14" i="1" s="1"/>
  <c r="AH10" i="1"/>
  <c r="AH14" i="1" s="1"/>
  <c r="AI10" i="1"/>
  <c r="AI14" i="1" s="1"/>
  <c r="AJ10" i="1"/>
  <c r="AJ14" i="1" s="1"/>
  <c r="AK10" i="1"/>
  <c r="AK14" i="1" s="1"/>
  <c r="G10" i="1"/>
  <c r="G14" i="1" s="1"/>
  <c r="I7" i="1" l="1"/>
</calcChain>
</file>

<file path=xl/sharedStrings.xml><?xml version="1.0" encoding="utf-8"?>
<sst xmlns="http://schemas.openxmlformats.org/spreadsheetml/2006/main" count="111" uniqueCount="111">
  <si>
    <t>No.</t>
  </si>
  <si>
    <t>Mã NV
사번</t>
  </si>
  <si>
    <t>Họ tên
이름</t>
  </si>
  <si>
    <t>Vị trí
작업위치</t>
  </si>
  <si>
    <t>Ngày bắt đầu làm việc
출근 시작일자</t>
  </si>
  <si>
    <t>THỜI GIAN LÀM VIỆC BÌNH THƯỜNG/ 근무일</t>
  </si>
  <si>
    <t xml:space="preserve">Số giờ phụ cấp ca đêm  30%
야간 수당 </t>
  </si>
  <si>
    <t>THỜI GIAN LÀM THÊM GIỜ/잔업시간</t>
  </si>
  <si>
    <t>Ký xác nhận công và nhận phiếu lương chi tiết</t>
  </si>
  <si>
    <t>Ghi chú
비고</t>
  </si>
  <si>
    <t>Số giờ làm việc trong tháng
근무 시간(월)</t>
  </si>
  <si>
    <t>Số ngày làm việc trong tháng
월당 근무일</t>
  </si>
  <si>
    <t>Số ngày nghỉ lễ
공휴일</t>
  </si>
  <si>
    <t>Ngày nghỉ việc riêng có hưởng lương
제도휴일</t>
  </si>
  <si>
    <t>Tổng số ngày được hưởng lương
급여 수령 공수</t>
  </si>
  <si>
    <t>Số ngày không làm trong tháng
근무 아하는 일</t>
  </si>
  <si>
    <t>Số ngày ngừng việc được hưởng lương
급여수령 휴무일</t>
  </si>
  <si>
    <t>Số giờ làm thêm ban ngày 150%
주간 잔업 시간</t>
  </si>
  <si>
    <t>Số giờ làm thêm ngày nghỉ  200% O/T 시간</t>
  </si>
  <si>
    <t>Số giờ làm thêm 300%
O/T 시간</t>
  </si>
  <si>
    <t>Số giờ làm thêm Ban đêm 200%
야간 잔업 시간</t>
  </si>
  <si>
    <t>Số giờ làm thêm Ban đêm CN 270%
야간 잔업 시간</t>
  </si>
  <si>
    <t>No</t>
  </si>
  <si>
    <t>Employee_ID</t>
  </si>
  <si>
    <t>FullName</t>
  </si>
  <si>
    <t>PositionFullName</t>
  </si>
  <si>
    <t>CÔNG TY TNHH CAP GLOBAL</t>
  </si>
  <si>
    <t>MST: 5400504931</t>
  </si>
  <si>
    <t>Add: KCN Lương Sơn - xã Hoà Sơn - Lương sơn - Hoà Bình</t>
  </si>
  <si>
    <t>wt1</t>
  </si>
  <si>
    <t>wt2</t>
  </si>
  <si>
    <t>wt3</t>
  </si>
  <si>
    <t>wt4</t>
  </si>
  <si>
    <t>wt5</t>
  </si>
  <si>
    <t>wt6</t>
  </si>
  <si>
    <t>wt7</t>
  </si>
  <si>
    <t>wt8</t>
  </si>
  <si>
    <t>wt9</t>
  </si>
  <si>
    <t>wt10</t>
  </si>
  <si>
    <t>wt11</t>
  </si>
  <si>
    <t>wt12</t>
  </si>
  <si>
    <t>wt13</t>
  </si>
  <si>
    <t>wt14</t>
  </si>
  <si>
    <t>wt15</t>
  </si>
  <si>
    <t>wt16</t>
  </si>
  <si>
    <t>wt17</t>
  </si>
  <si>
    <t>wt18</t>
  </si>
  <si>
    <t>wt19</t>
  </si>
  <si>
    <t>wt20</t>
  </si>
  <si>
    <t>wt21</t>
  </si>
  <si>
    <t>wt22</t>
  </si>
  <si>
    <t>wt23</t>
  </si>
  <si>
    <t>wt24</t>
  </si>
  <si>
    <t>wt25</t>
  </si>
  <si>
    <t>wt26</t>
  </si>
  <si>
    <t>wt27</t>
  </si>
  <si>
    <t>wt28</t>
  </si>
  <si>
    <t>wt29</t>
  </si>
  <si>
    <t>wt30</t>
  </si>
  <si>
    <t>wt31</t>
  </si>
  <si>
    <t>ot1</t>
  </si>
  <si>
    <t>ot2</t>
  </si>
  <si>
    <t>ot3</t>
  </si>
  <si>
    <t>ot4</t>
  </si>
  <si>
    <t>ot5</t>
  </si>
  <si>
    <t>ot6</t>
  </si>
  <si>
    <t>ot7</t>
  </si>
  <si>
    <t>ot8</t>
  </si>
  <si>
    <t>ot9</t>
  </si>
  <si>
    <t>ot10</t>
  </si>
  <si>
    <t>ot11</t>
  </si>
  <si>
    <t>ot12</t>
  </si>
  <si>
    <t>ot13</t>
  </si>
  <si>
    <t>ot14</t>
  </si>
  <si>
    <t>ot15</t>
  </si>
  <si>
    <t>ot16</t>
  </si>
  <si>
    <t>ot17</t>
  </si>
  <si>
    <t>ot18</t>
  </si>
  <si>
    <t>ot19</t>
  </si>
  <si>
    <t>ot20</t>
  </si>
  <si>
    <t>ot21</t>
  </si>
  <si>
    <t>ot22</t>
  </si>
  <si>
    <t>ot23</t>
  </si>
  <si>
    <t>ot24</t>
  </si>
  <si>
    <t>ot25</t>
  </si>
  <si>
    <t>ot26</t>
  </si>
  <si>
    <t>ot27</t>
  </si>
  <si>
    <t>ot28</t>
  </si>
  <si>
    <t>ot29</t>
  </si>
  <si>
    <t>ot30</t>
  </si>
  <si>
    <t>ot31</t>
  </si>
  <si>
    <t>OTThuong</t>
  </si>
  <si>
    <t>OTNgayCN</t>
  </si>
  <si>
    <t>OTNgayLe</t>
  </si>
  <si>
    <t>OTDem</t>
  </si>
  <si>
    <t>OTDemCN</t>
  </si>
  <si>
    <t>wt100_130</t>
  </si>
  <si>
    <t>SoNgayLamViec</t>
  </si>
  <si>
    <t>NghiLe</t>
  </si>
  <si>
    <t>NghiViecRiengHuongLuong</t>
  </si>
  <si>
    <t>PhepNam</t>
  </si>
  <si>
    <t>Số ngày phép nghỉ trong tháng
연차</t>
  </si>
  <si>
    <t xml:space="preserve">Số ngày phép còn lại đến hết tháng
월 미사용 연차 </t>
  </si>
  <si>
    <t>PhepConLai</t>
  </si>
  <si>
    <t>wt130</t>
  </si>
  <si>
    <t>StartedDate</t>
  </si>
  <si>
    <t>SoNgayCongTieuChuan</t>
  </si>
  <si>
    <t>Số ngày công tiêu chuẩn của tháng</t>
  </si>
  <si>
    <t>Ghi chú / Note</t>
  </si>
  <si>
    <t>AL - Phép năm; CH - Nghỉ cưới; TC - Tang chế; TN - Tai nạn lao động; B - Nghỉ bệnh; NLC - Ngày làm cha; KT - Khám thai; ST - Sảy thai; BH - Nghỉ BHXH; DSSST, DSSSM - Dưỡng sức sau sinh thường, mổ; NL - Nghỉ lễ</t>
  </si>
  <si>
    <t>KP - Không phép; UP - Nghỉ không lương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</si>
</sst>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NI-Times"/>
    </font>
    <font>
      <b/>
      <sz val="10"/>
      <name val="Times New Roman"/>
      <family val="1"/>
    </font>
    <font>
      <sz val="10"/>
      <name val="Arial"/>
      <family val="2"/>
    </font>
    <font>
      <b/>
      <sz val="10"/>
      <color theme="1"/>
      <name val="Times New Roman"/>
      <family val="1"/>
    </font>
    <font>
      <b/>
      <sz val="8"/>
      <color theme="1"/>
      <name val="Times New Roman"/>
      <family val="1"/>
    </font>
    <font>
      <b/>
      <sz val="8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ashed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ashed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4" fillId="0" borderId="0"/>
  </cellStyleXfs>
  <cellXfs count="54">
    <xf numFmtId="0" fontId="0" fillId="0" borderId="0" xfId="0"/>
    <xf numFmtId="0" fontId="8" fillId="0" borderId="0" xfId="0" applyFont="1"/>
    <xf numFmtId="0" fontId="10" fillId="0" borderId="0" xfId="0" applyFont="1"/>
    <xf numFmtId="0" fontId="12" fillId="0" borderId="0" xfId="0" applyFont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1" fillId="0" borderId="0" xfId="0" applyFont="1" applyAlignment="1">
      <alignment horizontal="left" vertical="center"/>
    </xf>
    <xf numFmtId="14" fontId="0" fillId="0" borderId="7" xfId="0" applyNumberFormat="1" applyBorder="1"/>
    <xf numFmtId="14" fontId="0" fillId="0" borderId="0" xfId="0" applyNumberFormat="1"/>
    <xf numFmtId="14" fontId="0" fillId="0" borderId="12" xfId="0" applyNumberFormat="1" applyBorder="1"/>
    <xf numFmtId="0" fontId="12" fillId="0" borderId="0" xfId="0" applyNumberFormat="1" applyFont="1"/>
    <xf numFmtId="0" fontId="0" fillId="0" borderId="0" xfId="0" applyNumberFormat="1"/>
    <xf numFmtId="164" fontId="0" fillId="0" borderId="0" xfId="1" applyNumberFormat="1" applyFont="1"/>
    <xf numFmtId="164" fontId="0" fillId="0" borderId="12" xfId="1" applyNumberFormat="1" applyFont="1" applyBorder="1"/>
    <xf numFmtId="164" fontId="0" fillId="0" borderId="7" xfId="1" applyNumberFormat="1" applyFont="1" applyBorder="1"/>
    <xf numFmtId="0" fontId="12" fillId="0" borderId="0" xfId="1" applyNumberFormat="1" applyFont="1"/>
    <xf numFmtId="49" fontId="7" fillId="0" borderId="9" xfId="1" applyNumberFormat="1" applyFont="1" applyFill="1" applyBorder="1" applyAlignment="1">
      <alignment horizontal="center" vertical="center" wrapText="1"/>
    </xf>
    <xf numFmtId="49" fontId="7" fillId="4" borderId="9" xfId="1" applyNumberFormat="1" applyFont="1" applyFill="1" applyBorder="1" applyAlignment="1">
      <alignment horizontal="center" vertical="center" wrapText="1"/>
    </xf>
    <xf numFmtId="49" fontId="7" fillId="0" borderId="9" xfId="1" applyNumberFormat="1" applyFont="1" applyBorder="1" applyAlignment="1">
      <alignment horizontal="center" vertical="center" wrapText="1"/>
    </xf>
    <xf numFmtId="49" fontId="9" fillId="0" borderId="0" xfId="3" applyNumberFormat="1" applyFont="1" applyAlignment="1">
      <alignment horizontal="center" vertical="center" wrapText="1"/>
    </xf>
    <xf numFmtId="49" fontId="8" fillId="0" borderId="0" xfId="0" applyNumberFormat="1" applyFont="1"/>
    <xf numFmtId="14" fontId="12" fillId="0" borderId="0" xfId="0" applyNumberFormat="1" applyFont="1"/>
    <xf numFmtId="14" fontId="0" fillId="0" borderId="0" xfId="1" applyNumberFormat="1" applyFont="1"/>
    <xf numFmtId="0" fontId="7" fillId="4" borderId="10" xfId="1" applyNumberFormat="1" applyFont="1" applyFill="1" applyBorder="1" applyAlignment="1">
      <alignment horizontal="center" vertical="center" wrapText="1"/>
    </xf>
    <xf numFmtId="164" fontId="16" fillId="0" borderId="0" xfId="1" applyNumberFormat="1" applyFont="1"/>
    <xf numFmtId="164" fontId="1" fillId="0" borderId="0" xfId="1" applyNumberFormat="1" applyFont="1" applyAlignment="1">
      <alignment horizontal="left"/>
    </xf>
    <xf numFmtId="164" fontId="0" fillId="0" borderId="0" xfId="1" applyNumberFormat="1" applyFont="1" applyAlignment="1">
      <alignment horizontal="left"/>
    </xf>
    <xf numFmtId="0" fontId="8" fillId="0" borderId="0" xfId="0" applyFont="1" applyAlignment="1">
      <alignment horizontal="center" vertical="center" wrapText="1"/>
    </xf>
    <xf numFmtId="0" fontId="7" fillId="0" borderId="6" xfId="3" applyFont="1" applyBorder="1" applyAlignment="1">
      <alignment horizontal="center" vertical="center" wrapText="1"/>
    </xf>
    <xf numFmtId="0" fontId="7" fillId="0" borderId="11" xfId="3" applyFont="1" applyBorder="1" applyAlignment="1">
      <alignment horizontal="center" vertical="center" wrapText="1"/>
    </xf>
    <xf numFmtId="1" fontId="3" fillId="0" borderId="1" xfId="2" applyNumberFormat="1" applyFont="1" applyBorder="1" applyAlignment="1" applyProtection="1">
      <alignment horizontal="center" vertical="center" wrapText="1"/>
      <protection locked="0"/>
    </xf>
    <xf numFmtId="1" fontId="3" fillId="0" borderId="8" xfId="2" applyNumberFormat="1" applyFont="1" applyBorder="1" applyAlignment="1" applyProtection="1">
      <alignment horizontal="center" vertical="center"/>
      <protection locked="0"/>
    </xf>
    <xf numFmtId="0" fontId="3" fillId="0" borderId="2" xfId="2" applyFont="1" applyBorder="1" applyAlignment="1" applyProtection="1">
      <alignment horizontal="center" vertical="center" wrapText="1"/>
      <protection locked="0"/>
    </xf>
    <xf numFmtId="0" fontId="3" fillId="0" borderId="9" xfId="2" applyFont="1" applyBorder="1" applyAlignment="1" applyProtection="1">
      <alignment horizontal="center" vertical="center"/>
      <protection locked="0"/>
    </xf>
    <xf numFmtId="0" fontId="3" fillId="0" borderId="2" xfId="3" applyFont="1" applyBorder="1" applyAlignment="1" applyProtection="1">
      <alignment horizontal="center" vertical="center" wrapText="1"/>
      <protection hidden="1"/>
    </xf>
    <xf numFmtId="0" fontId="3" fillId="0" borderId="9" xfId="3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 wrapText="1"/>
    </xf>
    <xf numFmtId="14" fontId="5" fillId="0" borderId="9" xfId="0" applyNumberFormat="1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164" fontId="14" fillId="0" borderId="0" xfId="1" applyNumberFormat="1" applyFont="1" applyAlignment="1">
      <alignment horizontal="center" vertical="center"/>
    </xf>
    <xf numFmtId="164" fontId="15" fillId="0" borderId="0" xfId="1" applyNumberFormat="1" applyFont="1" applyAlignment="1">
      <alignment horizontal="center" vertical="center"/>
    </xf>
    <xf numFmtId="164" fontId="6" fillId="3" borderId="2" xfId="1" applyNumberFormat="1" applyFont="1" applyFill="1" applyBorder="1" applyAlignment="1">
      <alignment horizontal="center" vertical="center" wrapText="1"/>
    </xf>
    <xf numFmtId="164" fontId="6" fillId="3" borderId="9" xfId="1" applyNumberFormat="1" applyFont="1" applyFill="1" applyBorder="1" applyAlignment="1">
      <alignment horizontal="center" vertical="center" wrapText="1"/>
    </xf>
    <xf numFmtId="164" fontId="6" fillId="2" borderId="3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164" fontId="6" fillId="2" borderId="5" xfId="1" applyNumberFormat="1" applyFont="1" applyFill="1" applyBorder="1" applyAlignment="1">
      <alignment horizontal="center" vertical="center"/>
    </xf>
    <xf numFmtId="0" fontId="7" fillId="0" borderId="2" xfId="3" applyFont="1" applyBorder="1" applyAlignment="1">
      <alignment horizontal="center" vertical="center" wrapText="1"/>
    </xf>
    <xf numFmtId="0" fontId="7" fillId="0" borderId="9" xfId="3" applyFont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4" xfId="3" xr:uid="{13A9ECE4-D5EA-4A7A-803E-53EEDDF46A9A}"/>
    <cellStyle name="Normal_Bang cham cong tay1" xfId="2" xr:uid="{F053A1D1-460E-4617-BA7D-5DC12FA3FB9A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5</xdr:col>
      <xdr:colOff>723901</xdr:colOff>
      <xdr:row>4</xdr:row>
      <xdr:rowOff>114301</xdr:rowOff>
    </xdr:to>
    <xdr:pic>
      <xdr:nvPicPr>
        <xdr:cNvPr id="2" name="그림 4">
          <a:extLst>
            <a:ext uri="{FF2B5EF4-FFF2-40B4-BE49-F238E27FC236}">
              <a16:creationId xmlns:a16="http://schemas.microsoft.com/office/drawing/2014/main" id="{D95D09F6-F885-4082-B29A-015BF5EF1B0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4895850" cy="876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30B1F-B958-4692-83F1-EDEBE15D3421}">
  <dimension ref="A1:CK16"/>
  <sheetViews>
    <sheetView tabSelected="1" topLeftCell="B1" workbookViewId="0">
      <pane ySplit="15" topLeftCell="A16" activePane="bottomLeft" state="frozen"/>
      <selection activeCell="B1" sqref="B1"/>
      <selection pane="bottomLeft" activeCell="B16" sqref="B16"/>
    </sheetView>
  </sheetViews>
  <sheetFormatPr defaultRowHeight="15" x14ac:dyDescent="0.25"/>
  <cols>
    <col min="1" max="1" width="9.140625" hidden="1" customWidth="1"/>
    <col min="2" max="2" width="7.140625" customWidth="1"/>
    <col min="3" max="3" width="15" customWidth="1"/>
    <col min="4" max="4" width="21.140625" customWidth="1"/>
    <col min="5" max="5" width="19.28515625" customWidth="1"/>
    <col min="6" max="6" width="12.140625" style="12" bestFit="1" customWidth="1"/>
    <col min="7" max="37" width="5.7109375" style="16" customWidth="1"/>
    <col min="38" max="47" width="7.42578125" style="16" customWidth="1"/>
    <col min="48" max="78" width="5.7109375" style="16" customWidth="1"/>
    <col min="79" max="83" width="8.5703125" style="16" customWidth="1"/>
    <col min="89" max="89" width="0" hidden="1" customWidth="1"/>
  </cols>
  <sheetData>
    <row r="1" spans="1:89" x14ac:dyDescent="0.25">
      <c r="A1">
        <v>1</v>
      </c>
    </row>
    <row r="2" spans="1:89" x14ac:dyDescent="0.25">
      <c r="A2">
        <v>2</v>
      </c>
    </row>
    <row r="5" spans="1:89" ht="18.75" x14ac:dyDescent="0.3">
      <c r="BB5" s="28" t="s">
        <v>108</v>
      </c>
    </row>
    <row r="6" spans="1:89" ht="15.75" x14ac:dyDescent="0.25">
      <c r="B6" s="2" t="s">
        <v>26</v>
      </c>
      <c r="C6" s="1"/>
      <c r="D6" s="1"/>
      <c r="E6" s="1"/>
      <c r="BB6" s="29" t="s">
        <v>109</v>
      </c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</row>
    <row r="7" spans="1:89" ht="21" x14ac:dyDescent="0.25">
      <c r="B7" s="10" t="s">
        <v>27</v>
      </c>
      <c r="C7" s="10"/>
      <c r="D7" s="10"/>
      <c r="E7" s="10"/>
      <c r="I7" s="45" t="str">
        <f>"BẢNG CHẤM CÔNG THÁNG "&amp;A1&amp;"/"&amp;A2</f>
        <v>BẢNG CHẤM CÔNG THÁNG 1/2</v>
      </c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BB7" s="30" t="s">
        <v>110</v>
      </c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</row>
    <row r="8" spans="1:89" ht="21" x14ac:dyDescent="0.25">
      <c r="B8" s="3" t="s">
        <v>28</v>
      </c>
      <c r="C8" s="3"/>
      <c r="D8" s="3"/>
      <c r="E8" s="3"/>
      <c r="I8" s="46" t="str">
        <f>"TIMESHEET IN "&amp;TEXT(DATE(A2,A1,1),"mmmm")&amp;", "&amp;A2</f>
        <v>TIMESHEET IN January, 2</v>
      </c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</row>
    <row r="9" spans="1:89" ht="15.75" thickBot="1" x14ac:dyDescent="0.3"/>
    <row r="10" spans="1:89" s="12" customFormat="1" ht="15.75" hidden="1" x14ac:dyDescent="0.25">
      <c r="B10" s="25"/>
      <c r="C10" s="25"/>
      <c r="D10" s="25"/>
      <c r="E10" s="25"/>
      <c r="G10" s="26">
        <f>DATE($A$2,$A$1,SUBSTITUTE(G12,"wt",""))</f>
        <v>732</v>
      </c>
      <c r="H10" s="26">
        <f t="shared" ref="H10:AK10" si="0">DATE($A$2,$A$1,SUBSTITUTE(H12,"wt",""))</f>
        <v>733</v>
      </c>
      <c r="I10" s="26">
        <f t="shared" si="0"/>
        <v>734</v>
      </c>
      <c r="J10" s="26">
        <f t="shared" si="0"/>
        <v>735</v>
      </c>
      <c r="K10" s="26">
        <f t="shared" si="0"/>
        <v>736</v>
      </c>
      <c r="L10" s="26">
        <f t="shared" si="0"/>
        <v>737</v>
      </c>
      <c r="M10" s="26">
        <f t="shared" si="0"/>
        <v>738</v>
      </c>
      <c r="N10" s="26">
        <f t="shared" si="0"/>
        <v>739</v>
      </c>
      <c r="O10" s="26">
        <f t="shared" si="0"/>
        <v>740</v>
      </c>
      <c r="P10" s="26">
        <f t="shared" si="0"/>
        <v>741</v>
      </c>
      <c r="Q10" s="26">
        <f t="shared" si="0"/>
        <v>742</v>
      </c>
      <c r="R10" s="26">
        <f t="shared" si="0"/>
        <v>743</v>
      </c>
      <c r="S10" s="26">
        <f t="shared" si="0"/>
        <v>744</v>
      </c>
      <c r="T10" s="26">
        <f t="shared" si="0"/>
        <v>745</v>
      </c>
      <c r="U10" s="26">
        <f t="shared" si="0"/>
        <v>746</v>
      </c>
      <c r="V10" s="26">
        <f t="shared" si="0"/>
        <v>747</v>
      </c>
      <c r="W10" s="26">
        <f t="shared" si="0"/>
        <v>748</v>
      </c>
      <c r="X10" s="26">
        <f t="shared" si="0"/>
        <v>749</v>
      </c>
      <c r="Y10" s="26">
        <f t="shared" si="0"/>
        <v>750</v>
      </c>
      <c r="Z10" s="26">
        <f t="shared" si="0"/>
        <v>751</v>
      </c>
      <c r="AA10" s="26">
        <f t="shared" si="0"/>
        <v>752</v>
      </c>
      <c r="AB10" s="26">
        <f t="shared" si="0"/>
        <v>753</v>
      </c>
      <c r="AC10" s="26">
        <f t="shared" si="0"/>
        <v>754</v>
      </c>
      <c r="AD10" s="26">
        <f t="shared" si="0"/>
        <v>755</v>
      </c>
      <c r="AE10" s="26">
        <f t="shared" si="0"/>
        <v>756</v>
      </c>
      <c r="AF10" s="26">
        <f t="shared" si="0"/>
        <v>757</v>
      </c>
      <c r="AG10" s="26">
        <f t="shared" si="0"/>
        <v>758</v>
      </c>
      <c r="AH10" s="26">
        <f t="shared" si="0"/>
        <v>759</v>
      </c>
      <c r="AI10" s="26">
        <f t="shared" si="0"/>
        <v>760</v>
      </c>
      <c r="AJ10" s="26">
        <f t="shared" si="0"/>
        <v>761</v>
      </c>
      <c r="AK10" s="26">
        <f t="shared" si="0"/>
        <v>762</v>
      </c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>
        <f>DATE($A$2,$A$1,SUBSTITUTE(AV12,"ot",""))</f>
        <v>732</v>
      </c>
      <c r="AW10" s="26">
        <f t="shared" ref="AW10:BZ10" si="1">DATE($A$2,$A$1,SUBSTITUTE(AW12,"ot",""))</f>
        <v>733</v>
      </c>
      <c r="AX10" s="26">
        <f t="shared" si="1"/>
        <v>734</v>
      </c>
      <c r="AY10" s="26">
        <f t="shared" si="1"/>
        <v>735</v>
      </c>
      <c r="AZ10" s="26">
        <f t="shared" si="1"/>
        <v>736</v>
      </c>
      <c r="BA10" s="26">
        <f t="shared" si="1"/>
        <v>737</v>
      </c>
      <c r="BB10" s="26">
        <f t="shared" si="1"/>
        <v>738</v>
      </c>
      <c r="BC10" s="26">
        <f t="shared" si="1"/>
        <v>739</v>
      </c>
      <c r="BD10" s="26">
        <f t="shared" si="1"/>
        <v>740</v>
      </c>
      <c r="BE10" s="26">
        <f t="shared" si="1"/>
        <v>741</v>
      </c>
      <c r="BF10" s="26">
        <f t="shared" si="1"/>
        <v>742</v>
      </c>
      <c r="BG10" s="26">
        <f t="shared" si="1"/>
        <v>743</v>
      </c>
      <c r="BH10" s="26">
        <f t="shared" si="1"/>
        <v>744</v>
      </c>
      <c r="BI10" s="26">
        <f t="shared" si="1"/>
        <v>745</v>
      </c>
      <c r="BJ10" s="26">
        <f t="shared" si="1"/>
        <v>746</v>
      </c>
      <c r="BK10" s="26">
        <f t="shared" si="1"/>
        <v>747</v>
      </c>
      <c r="BL10" s="26">
        <f t="shared" si="1"/>
        <v>748</v>
      </c>
      <c r="BM10" s="26">
        <f t="shared" si="1"/>
        <v>749</v>
      </c>
      <c r="BN10" s="26">
        <f t="shared" si="1"/>
        <v>750</v>
      </c>
      <c r="BO10" s="26">
        <f t="shared" si="1"/>
        <v>751</v>
      </c>
      <c r="BP10" s="26">
        <f t="shared" si="1"/>
        <v>752</v>
      </c>
      <c r="BQ10" s="26">
        <f t="shared" si="1"/>
        <v>753</v>
      </c>
      <c r="BR10" s="26">
        <f t="shared" si="1"/>
        <v>754</v>
      </c>
      <c r="BS10" s="26">
        <f t="shared" si="1"/>
        <v>755</v>
      </c>
      <c r="BT10" s="26">
        <f t="shared" si="1"/>
        <v>756</v>
      </c>
      <c r="BU10" s="26">
        <f t="shared" si="1"/>
        <v>757</v>
      </c>
      <c r="BV10" s="26">
        <f t="shared" si="1"/>
        <v>758</v>
      </c>
      <c r="BW10" s="26">
        <f t="shared" si="1"/>
        <v>759</v>
      </c>
      <c r="BX10" s="26">
        <f t="shared" si="1"/>
        <v>760</v>
      </c>
      <c r="BY10" s="26">
        <f t="shared" si="1"/>
        <v>761</v>
      </c>
      <c r="BZ10" s="26">
        <f t="shared" si="1"/>
        <v>762</v>
      </c>
      <c r="CA10" s="26"/>
      <c r="CB10" s="26"/>
      <c r="CC10" s="26"/>
      <c r="CD10" s="26"/>
      <c r="CE10" s="26"/>
    </row>
    <row r="11" spans="1:89" s="15" customFormat="1" ht="15.75" hidden="1" x14ac:dyDescent="0.25">
      <c r="B11" s="14">
        <v>2</v>
      </c>
      <c r="C11" s="14">
        <v>2</v>
      </c>
      <c r="D11" s="14">
        <v>2</v>
      </c>
      <c r="E11" s="14">
        <v>2</v>
      </c>
      <c r="F11" s="14">
        <v>2</v>
      </c>
      <c r="G11" s="19">
        <v>1</v>
      </c>
      <c r="H11" s="19">
        <v>1</v>
      </c>
      <c r="I11" s="19">
        <v>1</v>
      </c>
      <c r="J11" s="19">
        <v>1</v>
      </c>
      <c r="K11" s="19">
        <v>1</v>
      </c>
      <c r="L11" s="19">
        <v>1</v>
      </c>
      <c r="M11" s="19">
        <v>1</v>
      </c>
      <c r="N11" s="19">
        <v>1</v>
      </c>
      <c r="O11" s="19">
        <v>1</v>
      </c>
      <c r="P11" s="19">
        <v>1</v>
      </c>
      <c r="Q11" s="19">
        <v>1</v>
      </c>
      <c r="R11" s="19">
        <v>1</v>
      </c>
      <c r="S11" s="19">
        <v>1</v>
      </c>
      <c r="T11" s="19">
        <v>1</v>
      </c>
      <c r="U11" s="19">
        <v>1</v>
      </c>
      <c r="V11" s="19">
        <v>1</v>
      </c>
      <c r="W11" s="19">
        <v>1</v>
      </c>
      <c r="X11" s="19">
        <v>1</v>
      </c>
      <c r="Y11" s="19">
        <v>1</v>
      </c>
      <c r="Z11" s="19">
        <v>1</v>
      </c>
      <c r="AA11" s="19">
        <v>1</v>
      </c>
      <c r="AB11" s="19">
        <v>1</v>
      </c>
      <c r="AC11" s="19">
        <v>1</v>
      </c>
      <c r="AD11" s="19">
        <v>1</v>
      </c>
      <c r="AE11" s="19">
        <v>1</v>
      </c>
      <c r="AF11" s="19">
        <v>1</v>
      </c>
      <c r="AG11" s="19">
        <v>1</v>
      </c>
      <c r="AH11" s="19">
        <v>1</v>
      </c>
      <c r="AI11" s="19">
        <v>1</v>
      </c>
      <c r="AJ11" s="19">
        <v>1</v>
      </c>
      <c r="AK11" s="19">
        <v>1</v>
      </c>
      <c r="AL11" s="19">
        <v>1</v>
      </c>
      <c r="AM11" s="19">
        <v>1</v>
      </c>
      <c r="AN11" s="19">
        <v>1</v>
      </c>
      <c r="AO11" s="19">
        <v>1</v>
      </c>
      <c r="AP11" s="19">
        <v>1</v>
      </c>
      <c r="AQ11" s="19">
        <v>1</v>
      </c>
      <c r="AR11" s="19">
        <v>1</v>
      </c>
      <c r="AS11" s="19">
        <v>1</v>
      </c>
      <c r="AT11" s="19">
        <v>1</v>
      </c>
      <c r="AU11" s="19">
        <v>1</v>
      </c>
      <c r="AV11" s="19">
        <v>1</v>
      </c>
      <c r="AW11" s="19">
        <v>1</v>
      </c>
      <c r="AX11" s="19">
        <v>1</v>
      </c>
      <c r="AY11" s="19">
        <v>1</v>
      </c>
      <c r="AZ11" s="19">
        <v>1</v>
      </c>
      <c r="BA11" s="19">
        <v>1</v>
      </c>
      <c r="BB11" s="19">
        <v>1</v>
      </c>
      <c r="BC11" s="19">
        <v>1</v>
      </c>
      <c r="BD11" s="19">
        <v>1</v>
      </c>
      <c r="BE11" s="19">
        <v>1</v>
      </c>
      <c r="BF11" s="19">
        <v>1</v>
      </c>
      <c r="BG11" s="19">
        <v>1</v>
      </c>
      <c r="BH11" s="19">
        <v>1</v>
      </c>
      <c r="BI11" s="19">
        <v>1</v>
      </c>
      <c r="BJ11" s="19">
        <v>1</v>
      </c>
      <c r="BK11" s="19">
        <v>1</v>
      </c>
      <c r="BL11" s="19">
        <v>1</v>
      </c>
      <c r="BM11" s="19">
        <v>1</v>
      </c>
      <c r="BN11" s="19">
        <v>1</v>
      </c>
      <c r="BO11" s="19">
        <v>1</v>
      </c>
      <c r="BP11" s="19">
        <v>1</v>
      </c>
      <c r="BQ11" s="19">
        <v>1</v>
      </c>
      <c r="BR11" s="19">
        <v>1</v>
      </c>
      <c r="BS11" s="19">
        <v>1</v>
      </c>
      <c r="BT11" s="19">
        <v>1</v>
      </c>
      <c r="BU11" s="19">
        <v>1</v>
      </c>
      <c r="BV11" s="19">
        <v>1</v>
      </c>
      <c r="BW11" s="19">
        <v>1</v>
      </c>
      <c r="BX11" s="19">
        <v>1</v>
      </c>
      <c r="BY11" s="19">
        <v>1</v>
      </c>
      <c r="BZ11" s="19">
        <v>1</v>
      </c>
      <c r="CA11" s="19">
        <v>1</v>
      </c>
      <c r="CB11" s="19">
        <v>1</v>
      </c>
      <c r="CC11" s="19">
        <v>1</v>
      </c>
      <c r="CD11" s="19">
        <v>1</v>
      </c>
      <c r="CE11" s="19">
        <v>1</v>
      </c>
      <c r="CF11" s="14">
        <v>2</v>
      </c>
      <c r="CG11" s="14">
        <v>2</v>
      </c>
    </row>
    <row r="12" spans="1:89" ht="15.75" hidden="1" thickBot="1" x14ac:dyDescent="0.3">
      <c r="B12" t="s">
        <v>22</v>
      </c>
      <c r="C12" t="s">
        <v>23</v>
      </c>
      <c r="D12" t="s">
        <v>24</v>
      </c>
      <c r="E12" t="s">
        <v>25</v>
      </c>
      <c r="F12" s="12" t="s">
        <v>105</v>
      </c>
      <c r="G12" s="16" t="s">
        <v>29</v>
      </c>
      <c r="H12" s="16" t="s">
        <v>30</v>
      </c>
      <c r="I12" s="16" t="s">
        <v>31</v>
      </c>
      <c r="J12" s="16" t="s">
        <v>32</v>
      </c>
      <c r="K12" s="16" t="s">
        <v>33</v>
      </c>
      <c r="L12" s="16" t="s">
        <v>34</v>
      </c>
      <c r="M12" s="16" t="s">
        <v>35</v>
      </c>
      <c r="N12" s="16" t="s">
        <v>36</v>
      </c>
      <c r="O12" s="16" t="s">
        <v>37</v>
      </c>
      <c r="P12" s="16" t="s">
        <v>38</v>
      </c>
      <c r="Q12" s="16" t="s">
        <v>39</v>
      </c>
      <c r="R12" s="16" t="s">
        <v>40</v>
      </c>
      <c r="S12" s="16" t="s">
        <v>41</v>
      </c>
      <c r="T12" s="16" t="s">
        <v>42</v>
      </c>
      <c r="U12" s="16" t="s">
        <v>43</v>
      </c>
      <c r="V12" s="16" t="s">
        <v>44</v>
      </c>
      <c r="W12" s="16" t="s">
        <v>45</v>
      </c>
      <c r="X12" s="16" t="s">
        <v>46</v>
      </c>
      <c r="Y12" s="16" t="s">
        <v>47</v>
      </c>
      <c r="Z12" s="16" t="s">
        <v>48</v>
      </c>
      <c r="AA12" s="16" t="s">
        <v>49</v>
      </c>
      <c r="AB12" s="16" t="s">
        <v>50</v>
      </c>
      <c r="AC12" s="16" t="s">
        <v>51</v>
      </c>
      <c r="AD12" s="16" t="s">
        <v>52</v>
      </c>
      <c r="AE12" s="16" t="s">
        <v>53</v>
      </c>
      <c r="AF12" s="16" t="s">
        <v>54</v>
      </c>
      <c r="AG12" s="16" t="s">
        <v>55</v>
      </c>
      <c r="AH12" s="16" t="s">
        <v>56</v>
      </c>
      <c r="AI12" s="16" t="s">
        <v>57</v>
      </c>
      <c r="AJ12" s="16" t="s">
        <v>58</v>
      </c>
      <c r="AK12" s="16" t="s">
        <v>59</v>
      </c>
      <c r="AL12" s="16" t="s">
        <v>96</v>
      </c>
      <c r="AM12" s="16" t="s">
        <v>97</v>
      </c>
      <c r="AN12" s="16" t="s">
        <v>98</v>
      </c>
      <c r="AO12" s="16" t="s">
        <v>99</v>
      </c>
      <c r="AS12" s="16" t="s">
        <v>100</v>
      </c>
      <c r="AT12" s="16" t="s">
        <v>103</v>
      </c>
      <c r="AU12" s="16" t="s">
        <v>104</v>
      </c>
      <c r="AV12" s="16" t="s">
        <v>60</v>
      </c>
      <c r="AW12" s="16" t="s">
        <v>61</v>
      </c>
      <c r="AX12" s="16" t="s">
        <v>62</v>
      </c>
      <c r="AY12" s="16" t="s">
        <v>63</v>
      </c>
      <c r="AZ12" s="16" t="s">
        <v>64</v>
      </c>
      <c r="BA12" s="16" t="s">
        <v>65</v>
      </c>
      <c r="BB12" s="16" t="s">
        <v>66</v>
      </c>
      <c r="BC12" s="16" t="s">
        <v>67</v>
      </c>
      <c r="BD12" s="16" t="s">
        <v>68</v>
      </c>
      <c r="BE12" s="16" t="s">
        <v>69</v>
      </c>
      <c r="BF12" s="16" t="s">
        <v>70</v>
      </c>
      <c r="BG12" s="16" t="s">
        <v>71</v>
      </c>
      <c r="BH12" s="16" t="s">
        <v>72</v>
      </c>
      <c r="BI12" s="16" t="s">
        <v>73</v>
      </c>
      <c r="BJ12" s="16" t="s">
        <v>74</v>
      </c>
      <c r="BK12" s="16" t="s">
        <v>75</v>
      </c>
      <c r="BL12" s="16" t="s">
        <v>76</v>
      </c>
      <c r="BM12" s="16" t="s">
        <v>77</v>
      </c>
      <c r="BN12" s="16" t="s">
        <v>78</v>
      </c>
      <c r="BO12" s="16" t="s">
        <v>79</v>
      </c>
      <c r="BP12" s="16" t="s">
        <v>80</v>
      </c>
      <c r="BQ12" s="16" t="s">
        <v>81</v>
      </c>
      <c r="BR12" s="16" t="s">
        <v>82</v>
      </c>
      <c r="BS12" s="16" t="s">
        <v>83</v>
      </c>
      <c r="BT12" s="16" t="s">
        <v>84</v>
      </c>
      <c r="BU12" s="16" t="s">
        <v>85</v>
      </c>
      <c r="BV12" s="16" t="s">
        <v>86</v>
      </c>
      <c r="BW12" s="16" t="s">
        <v>87</v>
      </c>
      <c r="BX12" s="16" t="s">
        <v>88</v>
      </c>
      <c r="BY12" s="16" t="s">
        <v>89</v>
      </c>
      <c r="BZ12" s="16" t="s">
        <v>90</v>
      </c>
      <c r="CA12" s="16" t="s">
        <v>91</v>
      </c>
      <c r="CB12" s="16" t="s">
        <v>92</v>
      </c>
      <c r="CC12" s="16" t="s">
        <v>93</v>
      </c>
      <c r="CD12" s="16" t="s">
        <v>94</v>
      </c>
      <c r="CE12" s="16" t="s">
        <v>95</v>
      </c>
      <c r="CK12" t="s">
        <v>106</v>
      </c>
    </row>
    <row r="13" spans="1:89" s="1" customFormat="1" ht="21.75" customHeight="1" thickTop="1" thickBot="1" x14ac:dyDescent="0.3">
      <c r="B13" s="34" t="s">
        <v>0</v>
      </c>
      <c r="C13" s="36" t="s">
        <v>1</v>
      </c>
      <c r="D13" s="38" t="s">
        <v>2</v>
      </c>
      <c r="E13" s="40" t="s">
        <v>3</v>
      </c>
      <c r="F13" s="42" t="s">
        <v>4</v>
      </c>
      <c r="G13" s="44" t="s">
        <v>5</v>
      </c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7" t="s">
        <v>6</v>
      </c>
      <c r="AV13" s="49" t="s">
        <v>7</v>
      </c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1"/>
      <c r="CF13" s="52" t="s">
        <v>8</v>
      </c>
      <c r="CG13" s="32" t="s">
        <v>9</v>
      </c>
      <c r="CK13" s="31" t="s">
        <v>107</v>
      </c>
    </row>
    <row r="14" spans="1:89" s="24" customFormat="1" ht="94.5" customHeight="1" thickTop="1" x14ac:dyDescent="0.25">
      <c r="B14" s="35"/>
      <c r="C14" s="37"/>
      <c r="D14" s="39"/>
      <c r="E14" s="41"/>
      <c r="F14" s="43"/>
      <c r="G14" s="27" t="str">
        <f>CHOOSE(WEEKDAY(G10),"Chủ nhật","Thứ 2","Thứ 3","Thứ 4","Thứ 5","Thứ 6","Thứ 7")&amp;" ("&amp;SUBSTITUTE(G12,"wt","")&amp;")"</f>
        <v>Thứ 4 (1)</v>
      </c>
      <c r="H14" s="27" t="str">
        <f t="shared" ref="H14:AK14" si="2">CHOOSE(WEEKDAY(H10),"Chủ nhật","Thứ 2","Thứ 3","Thứ 4","Thứ 5","Thứ 6","Thứ 7")&amp;" ("&amp;SUBSTITUTE(H12,"wt","")&amp;")"</f>
        <v>Thứ 5 (2)</v>
      </c>
      <c r="I14" s="27" t="str">
        <f t="shared" si="2"/>
        <v>Thứ 6 (3)</v>
      </c>
      <c r="J14" s="27" t="str">
        <f t="shared" si="2"/>
        <v>Thứ 7 (4)</v>
      </c>
      <c r="K14" s="27" t="str">
        <f t="shared" si="2"/>
        <v>Chủ nhật (5)</v>
      </c>
      <c r="L14" s="27" t="str">
        <f t="shared" si="2"/>
        <v>Thứ 2 (6)</v>
      </c>
      <c r="M14" s="27" t="str">
        <f t="shared" si="2"/>
        <v>Thứ 3 (7)</v>
      </c>
      <c r="N14" s="27" t="str">
        <f t="shared" si="2"/>
        <v>Thứ 4 (8)</v>
      </c>
      <c r="O14" s="27" t="str">
        <f t="shared" si="2"/>
        <v>Thứ 5 (9)</v>
      </c>
      <c r="P14" s="27" t="str">
        <f t="shared" si="2"/>
        <v>Thứ 6 (10)</v>
      </c>
      <c r="Q14" s="27" t="str">
        <f t="shared" si="2"/>
        <v>Thứ 7 (11)</v>
      </c>
      <c r="R14" s="27" t="str">
        <f t="shared" si="2"/>
        <v>Chủ nhật (12)</v>
      </c>
      <c r="S14" s="27" t="str">
        <f t="shared" si="2"/>
        <v>Thứ 2 (13)</v>
      </c>
      <c r="T14" s="27" t="str">
        <f t="shared" si="2"/>
        <v>Thứ 3 (14)</v>
      </c>
      <c r="U14" s="27" t="str">
        <f t="shared" si="2"/>
        <v>Thứ 4 (15)</v>
      </c>
      <c r="V14" s="27" t="str">
        <f t="shared" si="2"/>
        <v>Thứ 5 (16)</v>
      </c>
      <c r="W14" s="27" t="str">
        <f t="shared" si="2"/>
        <v>Thứ 6 (17)</v>
      </c>
      <c r="X14" s="27" t="str">
        <f t="shared" si="2"/>
        <v>Thứ 7 (18)</v>
      </c>
      <c r="Y14" s="27" t="str">
        <f t="shared" si="2"/>
        <v>Chủ nhật (19)</v>
      </c>
      <c r="Z14" s="27" t="str">
        <f t="shared" si="2"/>
        <v>Thứ 2 (20)</v>
      </c>
      <c r="AA14" s="27" t="str">
        <f t="shared" si="2"/>
        <v>Thứ 3 (21)</v>
      </c>
      <c r="AB14" s="27" t="str">
        <f t="shared" si="2"/>
        <v>Thứ 4 (22)</v>
      </c>
      <c r="AC14" s="27" t="str">
        <f t="shared" si="2"/>
        <v>Thứ 5 (23)</v>
      </c>
      <c r="AD14" s="27" t="str">
        <f t="shared" si="2"/>
        <v>Thứ 6 (24)</v>
      </c>
      <c r="AE14" s="27" t="str">
        <f t="shared" si="2"/>
        <v>Thứ 7 (25)</v>
      </c>
      <c r="AF14" s="27" t="str">
        <f t="shared" si="2"/>
        <v>Chủ nhật (26)</v>
      </c>
      <c r="AG14" s="27" t="str">
        <f t="shared" si="2"/>
        <v>Thứ 2 (27)</v>
      </c>
      <c r="AH14" s="27" t="str">
        <f t="shared" si="2"/>
        <v>Thứ 3 (28)</v>
      </c>
      <c r="AI14" s="27" t="str">
        <f t="shared" si="2"/>
        <v>Thứ 4 (29)</v>
      </c>
      <c r="AJ14" s="27" t="str">
        <f t="shared" si="2"/>
        <v>Thứ 5 (30)</v>
      </c>
      <c r="AK14" s="27" t="str">
        <f t="shared" si="2"/>
        <v>Thứ 6 (31)</v>
      </c>
      <c r="AL14" s="22" t="s">
        <v>10</v>
      </c>
      <c r="AM14" s="22" t="s">
        <v>11</v>
      </c>
      <c r="AN14" s="22" t="s">
        <v>12</v>
      </c>
      <c r="AO14" s="22" t="s">
        <v>13</v>
      </c>
      <c r="AP14" s="22" t="s">
        <v>14</v>
      </c>
      <c r="AQ14" s="22" t="s">
        <v>15</v>
      </c>
      <c r="AR14" s="22" t="s">
        <v>16</v>
      </c>
      <c r="AS14" s="20" t="s">
        <v>101</v>
      </c>
      <c r="AT14" s="22" t="s">
        <v>102</v>
      </c>
      <c r="AU14" s="48"/>
      <c r="AV14" s="27" t="str">
        <f>CHOOSE(WEEKDAY(AV10),"Chủ nhật","Thứ 2","Thứ 3","Thứ 4","Thứ 5","Thứ 6","Thứ 7")&amp;" ("&amp;SUBSTITUTE(AV12,"ot","")&amp;")"</f>
        <v>Thứ 4 (1)</v>
      </c>
      <c r="AW14" s="27" t="str">
        <f>CHOOSE(WEEKDAY(AW10),"Chủ nhật","Thứ 2","Thứ 3","Thứ 4","Thứ 5","Thứ 6","Thứ 7")&amp;" ("&amp;SUBSTITUTE(AW12,"ot","")&amp;")"</f>
        <v>Thứ 5 (2)</v>
      </c>
      <c r="AX14" s="27" t="str">
        <f t="shared" ref="AX14:BZ14" si="3">CHOOSE(WEEKDAY(AX10),"Chủ nhật","Thứ 2","Thứ 3","Thứ 4","Thứ 5","Thứ 6","Thứ 7")&amp;" ("&amp;SUBSTITUTE(AX12,"ot","")&amp;")"</f>
        <v>Thứ 6 (3)</v>
      </c>
      <c r="AY14" s="27" t="str">
        <f t="shared" si="3"/>
        <v>Thứ 7 (4)</v>
      </c>
      <c r="AZ14" s="27" t="str">
        <f t="shared" si="3"/>
        <v>Chủ nhật (5)</v>
      </c>
      <c r="BA14" s="27" t="str">
        <f t="shared" si="3"/>
        <v>Thứ 2 (6)</v>
      </c>
      <c r="BB14" s="27" t="str">
        <f t="shared" si="3"/>
        <v>Thứ 3 (7)</v>
      </c>
      <c r="BC14" s="27" t="str">
        <f t="shared" si="3"/>
        <v>Thứ 4 (8)</v>
      </c>
      <c r="BD14" s="27" t="str">
        <f t="shared" si="3"/>
        <v>Thứ 5 (9)</v>
      </c>
      <c r="BE14" s="27" t="str">
        <f t="shared" si="3"/>
        <v>Thứ 6 (10)</v>
      </c>
      <c r="BF14" s="27" t="str">
        <f t="shared" si="3"/>
        <v>Thứ 7 (11)</v>
      </c>
      <c r="BG14" s="27" t="str">
        <f t="shared" si="3"/>
        <v>Chủ nhật (12)</v>
      </c>
      <c r="BH14" s="27" t="str">
        <f t="shared" si="3"/>
        <v>Thứ 2 (13)</v>
      </c>
      <c r="BI14" s="27" t="str">
        <f t="shared" si="3"/>
        <v>Thứ 3 (14)</v>
      </c>
      <c r="BJ14" s="27" t="str">
        <f t="shared" si="3"/>
        <v>Thứ 4 (15)</v>
      </c>
      <c r="BK14" s="27" t="str">
        <f t="shared" si="3"/>
        <v>Thứ 5 (16)</v>
      </c>
      <c r="BL14" s="27" t="str">
        <f t="shared" si="3"/>
        <v>Thứ 6 (17)</v>
      </c>
      <c r="BM14" s="27" t="str">
        <f t="shared" si="3"/>
        <v>Thứ 7 (18)</v>
      </c>
      <c r="BN14" s="27" t="str">
        <f t="shared" si="3"/>
        <v>Chủ nhật (19)</v>
      </c>
      <c r="BO14" s="27" t="str">
        <f t="shared" si="3"/>
        <v>Thứ 2 (20)</v>
      </c>
      <c r="BP14" s="27" t="str">
        <f t="shared" si="3"/>
        <v>Thứ 3 (21)</v>
      </c>
      <c r="BQ14" s="27" t="str">
        <f t="shared" si="3"/>
        <v>Thứ 4 (22)</v>
      </c>
      <c r="BR14" s="27" t="str">
        <f t="shared" si="3"/>
        <v>Thứ 5 (23)</v>
      </c>
      <c r="BS14" s="27" t="str">
        <f t="shared" si="3"/>
        <v>Thứ 6 (24)</v>
      </c>
      <c r="BT14" s="27" t="str">
        <f t="shared" si="3"/>
        <v>Thứ 7 (25)</v>
      </c>
      <c r="BU14" s="27" t="str">
        <f t="shared" si="3"/>
        <v>Chủ nhật (26)</v>
      </c>
      <c r="BV14" s="27" t="str">
        <f t="shared" si="3"/>
        <v>Thứ 2 (27)</v>
      </c>
      <c r="BW14" s="27" t="str">
        <f t="shared" si="3"/>
        <v>Thứ 3 (28)</v>
      </c>
      <c r="BX14" s="27" t="str">
        <f t="shared" si="3"/>
        <v>Thứ 4 (29)</v>
      </c>
      <c r="BY14" s="27" t="str">
        <f t="shared" si="3"/>
        <v>Thứ 5 (30)</v>
      </c>
      <c r="BZ14" s="27" t="str">
        <f t="shared" si="3"/>
        <v>Thứ 6 (31)</v>
      </c>
      <c r="CA14" s="21" t="s">
        <v>17</v>
      </c>
      <c r="CB14" s="21" t="s">
        <v>18</v>
      </c>
      <c r="CC14" s="21" t="s">
        <v>19</v>
      </c>
      <c r="CD14" s="21" t="s">
        <v>20</v>
      </c>
      <c r="CE14" s="21" t="s">
        <v>21</v>
      </c>
      <c r="CF14" s="53"/>
      <c r="CG14" s="33"/>
      <c r="CH14" s="23"/>
      <c r="CK14" s="31"/>
    </row>
    <row r="15" spans="1:89" x14ac:dyDescent="0.25">
      <c r="B15" s="6"/>
      <c r="C15" s="5"/>
      <c r="D15" s="5"/>
      <c r="E15" s="5"/>
      <c r="F15" s="13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5"/>
      <c r="CG15" s="7"/>
    </row>
    <row r="16" spans="1:89" x14ac:dyDescent="0.25">
      <c r="B16" s="8"/>
      <c r="C16" s="4"/>
      <c r="D16" s="4"/>
      <c r="E16" s="4"/>
      <c r="F16" s="11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>
        <f>SUM(AM16:AO16)</f>
        <v>0</v>
      </c>
      <c r="AQ16" s="18">
        <f>CK16-AP16</f>
        <v>0</v>
      </c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4"/>
      <c r="CG16" s="9"/>
    </row>
  </sheetData>
  <autoFilter ref="A15:CK15" xr:uid="{5D8572BE-896A-4F0D-8E4C-1FF3C89F0430}"/>
  <mergeCells count="15">
    <mergeCell ref="BB6:CG6"/>
    <mergeCell ref="BB7:CG7"/>
    <mergeCell ref="CK13:CK14"/>
    <mergeCell ref="CG13:CG14"/>
    <mergeCell ref="B13:B14"/>
    <mergeCell ref="C13:C14"/>
    <mergeCell ref="D13:D14"/>
    <mergeCell ref="E13:E14"/>
    <mergeCell ref="F13:F14"/>
    <mergeCell ref="G13:AT13"/>
    <mergeCell ref="I7:AQ7"/>
    <mergeCell ref="I8:AQ8"/>
    <mergeCell ref="AU13:AU14"/>
    <mergeCell ref="AV13:CE13"/>
    <mergeCell ref="CF13:CF14"/>
  </mergeCells>
  <phoneticPr fontId="13" type="noConversion"/>
  <conditionalFormatting sqref="G14:AK14">
    <cfRule type="containsText" dxfId="1" priority="3" operator="containsText" text="Chủ nhật">
      <formula>NOT(ISERROR(SEARCH("Chủ nhật",G14)))</formula>
    </cfRule>
  </conditionalFormatting>
  <conditionalFormatting sqref="AV14:BZ14">
    <cfRule type="containsText" dxfId="0" priority="1" operator="containsText" text="Chủ nhật">
      <formula>NOT(ISERROR(SEARCH("Chủ nhật",AV14)))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2021-02-17T10:01:04Z</dcterms:created>
  <dcterms:modified xsi:type="dcterms:W3CDTF">2021-02-18T08:30:19Z</dcterms:modified>
</cp:coreProperties>
</file>