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setupss\Debug\Teamleate\"/>
    </mc:Choice>
  </mc:AlternateContent>
  <xr:revisionPtr revIDLastSave="0" documentId="13_ncr:1_{0DB5A005-B422-4BBA-B100-B5218460C1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Sheet1!$A$14:$CZ$14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V15" i="1" l="1"/>
  <c r="AN15" i="1"/>
  <c r="CA15" i="1"/>
  <c r="AJ15" i="1" l="1"/>
  <c r="BI15" i="1"/>
  <c r="BN15" i="1" s="1"/>
  <c r="BJ15" i="1"/>
  <c r="BO15" i="1" s="1"/>
  <c r="BH15" i="1"/>
  <c r="BM15" i="1" s="1"/>
  <c r="G15" i="1"/>
  <c r="F15" i="1"/>
  <c r="H15" i="1" l="1"/>
  <c r="BT15" i="1" l="1"/>
  <c r="AR15" i="1"/>
  <c r="AT15" i="1" s="1"/>
  <c r="CU15" i="1" s="1"/>
  <c r="AQ15" i="1"/>
  <c r="BG15" i="1" s="1"/>
  <c r="O15" i="1" l="1"/>
  <c r="N15" i="1"/>
  <c r="Q15" i="1"/>
  <c r="P15" i="1"/>
  <c r="M15" i="1"/>
  <c r="L15" i="1"/>
  <c r="K15" i="1"/>
  <c r="J15" i="1"/>
  <c r="AK15" i="1" s="1"/>
  <c r="I15" i="1"/>
  <c r="AS15" i="1"/>
  <c r="AC15" i="1" l="1"/>
  <c r="BU15" i="1" s="1"/>
  <c r="CT15" i="1"/>
  <c r="AM15" i="1" s="1"/>
  <c r="AU15" i="1"/>
  <c r="BZ15" i="1"/>
  <c r="BK15" i="1" s="1"/>
  <c r="AG15" i="1"/>
  <c r="AE15" i="1"/>
  <c r="BL15" i="1" l="1"/>
  <c r="BP15" i="1"/>
  <c r="AW15" i="1"/>
  <c r="CI15" i="1"/>
  <c r="BA15" i="1"/>
  <c r="AY15" i="1"/>
  <c r="AZ15" i="1"/>
  <c r="AV15" i="1"/>
  <c r="BE15" i="1" s="1"/>
  <c r="AX15" i="1"/>
  <c r="BC15" i="1"/>
  <c r="BB15" i="1"/>
  <c r="AV5" i="1"/>
  <c r="D3" i="1"/>
  <c r="AL15" i="1" l="1"/>
  <c r="AP15" i="1" l="1"/>
  <c r="BF15" i="1" s="1"/>
  <c r="BW15" i="1" l="1"/>
  <c r="BX15" i="1" s="1"/>
  <c r="CB15" i="1" s="1"/>
</calcChain>
</file>

<file path=xl/sharedStrings.xml><?xml version="1.0" encoding="utf-8"?>
<sst xmlns="http://schemas.openxmlformats.org/spreadsheetml/2006/main" count="430" uniqueCount="289">
  <si>
    <t>STT/No.</t>
  </si>
  <si>
    <t xml:space="preserve">Mã số
Code No
</t>
  </si>
  <si>
    <t>CD1</t>
  </si>
  <si>
    <t>No</t>
  </si>
  <si>
    <t>Employee_ID</t>
  </si>
  <si>
    <t>FullName</t>
  </si>
  <si>
    <t>CD2</t>
  </si>
  <si>
    <t>CD4</t>
  </si>
  <si>
    <t>CD14</t>
  </si>
  <si>
    <t>CD11</t>
  </si>
  <si>
    <t>CD3</t>
  </si>
  <si>
    <t>cct_wt9</t>
  </si>
  <si>
    <t>cct_wt3</t>
  </si>
  <si>
    <t>cct_wt4</t>
  </si>
  <si>
    <t>cct_wt5</t>
  </si>
  <si>
    <t>cct_wt6</t>
  </si>
  <si>
    <t>cct_wt7</t>
  </si>
  <si>
    <t>cct_wt8</t>
  </si>
  <si>
    <t>ctv_wt9</t>
  </si>
  <si>
    <t>ctv_wt3</t>
  </si>
  <si>
    <t>ctv_wt4</t>
  </si>
  <si>
    <t>ctv_wt5</t>
  </si>
  <si>
    <t>ctv_wt6</t>
  </si>
  <si>
    <t>ctv_wt7</t>
  </si>
  <si>
    <t>ctv_wt8</t>
  </si>
  <si>
    <t>cct_wt1</t>
  </si>
  <si>
    <t>ctv_wt1</t>
  </si>
  <si>
    <t>Key</t>
  </si>
  <si>
    <t>Salary_Month</t>
  </si>
  <si>
    <t>Salary_Year</t>
  </si>
  <si>
    <t>NgayCongTieuChuan</t>
  </si>
  <si>
    <t>Ngày công tiêu chuẩn</t>
  </si>
  <si>
    <t>Salary month</t>
  </si>
  <si>
    <t>Salary year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</si>
  <si>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</si>
  <si>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</si>
  <si>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</si>
  <si>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</si>
  <si>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</si>
  <si>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</si>
  <si>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</si>
  <si>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</si>
  <si>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</si>
  <si>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</si>
  <si>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</si>
  <si>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</si>
  <si>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</si>
  <si>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</si>
  <si>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</si>
  <si>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</si>
  <si>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</si>
  <si>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</si>
  <si>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</si>
  <si>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</si>
  <si>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</si>
  <si>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</si>
  <si>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</si>
  <si>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</si>
  <si>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</si>
  <si>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</si>
  <si>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</si>
  <si>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</si>
  <si>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</si>
  <si>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</si>
  <si>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</si>
  <si>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</si>
  <si>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</si>
  <si>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</si>
  <si>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</si>
  <si>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</si>
  <si>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</si>
  <si>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</si>
  <si>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</si>
  <si>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</si>
  <si>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</si>
  <si>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</si>
  <si>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</si>
  <si>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</si>
  <si>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</si>
  <si>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</si>
  <si>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</si>
  <si>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</si>
  <si>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</si>
  <si>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NguoiPhuThuoc</t>
  </si>
  <si>
    <t>Vị trí
(Location) -Position</t>
  </si>
  <si>
    <t>Họ và tên
(First and last name)</t>
  </si>
  <si>
    <t>Position_NameVN</t>
  </si>
  <si>
    <t>Tổng số giờ công chuẩn</t>
  </si>
  <si>
    <t>Ca ngày</t>
  </si>
  <si>
    <t>Ca đêm</t>
  </si>
  <si>
    <t>Giờ công cơ bản thực tế (The actual basic hourly)</t>
  </si>
  <si>
    <t>Số bữa phụ</t>
  </si>
  <si>
    <t>Tăng ca  150%</t>
  </si>
  <si>
    <t>Tăng ca đêm 195%</t>
  </si>
  <si>
    <t>CN ngày 200%</t>
  </si>
  <si>
    <t xml:space="preserve"> Tăng ca ngày CN 300%</t>
  </si>
  <si>
    <t>Tăng ca đêm CN 390%</t>
  </si>
  <si>
    <t>Ngày lễ ngày 300%</t>
  </si>
  <si>
    <t>Ngày lễ đêm 390%</t>
  </si>
  <si>
    <t>TC lễ
(450%)</t>
  </si>
  <si>
    <t xml:space="preserve">  Giờ công làm thêm      (Hours of overtime)</t>
  </si>
  <si>
    <t>Lương đóng bảo hiểm</t>
  </si>
  <si>
    <t>Phụ cấp  trách nhiệm/
Responsibility allowance</t>
  </si>
  <si>
    <t>PC ngoại ngữ/
Foreign language support</t>
  </si>
  <si>
    <t>Phụ cấp thâm niên/ Seniority allowances</t>
  </si>
  <si>
    <t>HT điện thoại /Phone charges</t>
  </si>
  <si>
    <t>HT xăng xe /Fuel costs for vehicles/ 26 Công</t>
  </si>
  <si>
    <t>HT xăng xe /Fuel costs for vehicles</t>
  </si>
  <si>
    <t>HT nhà ở /Housing support/ 26 Công</t>
  </si>
  <si>
    <t>HT nhà ở /Housing support</t>
  </si>
  <si>
    <t>HT đi lại/
Mobility assistance</t>
  </si>
  <si>
    <t>HT con nhỏ/
Support workers with small children</t>
  </si>
  <si>
    <t>Thưởng Chuyên cần /
Attendance Bonus</t>
  </si>
  <si>
    <t>Trợ cấp bữa phụ /Snack allowance</t>
  </si>
  <si>
    <t>Thưởng sinh nhật tháng 08 /Birthday in August</t>
  </si>
  <si>
    <t>HT điện thoại /Phone charges/ 26 Công</t>
  </si>
  <si>
    <t>Các khoản phụ cấp (Allowances)</t>
  </si>
  <si>
    <t>Tổng phụ cấp không đóng BH được nhận (Total allowances)</t>
  </si>
  <si>
    <t>Tổng lương giờ công cơ bản</t>
  </si>
  <si>
    <t xml:space="preserve">Tăng ca ngày </t>
  </si>
  <si>
    <t>Tăng ca đêm</t>
  </si>
  <si>
    <t>CN ngày</t>
  </si>
  <si>
    <t>CN đêm</t>
  </si>
  <si>
    <t>Tăng ca ngày CN</t>
  </si>
  <si>
    <t>Tăng ca đêm CN</t>
  </si>
  <si>
    <t>Ngày lễ ngày</t>
  </si>
  <si>
    <t>Ngày lễ đêm</t>
  </si>
  <si>
    <t>TC lễ</t>
  </si>
  <si>
    <t>Tổng lương làm thêm</t>
  </si>
  <si>
    <t>Lương giờ công làm thêm</t>
  </si>
  <si>
    <t xml:space="preserve">Tổng lương </t>
  </si>
  <si>
    <t>Lương đóng bảo hiểm/Salary base for insurance</t>
  </si>
  <si>
    <t>BHXH / Social Insurance 17.5%</t>
  </si>
  <si>
    <t>BHYT / Health Insurance 3%건강보험
(회사분)</t>
  </si>
  <si>
    <t>BHTN / Unemployment Insurance 1%</t>
  </si>
  <si>
    <t>KPCĐ
2%</t>
  </si>
  <si>
    <t xml:space="preserve">Cộng /Amount Isurance </t>
  </si>
  <si>
    <t xml:space="preserve">BH tính vào chi phí / Isuarance payable by company </t>
  </si>
  <si>
    <t>BHXH / Social Insurance 8%</t>
  </si>
  <si>
    <t xml:space="preserve">BHYT / Health Insurance 1,5% 건강보험
(개인분) </t>
  </si>
  <si>
    <t xml:space="preserve">Cộng 10.5%/Amount Isurance </t>
  </si>
  <si>
    <t>Giảm trừ bản thân (기본공제금 )
(VND)</t>
  </si>
  <si>
    <t>Số người phụ thuộc /Number Deduction family</t>
  </si>
  <si>
    <t xml:space="preserve"> Giảm trừ người phụ thuộc /deduction-family 4400000/1person </t>
  </si>
  <si>
    <t>Tax excemption</t>
  </si>
  <si>
    <t>Thu nhập chịu thuế</t>
  </si>
  <si>
    <t>Thu nhập tính thuế
(과세 대상 금액) VND</t>
  </si>
  <si>
    <t>Thuế TNCN
(개인소득세)
( VND)</t>
  </si>
  <si>
    <t xml:space="preserve">BH khấu trừ lương  / Isuarance deductions from salary </t>
  </si>
  <si>
    <t xml:space="preserve">Thuế TNCN </t>
  </si>
  <si>
    <t xml:space="preserve">Đoàn phí </t>
  </si>
  <si>
    <t>Thực nhận</t>
  </si>
  <si>
    <t>Số tài khoản</t>
  </si>
  <si>
    <t>Ký nhận</t>
  </si>
  <si>
    <t>Công ngày</t>
  </si>
  <si>
    <t>Công đêm</t>
  </si>
  <si>
    <t>Chính thức</t>
  </si>
  <si>
    <t>Thử việc</t>
  </si>
  <si>
    <t>CN đêm 270%</t>
  </si>
  <si>
    <t>Công thực tế</t>
  </si>
  <si>
    <t>CD16</t>
  </si>
  <si>
    <t>CN Tăng ca ngày 300%</t>
  </si>
  <si>
    <t>CN tăng ca đêm 390%</t>
  </si>
  <si>
    <t>GioCongTieuChuan</t>
  </si>
  <si>
    <t>Phép Hưởng lương</t>
  </si>
  <si>
    <t>Phép KL Không trừ CC</t>
  </si>
  <si>
    <t>pct_PhepHuongLuong</t>
  </si>
  <si>
    <t>pct_KLKhongMatCC</t>
  </si>
  <si>
    <t>ptv_PhepHuongLuong</t>
  </si>
  <si>
    <t>ptv_KLKhongMatCC</t>
  </si>
  <si>
    <t>Số lần ĐTVS</t>
  </si>
  <si>
    <t>Số phút ĐTVS</t>
  </si>
  <si>
    <t>SoLanDMVS_CT</t>
  </si>
  <si>
    <t>ThoiGianDTVS_CT</t>
  </si>
  <si>
    <t>SoLanDMVS_TV</t>
  </si>
  <si>
    <t>ThoiGianDTVS_TV</t>
  </si>
  <si>
    <t>Giờ công HC đã xử lý DTVS</t>
  </si>
  <si>
    <t>CD6</t>
  </si>
  <si>
    <t>ChuyenCan</t>
  </si>
  <si>
    <t>SinhNhat</t>
  </si>
  <si>
    <t>TCConNho</t>
  </si>
  <si>
    <t>GioCongTieuChuan1Ngay</t>
  </si>
  <si>
    <t>Giờ công tiêu chuẩn 1 ngày</t>
  </si>
  <si>
    <t>SoNgayOT</t>
  </si>
  <si>
    <t>Nghỉ phép</t>
  </si>
  <si>
    <t>Đi trễ/về sớm</t>
  </si>
  <si>
    <t xml:space="preserve">Lương cơ bản  (Basic salary) -Chính thức
</t>
  </si>
  <si>
    <t>OldCD1</t>
  </si>
  <si>
    <t>Chính thức - Official</t>
  </si>
  <si>
    <t>Thử việc - Probation</t>
  </si>
  <si>
    <t>OldCD2</t>
  </si>
  <si>
    <t>OldCD4</t>
  </si>
  <si>
    <t>OldCD3</t>
  </si>
  <si>
    <t>Lương đóng bảo hiểm - Chính thức</t>
  </si>
  <si>
    <t>Lương đóng bảo hiểm - Thử việc</t>
  </si>
  <si>
    <t>Lương giờ công - Chính thức</t>
  </si>
  <si>
    <t>Lương giờ công -Thử việc</t>
  </si>
  <si>
    <t>Khấu trừ khác</t>
  </si>
  <si>
    <t>Số ngày công tham gia BHXH</t>
  </si>
  <si>
    <t>SoNgayBH</t>
  </si>
  <si>
    <t>SocialInsurance</t>
  </si>
  <si>
    <t>HealthInsurance</t>
  </si>
  <si>
    <t>UnemploymentInsurance</t>
  </si>
  <si>
    <t>BHXH</t>
  </si>
  <si>
    <t>BHYT</t>
  </si>
  <si>
    <t>BHTN</t>
  </si>
  <si>
    <t>KhongThamGiaCongDoan</t>
  </si>
  <si>
    <t>GiamTruBanThan</t>
  </si>
  <si>
    <t>GiamTruNPT</t>
  </si>
  <si>
    <t xml:space="preserve"> Giảm trừ người phụ thuộc  </t>
  </si>
  <si>
    <t>Không tham gia Công đoàn</t>
  </si>
  <si>
    <t>Công đoan</t>
  </si>
  <si>
    <t>TienCongDoan</t>
  </si>
  <si>
    <t>BankAccount</t>
  </si>
  <si>
    <t>CÔNG TY TNHH SHINSUNG VINA</t>
  </si>
  <si>
    <t>Lô CN04, khu công nghiệp Cẩm Khê, TT.Cẩm Khê, H.Cẩm Khê, T.Phú Thọ</t>
  </si>
  <si>
    <t>s39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</si>
  <si>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</si>
  <si>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</si>
  <si>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</si>
  <si>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</si>
  <si>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</si>
  <si>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</si>
  <si>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</si>
  <si>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</si>
  <si>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</si>
  <si>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</si>
  <si>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</si>
  <si>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</si>
  <si>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</si>
  <si>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</si>
  <si>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</si>
  <si>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</si>
  <si>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</si>
  <si>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</si>
  <si>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</si>
  <si>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</si>
  <si>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</si>
  <si>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</si>
  <si>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</si>
  <si>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</si>
  <si>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PositionName</t>
  </si>
  <si>
    <t>s75</t>
  </si>
  <si>
    <t>HT5</t>
  </si>
  <si>
    <t>Cộng khác</t>
  </si>
  <si>
    <t>cct_wt10</t>
  </si>
  <si>
    <t>cct_wt11</t>
  </si>
  <si>
    <t>ctv_wt10</t>
  </si>
  <si>
    <t>ctv_wt11</t>
  </si>
  <si>
    <t>Thu nhập chịu thuế thử việc</t>
  </si>
  <si>
    <t>Công KH</t>
  </si>
  <si>
    <t>cct_CN_wt3</t>
  </si>
  <si>
    <t>cct_CN_wt5</t>
  </si>
  <si>
    <t>cct_CN_wt4</t>
  </si>
  <si>
    <t>cct_CN_wt6</t>
  </si>
  <si>
    <t>cct_CN_wt10</t>
  </si>
  <si>
    <t>cct_CN_wt11</t>
  </si>
  <si>
    <t>cct_CN_wt7</t>
  </si>
  <si>
    <t>cct_CN_wt8</t>
  </si>
  <si>
    <t>ctv_CN_wt3</t>
  </si>
  <si>
    <t>ctv_CN_wt5</t>
  </si>
  <si>
    <t>ctv_CN_wt4</t>
  </si>
  <si>
    <t>ctv_CN_wt6</t>
  </si>
  <si>
    <t>ctv_CN_wt10</t>
  </si>
  <si>
    <t>ctv_CN_wt11</t>
  </si>
  <si>
    <t>ctv_CN_wt7</t>
  </si>
  <si>
    <t>ctv_CN_wt8</t>
  </si>
  <si>
    <t>Tổng PC OT</t>
  </si>
  <si>
    <t>Ngay15</t>
  </si>
  <si>
    <t>NgayDoiLuong</t>
  </si>
  <si>
    <t>DongBHLuongCu</t>
  </si>
  <si>
    <t>Ngày 15</t>
  </si>
  <si>
    <t>Ngày đổi lương</t>
  </si>
  <si>
    <t>Đóng BH lương cũ</t>
  </si>
  <si>
    <t>KhuVuc</t>
  </si>
  <si>
    <t>Xưởng</t>
  </si>
  <si>
    <t>HT10</t>
  </si>
  <si>
    <t>Hưởng CC</t>
  </si>
  <si>
    <t>Chuyên cần (Auto)</t>
  </si>
  <si>
    <t>s78</t>
  </si>
  <si>
    <t>Trừ khác</t>
  </si>
  <si>
    <t>HT7</t>
  </si>
  <si>
    <t>HT9</t>
  </si>
  <si>
    <t>HT17</t>
  </si>
  <si>
    <t>HT4</t>
  </si>
  <si>
    <t>Thưởng</t>
  </si>
  <si>
    <t>Thưởng đã tạm ứng</t>
  </si>
  <si>
    <t>Truy thu thuế</t>
  </si>
  <si>
    <t>Truy thu BHYT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</si>
</sst>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\ _₫_-;\-* #,##0.00\ _₫_-;_-* &quot;-&quot;??\ _₫_-;_-@_-"/>
    <numFmt numFmtId="165" formatCode="#,##0.0"/>
    <numFmt numFmtId="166" formatCode="0.0"/>
    <numFmt numFmtId="167" formatCode="_(* #,##0_);_(* \(#,##0\);_(* &quot;-&quot;??_);_(@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.VnTime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8"/>
      <name val="Calibri"/>
      <family val="2"/>
      <scheme val="minor"/>
    </font>
    <font>
      <b/>
      <sz val="16"/>
      <color theme="1"/>
      <name val="Times New Roman"/>
      <family val="1"/>
    </font>
    <font>
      <b/>
      <sz val="1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/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0" fontId="7" fillId="0" borderId="0"/>
    <xf numFmtId="0" fontId="6" fillId="0" borderId="0">
      <alignment vertical="center"/>
    </xf>
    <xf numFmtId="164" fontId="7" fillId="0" borderId="0" applyFont="0" applyFill="0" applyBorder="0" applyAlignment="0" applyProtection="0"/>
  </cellStyleXfs>
  <cellXfs count="117">
    <xf numFmtId="0" fontId="0" fillId="0" borderId="0" xfId="0"/>
    <xf numFmtId="0" fontId="9" fillId="0" borderId="0" xfId="0" applyFont="1" applyAlignment="1">
      <alignment horizontal="center"/>
    </xf>
    <xf numFmtId="0" fontId="9" fillId="0" borderId="0" xfId="0" applyFont="1"/>
    <xf numFmtId="14" fontId="9" fillId="0" borderId="0" xfId="0" applyNumberFormat="1" applyFont="1"/>
    <xf numFmtId="0" fontId="9" fillId="0" borderId="1" xfId="0" applyFont="1" applyBorder="1"/>
    <xf numFmtId="3" fontId="9" fillId="0" borderId="1" xfId="0" applyNumberFormat="1" applyFont="1" applyBorder="1"/>
    <xf numFmtId="3" fontId="9" fillId="0" borderId="0" xfId="0" applyNumberFormat="1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9" fillId="3" borderId="0" xfId="0" applyFont="1" applyFill="1" applyAlignment="1">
      <alignment horizontal="center"/>
    </xf>
    <xf numFmtId="0" fontId="9" fillId="3" borderId="0" xfId="0" applyFont="1" applyFill="1"/>
    <xf numFmtId="0" fontId="3" fillId="0" borderId="0" xfId="0" applyFont="1" applyAlignment="1">
      <alignment horizontal="center" vertical="center" wrapText="1"/>
    </xf>
    <xf numFmtId="3" fontId="9" fillId="0" borderId="3" xfId="0" applyNumberFormat="1" applyFont="1" applyBorder="1"/>
    <xf numFmtId="165" fontId="9" fillId="0" borderId="0" xfId="0" applyNumberFormat="1" applyFont="1"/>
    <xf numFmtId="166" fontId="9" fillId="0" borderId="0" xfId="0" applyNumberFormat="1" applyFont="1"/>
    <xf numFmtId="0" fontId="9" fillId="0" borderId="0" xfId="0" applyFont="1" applyAlignment="1">
      <alignment wrapText="1"/>
    </xf>
    <xf numFmtId="0" fontId="9" fillId="2" borderId="0" xfId="0" applyFont="1" applyFill="1" applyAlignment="1">
      <alignment horizontal="center" vertical="center"/>
    </xf>
    <xf numFmtId="0" fontId="4" fillId="4" borderId="4" xfId="2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3" fillId="4" borderId="1" xfId="2" applyFont="1" applyFill="1" applyBorder="1" applyAlignment="1">
      <alignment horizontal="center" vertical="center" wrapText="1"/>
    </xf>
    <xf numFmtId="0" fontId="3" fillId="4" borderId="1" xfId="3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3" fontId="9" fillId="0" borderId="3" xfId="0" applyNumberFormat="1" applyFont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1" xfId="0" applyBorder="1"/>
    <xf numFmtId="0" fontId="3" fillId="5" borderId="15" xfId="1" applyNumberFormat="1" applyFont="1" applyFill="1" applyBorder="1" applyAlignment="1">
      <alignment horizontal="center" vertical="center" wrapText="1"/>
    </xf>
    <xf numFmtId="0" fontId="3" fillId="5" borderId="16" xfId="1" applyNumberFormat="1" applyFont="1" applyFill="1" applyBorder="1" applyAlignment="1">
      <alignment horizontal="center" vertical="center" wrapText="1"/>
    </xf>
    <xf numFmtId="0" fontId="3" fillId="5" borderId="17" xfId="1" applyNumberFormat="1" applyFont="1" applyFill="1" applyBorder="1" applyAlignment="1">
      <alignment horizontal="center" vertical="center" wrapText="1"/>
    </xf>
    <xf numFmtId="0" fontId="4" fillId="4" borderId="1" xfId="2" applyFont="1" applyFill="1" applyBorder="1" applyAlignment="1">
      <alignment horizontal="center" vertical="center" wrapText="1"/>
    </xf>
    <xf numFmtId="0" fontId="4" fillId="4" borderId="1" xfId="1" applyNumberFormat="1" applyFont="1" applyFill="1" applyBorder="1" applyAlignment="1">
      <alignment horizontal="center" vertical="center" wrapText="1"/>
    </xf>
    <xf numFmtId="0" fontId="5" fillId="4" borderId="1" xfId="2" applyFont="1" applyFill="1" applyBorder="1" applyAlignment="1">
      <alignment horizontal="center" vertical="center" wrapText="1"/>
    </xf>
    <xf numFmtId="0" fontId="4" fillId="4" borderId="1" xfId="3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/>
    </xf>
    <xf numFmtId="0" fontId="12" fillId="7" borderId="0" xfId="0" applyFont="1" applyFill="1" applyAlignment="1">
      <alignment horizontal="left" vertic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3" fontId="8" fillId="0" borderId="1" xfId="0" applyNumberFormat="1" applyFont="1" applyBorder="1"/>
    <xf numFmtId="167" fontId="8" fillId="0" borderId="1" xfId="1" applyNumberFormat="1" applyFont="1" applyBorder="1"/>
    <xf numFmtId="165" fontId="8" fillId="0" borderId="1" xfId="0" applyNumberFormat="1" applyFont="1" applyBorder="1"/>
    <xf numFmtId="0" fontId="3" fillId="0" borderId="0" xfId="0" applyFont="1" applyAlignment="1">
      <alignment horizontal="center" vertical="center"/>
    </xf>
    <xf numFmtId="0" fontId="4" fillId="4" borderId="5" xfId="2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6" fontId="9" fillId="0" borderId="0" xfId="0" applyNumberFormat="1" applyFont="1" applyAlignment="1">
      <alignment horizontal="center"/>
    </xf>
    <xf numFmtId="166" fontId="8" fillId="0" borderId="1" xfId="0" applyNumberFormat="1" applyFont="1" applyBorder="1"/>
    <xf numFmtId="3" fontId="8" fillId="0" borderId="1" xfId="1" applyNumberFormat="1" applyFont="1" applyBorder="1"/>
    <xf numFmtId="165" fontId="0" fillId="0" borderId="0" xfId="0" applyNumberFormat="1"/>
    <xf numFmtId="165" fontId="9" fillId="0" borderId="1" xfId="0" applyNumberFormat="1" applyFont="1" applyBorder="1"/>
    <xf numFmtId="165" fontId="0" fillId="0" borderId="1" xfId="0" applyNumberFormat="1" applyBorder="1"/>
    <xf numFmtId="0" fontId="3" fillId="5" borderId="15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19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6" fontId="8" fillId="0" borderId="1" xfId="0" applyNumberFormat="1" applyFont="1" applyBorder="1" applyAlignment="1">
      <alignment horizontal="center"/>
    </xf>
    <xf numFmtId="0" fontId="3" fillId="4" borderId="4" xfId="2" applyFont="1" applyFill="1" applyBorder="1" applyAlignment="1">
      <alignment horizontal="center" vertical="center" wrapText="1"/>
    </xf>
    <xf numFmtId="0" fontId="5" fillId="4" borderId="4" xfId="2" applyFont="1" applyFill="1" applyBorder="1" applyAlignment="1">
      <alignment horizontal="center" vertical="center" wrapText="1"/>
    </xf>
    <xf numFmtId="0" fontId="4" fillId="8" borderId="4" xfId="2" applyFont="1" applyFill="1" applyBorder="1" applyAlignment="1">
      <alignment horizontal="center" vertical="center" wrapText="1"/>
    </xf>
    <xf numFmtId="0" fontId="3" fillId="8" borderId="1" xfId="1" applyNumberFormat="1" applyFont="1" applyFill="1" applyBorder="1" applyAlignment="1">
      <alignment horizontal="center" vertical="center" wrapText="1"/>
    </xf>
    <xf numFmtId="0" fontId="3" fillId="8" borderId="15" xfId="0" applyFont="1" applyFill="1" applyBorder="1" applyAlignment="1">
      <alignment horizontal="center" vertical="center" wrapText="1"/>
    </xf>
    <xf numFmtId="0" fontId="3" fillId="8" borderId="18" xfId="0" applyFont="1" applyFill="1" applyBorder="1" applyAlignment="1">
      <alignment horizontal="center" vertical="center" wrapText="1"/>
    </xf>
    <xf numFmtId="0" fontId="3" fillId="8" borderId="19" xfId="0" applyFont="1" applyFill="1" applyBorder="1" applyAlignment="1">
      <alignment horizontal="center" vertical="center" wrapText="1"/>
    </xf>
    <xf numFmtId="0" fontId="3" fillId="8" borderId="4" xfId="2" applyFont="1" applyFill="1" applyBorder="1" applyAlignment="1">
      <alignment horizontal="center" vertical="center" wrapText="1"/>
    </xf>
    <xf numFmtId="0" fontId="8" fillId="0" borderId="1" xfId="1" applyNumberFormat="1" applyFont="1" applyBorder="1"/>
    <xf numFmtId="0" fontId="3" fillId="0" borderId="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4" borderId="6" xfId="2" applyFont="1" applyFill="1" applyBorder="1" applyAlignment="1">
      <alignment horizontal="center" vertical="center" wrapText="1"/>
    </xf>
    <xf numFmtId="0" fontId="4" fillId="4" borderId="12" xfId="2" applyFont="1" applyFill="1" applyBorder="1" applyAlignment="1">
      <alignment horizontal="center" vertical="center" wrapText="1"/>
    </xf>
    <xf numFmtId="0" fontId="4" fillId="4" borderId="9" xfId="2" applyFont="1" applyFill="1" applyBorder="1" applyAlignment="1">
      <alignment horizontal="center" vertical="center" wrapText="1"/>
    </xf>
    <xf numFmtId="0" fontId="4" fillId="4" borderId="13" xfId="2" applyFont="1" applyFill="1" applyBorder="1" applyAlignment="1">
      <alignment horizontal="center" vertical="center" wrapText="1"/>
    </xf>
    <xf numFmtId="0" fontId="4" fillId="4" borderId="0" xfId="2" applyFont="1" applyFill="1" applyAlignment="1">
      <alignment horizontal="center" vertical="center" wrapText="1"/>
    </xf>
    <xf numFmtId="0" fontId="4" fillId="4" borderId="14" xfId="2" applyFont="1" applyFill="1" applyBorder="1" applyAlignment="1">
      <alignment horizontal="center" vertical="center" wrapText="1"/>
    </xf>
    <xf numFmtId="0" fontId="4" fillId="4" borderId="1" xfId="2" applyFont="1" applyFill="1" applyBorder="1" applyAlignment="1">
      <alignment horizontal="center" vertical="center" wrapText="1"/>
    </xf>
    <xf numFmtId="0" fontId="3" fillId="0" borderId="1" xfId="1" applyNumberFormat="1" applyFont="1" applyBorder="1" applyAlignment="1">
      <alignment horizontal="center" vertical="center" wrapText="1"/>
    </xf>
    <xf numFmtId="0" fontId="4" fillId="4" borderId="4" xfId="2" applyFont="1" applyFill="1" applyBorder="1" applyAlignment="1">
      <alignment horizontal="center" vertical="center" wrapText="1"/>
    </xf>
    <xf numFmtId="0" fontId="4" fillId="4" borderId="5" xfId="2" applyFont="1" applyFill="1" applyBorder="1" applyAlignment="1">
      <alignment horizontal="center" vertical="center" wrapText="1"/>
    </xf>
    <xf numFmtId="0" fontId="4" fillId="4" borderId="7" xfId="2" applyFont="1" applyFill="1" applyBorder="1" applyAlignment="1">
      <alignment horizontal="center" vertical="center" wrapText="1"/>
    </xf>
    <xf numFmtId="0" fontId="3" fillId="4" borderId="4" xfId="2" applyFont="1" applyFill="1" applyBorder="1" applyAlignment="1">
      <alignment horizontal="center" vertical="center" wrapText="1"/>
    </xf>
    <xf numFmtId="0" fontId="3" fillId="4" borderId="5" xfId="2" applyFont="1" applyFill="1" applyBorder="1" applyAlignment="1">
      <alignment horizontal="center" vertical="center" wrapText="1"/>
    </xf>
    <xf numFmtId="0" fontId="3" fillId="4" borderId="7" xfId="2" applyFont="1" applyFill="1" applyBorder="1" applyAlignment="1">
      <alignment horizontal="center" vertical="center" wrapText="1"/>
    </xf>
    <xf numFmtId="0" fontId="4" fillId="4" borderId="10" xfId="2" applyFont="1" applyFill="1" applyBorder="1" applyAlignment="1">
      <alignment horizontal="center" vertical="center" wrapText="1"/>
    </xf>
    <xf numFmtId="0" fontId="4" fillId="4" borderId="8" xfId="2" applyFont="1" applyFill="1" applyBorder="1" applyAlignment="1">
      <alignment horizontal="center" vertical="center" wrapText="1"/>
    </xf>
    <xf numFmtId="0" fontId="4" fillId="4" borderId="11" xfId="2" applyFont="1" applyFill="1" applyBorder="1" applyAlignment="1">
      <alignment horizontal="center" vertical="center" wrapText="1"/>
    </xf>
    <xf numFmtId="0" fontId="4" fillId="4" borderId="1" xfId="1" applyNumberFormat="1" applyFont="1" applyFill="1" applyBorder="1" applyAlignment="1">
      <alignment horizontal="center" vertical="center" wrapText="1"/>
    </xf>
    <xf numFmtId="0" fontId="3" fillId="6" borderId="2" xfId="1" applyNumberFormat="1" applyFont="1" applyFill="1" applyBorder="1" applyAlignment="1">
      <alignment horizontal="center" vertical="center" wrapText="1"/>
    </xf>
    <xf numFmtId="0" fontId="3" fillId="6" borderId="3" xfId="1" applyNumberFormat="1" applyFont="1" applyFill="1" applyBorder="1" applyAlignment="1">
      <alignment horizontal="center" vertical="center" wrapText="1"/>
    </xf>
    <xf numFmtId="0" fontId="5" fillId="4" borderId="6" xfId="2" applyFont="1" applyFill="1" applyBorder="1" applyAlignment="1">
      <alignment horizontal="center" vertical="center" wrapText="1"/>
    </xf>
    <xf numFmtId="0" fontId="5" fillId="4" borderId="12" xfId="2" applyFont="1" applyFill="1" applyBorder="1" applyAlignment="1">
      <alignment horizontal="center" vertical="center" wrapText="1"/>
    </xf>
    <xf numFmtId="0" fontId="5" fillId="4" borderId="9" xfId="2" applyFont="1" applyFill="1" applyBorder="1" applyAlignment="1">
      <alignment horizontal="center" vertical="center" wrapText="1"/>
    </xf>
    <xf numFmtId="0" fontId="5" fillId="4" borderId="10" xfId="2" applyFont="1" applyFill="1" applyBorder="1" applyAlignment="1">
      <alignment horizontal="center" vertical="center" wrapText="1"/>
    </xf>
    <xf numFmtId="0" fontId="5" fillId="4" borderId="8" xfId="2" applyFont="1" applyFill="1" applyBorder="1" applyAlignment="1">
      <alignment horizontal="center" vertical="center" wrapText="1"/>
    </xf>
    <xf numFmtId="0" fontId="5" fillId="4" borderId="11" xfId="2" applyFont="1" applyFill="1" applyBorder="1" applyAlignment="1">
      <alignment horizontal="center" vertical="center" wrapText="1"/>
    </xf>
    <xf numFmtId="0" fontId="3" fillId="8" borderId="1" xfId="1" applyNumberFormat="1" applyFont="1" applyFill="1" applyBorder="1" applyAlignment="1">
      <alignment horizontal="center" vertical="center" wrapText="1"/>
    </xf>
    <xf numFmtId="0" fontId="3" fillId="5" borderId="9" xfId="1" applyNumberFormat="1" applyFont="1" applyFill="1" applyBorder="1" applyAlignment="1">
      <alignment horizontal="center" vertical="center" wrapText="1"/>
    </xf>
    <xf numFmtId="0" fontId="3" fillId="5" borderId="4" xfId="1" applyNumberFormat="1" applyFont="1" applyFill="1" applyBorder="1" applyAlignment="1">
      <alignment horizontal="center" vertical="center" wrapText="1"/>
    </xf>
    <xf numFmtId="0" fontId="3" fillId="0" borderId="6" xfId="1" applyNumberFormat="1" applyFont="1" applyBorder="1" applyAlignment="1">
      <alignment horizontal="center" vertical="center" wrapText="1"/>
    </xf>
    <xf numFmtId="0" fontId="3" fillId="0" borderId="13" xfId="1" applyNumberFormat="1" applyFont="1" applyBorder="1" applyAlignment="1">
      <alignment horizontal="center" vertical="center" wrapText="1"/>
    </xf>
    <xf numFmtId="0" fontId="3" fillId="0" borderId="10" xfId="1" applyNumberFormat="1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3" fillId="8" borderId="20" xfId="1" applyNumberFormat="1" applyFont="1" applyFill="1" applyBorder="1" applyAlignment="1">
      <alignment horizontal="center" vertical="center" wrapText="1"/>
    </xf>
    <xf numFmtId="0" fontId="3" fillId="8" borderId="2" xfId="1" applyNumberFormat="1" applyFont="1" applyFill="1" applyBorder="1" applyAlignment="1">
      <alignment horizontal="center" vertical="center" wrapText="1"/>
    </xf>
    <xf numFmtId="0" fontId="3" fillId="8" borderId="3" xfId="1" applyNumberFormat="1" applyFont="1" applyFill="1" applyBorder="1" applyAlignment="1">
      <alignment horizontal="center" vertical="center" wrapText="1"/>
    </xf>
    <xf numFmtId="0" fontId="5" fillId="4" borderId="4" xfId="2" applyFont="1" applyFill="1" applyBorder="1" applyAlignment="1">
      <alignment horizontal="center" vertical="center" wrapText="1"/>
    </xf>
    <xf numFmtId="0" fontId="5" fillId="4" borderId="5" xfId="2" applyFont="1" applyFill="1" applyBorder="1" applyAlignment="1">
      <alignment horizontal="center" vertical="center" wrapText="1"/>
    </xf>
    <xf numFmtId="0" fontId="5" fillId="4" borderId="7" xfId="2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8" fillId="0" borderId="1" xfId="0" applyNumberFormat="1" applyFont="1" applyBorder="1"/>
  </cellXfs>
  <cellStyles count="7">
    <cellStyle name="Comma" xfId="1" builtinId="3"/>
    <cellStyle name="Comma 2 2" xfId="6" xr:uid="{00000000-0005-0000-0000-000001000000}"/>
    <cellStyle name="Comma 3" xfId="3" xr:uid="{00000000-0005-0000-0000-000002000000}"/>
    <cellStyle name="Normal" xfId="0" builtinId="0"/>
    <cellStyle name="Normal 2" xfId="4" xr:uid="{00000000-0005-0000-0000-000004000000}"/>
    <cellStyle name="Normal 2 2" xfId="2" xr:uid="{00000000-0005-0000-0000-000005000000}"/>
    <cellStyle name="Normal 3" xfId="5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X15"/>
  <sheetViews>
    <sheetView showZeros="0" tabSelected="1" topLeftCell="B1" zoomScaleNormal="100" workbookViewId="0">
      <selection activeCell="F11" sqref="F11:F13"/>
    </sheetView>
  </sheetViews>
  <sheetFormatPr defaultColWidth="9.140625" defaultRowHeight="15"/>
  <cols>
    <col min="1" max="1" width="9.140625" style="2" hidden="1" customWidth="1"/>
    <col min="2" max="2" width="5.28515625" style="1" customWidth="1"/>
    <col min="3" max="3" width="11.5703125" style="1" customWidth="1"/>
    <col min="4" max="4" width="23.5703125" style="2" customWidth="1"/>
    <col min="5" max="5" width="13" style="1" customWidth="1"/>
    <col min="6" max="6" width="11.42578125" style="1" customWidth="1"/>
    <col min="7" max="7" width="9.7109375" style="44" customWidth="1"/>
    <col min="8" max="8" width="9.140625" style="14" customWidth="1"/>
    <col min="9" max="9" width="7.7109375" style="14" customWidth="1"/>
    <col min="10" max="10" width="7.7109375" style="6" customWidth="1"/>
    <col min="11" max="18" width="7.7109375" style="14" customWidth="1"/>
    <col min="19" max="19" width="11.7109375" style="14" customWidth="1"/>
    <col min="20" max="20" width="11.7109375" style="6" customWidth="1"/>
    <col min="21" max="21" width="11.85546875" style="6" customWidth="1"/>
    <col min="22" max="22" width="11.5703125" style="6" customWidth="1"/>
    <col min="23" max="27" width="10.5703125" style="6" customWidth="1"/>
    <col min="28" max="28" width="10.5703125" style="6" hidden="1" customWidth="1"/>
    <col min="29" max="29" width="10.85546875" style="6" customWidth="1"/>
    <col min="30" max="30" width="10.85546875" style="6" hidden="1" customWidth="1"/>
    <col min="31" max="31" width="10.85546875" style="6" customWidth="1"/>
    <col min="32" max="32" width="10.85546875" style="6" hidden="1" customWidth="1"/>
    <col min="33" max="36" width="10.85546875" style="6" customWidth="1"/>
    <col min="37" max="37" width="13.28515625" style="6" customWidth="1"/>
    <col min="38" max="42" width="10.85546875" style="6" customWidth="1"/>
    <col min="43" max="44" width="10.85546875" style="14" customWidth="1"/>
    <col min="45" max="46" width="10.85546875" style="6" customWidth="1"/>
    <col min="47" max="47" width="13.140625" style="14" customWidth="1"/>
    <col min="48" max="50" width="10.85546875" style="6" customWidth="1"/>
    <col min="51" max="56" width="10.85546875" style="13" customWidth="1"/>
    <col min="57" max="57" width="10.85546875" style="6" customWidth="1"/>
    <col min="58" max="58" width="16.140625" style="13" customWidth="1"/>
    <col min="59" max="64" width="11.85546875" style="13" customWidth="1"/>
    <col min="65" max="68" width="11.85546875" style="6" customWidth="1"/>
    <col min="69" max="70" width="10.85546875" style="6" customWidth="1"/>
    <col min="71" max="71" width="10.85546875" style="6" hidden="1" customWidth="1"/>
    <col min="72" max="81" width="10.85546875" style="6" customWidth="1"/>
    <col min="82" max="82" width="15.42578125" customWidth="1"/>
    <col min="86" max="99" width="9.140625" style="6"/>
    <col min="100" max="100" width="9.140625" style="13"/>
    <col min="101" max="106" width="8.85546875" style="47" customWidth="1"/>
    <col min="107" max="135" width="9.140625" style="13"/>
    <col min="136" max="16384" width="9.140625" style="2"/>
  </cols>
  <sheetData>
    <row r="1" spans="1:154">
      <c r="A1" s="2">
        <v>1</v>
      </c>
      <c r="C1" s="35" t="s">
        <v>214</v>
      </c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/>
      <c r="CX1"/>
      <c r="CY1"/>
      <c r="CZ1"/>
      <c r="DA1"/>
      <c r="DB1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</row>
    <row r="2" spans="1:154">
      <c r="A2" s="2">
        <v>2</v>
      </c>
      <c r="C2" s="35" t="s">
        <v>215</v>
      </c>
      <c r="D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/>
      <c r="CX2"/>
      <c r="CY2"/>
      <c r="CZ2"/>
      <c r="DA2"/>
      <c r="DB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</row>
    <row r="3" spans="1:154" ht="27.6" customHeight="1">
      <c r="A3" s="2">
        <v>3</v>
      </c>
      <c r="D3" s="34" t="str">
        <f>"BẢNG TÍNH TIỀN LƯƠNG THÁNG " &amp; A4 &amp;" / SALARY CALCULATION ON " &amp; TEXT(A4*29,"Mmm") &amp; " " &amp;A5</f>
        <v>BẢNG TÍNH TIỀN LƯƠNG THÁNG 4 / SALARY CALCULATION ON Apr 5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/>
      <c r="CX3"/>
      <c r="CY3"/>
      <c r="CZ3"/>
      <c r="DA3"/>
      <c r="DB3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</row>
    <row r="4" spans="1:154">
      <c r="A4" s="2">
        <v>4</v>
      </c>
      <c r="D4" s="7"/>
      <c r="F4" s="8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/>
      <c r="CX4"/>
      <c r="CY4"/>
      <c r="CZ4"/>
      <c r="DA4"/>
      <c r="DB4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</row>
    <row r="5" spans="1:154">
      <c r="A5" s="2">
        <v>5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2"/>
      <c r="V5" s="2"/>
      <c r="W5" s="3"/>
      <c r="X5" s="3"/>
      <c r="Y5" s="3"/>
      <c r="Z5" s="3"/>
      <c r="AA5" s="3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15"/>
      <c r="AV5" s="2">
        <f>CQ15</f>
        <v>0</v>
      </c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/>
      <c r="CX5"/>
      <c r="CY5"/>
      <c r="CZ5"/>
      <c r="DA5"/>
      <c r="DB5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</row>
    <row r="6" spans="1:154" hidden="1">
      <c r="B6" s="1">
        <v>2</v>
      </c>
      <c r="C6" s="1">
        <v>2</v>
      </c>
      <c r="D6" s="2">
        <v>2</v>
      </c>
      <c r="E6" s="1">
        <v>2</v>
      </c>
      <c r="F6" s="1">
        <v>2</v>
      </c>
      <c r="G6" s="1">
        <v>2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>
        <v>1</v>
      </c>
      <c r="P6" s="2">
        <v>1</v>
      </c>
      <c r="Q6" s="2">
        <v>1</v>
      </c>
      <c r="R6" s="2">
        <v>1</v>
      </c>
      <c r="S6" s="2">
        <v>1</v>
      </c>
      <c r="T6" s="2">
        <v>1</v>
      </c>
      <c r="U6" s="2">
        <v>1</v>
      </c>
      <c r="V6" s="2">
        <v>1</v>
      </c>
      <c r="W6" s="2">
        <v>1</v>
      </c>
      <c r="X6" s="2">
        <v>1</v>
      </c>
      <c r="Y6" s="2">
        <v>1</v>
      </c>
      <c r="Z6" s="2">
        <v>1</v>
      </c>
      <c r="AA6" s="2">
        <v>1</v>
      </c>
      <c r="AB6" s="2">
        <v>1</v>
      </c>
      <c r="AC6" s="2">
        <v>1</v>
      </c>
      <c r="AD6" s="2">
        <v>1</v>
      </c>
      <c r="AE6" s="2">
        <v>1</v>
      </c>
      <c r="AF6" s="2">
        <v>1</v>
      </c>
      <c r="AG6" s="2">
        <v>1</v>
      </c>
      <c r="AH6" s="2">
        <v>1</v>
      </c>
      <c r="AI6" s="2">
        <v>1</v>
      </c>
      <c r="AJ6" s="2">
        <v>1</v>
      </c>
      <c r="AK6" s="2">
        <v>1</v>
      </c>
      <c r="AL6" s="2">
        <v>1</v>
      </c>
      <c r="AM6" s="2"/>
      <c r="AN6" s="2">
        <v>1</v>
      </c>
      <c r="AO6" s="2">
        <v>1</v>
      </c>
      <c r="AP6" s="2">
        <v>1</v>
      </c>
      <c r="AQ6" s="2">
        <v>1</v>
      </c>
      <c r="AR6" s="2">
        <v>1</v>
      </c>
      <c r="AS6" s="2">
        <v>1</v>
      </c>
      <c r="AT6" s="2">
        <v>1</v>
      </c>
      <c r="AU6" s="2">
        <v>1</v>
      </c>
      <c r="AV6" s="2">
        <v>1</v>
      </c>
      <c r="AW6" s="2">
        <v>1</v>
      </c>
      <c r="AX6" s="2">
        <v>1</v>
      </c>
      <c r="AY6" s="2">
        <v>1</v>
      </c>
      <c r="AZ6" s="2">
        <v>1</v>
      </c>
      <c r="BA6" s="2">
        <v>1</v>
      </c>
      <c r="BB6" s="2">
        <v>1</v>
      </c>
      <c r="BC6" s="2">
        <v>1</v>
      </c>
      <c r="BD6" s="2">
        <v>1</v>
      </c>
      <c r="BE6" s="2">
        <v>1</v>
      </c>
      <c r="BF6" s="2">
        <v>1</v>
      </c>
      <c r="BG6" s="2">
        <v>1</v>
      </c>
      <c r="BH6" s="2">
        <v>1</v>
      </c>
      <c r="BI6" s="2">
        <v>1</v>
      </c>
      <c r="BJ6" s="2">
        <v>1</v>
      </c>
      <c r="BK6" s="2">
        <v>1</v>
      </c>
      <c r="BL6" s="2">
        <v>1</v>
      </c>
      <c r="BM6" s="2">
        <v>1</v>
      </c>
      <c r="BN6" s="2">
        <v>1</v>
      </c>
      <c r="BO6" s="2">
        <v>1</v>
      </c>
      <c r="BP6" s="2">
        <v>1</v>
      </c>
      <c r="BQ6" s="2">
        <v>1</v>
      </c>
      <c r="BR6" s="2">
        <v>1</v>
      </c>
      <c r="BS6" s="2">
        <v>1</v>
      </c>
      <c r="BT6" s="2">
        <v>1</v>
      </c>
      <c r="BU6" s="2">
        <v>1</v>
      </c>
      <c r="BV6" s="2">
        <v>1</v>
      </c>
      <c r="BW6" s="2">
        <v>1</v>
      </c>
      <c r="BX6" s="2">
        <v>1</v>
      </c>
      <c r="BY6" s="2">
        <v>1</v>
      </c>
      <c r="BZ6" s="2">
        <v>1</v>
      </c>
      <c r="CA6" s="2">
        <v>1</v>
      </c>
      <c r="CB6" s="2">
        <v>1</v>
      </c>
      <c r="CC6" s="2">
        <v>1</v>
      </c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/>
      <c r="CX6"/>
      <c r="CY6"/>
      <c r="CZ6"/>
      <c r="DA6"/>
      <c r="DB6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</row>
    <row r="7" spans="1:154" s="10" customFormat="1" hidden="1">
      <c r="B7" s="9" t="s">
        <v>3</v>
      </c>
      <c r="C7" s="9" t="s">
        <v>4</v>
      </c>
      <c r="D7" s="10" t="s">
        <v>5</v>
      </c>
      <c r="E7" s="9" t="s">
        <v>241</v>
      </c>
      <c r="F7" s="9" t="s">
        <v>163</v>
      </c>
      <c r="G7" s="9"/>
      <c r="J7" s="10" t="s">
        <v>183</v>
      </c>
      <c r="T7" s="10" t="s">
        <v>2</v>
      </c>
      <c r="U7" s="10" t="s">
        <v>6</v>
      </c>
      <c r="V7" s="10" t="s">
        <v>7</v>
      </c>
      <c r="W7" s="10" t="s">
        <v>10</v>
      </c>
      <c r="X7" s="10" t="s">
        <v>187</v>
      </c>
      <c r="Y7" s="10" t="s">
        <v>190</v>
      </c>
      <c r="Z7" s="10" t="s">
        <v>191</v>
      </c>
      <c r="AA7" s="10" t="s">
        <v>192</v>
      </c>
      <c r="AB7" s="10" t="s">
        <v>8</v>
      </c>
      <c r="AD7" s="10" t="s">
        <v>160</v>
      </c>
      <c r="AF7" s="10" t="s">
        <v>9</v>
      </c>
      <c r="AH7" s="10" t="s">
        <v>177</v>
      </c>
      <c r="AI7" s="10" t="s">
        <v>180</v>
      </c>
      <c r="AL7" s="10" t="s">
        <v>179</v>
      </c>
      <c r="BQ7" s="10" t="s">
        <v>207</v>
      </c>
      <c r="BR7" s="10" t="s">
        <v>83</v>
      </c>
      <c r="BS7" s="10" t="s">
        <v>208</v>
      </c>
      <c r="BY7" s="10" t="s">
        <v>243</v>
      </c>
      <c r="CC7" s="10" t="s">
        <v>213</v>
      </c>
      <c r="CD7"/>
      <c r="CE7"/>
      <c r="CF7"/>
      <c r="CG7"/>
      <c r="CJ7" s="10" t="s">
        <v>276</v>
      </c>
      <c r="CK7" s="10" t="s">
        <v>178</v>
      </c>
      <c r="CL7" s="10" t="s">
        <v>268</v>
      </c>
      <c r="CM7" s="10" t="s">
        <v>269</v>
      </c>
      <c r="CN7" s="10" t="s">
        <v>270</v>
      </c>
      <c r="CO7" s="10" t="s">
        <v>27</v>
      </c>
      <c r="CP7" s="10" t="s">
        <v>28</v>
      </c>
      <c r="CQ7" s="10" t="s">
        <v>29</v>
      </c>
      <c r="CR7" s="10" t="s">
        <v>30</v>
      </c>
      <c r="CS7" s="10" t="s">
        <v>181</v>
      </c>
      <c r="CV7" s="10" t="s">
        <v>25</v>
      </c>
      <c r="CW7" s="10" t="s">
        <v>11</v>
      </c>
      <c r="CX7" s="10" t="s">
        <v>12</v>
      </c>
      <c r="CY7" s="10" t="s">
        <v>14</v>
      </c>
      <c r="CZ7" s="10" t="s">
        <v>13</v>
      </c>
      <c r="DA7" s="10" t="s">
        <v>15</v>
      </c>
      <c r="DB7" s="10" t="s">
        <v>245</v>
      </c>
      <c r="DC7" s="10" t="s">
        <v>246</v>
      </c>
      <c r="DD7" s="10" t="s">
        <v>16</v>
      </c>
      <c r="DE7" s="10" t="s">
        <v>17</v>
      </c>
      <c r="DF7" s="10" t="s">
        <v>26</v>
      </c>
      <c r="DG7" s="10" t="s">
        <v>18</v>
      </c>
      <c r="DH7" s="10" t="s">
        <v>19</v>
      </c>
      <c r="DI7" s="10" t="s">
        <v>21</v>
      </c>
      <c r="DJ7" s="10" t="s">
        <v>20</v>
      </c>
      <c r="DK7" s="10" t="s">
        <v>22</v>
      </c>
      <c r="DL7" s="10" t="s">
        <v>247</v>
      </c>
      <c r="DM7" s="10" t="s">
        <v>248</v>
      </c>
      <c r="DN7" s="10" t="s">
        <v>23</v>
      </c>
      <c r="DO7" s="10" t="s">
        <v>24</v>
      </c>
      <c r="DP7" s="10" t="s">
        <v>251</v>
      </c>
      <c r="DQ7" s="10" t="s">
        <v>252</v>
      </c>
      <c r="DR7" s="10" t="s">
        <v>253</v>
      </c>
      <c r="DS7" s="10" t="s">
        <v>254</v>
      </c>
      <c r="DT7" s="10" t="s">
        <v>255</v>
      </c>
      <c r="DU7" s="10" t="s">
        <v>256</v>
      </c>
      <c r="DV7" s="10" t="s">
        <v>257</v>
      </c>
      <c r="DW7" s="10" t="s">
        <v>258</v>
      </c>
      <c r="DX7" s="10" t="s">
        <v>259</v>
      </c>
      <c r="DY7" s="10" t="s">
        <v>260</v>
      </c>
      <c r="DZ7" s="10" t="s">
        <v>261</v>
      </c>
      <c r="EA7" s="10" t="s">
        <v>262</v>
      </c>
      <c r="EB7" s="10" t="s">
        <v>263</v>
      </c>
      <c r="EC7" s="10" t="s">
        <v>264</v>
      </c>
      <c r="ED7" s="10" t="s">
        <v>265</v>
      </c>
      <c r="EE7" s="10" t="s">
        <v>266</v>
      </c>
      <c r="EF7" s="10" t="s">
        <v>166</v>
      </c>
      <c r="EG7" s="10" t="s">
        <v>167</v>
      </c>
      <c r="EH7" s="10" t="s">
        <v>168</v>
      </c>
      <c r="EI7" s="10" t="s">
        <v>169</v>
      </c>
      <c r="EJ7" s="10" t="s">
        <v>172</v>
      </c>
      <c r="EK7" s="10" t="s">
        <v>173</v>
      </c>
      <c r="EL7" s="10" t="s">
        <v>174</v>
      </c>
      <c r="EM7" s="10" t="s">
        <v>175</v>
      </c>
      <c r="EN7" s="10" t="s">
        <v>199</v>
      </c>
      <c r="EO7" s="10" t="s">
        <v>200</v>
      </c>
      <c r="EP7" s="10" t="s">
        <v>201</v>
      </c>
      <c r="EQ7" s="10" t="s">
        <v>202</v>
      </c>
      <c r="ER7" s="10" t="s">
        <v>206</v>
      </c>
      <c r="ES7" s="10" t="s">
        <v>212</v>
      </c>
      <c r="ET7" s="10" t="s">
        <v>274</v>
      </c>
      <c r="EU7" s="10" t="s">
        <v>281</v>
      </c>
      <c r="EV7" s="10" t="s">
        <v>282</v>
      </c>
      <c r="EW7" s="10" t="s">
        <v>283</v>
      </c>
      <c r="EX7" s="10" t="s">
        <v>284</v>
      </c>
    </row>
    <row r="8" spans="1:154" hidden="1">
      <c r="C8" s="9" t="s">
        <v>4</v>
      </c>
      <c r="G8" s="1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H8" s="10"/>
      <c r="CI8" s="10"/>
      <c r="CJ8" s="10"/>
      <c r="CK8" s="10"/>
      <c r="CL8" s="10"/>
      <c r="CM8" s="10"/>
      <c r="CN8" s="10"/>
      <c r="CO8" s="10" t="s">
        <v>27</v>
      </c>
      <c r="CP8" s="10" t="s">
        <v>28</v>
      </c>
      <c r="CQ8" s="10" t="s">
        <v>29</v>
      </c>
      <c r="CR8" s="2"/>
      <c r="CS8" s="2"/>
      <c r="CT8" s="2"/>
      <c r="CU8" s="2"/>
      <c r="CV8" s="2"/>
      <c r="CW8" s="2"/>
      <c r="CX8"/>
      <c r="CY8"/>
      <c r="CZ8"/>
      <c r="DA8"/>
      <c r="DB8"/>
      <c r="DC8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</row>
    <row r="9" spans="1:154" hidden="1">
      <c r="C9" s="9" t="s">
        <v>4</v>
      </c>
      <c r="F9" s="1" t="s">
        <v>34</v>
      </c>
      <c r="G9" s="1" t="s">
        <v>35</v>
      </c>
      <c r="H9" s="2" t="s">
        <v>36</v>
      </c>
      <c r="I9" s="1" t="s">
        <v>37</v>
      </c>
      <c r="J9" s="1" t="s">
        <v>38</v>
      </c>
      <c r="K9" s="2" t="s">
        <v>39</v>
      </c>
      <c r="L9" s="1" t="s">
        <v>40</v>
      </c>
      <c r="M9" s="1" t="s">
        <v>41</v>
      </c>
      <c r="N9" s="2" t="s">
        <v>42</v>
      </c>
      <c r="O9" s="1" t="s">
        <v>43</v>
      </c>
      <c r="P9" s="1" t="s">
        <v>44</v>
      </c>
      <c r="Q9" s="2" t="s">
        <v>45</v>
      </c>
      <c r="R9" s="1" t="s">
        <v>46</v>
      </c>
      <c r="S9" s="1" t="s">
        <v>47</v>
      </c>
      <c r="T9" s="2" t="s">
        <v>48</v>
      </c>
      <c r="U9" s="1" t="s">
        <v>49</v>
      </c>
      <c r="V9" s="1" t="s">
        <v>50</v>
      </c>
      <c r="W9" s="2" t="s">
        <v>51</v>
      </c>
      <c r="X9" s="1" t="s">
        <v>52</v>
      </c>
      <c r="Y9" s="1" t="s">
        <v>53</v>
      </c>
      <c r="Z9" s="2" t="s">
        <v>54</v>
      </c>
      <c r="AA9" s="1" t="s">
        <v>55</v>
      </c>
      <c r="AB9" s="1" t="s">
        <v>56</v>
      </c>
      <c r="AC9" s="2" t="s">
        <v>57</v>
      </c>
      <c r="AD9" s="1" t="s">
        <v>58</v>
      </c>
      <c r="AE9" s="1" t="s">
        <v>59</v>
      </c>
      <c r="AF9" s="2" t="s">
        <v>60</v>
      </c>
      <c r="AG9" s="1" t="s">
        <v>61</v>
      </c>
      <c r="AH9" s="1" t="s">
        <v>62</v>
      </c>
      <c r="AI9" s="2" t="s">
        <v>63</v>
      </c>
      <c r="AJ9" s="1" t="s">
        <v>64</v>
      </c>
      <c r="AK9" s="1" t="s">
        <v>65</v>
      </c>
      <c r="AL9" s="2" t="s">
        <v>66</v>
      </c>
      <c r="AM9" s="2"/>
      <c r="AN9" s="1" t="s">
        <v>67</v>
      </c>
      <c r="AO9" s="1" t="s">
        <v>68</v>
      </c>
      <c r="AP9" s="2" t="s">
        <v>69</v>
      </c>
      <c r="AQ9" s="1" t="s">
        <v>70</v>
      </c>
      <c r="AR9" s="1" t="s">
        <v>71</v>
      </c>
      <c r="AS9" s="2" t="s">
        <v>216</v>
      </c>
      <c r="AT9" s="1" t="s">
        <v>72</v>
      </c>
      <c r="AU9" s="1" t="s">
        <v>73</v>
      </c>
      <c r="AV9" s="2" t="s">
        <v>74</v>
      </c>
      <c r="AW9" s="1" t="s">
        <v>75</v>
      </c>
      <c r="AX9" s="1" t="s">
        <v>76</v>
      </c>
      <c r="AY9" s="2" t="s">
        <v>77</v>
      </c>
      <c r="AZ9" s="1" t="s">
        <v>78</v>
      </c>
      <c r="BA9" s="1" t="s">
        <v>79</v>
      </c>
      <c r="BB9" s="2" t="s">
        <v>80</v>
      </c>
      <c r="BC9" s="1" t="s">
        <v>81</v>
      </c>
      <c r="BD9" s="1" t="s">
        <v>82</v>
      </c>
      <c r="BE9" s="2" t="s">
        <v>217</v>
      </c>
      <c r="BF9" s="1" t="s">
        <v>218</v>
      </c>
      <c r="BG9" s="1" t="s">
        <v>219</v>
      </c>
      <c r="BH9" s="2" t="s">
        <v>220</v>
      </c>
      <c r="BI9" s="1" t="s">
        <v>221</v>
      </c>
      <c r="BJ9" s="1" t="s">
        <v>222</v>
      </c>
      <c r="BK9" s="2" t="s">
        <v>223</v>
      </c>
      <c r="BL9" s="1" t="s">
        <v>224</v>
      </c>
      <c r="BM9" s="1" t="s">
        <v>225</v>
      </c>
      <c r="BN9" s="2" t="s">
        <v>226</v>
      </c>
      <c r="BO9" s="1" t="s">
        <v>227</v>
      </c>
      <c r="BP9" s="1" t="s">
        <v>228</v>
      </c>
      <c r="BQ9" s="2" t="s">
        <v>229</v>
      </c>
      <c r="BR9" s="1" t="s">
        <v>230</v>
      </c>
      <c r="BS9" s="1" t="s">
        <v>231</v>
      </c>
      <c r="BT9" s="2" t="s">
        <v>232</v>
      </c>
      <c r="BU9" s="1" t="s">
        <v>233</v>
      </c>
      <c r="BV9" s="1" t="s">
        <v>234</v>
      </c>
      <c r="BW9" s="2" t="s">
        <v>235</v>
      </c>
      <c r="BX9" s="1" t="s">
        <v>236</v>
      </c>
      <c r="BY9" s="1" t="s">
        <v>242</v>
      </c>
      <c r="BZ9" s="1" t="s">
        <v>237</v>
      </c>
      <c r="CA9" s="1" t="s">
        <v>279</v>
      </c>
      <c r="CB9" s="2" t="s">
        <v>238</v>
      </c>
      <c r="CC9" s="1" t="s">
        <v>239</v>
      </c>
      <c r="CD9" s="1" t="s">
        <v>240</v>
      </c>
      <c r="CE9" s="2"/>
      <c r="CF9" s="2"/>
      <c r="CG9" s="2"/>
      <c r="CH9" s="10"/>
      <c r="CI9" s="10"/>
      <c r="CJ9" s="10"/>
      <c r="CK9" s="10"/>
      <c r="CL9" s="10"/>
      <c r="CM9" s="10"/>
      <c r="CN9" s="10"/>
      <c r="CO9" s="10" t="s">
        <v>27</v>
      </c>
      <c r="CP9" s="10" t="s">
        <v>28</v>
      </c>
      <c r="CQ9" s="10" t="s">
        <v>29</v>
      </c>
      <c r="CR9" s="2"/>
      <c r="CS9" s="2"/>
      <c r="CT9" s="2"/>
      <c r="CU9" s="2"/>
      <c r="CV9" s="2"/>
      <c r="CW9" s="2"/>
      <c r="CX9"/>
      <c r="CY9"/>
      <c r="CZ9"/>
      <c r="DA9"/>
      <c r="DB9"/>
      <c r="DC9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</row>
    <row r="10" spans="1:154" hidden="1">
      <c r="B10" s="1" t="s">
        <v>3</v>
      </c>
      <c r="C10" s="9" t="s">
        <v>4</v>
      </c>
      <c r="D10" s="10" t="s">
        <v>5</v>
      </c>
      <c r="E10" s="9" t="s">
        <v>86</v>
      </c>
      <c r="F10" s="9" t="s">
        <v>34</v>
      </c>
      <c r="G10" s="9" t="s">
        <v>35</v>
      </c>
      <c r="H10" s="9" t="s">
        <v>36</v>
      </c>
      <c r="I10" s="9" t="s">
        <v>37</v>
      </c>
      <c r="J10" s="9" t="s">
        <v>38</v>
      </c>
      <c r="K10" s="9" t="s">
        <v>39</v>
      </c>
      <c r="L10" s="9" t="s">
        <v>40</v>
      </c>
      <c r="M10" s="9" t="s">
        <v>41</v>
      </c>
      <c r="N10" s="9" t="s">
        <v>42</v>
      </c>
      <c r="O10" s="9" t="s">
        <v>43</v>
      </c>
      <c r="P10" s="9" t="s">
        <v>44</v>
      </c>
      <c r="Q10" s="9" t="s">
        <v>45</v>
      </c>
      <c r="R10" s="9" t="s">
        <v>46</v>
      </c>
      <c r="S10" s="9" t="s">
        <v>47</v>
      </c>
      <c r="T10" s="9" t="s">
        <v>48</v>
      </c>
      <c r="U10" s="9" t="s">
        <v>49</v>
      </c>
      <c r="V10" s="9" t="s">
        <v>50</v>
      </c>
      <c r="W10" s="9" t="s">
        <v>51</v>
      </c>
      <c r="X10" s="9" t="s">
        <v>52</v>
      </c>
      <c r="Y10" s="9" t="s">
        <v>53</v>
      </c>
      <c r="Z10" s="9" t="s">
        <v>54</v>
      </c>
      <c r="AA10" s="9" t="s">
        <v>55</v>
      </c>
      <c r="AB10" s="9" t="s">
        <v>56</v>
      </c>
      <c r="AC10" s="9" t="s">
        <v>57</v>
      </c>
      <c r="AD10" s="9" t="s">
        <v>58</v>
      </c>
      <c r="AE10" s="9" t="s">
        <v>59</v>
      </c>
      <c r="AF10" s="9" t="s">
        <v>60</v>
      </c>
      <c r="AG10" s="9" t="s">
        <v>61</v>
      </c>
      <c r="AH10" s="9" t="s">
        <v>62</v>
      </c>
      <c r="AI10" s="9" t="s">
        <v>63</v>
      </c>
      <c r="AJ10" s="9" t="s">
        <v>64</v>
      </c>
      <c r="AK10" s="9" t="s">
        <v>65</v>
      </c>
      <c r="AL10" s="9" t="s">
        <v>66</v>
      </c>
      <c r="AM10" s="9"/>
      <c r="AN10" s="9" t="s">
        <v>67</v>
      </c>
      <c r="AO10" s="9" t="s">
        <v>68</v>
      </c>
      <c r="AP10" s="9" t="s">
        <v>69</v>
      </c>
      <c r="AQ10" s="9" t="s">
        <v>70</v>
      </c>
      <c r="AR10" s="9" t="s">
        <v>71</v>
      </c>
      <c r="AS10" s="9" t="s">
        <v>216</v>
      </c>
      <c r="AT10" s="9" t="s">
        <v>72</v>
      </c>
      <c r="AU10" s="9" t="s">
        <v>73</v>
      </c>
      <c r="AV10" s="9" t="s">
        <v>74</v>
      </c>
      <c r="AW10" s="9" t="s">
        <v>75</v>
      </c>
      <c r="AX10" s="9" t="s">
        <v>76</v>
      </c>
      <c r="AY10" s="9" t="s">
        <v>77</v>
      </c>
      <c r="AZ10" s="9" t="s">
        <v>78</v>
      </c>
      <c r="BA10" s="9" t="s">
        <v>79</v>
      </c>
      <c r="BB10" s="9" t="s">
        <v>80</v>
      </c>
      <c r="BC10" s="9" t="s">
        <v>81</v>
      </c>
      <c r="BD10" s="9" t="s">
        <v>82</v>
      </c>
      <c r="BE10" s="9" t="s">
        <v>217</v>
      </c>
      <c r="BF10" s="9" t="s">
        <v>218</v>
      </c>
      <c r="BG10" s="9" t="s">
        <v>219</v>
      </c>
      <c r="BH10" s="9" t="s">
        <v>220</v>
      </c>
      <c r="BI10" s="9" t="s">
        <v>221</v>
      </c>
      <c r="BJ10" s="9" t="s">
        <v>222</v>
      </c>
      <c r="BK10" s="9" t="s">
        <v>223</v>
      </c>
      <c r="BL10" s="9" t="s">
        <v>224</v>
      </c>
      <c r="BM10" s="9" t="s">
        <v>225</v>
      </c>
      <c r="BN10" s="9" t="s">
        <v>226</v>
      </c>
      <c r="BO10" s="9" t="s">
        <v>227</v>
      </c>
      <c r="BP10" s="9" t="s">
        <v>228</v>
      </c>
      <c r="BQ10" s="9" t="s">
        <v>229</v>
      </c>
      <c r="BR10" s="9" t="s">
        <v>230</v>
      </c>
      <c r="BS10" s="9" t="s">
        <v>231</v>
      </c>
      <c r="BT10" s="9" t="s">
        <v>232</v>
      </c>
      <c r="BU10" s="9" t="s">
        <v>233</v>
      </c>
      <c r="BV10" s="9" t="s">
        <v>234</v>
      </c>
      <c r="BW10" s="9" t="s">
        <v>235</v>
      </c>
      <c r="BX10" s="9" t="s">
        <v>236</v>
      </c>
      <c r="BY10" s="9" t="s">
        <v>242</v>
      </c>
      <c r="BZ10" s="9" t="s">
        <v>237</v>
      </c>
      <c r="CA10" s="9" t="s">
        <v>279</v>
      </c>
      <c r="CB10" s="9" t="s">
        <v>238</v>
      </c>
      <c r="CC10" s="9" t="s">
        <v>239</v>
      </c>
      <c r="CD10" s="9" t="s">
        <v>240</v>
      </c>
      <c r="CE10" s="2"/>
      <c r="CF10" s="2"/>
      <c r="CG10" s="2"/>
      <c r="CH10" s="10"/>
      <c r="CI10" s="10"/>
      <c r="CJ10" s="10"/>
      <c r="CK10" s="10"/>
      <c r="CL10" s="10"/>
      <c r="CM10" s="10"/>
      <c r="CN10" s="10"/>
      <c r="CO10" s="10" t="s">
        <v>27</v>
      </c>
      <c r="CP10" s="10" t="s">
        <v>28</v>
      </c>
      <c r="CQ10" s="10" t="s">
        <v>29</v>
      </c>
      <c r="CR10" s="2"/>
      <c r="CS10" s="2"/>
      <c r="CT10" s="2"/>
      <c r="CU10" s="2"/>
      <c r="CV10" s="2"/>
      <c r="CW10" s="2"/>
      <c r="CX10"/>
      <c r="CY10"/>
      <c r="CZ10"/>
      <c r="DA10"/>
      <c r="DB10"/>
      <c r="DC10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</row>
    <row r="11" spans="1:154" s="41" customFormat="1" ht="15" customHeight="1">
      <c r="B11" s="75" t="s">
        <v>0</v>
      </c>
      <c r="C11" s="75" t="s">
        <v>1</v>
      </c>
      <c r="D11" s="75" t="s">
        <v>85</v>
      </c>
      <c r="E11" s="77" t="s">
        <v>84</v>
      </c>
      <c r="F11" s="75" t="s">
        <v>87</v>
      </c>
      <c r="G11" s="69" t="s">
        <v>90</v>
      </c>
      <c r="H11" s="70"/>
      <c r="I11" s="71"/>
      <c r="J11" s="77" t="s">
        <v>91</v>
      </c>
      <c r="K11" s="69" t="s">
        <v>100</v>
      </c>
      <c r="L11" s="70"/>
      <c r="M11" s="70"/>
      <c r="N11" s="70"/>
      <c r="O11" s="70"/>
      <c r="P11" s="70"/>
      <c r="Q11" s="70"/>
      <c r="R11" s="70"/>
      <c r="S11" s="71"/>
      <c r="T11" s="75" t="s">
        <v>101</v>
      </c>
      <c r="U11" s="75"/>
      <c r="V11" s="75"/>
      <c r="W11" s="75"/>
      <c r="X11" s="75"/>
      <c r="Y11" s="75"/>
      <c r="Z11" s="75"/>
      <c r="AA11" s="75"/>
      <c r="AB11" s="69" t="s">
        <v>116</v>
      </c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1"/>
      <c r="AN11" s="75" t="s">
        <v>285</v>
      </c>
      <c r="AO11" s="77" t="s">
        <v>197</v>
      </c>
      <c r="AP11" s="77" t="s">
        <v>117</v>
      </c>
      <c r="AQ11" s="75" t="s">
        <v>193</v>
      </c>
      <c r="AR11" s="75" t="s">
        <v>194</v>
      </c>
      <c r="AS11" s="86" t="s">
        <v>195</v>
      </c>
      <c r="AT11" s="86" t="s">
        <v>196</v>
      </c>
      <c r="AU11" s="75" t="s">
        <v>118</v>
      </c>
      <c r="AV11" s="75" t="s">
        <v>129</v>
      </c>
      <c r="AW11" s="75"/>
      <c r="AX11" s="75"/>
      <c r="AY11" s="75"/>
      <c r="AZ11" s="75"/>
      <c r="BA11" s="75"/>
      <c r="BB11" s="75"/>
      <c r="BC11" s="75"/>
      <c r="BD11" s="75"/>
      <c r="BE11" s="75"/>
      <c r="BF11" s="69" t="s">
        <v>130</v>
      </c>
      <c r="BG11" s="75" t="s">
        <v>137</v>
      </c>
      <c r="BH11" s="75"/>
      <c r="BI11" s="75"/>
      <c r="BJ11" s="75"/>
      <c r="BK11" s="75"/>
      <c r="BL11" s="75"/>
      <c r="BM11" s="69" t="s">
        <v>148</v>
      </c>
      <c r="BN11" s="70"/>
      <c r="BO11" s="70"/>
      <c r="BP11" s="71"/>
      <c r="BQ11" s="89" t="s">
        <v>149</v>
      </c>
      <c r="BR11" s="90"/>
      <c r="BS11" s="90"/>
      <c r="BT11" s="90"/>
      <c r="BU11" s="90"/>
      <c r="BV11" s="90"/>
      <c r="BW11" s="90"/>
      <c r="BX11" s="91"/>
      <c r="BY11" s="106" t="s">
        <v>244</v>
      </c>
      <c r="BZ11" s="80" t="s">
        <v>150</v>
      </c>
      <c r="CA11" s="80" t="s">
        <v>280</v>
      </c>
      <c r="CB11" s="80" t="s">
        <v>151</v>
      </c>
      <c r="CC11" s="80" t="s">
        <v>152</v>
      </c>
      <c r="CD11" s="77" t="s">
        <v>153</v>
      </c>
      <c r="CE11" s="21"/>
      <c r="CF11" s="21"/>
      <c r="CG11" s="21"/>
      <c r="CH11" s="21"/>
      <c r="CI11" s="109" t="s">
        <v>249</v>
      </c>
      <c r="CJ11" s="101" t="s">
        <v>277</v>
      </c>
      <c r="CK11" s="101" t="s">
        <v>278</v>
      </c>
      <c r="CL11" s="101" t="s">
        <v>271</v>
      </c>
      <c r="CM11" s="101" t="s">
        <v>272</v>
      </c>
      <c r="CN11" s="101" t="s">
        <v>273</v>
      </c>
      <c r="CO11" s="76" t="s">
        <v>27</v>
      </c>
      <c r="CP11" s="76" t="s">
        <v>32</v>
      </c>
      <c r="CQ11" s="76" t="s">
        <v>33</v>
      </c>
      <c r="CR11" s="76" t="s">
        <v>31</v>
      </c>
      <c r="CS11" s="98" t="s">
        <v>182</v>
      </c>
      <c r="CT11" s="95" t="s">
        <v>267</v>
      </c>
      <c r="CU11" s="95"/>
      <c r="CV11" s="87" t="s">
        <v>159</v>
      </c>
      <c r="CW11" s="87"/>
      <c r="CX11" s="87"/>
      <c r="CY11" s="87"/>
      <c r="CZ11" s="87"/>
      <c r="DA11" s="87"/>
      <c r="DB11" s="87"/>
      <c r="DC11" s="87"/>
      <c r="DD11" s="87"/>
      <c r="DE11" s="87"/>
      <c r="DF11" s="87"/>
      <c r="DG11" s="87"/>
      <c r="DH11" s="87"/>
      <c r="DI11" s="87"/>
      <c r="DJ11" s="87"/>
      <c r="DK11" s="87"/>
      <c r="DL11" s="87"/>
      <c r="DM11" s="87"/>
      <c r="DN11" s="87"/>
      <c r="DO11" s="88"/>
      <c r="DP11" s="103" t="s">
        <v>250</v>
      </c>
      <c r="DQ11" s="104"/>
      <c r="DR11" s="104"/>
      <c r="DS11" s="104"/>
      <c r="DT11" s="104"/>
      <c r="DU11" s="104"/>
      <c r="DV11" s="104"/>
      <c r="DW11" s="104"/>
      <c r="DX11" s="104"/>
      <c r="DY11" s="104"/>
      <c r="DZ11" s="104"/>
      <c r="EA11" s="104"/>
      <c r="EB11" s="104"/>
      <c r="EC11" s="104"/>
      <c r="ED11" s="104"/>
      <c r="EE11" s="105"/>
      <c r="EF11" s="64" t="s">
        <v>184</v>
      </c>
      <c r="EG11" s="64"/>
      <c r="EH11" s="64"/>
      <c r="EI11" s="64"/>
      <c r="EJ11" s="64" t="s">
        <v>185</v>
      </c>
      <c r="EK11" s="64"/>
      <c r="EL11" s="64"/>
      <c r="EM11" s="64"/>
      <c r="EN11" s="67" t="s">
        <v>198</v>
      </c>
      <c r="EO11" s="64" t="s">
        <v>203</v>
      </c>
      <c r="EP11" s="64" t="s">
        <v>204</v>
      </c>
      <c r="EQ11" s="64" t="s">
        <v>205</v>
      </c>
      <c r="ER11" s="67" t="s">
        <v>210</v>
      </c>
      <c r="ES11" s="64" t="s">
        <v>211</v>
      </c>
      <c r="ET11" s="64" t="s">
        <v>275</v>
      </c>
      <c r="EU11" s="111" t="s">
        <v>285</v>
      </c>
      <c r="EV11" s="68" t="s">
        <v>286</v>
      </c>
      <c r="EW11" s="67" t="s">
        <v>287</v>
      </c>
      <c r="EX11" s="67" t="s">
        <v>288</v>
      </c>
    </row>
    <row r="12" spans="1:154" s="41" customFormat="1" ht="28.15" customHeight="1">
      <c r="B12" s="75"/>
      <c r="C12" s="75"/>
      <c r="D12" s="75"/>
      <c r="E12" s="78"/>
      <c r="F12" s="75"/>
      <c r="G12" s="72"/>
      <c r="H12" s="73"/>
      <c r="I12" s="74"/>
      <c r="J12" s="78"/>
      <c r="K12" s="83"/>
      <c r="L12" s="84"/>
      <c r="M12" s="84"/>
      <c r="N12" s="84"/>
      <c r="O12" s="84"/>
      <c r="P12" s="84"/>
      <c r="Q12" s="84"/>
      <c r="R12" s="84"/>
      <c r="S12" s="85"/>
      <c r="T12" s="75" t="s">
        <v>188</v>
      </c>
      <c r="U12" s="75"/>
      <c r="V12" s="75"/>
      <c r="W12" s="75"/>
      <c r="X12" s="75" t="s">
        <v>189</v>
      </c>
      <c r="Y12" s="75"/>
      <c r="Z12" s="75"/>
      <c r="AA12" s="75"/>
      <c r="AB12" s="83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5"/>
      <c r="AN12" s="75"/>
      <c r="AO12" s="78"/>
      <c r="AP12" s="78"/>
      <c r="AQ12" s="75"/>
      <c r="AR12" s="75"/>
      <c r="AS12" s="86"/>
      <c r="AT12" s="86"/>
      <c r="AU12" s="75"/>
      <c r="AV12" s="75"/>
      <c r="AW12" s="75"/>
      <c r="AX12" s="75"/>
      <c r="AY12" s="75"/>
      <c r="AZ12" s="75"/>
      <c r="BA12" s="75"/>
      <c r="BB12" s="75"/>
      <c r="BC12" s="75"/>
      <c r="BD12" s="75"/>
      <c r="BE12" s="75"/>
      <c r="BF12" s="72"/>
      <c r="BG12" s="75"/>
      <c r="BH12" s="75"/>
      <c r="BI12" s="75"/>
      <c r="BJ12" s="75"/>
      <c r="BK12" s="75"/>
      <c r="BL12" s="75"/>
      <c r="BM12" s="72"/>
      <c r="BN12" s="73"/>
      <c r="BO12" s="73"/>
      <c r="BP12" s="74"/>
      <c r="BQ12" s="92"/>
      <c r="BR12" s="93"/>
      <c r="BS12" s="93"/>
      <c r="BT12" s="93"/>
      <c r="BU12" s="93"/>
      <c r="BV12" s="93"/>
      <c r="BW12" s="93"/>
      <c r="BX12" s="94"/>
      <c r="BY12" s="107"/>
      <c r="BZ12" s="81"/>
      <c r="CA12" s="81"/>
      <c r="CB12" s="81"/>
      <c r="CC12" s="81"/>
      <c r="CD12" s="78"/>
      <c r="CE12" s="21"/>
      <c r="CF12" s="21"/>
      <c r="CG12" s="21"/>
      <c r="CH12" s="21"/>
      <c r="CI12" s="109"/>
      <c r="CJ12" s="101"/>
      <c r="CK12" s="101"/>
      <c r="CL12" s="101"/>
      <c r="CM12" s="101"/>
      <c r="CN12" s="101"/>
      <c r="CO12" s="76"/>
      <c r="CP12" s="76"/>
      <c r="CQ12" s="76"/>
      <c r="CR12" s="76"/>
      <c r="CS12" s="99"/>
      <c r="CT12" s="95"/>
      <c r="CU12" s="95"/>
      <c r="CV12" s="96" t="s">
        <v>156</v>
      </c>
      <c r="CW12" s="97"/>
      <c r="CX12" s="97"/>
      <c r="CY12" s="97"/>
      <c r="CZ12" s="97"/>
      <c r="DA12" s="97"/>
      <c r="DB12" s="97"/>
      <c r="DC12" s="97"/>
      <c r="DD12" s="97"/>
      <c r="DE12" s="97"/>
      <c r="DF12" s="97" t="s">
        <v>157</v>
      </c>
      <c r="DG12" s="97"/>
      <c r="DH12" s="97"/>
      <c r="DI12" s="97"/>
      <c r="DJ12" s="97"/>
      <c r="DK12" s="97"/>
      <c r="DL12" s="97"/>
      <c r="DM12" s="97"/>
      <c r="DN12" s="97"/>
      <c r="DO12" s="97"/>
      <c r="DP12" s="103" t="s">
        <v>156</v>
      </c>
      <c r="DQ12" s="104"/>
      <c r="DR12" s="104"/>
      <c r="DS12" s="104"/>
      <c r="DT12" s="104"/>
      <c r="DU12" s="104"/>
      <c r="DV12" s="104"/>
      <c r="DW12" s="105"/>
      <c r="DX12" s="103" t="s">
        <v>157</v>
      </c>
      <c r="DY12" s="104"/>
      <c r="DZ12" s="104"/>
      <c r="EA12" s="104"/>
      <c r="EB12" s="104"/>
      <c r="EC12" s="104"/>
      <c r="ED12" s="104"/>
      <c r="EE12" s="105"/>
      <c r="EF12" s="65" t="s">
        <v>156</v>
      </c>
      <c r="EG12" s="66"/>
      <c r="EH12" s="65" t="s">
        <v>157</v>
      </c>
      <c r="EI12" s="66"/>
      <c r="EJ12" s="64" t="s">
        <v>156</v>
      </c>
      <c r="EK12" s="64"/>
      <c r="EL12" s="64" t="s">
        <v>157</v>
      </c>
      <c r="EM12" s="64"/>
      <c r="EN12" s="67"/>
      <c r="EO12" s="64"/>
      <c r="EP12" s="64"/>
      <c r="EQ12" s="64"/>
      <c r="ER12" s="67"/>
      <c r="ES12" s="64"/>
      <c r="ET12" s="64"/>
      <c r="EU12" s="112"/>
      <c r="EV12" s="113"/>
      <c r="EW12" s="67"/>
      <c r="EX12" s="67"/>
    </row>
    <row r="13" spans="1:154" s="11" customFormat="1" ht="94.5" customHeight="1">
      <c r="B13" s="77"/>
      <c r="C13" s="77"/>
      <c r="D13" s="77"/>
      <c r="E13" s="79"/>
      <c r="F13" s="77"/>
      <c r="G13" s="17" t="s">
        <v>88</v>
      </c>
      <c r="H13" s="17" t="s">
        <v>89</v>
      </c>
      <c r="I13" s="30" t="s">
        <v>176</v>
      </c>
      <c r="J13" s="79"/>
      <c r="K13" s="42" t="s">
        <v>92</v>
      </c>
      <c r="L13" s="42" t="s">
        <v>93</v>
      </c>
      <c r="M13" s="42" t="s">
        <v>94</v>
      </c>
      <c r="N13" s="42" t="s">
        <v>158</v>
      </c>
      <c r="O13" s="42" t="s">
        <v>95</v>
      </c>
      <c r="P13" s="42" t="s">
        <v>96</v>
      </c>
      <c r="Q13" s="42" t="s">
        <v>97</v>
      </c>
      <c r="R13" s="42" t="s">
        <v>98</v>
      </c>
      <c r="S13" s="42" t="s">
        <v>99</v>
      </c>
      <c r="T13" s="30" t="s">
        <v>186</v>
      </c>
      <c r="U13" s="30" t="s">
        <v>102</v>
      </c>
      <c r="V13" s="30" t="s">
        <v>103</v>
      </c>
      <c r="W13" s="30" t="s">
        <v>104</v>
      </c>
      <c r="X13" s="30" t="s">
        <v>186</v>
      </c>
      <c r="Y13" s="30" t="s">
        <v>102</v>
      </c>
      <c r="Z13" s="30" t="s">
        <v>103</v>
      </c>
      <c r="AA13" s="30" t="s">
        <v>104</v>
      </c>
      <c r="AB13" s="30" t="s">
        <v>115</v>
      </c>
      <c r="AC13" s="30" t="s">
        <v>105</v>
      </c>
      <c r="AD13" s="30" t="s">
        <v>106</v>
      </c>
      <c r="AE13" s="17" t="s">
        <v>107</v>
      </c>
      <c r="AF13" s="17" t="s">
        <v>108</v>
      </c>
      <c r="AG13" s="17" t="s">
        <v>109</v>
      </c>
      <c r="AH13" s="17" t="s">
        <v>110</v>
      </c>
      <c r="AI13" s="17" t="s">
        <v>111</v>
      </c>
      <c r="AJ13" s="17" t="s">
        <v>112</v>
      </c>
      <c r="AK13" s="17" t="s">
        <v>113</v>
      </c>
      <c r="AL13" s="17" t="s">
        <v>114</v>
      </c>
      <c r="AM13" s="57"/>
      <c r="AN13" s="77"/>
      <c r="AO13" s="78"/>
      <c r="AP13" s="78"/>
      <c r="AQ13" s="75"/>
      <c r="AR13" s="75"/>
      <c r="AS13" s="86"/>
      <c r="AT13" s="86"/>
      <c r="AU13" s="75"/>
      <c r="AV13" s="31" t="s">
        <v>119</v>
      </c>
      <c r="AW13" s="32" t="s">
        <v>120</v>
      </c>
      <c r="AX13" s="32" t="s">
        <v>121</v>
      </c>
      <c r="AY13" s="30" t="s">
        <v>122</v>
      </c>
      <c r="AZ13" s="33" t="s">
        <v>123</v>
      </c>
      <c r="BA13" s="33" t="s">
        <v>124</v>
      </c>
      <c r="BB13" s="30" t="s">
        <v>125</v>
      </c>
      <c r="BC13" s="30" t="s">
        <v>126</v>
      </c>
      <c r="BD13" s="30" t="s">
        <v>127</v>
      </c>
      <c r="BE13" s="30" t="s">
        <v>128</v>
      </c>
      <c r="BF13" s="83"/>
      <c r="BG13" s="20" t="s">
        <v>131</v>
      </c>
      <c r="BH13" s="20" t="s">
        <v>132</v>
      </c>
      <c r="BI13" s="20" t="s">
        <v>133</v>
      </c>
      <c r="BJ13" s="19" t="s">
        <v>134</v>
      </c>
      <c r="BK13" s="19" t="s">
        <v>135</v>
      </c>
      <c r="BL13" s="19" t="s">
        <v>136</v>
      </c>
      <c r="BM13" s="19" t="s">
        <v>138</v>
      </c>
      <c r="BN13" s="19" t="s">
        <v>139</v>
      </c>
      <c r="BO13" s="30" t="s">
        <v>134</v>
      </c>
      <c r="BP13" s="30" t="s">
        <v>140</v>
      </c>
      <c r="BQ13" s="56" t="s">
        <v>141</v>
      </c>
      <c r="BR13" s="55" t="s">
        <v>142</v>
      </c>
      <c r="BS13" s="55" t="s">
        <v>209</v>
      </c>
      <c r="BT13" s="55" t="s">
        <v>143</v>
      </c>
      <c r="BU13" s="55" t="s">
        <v>144</v>
      </c>
      <c r="BV13" s="62" t="s">
        <v>145</v>
      </c>
      <c r="BW13" s="55" t="s">
        <v>146</v>
      </c>
      <c r="BX13" s="17" t="s">
        <v>147</v>
      </c>
      <c r="BY13" s="108"/>
      <c r="BZ13" s="82"/>
      <c r="CA13" s="82"/>
      <c r="CB13" s="82"/>
      <c r="CC13" s="82"/>
      <c r="CD13" s="79"/>
      <c r="CE13" s="21"/>
      <c r="CF13" s="21"/>
      <c r="CG13" s="21"/>
      <c r="CH13" s="21"/>
      <c r="CI13" s="110"/>
      <c r="CJ13" s="102"/>
      <c r="CK13" s="102"/>
      <c r="CL13" s="102"/>
      <c r="CM13" s="102"/>
      <c r="CN13" s="102"/>
      <c r="CO13" s="76"/>
      <c r="CP13" s="76"/>
      <c r="CQ13" s="76"/>
      <c r="CR13" s="76"/>
      <c r="CS13" s="100"/>
      <c r="CT13" s="58" t="s">
        <v>156</v>
      </c>
      <c r="CU13" s="58" t="s">
        <v>157</v>
      </c>
      <c r="CV13" s="28" t="s">
        <v>154</v>
      </c>
      <c r="CW13" s="27" t="s">
        <v>155</v>
      </c>
      <c r="CX13" s="50" t="s">
        <v>92</v>
      </c>
      <c r="CY13" s="50" t="s">
        <v>93</v>
      </c>
      <c r="CZ13" s="50" t="s">
        <v>94</v>
      </c>
      <c r="DA13" s="50" t="s">
        <v>158</v>
      </c>
      <c r="DB13" s="50" t="s">
        <v>161</v>
      </c>
      <c r="DC13" s="50" t="s">
        <v>162</v>
      </c>
      <c r="DD13" s="50" t="s">
        <v>97</v>
      </c>
      <c r="DE13" s="51" t="s">
        <v>98</v>
      </c>
      <c r="DF13" s="29" t="s">
        <v>154</v>
      </c>
      <c r="DG13" s="27" t="s">
        <v>155</v>
      </c>
      <c r="DH13" s="50" t="s">
        <v>92</v>
      </c>
      <c r="DI13" s="50" t="s">
        <v>93</v>
      </c>
      <c r="DJ13" s="50" t="s">
        <v>94</v>
      </c>
      <c r="DK13" s="50" t="s">
        <v>158</v>
      </c>
      <c r="DL13" s="50" t="s">
        <v>161</v>
      </c>
      <c r="DM13" s="50" t="s">
        <v>162</v>
      </c>
      <c r="DN13" s="50" t="s">
        <v>97</v>
      </c>
      <c r="DO13" s="52" t="s">
        <v>98</v>
      </c>
      <c r="DP13" s="59" t="s">
        <v>92</v>
      </c>
      <c r="DQ13" s="59" t="s">
        <v>93</v>
      </c>
      <c r="DR13" s="59" t="s">
        <v>94</v>
      </c>
      <c r="DS13" s="59" t="s">
        <v>158</v>
      </c>
      <c r="DT13" s="59" t="s">
        <v>161</v>
      </c>
      <c r="DU13" s="59" t="s">
        <v>162</v>
      </c>
      <c r="DV13" s="59" t="s">
        <v>97</v>
      </c>
      <c r="DW13" s="60" t="s">
        <v>98</v>
      </c>
      <c r="DX13" s="59" t="s">
        <v>92</v>
      </c>
      <c r="DY13" s="59" t="s">
        <v>93</v>
      </c>
      <c r="DZ13" s="59" t="s">
        <v>94</v>
      </c>
      <c r="EA13" s="59" t="s">
        <v>158</v>
      </c>
      <c r="EB13" s="59" t="s">
        <v>161</v>
      </c>
      <c r="EC13" s="59" t="s">
        <v>162</v>
      </c>
      <c r="ED13" s="59" t="s">
        <v>97</v>
      </c>
      <c r="EE13" s="61" t="s">
        <v>98</v>
      </c>
      <c r="EF13" s="43" t="s">
        <v>164</v>
      </c>
      <c r="EG13" s="43" t="s">
        <v>165</v>
      </c>
      <c r="EH13" s="43" t="s">
        <v>164</v>
      </c>
      <c r="EI13" s="43" t="s">
        <v>165</v>
      </c>
      <c r="EJ13" s="43" t="s">
        <v>170</v>
      </c>
      <c r="EK13" s="43" t="s">
        <v>171</v>
      </c>
      <c r="EL13" s="43" t="s">
        <v>170</v>
      </c>
      <c r="EM13" s="43" t="s">
        <v>171</v>
      </c>
      <c r="EN13" s="67"/>
      <c r="EO13" s="64"/>
      <c r="EP13" s="64"/>
      <c r="EQ13" s="64"/>
      <c r="ER13" s="68"/>
      <c r="ES13" s="64"/>
      <c r="ET13" s="64"/>
      <c r="EU13" s="114"/>
      <c r="EV13" s="115"/>
      <c r="EW13" s="67"/>
      <c r="EX13" s="67"/>
    </row>
    <row r="14" spans="1:154" s="24" customFormat="1">
      <c r="A14" s="16"/>
      <c r="B14" s="18">
        <v>1</v>
      </c>
      <c r="C14" s="18">
        <v>2</v>
      </c>
      <c r="D14" s="18">
        <v>3</v>
      </c>
      <c r="E14" s="18">
        <v>4</v>
      </c>
      <c r="F14" s="18">
        <v>5</v>
      </c>
      <c r="G14" s="18">
        <v>6</v>
      </c>
      <c r="H14" s="18">
        <v>7</v>
      </c>
      <c r="I14" s="18">
        <v>8</v>
      </c>
      <c r="J14" s="18">
        <v>9</v>
      </c>
      <c r="K14" s="18">
        <v>10</v>
      </c>
      <c r="L14" s="18">
        <v>11</v>
      </c>
      <c r="M14" s="18">
        <v>12</v>
      </c>
      <c r="N14" s="18">
        <v>13</v>
      </c>
      <c r="O14" s="18">
        <v>14</v>
      </c>
      <c r="P14" s="18">
        <v>15</v>
      </c>
      <c r="Q14" s="18">
        <v>16</v>
      </c>
      <c r="R14" s="18">
        <v>17</v>
      </c>
      <c r="S14" s="18">
        <v>18</v>
      </c>
      <c r="T14" s="18">
        <v>19</v>
      </c>
      <c r="U14" s="18">
        <v>20</v>
      </c>
      <c r="V14" s="18">
        <v>21</v>
      </c>
      <c r="W14" s="18">
        <v>22</v>
      </c>
      <c r="X14" s="18">
        <v>23</v>
      </c>
      <c r="Y14" s="18">
        <v>24</v>
      </c>
      <c r="Z14" s="18">
        <v>25</v>
      </c>
      <c r="AA14" s="18">
        <v>26</v>
      </c>
      <c r="AB14" s="18">
        <v>27</v>
      </c>
      <c r="AC14" s="18">
        <v>28</v>
      </c>
      <c r="AD14" s="18">
        <v>29</v>
      </c>
      <c r="AE14" s="18">
        <v>30</v>
      </c>
      <c r="AF14" s="18">
        <v>31</v>
      </c>
      <c r="AG14" s="18">
        <v>32</v>
      </c>
      <c r="AH14" s="18">
        <v>33</v>
      </c>
      <c r="AI14" s="18">
        <v>34</v>
      </c>
      <c r="AJ14" s="18">
        <v>35</v>
      </c>
      <c r="AK14" s="18">
        <v>36</v>
      </c>
      <c r="AL14" s="18">
        <v>37</v>
      </c>
      <c r="AM14" s="18"/>
      <c r="AN14" s="18">
        <v>38</v>
      </c>
      <c r="AO14" s="18">
        <v>39</v>
      </c>
      <c r="AP14" s="18">
        <v>40</v>
      </c>
      <c r="AQ14" s="18">
        <v>41</v>
      </c>
      <c r="AR14" s="18">
        <v>42</v>
      </c>
      <c r="AS14" s="18">
        <v>43</v>
      </c>
      <c r="AT14" s="18">
        <v>44</v>
      </c>
      <c r="AU14" s="18">
        <v>45</v>
      </c>
      <c r="AV14" s="18">
        <v>46</v>
      </c>
      <c r="AW14" s="18">
        <v>47</v>
      </c>
      <c r="AX14" s="18">
        <v>48</v>
      </c>
      <c r="AY14" s="18">
        <v>49</v>
      </c>
      <c r="AZ14" s="18">
        <v>50</v>
      </c>
      <c r="BA14" s="18">
        <v>51</v>
      </c>
      <c r="BB14" s="18">
        <v>52</v>
      </c>
      <c r="BC14" s="18">
        <v>53</v>
      </c>
      <c r="BD14" s="18">
        <v>54</v>
      </c>
      <c r="BE14" s="18">
        <v>55</v>
      </c>
      <c r="BF14" s="18">
        <v>56</v>
      </c>
      <c r="BG14" s="18">
        <v>57</v>
      </c>
      <c r="BH14" s="18">
        <v>58</v>
      </c>
      <c r="BI14" s="18">
        <v>59</v>
      </c>
      <c r="BJ14" s="18">
        <v>60</v>
      </c>
      <c r="BK14" s="18">
        <v>61</v>
      </c>
      <c r="BL14" s="18">
        <v>62</v>
      </c>
      <c r="BM14" s="18">
        <v>63</v>
      </c>
      <c r="BN14" s="18">
        <v>64</v>
      </c>
      <c r="BO14" s="18">
        <v>65</v>
      </c>
      <c r="BP14" s="18">
        <v>66</v>
      </c>
      <c r="BQ14" s="18">
        <v>67</v>
      </c>
      <c r="BR14" s="18">
        <v>68</v>
      </c>
      <c r="BS14" s="18">
        <v>69</v>
      </c>
      <c r="BT14" s="18">
        <v>70</v>
      </c>
      <c r="BU14" s="18">
        <v>71</v>
      </c>
      <c r="BV14" s="18">
        <v>72</v>
      </c>
      <c r="BW14" s="18">
        <v>73</v>
      </c>
      <c r="BX14" s="18">
        <v>74</v>
      </c>
      <c r="BY14" s="18">
        <v>75</v>
      </c>
      <c r="BZ14" s="18">
        <v>76</v>
      </c>
      <c r="CA14" s="18">
        <v>76</v>
      </c>
      <c r="CB14" s="18">
        <v>76</v>
      </c>
      <c r="CC14" s="18">
        <v>76</v>
      </c>
      <c r="CD14" s="18"/>
      <c r="CE14" s="21"/>
      <c r="CF14" s="21"/>
      <c r="CG14" s="21"/>
      <c r="CH14" s="22"/>
      <c r="CI14" s="22"/>
      <c r="CJ14" s="22"/>
      <c r="CK14" s="22"/>
      <c r="CL14" s="22"/>
      <c r="CM14" s="22"/>
      <c r="CN14" s="22"/>
      <c r="CO14" s="23"/>
      <c r="CP14" s="23"/>
      <c r="CQ14" s="23"/>
      <c r="CR14" s="23"/>
      <c r="CS14" s="23"/>
      <c r="CT14" s="25"/>
      <c r="CU14" s="25"/>
      <c r="CV14" s="25"/>
      <c r="CW14" s="53"/>
      <c r="CX14" s="53"/>
      <c r="CY14" s="53"/>
      <c r="CZ14" s="53"/>
      <c r="DA14" s="53"/>
      <c r="DB14" s="53"/>
      <c r="DC14" s="25"/>
      <c r="DD14" s="25"/>
      <c r="DE14" s="25"/>
      <c r="DF14" s="25"/>
      <c r="DG14" s="53"/>
      <c r="DH14" s="53"/>
      <c r="DI14" s="53"/>
      <c r="DJ14" s="53"/>
      <c r="DK14" s="53"/>
      <c r="DL14" s="53"/>
      <c r="DM14" s="53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  <c r="EQ14" s="25"/>
      <c r="ER14" s="25"/>
      <c r="ES14" s="25"/>
      <c r="ET14" s="25"/>
      <c r="EU14" s="25"/>
      <c r="EV14" s="25"/>
      <c r="EW14" s="25"/>
      <c r="EX14" s="25"/>
    </row>
    <row r="15" spans="1:154">
      <c r="B15" s="36"/>
      <c r="C15" s="36"/>
      <c r="D15" s="37"/>
      <c r="E15" s="36"/>
      <c r="F15" s="36">
        <f>CR15*CS15</f>
        <v>0</v>
      </c>
      <c r="G15" s="54">
        <f>CV15+DF15+EF15+EH15</f>
        <v>0</v>
      </c>
      <c r="H15" s="45">
        <f>CW15+DG15</f>
        <v>0</v>
      </c>
      <c r="I15" s="45">
        <f>IF(AND(EJ15+EL15&lt;=2,EK15+EM15&lt;=120),G15+H15+ROUND((EK15+EM15)/60,2),G15+H15)</f>
        <v>0</v>
      </c>
      <c r="J15" s="38">
        <f>CW15+DG15</f>
        <v>0</v>
      </c>
      <c r="K15" s="45">
        <f>CX15+DH15</f>
        <v>0</v>
      </c>
      <c r="L15" s="45">
        <f>DI15+CY15</f>
        <v>0</v>
      </c>
      <c r="M15" s="45">
        <f>CZ15+DJ15</f>
        <v>0</v>
      </c>
      <c r="N15" s="45">
        <f>DA15+DK15</f>
        <v>0</v>
      </c>
      <c r="O15" s="45">
        <f>DB15+DL15</f>
        <v>0</v>
      </c>
      <c r="P15" s="45">
        <f>DC15+DM15</f>
        <v>0</v>
      </c>
      <c r="Q15" s="45">
        <f>DD15+DN15</f>
        <v>0</v>
      </c>
      <c r="R15" s="45"/>
      <c r="S15" s="45">
        <v>0</v>
      </c>
      <c r="T15" s="38"/>
      <c r="U15" s="38">
        <v>0</v>
      </c>
      <c r="V15" s="38">
        <v>0</v>
      </c>
      <c r="W15" s="38">
        <v>0</v>
      </c>
      <c r="X15" s="38"/>
      <c r="Y15" s="38"/>
      <c r="Z15" s="38"/>
      <c r="AA15" s="38"/>
      <c r="AB15" s="38">
        <v>0</v>
      </c>
      <c r="AC15" s="38">
        <f>IF(ET15="Office",IF(I15&gt;=20*CS15,AB15,AB15*I15/F15),IF(I15&gt;=10*CS15,AB15,0))</f>
        <v>0</v>
      </c>
      <c r="AD15" s="38">
        <v>0</v>
      </c>
      <c r="AE15" s="38">
        <f>IF(I15&gt;=20*CS15,AD15,AD15*I15/F15)</f>
        <v>0</v>
      </c>
      <c r="AF15" s="38">
        <v>0</v>
      </c>
      <c r="AG15" s="38">
        <f>IF(I15&gt;=20*CS15,AF15,AF15*I15/F15)</f>
        <v>0</v>
      </c>
      <c r="AH15" s="38"/>
      <c r="AI15" s="38"/>
      <c r="AJ15" s="38">
        <f>IF(CJ15&gt;0,IF(CJ15=1,0,CJ15),CK15)</f>
        <v>0</v>
      </c>
      <c r="AK15" s="38">
        <f>J15*13000</f>
        <v>0</v>
      </c>
      <c r="AL15" s="38">
        <f>SUM(H15:AG15)</f>
        <v>0</v>
      </c>
      <c r="AM15" s="38">
        <f>IFERROR(CT15+CU15,0)</f>
        <v>0</v>
      </c>
      <c r="AN15" s="38">
        <f>EU15</f>
        <v>0</v>
      </c>
      <c r="AO15" s="38"/>
      <c r="AP15" s="38">
        <f>AC15+AE15+AG15+AH15+AI15+AJ15+AK15+AL15+AM15</f>
        <v>0</v>
      </c>
      <c r="AQ15" s="39">
        <f>SUM(T15:W15)</f>
        <v>0</v>
      </c>
      <c r="AR15" s="39">
        <f>SUM(X15:AA15)</f>
        <v>0</v>
      </c>
      <c r="AS15" s="46" t="e">
        <f>AQ15/F15</f>
        <v>#DIV/0!</v>
      </c>
      <c r="AT15" s="63" t="e">
        <f>AR15/F15</f>
        <v>#DIV/0!</v>
      </c>
      <c r="AU15" s="39" t="e">
        <f>ROUND(IF(EK15+EM15&lt;=120,AS15*(CV15+CW15*1.3+EF15)+IF(AT15=0,AS15,AT15)*(DF15+DG15*1.3+EH15),AS15*(CV15+CW15*1.3+EF15)+IF(AT15=0,AS15,AT15)*(DF15+DG15*1.3+EH15)),0)</f>
        <v>#DIV/0!</v>
      </c>
      <c r="AV15" s="38" t="e">
        <f>ROUND(AS15*CX15*1.5+AT15*DH15*1.5,0)</f>
        <v>#DIV/0!</v>
      </c>
      <c r="AW15" s="38" t="e">
        <f>ROUND(AS15*CY15*1.5*1.3+AT15*DI15*1.5*1.3,0)</f>
        <v>#DIV/0!</v>
      </c>
      <c r="AX15" s="38" t="e">
        <f>ROUND(AS15*CZ15*2+AT15*DJ15*2,0)</f>
        <v>#DIV/0!</v>
      </c>
      <c r="AY15" s="40" t="e">
        <f>ROUND(AS15*DA15*2*1.3+AT15*DK15*2*1.3,0)</f>
        <v>#DIV/0!</v>
      </c>
      <c r="AZ15" s="40" t="e">
        <f>ROUND(AS15*DB15*2*1.5+AT15*DL15*2*1.5,0)</f>
        <v>#DIV/0!</v>
      </c>
      <c r="BA15" s="40" t="e">
        <f>ROUND(AS15*DC15*2*1.5*1.3+AT15*DM15*2*1.5*1.3,0)</f>
        <v>#DIV/0!</v>
      </c>
      <c r="BB15" s="40" t="e">
        <f>ROUND(AS15*DD15*3+AT15*DN15*3,0)</f>
        <v>#DIV/0!</v>
      </c>
      <c r="BC15" s="40" t="e">
        <f>ROUND(AS15*DE15*3*1.3+AT15*DO15*3*1.3,0)</f>
        <v>#DIV/0!</v>
      </c>
      <c r="BD15" s="40">
        <v>0</v>
      </c>
      <c r="BE15" s="39" t="e">
        <f>SUM(AV15:BD15)</f>
        <v>#DIV/0!</v>
      </c>
      <c r="BF15" s="39" t="e">
        <f>AU15+BE15+AP15+AN15-AO15</f>
        <v>#DIV/0!</v>
      </c>
      <c r="BG15" s="39">
        <f>IF(OR(CR15-EN15-EF15/8&lt;14),IF(OR(CM15&gt;CL15,CN15=1),AR15,AQ15),0)</f>
        <v>0</v>
      </c>
      <c r="BH15" s="39">
        <f>IF(EO15&lt;&gt;0,BG15*17.5%,0)</f>
        <v>0</v>
      </c>
      <c r="BI15" s="39">
        <f>IF(EP15&lt;&gt;0,IF(OR(CM15&gt;CL15,CN15=1),AR15,AQ15)*3%,0)</f>
        <v>0</v>
      </c>
      <c r="BJ15" s="39">
        <f>IF(EQ15&lt;&gt;0,BG15*1%,0)</f>
        <v>0</v>
      </c>
      <c r="BK15" s="39">
        <f>IF(BZ15&gt;0,BG15*2%,0)</f>
        <v>0</v>
      </c>
      <c r="BL15" s="39">
        <f>ROUND(SUM(BH15:BK15),0)</f>
        <v>0</v>
      </c>
      <c r="BM15" s="38">
        <f>IF(BH15&gt;0,BG15*8%,0)</f>
        <v>0</v>
      </c>
      <c r="BN15" s="38">
        <f>IF(BI15&gt;0,IF(OR(CM15&gt;CL15,CN15=1),AR15,AQ15)*1.5%,0)</f>
        <v>0</v>
      </c>
      <c r="BO15" s="38">
        <f>IF(BJ15&gt;0,BG15*1%,0)</f>
        <v>0</v>
      </c>
      <c r="BP15" s="38">
        <f>ROUND(SUM(BM15:BO15),0)</f>
        <v>0</v>
      </c>
      <c r="BQ15" s="38">
        <v>11000000</v>
      </c>
      <c r="BR15" s="38"/>
      <c r="BS15" s="38">
        <v>4400000</v>
      </c>
      <c r="BT15" s="38">
        <f>BR15*BS15</f>
        <v>0</v>
      </c>
      <c r="BU15" s="38">
        <f>AC15+AH15+AK15</f>
        <v>0</v>
      </c>
      <c r="BV15" s="116" t="e">
        <f>BF15-BU15-CU15-AS15*(CW15*0.3 + CX15*0.5 + CY15*0.95 + CZ15*1 + DA15*1.6 + DB15*2 + DC15*2.9 + DD15*2 + DE15*2.9) + EV15</f>
        <v>#DIV/0!</v>
      </c>
      <c r="BW15" s="38" t="e">
        <f>IF(BV15-BP15-BQ15-BT15&gt;0,BV15-BP15-BQ15-BT15,0)</f>
        <v>#DIV/0!</v>
      </c>
      <c r="BX15" s="38" t="e">
        <f>ROUND(IF(BW15&lt;=5000000,BW15*5%,IF(AND(BW15&gt;5000000,BW15&lt;=10000000),BW15*10%-250000,IF(AND(BW15&gt;10000000,BW15&lt;=18000000),BW15*15%-750000,IF(AND(BW15&gt;18000000,BW15&lt;=32000000),BW15*20%-1650000,IF(AND(BW15&gt;32000000,BW15&lt;=52000000),BW15*25%-3250000,IF(AND(BW15&gt;52000000,BW15&lt;80000000),BW15*30%-585000,IF(BW15&gt;80000000,BW15*35%-9850000))))))),0) + EW15</f>
        <v>#DIV/0!</v>
      </c>
      <c r="BY15" s="38">
        <v>0</v>
      </c>
      <c r="BZ15" s="38">
        <f>IF(AND(ER15&lt;&gt;1,BM15&gt;0),ES15,0)</f>
        <v>0</v>
      </c>
      <c r="CA15" s="38">
        <f>EX15</f>
        <v>0</v>
      </c>
      <c r="CB15" s="38" t="e">
        <f>ROUND(BF15-BP15-BX15-BZ15+BY15-CA15,0)</f>
        <v>#DIV/0!</v>
      </c>
      <c r="CC15" s="38"/>
      <c r="CD15" s="26">
        <v>0</v>
      </c>
      <c r="CH15" s="12"/>
      <c r="CI15" s="12" t="e">
        <f>AT15*(DF15+DG15+DH15*1.5+DI15*1.95+DJ15*2+DK15*2.7+DL15*3+DM15*3.9+DN15*3+DO15*3.9)</f>
        <v>#DIV/0!</v>
      </c>
      <c r="CJ15" s="12"/>
      <c r="CK15" s="12"/>
      <c r="CL15" s="12"/>
      <c r="CM15" s="12"/>
      <c r="CN15" s="12">
        <v>0</v>
      </c>
      <c r="CO15" s="5"/>
      <c r="CP15" s="5"/>
      <c r="CQ15" s="5"/>
      <c r="CR15" s="5"/>
      <c r="CS15" s="5"/>
      <c r="CT15" s="5" t="e">
        <f>AS15*(DP15*1.5+DQ15*1.95+DR15*2+DS15*2.7+DT15*3 + DU15*3.9 + DV15*3 + DW15*3.9)</f>
        <v>#DIV/0!</v>
      </c>
      <c r="CU15" s="5" t="e">
        <f>AT15*(DX15*1.5 + DY15*1.95 + DZ15*2 + EA15*2.7 + EB15*3 + EC15*3.9 + ED15*3 + EE15*3.9)</f>
        <v>#DIV/0!</v>
      </c>
      <c r="CV15" s="48"/>
      <c r="CW15" s="49"/>
      <c r="CX15" s="49"/>
      <c r="CY15" s="49"/>
      <c r="CZ15" s="49"/>
      <c r="DA15" s="49"/>
      <c r="DB15" s="49"/>
      <c r="DC15" s="48"/>
      <c r="DD15" s="48"/>
      <c r="DE15" s="48"/>
      <c r="DF15" s="48"/>
      <c r="DG15" s="49"/>
      <c r="DH15" s="49"/>
      <c r="DI15" s="49"/>
      <c r="DJ15" s="49"/>
      <c r="DK15" s="49"/>
      <c r="DL15" s="49"/>
      <c r="DM15" s="49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>
        <v>0</v>
      </c>
      <c r="EV15" s="4">
        <v>0</v>
      </c>
      <c r="EW15" s="4">
        <v>0</v>
      </c>
      <c r="EX15" s="4">
        <v>0</v>
      </c>
    </row>
  </sheetData>
  <autoFilter ref="A14:CZ14" xr:uid="{00000000-0009-0000-0000-000000000000}"/>
  <mergeCells count="66">
    <mergeCell ref="EU11:EU13"/>
    <mergeCell ref="EV11:EV13"/>
    <mergeCell ref="EW11:EW13"/>
    <mergeCell ref="EX11:EX13"/>
    <mergeCell ref="DP11:EE11"/>
    <mergeCell ref="DP12:DW12"/>
    <mergeCell ref="DX12:EE12"/>
    <mergeCell ref="CB11:CB13"/>
    <mergeCell ref="AP11:AP13"/>
    <mergeCell ref="CC11:CC13"/>
    <mergeCell ref="CQ11:CQ13"/>
    <mergeCell ref="AQ11:AQ13"/>
    <mergeCell ref="AS11:AS13"/>
    <mergeCell ref="BY11:BY13"/>
    <mergeCell ref="CI11:CI13"/>
    <mergeCell ref="CM11:CM13"/>
    <mergeCell ref="CN11:CN13"/>
    <mergeCell ref="CJ11:CJ13"/>
    <mergeCell ref="CK11:CK13"/>
    <mergeCell ref="DF12:DO12"/>
    <mergeCell ref="CV11:DO11"/>
    <mergeCell ref="CR11:CR13"/>
    <mergeCell ref="AN11:AN13"/>
    <mergeCell ref="BF11:BF13"/>
    <mergeCell ref="BG11:BL12"/>
    <mergeCell ref="BM11:BP12"/>
    <mergeCell ref="AO11:AO13"/>
    <mergeCell ref="BQ11:BX12"/>
    <mergeCell ref="CT11:CU12"/>
    <mergeCell ref="CV12:DE12"/>
    <mergeCell ref="CS11:CS13"/>
    <mergeCell ref="CL11:CL13"/>
    <mergeCell ref="CA11:CA13"/>
    <mergeCell ref="B11:B13"/>
    <mergeCell ref="C11:C13"/>
    <mergeCell ref="D11:D13"/>
    <mergeCell ref="E11:E13"/>
    <mergeCell ref="F11:F13"/>
    <mergeCell ref="G11:I12"/>
    <mergeCell ref="AU11:AU13"/>
    <mergeCell ref="AV11:BE12"/>
    <mergeCell ref="CO11:CO13"/>
    <mergeCell ref="CP11:CP13"/>
    <mergeCell ref="CD11:CD13"/>
    <mergeCell ref="BZ11:BZ13"/>
    <mergeCell ref="J11:J13"/>
    <mergeCell ref="K11:S12"/>
    <mergeCell ref="T11:AA11"/>
    <mergeCell ref="T12:W12"/>
    <mergeCell ref="X12:AA12"/>
    <mergeCell ref="AR11:AR13"/>
    <mergeCell ref="AT11:AT13"/>
    <mergeCell ref="AB11:AM12"/>
    <mergeCell ref="ET11:ET13"/>
    <mergeCell ref="EF12:EG12"/>
    <mergeCell ref="EH12:EI12"/>
    <mergeCell ref="EJ12:EK12"/>
    <mergeCell ref="EL12:EM12"/>
    <mergeCell ref="EF11:EI11"/>
    <mergeCell ref="EJ11:EM11"/>
    <mergeCell ref="ES11:ES13"/>
    <mergeCell ref="EN11:EN13"/>
    <mergeCell ref="EO11:EO13"/>
    <mergeCell ref="EP11:EP13"/>
    <mergeCell ref="EQ11:EQ13"/>
    <mergeCell ref="ER11:ER13"/>
  </mergeCells>
  <phoneticPr fontId="1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Ngọc Sơn Nguyễn</dc:creator>
  <cp:lastModifiedBy>Administrator</cp:lastModifiedBy>
  <dcterms:created xsi:type="dcterms:W3CDTF">2015-06-05T18:17:20Z</dcterms:created>
  <dcterms:modified xsi:type="dcterms:W3CDTF">2025-05-09T07:16:41Z</dcterms:modified>
</cp:coreProperties>
</file>