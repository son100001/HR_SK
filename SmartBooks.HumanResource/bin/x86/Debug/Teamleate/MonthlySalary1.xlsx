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/>
  <mc:AlternateContent xmlns:mc="http://schemas.openxmlformats.org/markup-compatibility/2006">
    <mc:Choice Requires="x15">
      <x15ac:absPath xmlns:x15ac="http://schemas.microsoft.com/office/spreadsheetml/2010/11/ac" url="D:\SourceCodeHR\SangA\SmartBooks.HumanResource\bin\x86\Debug\Teamleate\"/>
    </mc:Choice>
  </mc:AlternateContent>
  <xr:revisionPtr revIDLastSave="0" documentId="13_ncr:1_{A7B942CE-F57F-4C3D-A407-8AA91C9C4B6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Sheet1!$B$15:$FX$15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F16" i="1" l="1"/>
  <c r="O16" i="1"/>
  <c r="DU16" i="1"/>
  <c r="DT16" i="1"/>
  <c r="BB16" i="1"/>
  <c r="AZ15" i="1"/>
  <c r="AA16" i="1"/>
  <c r="AL16" i="1" s="1"/>
  <c r="AN16" i="1" l="1"/>
  <c r="AH16" i="1"/>
  <c r="DW16" i="1"/>
  <c r="AB16" i="1"/>
  <c r="AJ16" i="1"/>
  <c r="AF16" i="1"/>
  <c r="AD16" i="1"/>
  <c r="AO16" i="1" s="1"/>
  <c r="X16" i="1"/>
  <c r="BA16" i="1" l="1"/>
  <c r="AY16" i="1"/>
  <c r="AW16" i="1"/>
  <c r="AU16" i="1"/>
  <c r="AS16" i="1"/>
  <c r="AQ16" i="1"/>
  <c r="DA16" i="1"/>
  <c r="DA13" i="1"/>
  <c r="CZ13" i="1"/>
  <c r="CZ16" i="1"/>
  <c r="BP16" i="1"/>
  <c r="BU16" i="1"/>
  <c r="BT16" i="1"/>
  <c r="BQ16" i="1"/>
  <c r="M3" i="1"/>
  <c r="BV16" i="1"/>
  <c r="BR16" i="1"/>
  <c r="BP13" i="1"/>
  <c r="Y16" i="1"/>
  <c r="CE16" i="1" s="1"/>
  <c r="DE16" i="1" l="1"/>
  <c r="BN16" i="1"/>
  <c r="CV16" i="1" l="1"/>
  <c r="CU16" i="1"/>
  <c r="CN16" i="1"/>
  <c r="CL16" i="1"/>
  <c r="CK16" i="1"/>
  <c r="CJ16" i="1"/>
  <c r="CI16" i="1"/>
  <c r="CH16" i="1"/>
  <c r="CG16" i="1"/>
  <c r="BJ16" i="1" l="1"/>
  <c r="CO16" i="1" s="1"/>
  <c r="DH16" i="1"/>
  <c r="BK16" i="1"/>
  <c r="CP16" i="1" s="1"/>
  <c r="BM16" i="1"/>
  <c r="CR16" i="1" s="1"/>
  <c r="W16" i="1"/>
  <c r="CC16" i="1" s="1"/>
  <c r="CD16" i="1"/>
  <c r="DG16" i="1"/>
  <c r="DF16" i="1"/>
  <c r="DD16" i="1"/>
  <c r="DC16" i="1"/>
  <c r="K16" i="1" l="1"/>
  <c r="CS16" i="1"/>
  <c r="V16" i="1"/>
  <c r="D15" i="1"/>
  <c r="E15" i="1" s="1"/>
  <c r="F15" i="1" s="1"/>
  <c r="Z16" i="1" l="1"/>
  <c r="G15" i="1"/>
  <c r="H15" i="1" s="1"/>
  <c r="I15" i="1" s="1"/>
  <c r="BZ16" i="1"/>
  <c r="CA16" i="1"/>
  <c r="BX16" i="1"/>
  <c r="CB16" i="1"/>
  <c r="BY16" i="1"/>
  <c r="J15" i="1" l="1"/>
  <c r="K15" i="1" s="1"/>
  <c r="L15" i="1" s="1"/>
  <c r="M15" i="1" s="1"/>
  <c r="N15" i="1" s="1"/>
  <c r="M16" i="1"/>
  <c r="DV16" i="1" s="1"/>
  <c r="Q16" i="1" s="1"/>
  <c r="M1" i="1"/>
  <c r="BS13" i="1"/>
  <c r="BR13" i="1"/>
  <c r="P16" i="1" l="1"/>
  <c r="O15" i="1"/>
  <c r="P15" i="1" s="1"/>
  <c r="Q15" i="1" s="1"/>
  <c r="R15" i="1" s="1"/>
  <c r="S15" i="1" s="1"/>
  <c r="T15" i="1" s="1"/>
  <c r="U15" i="1" s="1"/>
  <c r="V15" i="1" s="1"/>
  <c r="W15" i="1" s="1"/>
  <c r="X15" i="1" s="1"/>
  <c r="Y15" i="1" s="1"/>
  <c r="Z15" i="1" s="1"/>
  <c r="AA15" i="1" s="1"/>
  <c r="AB15" i="1" s="1"/>
  <c r="AC15" i="1" s="1"/>
  <c r="AD15" i="1" s="1"/>
  <c r="AE15" i="1" s="1"/>
  <c r="AF15" i="1" s="1"/>
  <c r="AG15" i="1" s="1"/>
  <c r="AH15" i="1" s="1"/>
  <c r="AI15" i="1" l="1"/>
  <c r="AJ15" i="1" s="1"/>
  <c r="AK15" i="1" s="1"/>
  <c r="AL15" i="1" s="1"/>
  <c r="CQ16" i="1"/>
  <c r="BS16" i="1"/>
  <c r="BW16" i="1"/>
  <c r="CW16" i="1" s="1"/>
  <c r="AM15" i="1" l="1"/>
  <c r="AN15" i="1" s="1"/>
  <c r="AO15" i="1" s="1"/>
  <c r="AP15" i="1" s="1"/>
  <c r="AQ15" i="1" s="1"/>
  <c r="AR15" i="1" s="1"/>
  <c r="AS15" i="1" s="1"/>
  <c r="BL16" i="1"/>
  <c r="AT15" i="1" l="1"/>
  <c r="AU15" i="1" s="1"/>
  <c r="CT16" i="1"/>
  <c r="CX16" i="1" s="1"/>
  <c r="CY16" i="1" s="1"/>
  <c r="BO16" i="1"/>
  <c r="DK16" i="1" s="1"/>
  <c r="AV15" i="1" l="1"/>
  <c r="AW15" i="1" s="1"/>
  <c r="AX15" i="1" s="1"/>
  <c r="AY15" i="1" s="1"/>
  <c r="BA15" i="1" s="1"/>
  <c r="BB15" i="1" s="1"/>
  <c r="BC15" i="1" s="1"/>
  <c r="BD15" i="1" s="1"/>
  <c r="BE15" i="1" s="1"/>
  <c r="BF15" i="1" s="1"/>
  <c r="BG15" i="1" s="1"/>
  <c r="BH15" i="1" s="1"/>
  <c r="BI15" i="1" s="1"/>
  <c r="BJ15" i="1" s="1"/>
  <c r="BK15" i="1" s="1"/>
  <c r="BL15" i="1" s="1"/>
  <c r="BM15" i="1" s="1"/>
  <c r="BN15" i="1" s="1"/>
  <c r="BO15" i="1" s="1"/>
  <c r="BP15" i="1" s="1"/>
  <c r="BQ15" i="1" s="1"/>
  <c r="BR15" i="1" s="1"/>
  <c r="BS15" i="1" s="1"/>
  <c r="BT15" i="1" s="1"/>
  <c r="BU15" i="1" s="1"/>
  <c r="BV15" i="1" s="1"/>
  <c r="BW15" i="1" s="1"/>
  <c r="BX15" i="1" s="1"/>
  <c r="BY15" i="1" s="1"/>
  <c r="BZ15" i="1" s="1"/>
  <c r="CA15" i="1" s="1"/>
  <c r="CB15" i="1" s="1"/>
  <c r="CC15" i="1" s="1"/>
  <c r="CD15" i="1" s="1"/>
  <c r="CE15" i="1" s="1"/>
  <c r="CF15" i="1" s="1"/>
  <c r="CG15" i="1" s="1"/>
  <c r="CH15" i="1" s="1"/>
  <c r="CI15" i="1" s="1"/>
  <c r="CJ15" i="1" s="1"/>
  <c r="CK15" i="1" s="1"/>
  <c r="CL15" i="1" s="1"/>
  <c r="CM15" i="1" s="1"/>
  <c r="CN15" i="1" s="1"/>
  <c r="CO15" i="1" s="1"/>
  <c r="CP15" i="1" s="1"/>
  <c r="CQ15" i="1" s="1"/>
  <c r="CR15" i="1" s="1"/>
  <c r="CS15" i="1" s="1"/>
  <c r="CT15" i="1" s="1"/>
  <c r="CU15" i="1" s="1"/>
  <c r="CV15" i="1" s="1"/>
  <c r="CW15" i="1" s="1"/>
  <c r="CX15" i="1" s="1"/>
  <c r="CY15" i="1" s="1"/>
  <c r="CZ15" i="1" s="1"/>
  <c r="DA15" i="1" s="1"/>
  <c r="DB15" i="1" s="1"/>
  <c r="DC15" i="1" s="1"/>
  <c r="DD15" i="1" s="1"/>
  <c r="DE15" i="1" s="1"/>
  <c r="DF15" i="1" s="1"/>
  <c r="DG15" i="1" s="1"/>
  <c r="DH15" i="1" s="1"/>
  <c r="DI15" i="1" s="1"/>
  <c r="DJ15" i="1" s="1"/>
  <c r="DK15" i="1" s="1"/>
  <c r="DL15" i="1" s="1"/>
  <c r="DL16" i="1"/>
  <c r="DP16" i="1" l="1"/>
</calcChain>
</file>

<file path=xl/sharedStrings.xml><?xml version="1.0" encoding="utf-8"?>
<sst xmlns="http://schemas.openxmlformats.org/spreadsheetml/2006/main" count="540" uniqueCount="363">
  <si>
    <t>Số
번호</t>
  </si>
  <si>
    <t>Tên
성명</t>
  </si>
  <si>
    <t>Bộ phận
부서</t>
  </si>
  <si>
    <r>
      <t>L</t>
    </r>
    <r>
      <rPr>
        <b/>
        <sz val="8"/>
        <rFont val="맑은 고딕"/>
        <family val="3"/>
        <charset val="129"/>
      </rPr>
      <t>ươ</t>
    </r>
    <r>
      <rPr>
        <b/>
        <sz val="8"/>
        <rFont val="맑은 고딕"/>
        <family val="3"/>
        <charset val="129"/>
      </rPr>
      <t>ng c</t>
    </r>
    <r>
      <rPr>
        <b/>
        <sz val="8"/>
        <rFont val="맑은 고딕"/>
        <family val="3"/>
        <charset val="129"/>
      </rPr>
      <t>ơ</t>
    </r>
    <r>
      <rPr>
        <b/>
        <sz val="8"/>
        <rFont val="맑은 고딕"/>
        <family val="3"/>
        <charset val="129"/>
      </rPr>
      <t xml:space="preserve"> bản  기본급</t>
    </r>
  </si>
  <si>
    <t>Phụ cấp 수당</t>
  </si>
  <si>
    <t>Làm thêm 잔업시간</t>
  </si>
  <si>
    <t>Tiền hỗ trợ học phí
학비 조성금</t>
  </si>
  <si>
    <r>
      <t>Hoàn lại 15% l</t>
    </r>
    <r>
      <rPr>
        <b/>
        <sz val="8"/>
        <color indexed="60"/>
        <rFont val="맑은 고딕"/>
        <family val="3"/>
        <charset val="129"/>
      </rPr>
      <t>ươ</t>
    </r>
    <r>
      <rPr>
        <b/>
        <sz val="8"/>
        <color indexed="60"/>
        <rFont val="맑은 고딕"/>
        <family val="3"/>
        <charset val="129"/>
      </rPr>
      <t>ng, tiền chờ làm, tiền khác(nếu có)
수습기간 15% 상환액 및 대기수당</t>
    </r>
  </si>
  <si>
    <r>
      <t>Tổng l</t>
    </r>
    <r>
      <rPr>
        <b/>
        <sz val="8"/>
        <color indexed="8"/>
        <rFont val="맑은 고딕"/>
        <family val="3"/>
        <charset val="129"/>
      </rPr>
      <t>ươ</t>
    </r>
    <r>
      <rPr>
        <b/>
        <sz val="8"/>
        <color indexed="8"/>
        <rFont val="맑은 고딕"/>
        <family val="3"/>
        <charset val="129"/>
      </rPr>
      <t>ng 
총급여</t>
    </r>
  </si>
  <si>
    <r>
      <t xml:space="preserve">Bảo hiểm xã hội + Bảo hiểm y tế + Bảo hiểm thất nghiệp
</t>
    </r>
    <r>
      <rPr>
        <b/>
        <sz val="8"/>
        <color indexed="60"/>
        <rFont val="맑은 고딕"/>
        <family val="3"/>
        <charset val="129"/>
      </rPr>
      <t>사회보험 + 의료 보험+ 실업보험</t>
    </r>
  </si>
  <si>
    <t>TN chịu thuế
과세소득 항목</t>
  </si>
  <si>
    <t>Thuế TNCN
개인 소득세</t>
  </si>
  <si>
    <t>KP Công Đoàn
노조비</t>
  </si>
  <si>
    <t xml:space="preserve">Các khoản trừ </t>
  </si>
  <si>
    <t>Tổng Lương
Total Received</t>
  </si>
  <si>
    <t>Lương cơ bản
 기본급</t>
  </si>
  <si>
    <t>Số giờ làm việc trong tháng 
월 근무시간</t>
  </si>
  <si>
    <r>
      <t xml:space="preserve"> L</t>
    </r>
    <r>
      <rPr>
        <b/>
        <sz val="8"/>
        <rFont val="맑은 고딕"/>
        <family val="3"/>
        <charset val="129"/>
      </rPr>
      <t>ương phải trả người lao động 
근로자 
지급금액</t>
    </r>
  </si>
  <si>
    <t>Tiền nhà
 주택수당</t>
  </si>
  <si>
    <t>Điện thoại
통신수당</t>
  </si>
  <si>
    <t>Xăng xe
통근수당</t>
  </si>
  <si>
    <t>Trách nhiệm
직책수당</t>
  </si>
  <si>
    <t>Tiền ăn
식사수당</t>
  </si>
  <si>
    <t xml:space="preserve">
Thâm niên
근속수당
</t>
  </si>
  <si>
    <t>Chuyên cần 
만근수당</t>
  </si>
  <si>
    <r>
      <t>Tô</t>
    </r>
    <r>
      <rPr>
        <b/>
        <sz val="8"/>
        <rFont val="맑은 고딕"/>
        <family val="3"/>
        <charset val="129"/>
      </rPr>
      <t>̉</t>
    </r>
    <r>
      <rPr>
        <b/>
        <sz val="8"/>
        <rFont val="맑은 고딕"/>
        <family val="3"/>
        <charset val="129"/>
      </rPr>
      <t>ng phu</t>
    </r>
    <r>
      <rPr>
        <b/>
        <sz val="8"/>
        <rFont val="맑은 고딕"/>
        <family val="3"/>
        <charset val="129"/>
      </rPr>
      <t>̣</t>
    </r>
    <r>
      <rPr>
        <b/>
        <sz val="8"/>
        <rFont val="맑은 고딕"/>
        <family val="3"/>
        <charset val="129"/>
      </rPr>
      <t xml:space="preserve"> 
câ</t>
    </r>
    <r>
      <rPr>
        <b/>
        <sz val="8"/>
        <rFont val="맑은 고딕"/>
        <family val="3"/>
        <charset val="129"/>
      </rPr>
      <t>́</t>
    </r>
    <r>
      <rPr>
        <b/>
        <sz val="8"/>
        <rFont val="맑은 고딕"/>
        <family val="3"/>
        <charset val="129"/>
      </rPr>
      <t>p
총수당</t>
    </r>
  </si>
  <si>
    <t>Lương quy đổi 1h
1시간급여</t>
  </si>
  <si>
    <r>
      <t>Làm thêm nga</t>
    </r>
    <r>
      <rPr>
        <b/>
        <sz val="8"/>
        <rFont val="맑은 고딕"/>
        <family val="3"/>
        <charset val="129"/>
      </rPr>
      <t>̀</t>
    </r>
    <r>
      <rPr>
        <b/>
        <sz val="8"/>
        <rFont val="맑은 고딕"/>
        <family val="3"/>
        <charset val="129"/>
      </rPr>
      <t>y  th</t>
    </r>
    <r>
      <rPr>
        <b/>
        <sz val="8"/>
        <rFont val="맑은 고딕"/>
        <family val="3"/>
        <charset val="129"/>
      </rPr>
      <t>ườ</t>
    </r>
    <r>
      <rPr>
        <b/>
        <sz val="8"/>
        <rFont val="맑은 고딕"/>
        <family val="3"/>
        <charset val="129"/>
      </rPr>
      <t>ng 
평일 잔업 (시간)</t>
    </r>
  </si>
  <si>
    <t>Làm thêm chủ nhật
휴일 잔업</t>
  </si>
  <si>
    <t>Làm thêm ngày lễ 명절 근무
Over time of holiday</t>
  </si>
  <si>
    <t>Tổng tiền 
총 잔업 금액</t>
  </si>
  <si>
    <t>Công ty trả BHYT 3%
의료 보험 회사부담 금액 3%</t>
  </si>
  <si>
    <t>NLĐ BHXH trả 8%
사회보험 근로자부담 금액 8%</t>
  </si>
  <si>
    <t>NLĐ BHYT trả 1.5%
의료보험근로자부담 금액 1.5%</t>
  </si>
  <si>
    <t>NLĐ trả BHTN 1%
실업보험근로자부담 금액 1%</t>
  </si>
  <si>
    <r>
      <t>Tổng cộng NLĐ trả 10.5%
근로자부담 총금액</t>
    </r>
    <r>
      <rPr>
        <b/>
        <sz val="8"/>
        <color indexed="12"/>
        <rFont val="맑은 고딕"/>
        <family val="3"/>
        <charset val="129"/>
      </rPr>
      <t xml:space="preserve"> ( 10.5%)</t>
    </r>
  </si>
  <si>
    <r>
      <t xml:space="preserve"> L</t>
    </r>
    <r>
      <rPr>
        <b/>
        <sz val="8"/>
        <rFont val="맑은 고딕"/>
        <family val="3"/>
        <charset val="129"/>
      </rPr>
      <t>ươ</t>
    </r>
    <r>
      <rPr>
        <b/>
        <sz val="8"/>
        <rFont val="맑은 고딕"/>
        <family val="3"/>
        <charset val="129"/>
      </rPr>
      <t>ng phải trả ng</t>
    </r>
    <r>
      <rPr>
        <b/>
        <sz val="8"/>
        <rFont val="맑은 고딕"/>
        <family val="3"/>
        <charset val="129"/>
      </rPr>
      <t>ư</t>
    </r>
    <r>
      <rPr>
        <b/>
        <sz val="8"/>
        <rFont val="맑은 고딕"/>
        <family val="3"/>
        <charset val="129"/>
      </rPr>
      <t>ời lao động 
근로자
지급금액</t>
    </r>
  </si>
  <si>
    <t>Tiền nhà
주택수당</t>
  </si>
  <si>
    <t>Tiền điện thoại
통신수당</t>
  </si>
  <si>
    <t>Tiền xăng xe
통근수당</t>
  </si>
  <si>
    <t>Trách nhiệm 직책수당</t>
  </si>
  <si>
    <t>Tiền thâm
 niên
근속수당</t>
  </si>
  <si>
    <t>Chuyên
cần
만근수당</t>
  </si>
  <si>
    <t>Làm thêm 
잔업금액</t>
  </si>
  <si>
    <t xml:space="preserve">refunds 15% alary
or Waiting working of holiday </t>
  </si>
  <si>
    <t>Salary fo support Covid</t>
  </si>
  <si>
    <t>Tổng
총</t>
  </si>
  <si>
    <t>Giảm trừ bản thân
본인 공제</t>
  </si>
  <si>
    <t>Giảm trừ người phụ thuộc
부양가족공제</t>
  </si>
  <si>
    <t>Bảo hiểm
보험</t>
  </si>
  <si>
    <t>Thu nhập tính thuế
과세소득금액</t>
  </si>
  <si>
    <t>Thuế TNCN phải nộp
개인 소득세 부담 금액</t>
  </si>
  <si>
    <t>Các khoản trừ
Other deduction
기타 공제항목</t>
  </si>
  <si>
    <t>Ca ngày
  주간</t>
  </si>
  <si>
    <t>Ca đêm
  야간</t>
  </si>
  <si>
    <t>Thời gian làm thêm
잔업 시간</t>
  </si>
  <si>
    <r>
      <t>L</t>
    </r>
    <r>
      <rPr>
        <b/>
        <sz val="8"/>
        <rFont val="맑은 고딕"/>
        <family val="3"/>
        <charset val="129"/>
      </rPr>
      <t>ươ</t>
    </r>
    <r>
      <rPr>
        <b/>
        <sz val="8"/>
        <rFont val="맑은 고딕"/>
        <family val="3"/>
        <charset val="129"/>
      </rPr>
      <t>ng la</t>
    </r>
    <r>
      <rPr>
        <b/>
        <sz val="8"/>
        <rFont val="맑은 고딕"/>
        <family val="3"/>
        <charset val="129"/>
      </rPr>
      <t>̀</t>
    </r>
    <r>
      <rPr>
        <b/>
        <sz val="8"/>
        <rFont val="맑은 고딕"/>
        <family val="3"/>
        <charset val="129"/>
      </rPr>
      <t>m thêm ban nga</t>
    </r>
    <r>
      <rPr>
        <b/>
        <sz val="8"/>
        <rFont val="맑은 고딕"/>
        <family val="3"/>
        <charset val="129"/>
      </rPr>
      <t>̀</t>
    </r>
    <r>
      <rPr>
        <b/>
        <sz val="8"/>
        <rFont val="맑은 고딕"/>
        <family val="3"/>
        <charset val="129"/>
      </rPr>
      <t>y (150%) 
평일주간잔업 (150%)</t>
    </r>
  </si>
  <si>
    <r>
      <t>L</t>
    </r>
    <r>
      <rPr>
        <b/>
        <sz val="8"/>
        <rFont val="맑은 고딕"/>
        <family val="3"/>
        <charset val="129"/>
      </rPr>
      <t>ươ</t>
    </r>
    <r>
      <rPr>
        <b/>
        <sz val="8"/>
        <rFont val="맑은 고딕"/>
        <family val="3"/>
        <charset val="129"/>
      </rPr>
      <t>ng la</t>
    </r>
    <r>
      <rPr>
        <b/>
        <sz val="8"/>
        <rFont val="맑은 고딕"/>
        <family val="3"/>
        <charset val="129"/>
      </rPr>
      <t>̀</t>
    </r>
    <r>
      <rPr>
        <b/>
        <sz val="8"/>
        <rFont val="맑은 고딕"/>
        <family val="3"/>
        <charset val="129"/>
      </rPr>
      <t>m thêm ban đêm 200%
평일야간잔업 (200%)</t>
    </r>
  </si>
  <si>
    <t>Thời gian làm thêm
잔업 시간
8-17h</t>
  </si>
  <si>
    <r>
      <t xml:space="preserve">
L</t>
    </r>
    <r>
      <rPr>
        <b/>
        <sz val="8"/>
        <rFont val="맑은 고딕"/>
        <family val="3"/>
        <charset val="129"/>
      </rPr>
      <t>ươ</t>
    </r>
    <r>
      <rPr>
        <b/>
        <sz val="8"/>
        <rFont val="맑은 고딕"/>
        <family val="3"/>
        <charset val="129"/>
      </rPr>
      <t>ng la</t>
    </r>
    <r>
      <rPr>
        <b/>
        <sz val="8"/>
        <rFont val="맑은 고딕"/>
        <family val="3"/>
        <charset val="129"/>
      </rPr>
      <t>̀</t>
    </r>
    <r>
      <rPr>
        <b/>
        <sz val="8"/>
        <rFont val="맑은 고딕"/>
        <family val="3"/>
        <charset val="129"/>
      </rPr>
      <t>m thêm ban nga</t>
    </r>
    <r>
      <rPr>
        <b/>
        <sz val="8"/>
        <rFont val="맑은 고딕"/>
        <family val="3"/>
        <charset val="129"/>
      </rPr>
      <t>̀</t>
    </r>
    <r>
      <rPr>
        <b/>
        <sz val="8"/>
        <rFont val="맑은 고딕"/>
        <family val="3"/>
        <charset val="129"/>
      </rPr>
      <t xml:space="preserve">y (200%) 
휴일주간잔업 (200%)
</t>
    </r>
  </si>
  <si>
    <t>OT Sunday-night: 270%</t>
  </si>
  <si>
    <r>
      <t>L</t>
    </r>
    <r>
      <rPr>
        <b/>
        <sz val="8"/>
        <rFont val="맑은 고딕"/>
        <family val="3"/>
        <charset val="129"/>
      </rPr>
      <t>ươ</t>
    </r>
    <r>
      <rPr>
        <b/>
        <sz val="8"/>
        <rFont val="맑은 고딕"/>
        <family val="3"/>
        <charset val="129"/>
      </rPr>
      <t>ng la</t>
    </r>
    <r>
      <rPr>
        <b/>
        <sz val="8"/>
        <rFont val="맑은 고딕"/>
        <family val="3"/>
        <charset val="129"/>
      </rPr>
      <t>̀</t>
    </r>
    <r>
      <rPr>
        <b/>
        <sz val="8"/>
        <rFont val="맑은 고딕"/>
        <family val="3"/>
        <charset val="129"/>
      </rPr>
      <t>m thêm ban nga</t>
    </r>
    <r>
      <rPr>
        <b/>
        <sz val="8"/>
        <rFont val="맑은 고딕"/>
        <family val="3"/>
        <charset val="129"/>
      </rPr>
      <t>̀</t>
    </r>
    <r>
      <rPr>
        <b/>
        <sz val="8"/>
        <rFont val="맑은 고딕"/>
        <family val="3"/>
        <charset val="129"/>
      </rPr>
      <t>y 300% 공휴일 주간잔업 (300%)</t>
    </r>
  </si>
  <si>
    <t>Bonus Tet 2021</t>
  </si>
  <si>
    <t>Employee_ID</t>
  </si>
  <si>
    <t>No</t>
  </si>
  <si>
    <t>Mã nhân viên
사원코드</t>
  </si>
  <si>
    <t>FullName</t>
  </si>
  <si>
    <t>FactoryGroup</t>
  </si>
  <si>
    <t>GS</t>
  </si>
  <si>
    <t>CD2</t>
  </si>
  <si>
    <t>CD3</t>
  </si>
  <si>
    <t>CD4</t>
  </si>
  <si>
    <t>CD11</t>
  </si>
  <si>
    <t>HT1</t>
  </si>
  <si>
    <t>Chuyên cần</t>
  </si>
  <si>
    <t>HT2</t>
  </si>
  <si>
    <t>Thâm niên</t>
  </si>
  <si>
    <t>TienTroCapHocPhi</t>
  </si>
  <si>
    <t>HT3</t>
  </si>
  <si>
    <t>BHTNCtyTra</t>
  </si>
  <si>
    <t>BHXHCtyTra</t>
  </si>
  <si>
    <t>BHTN Cty Trả</t>
  </si>
  <si>
    <t>BHXH Cty Trả</t>
  </si>
  <si>
    <t>LuongToiThieuVung</t>
  </si>
  <si>
    <t>Lương tối thiểu vùng</t>
  </si>
  <si>
    <t>ctv_wt1</t>
  </si>
  <si>
    <t>ctv_wt9</t>
  </si>
  <si>
    <t>ctv_wt3</t>
  </si>
  <si>
    <t>ctv_wt5</t>
  </si>
  <si>
    <t>ctv_wt4</t>
  </si>
  <si>
    <t>ctv_wt6</t>
  </si>
  <si>
    <t>ctv_wt7</t>
  </si>
  <si>
    <t>ctv_wt8</t>
  </si>
  <si>
    <t>ptv_PhepHuongLuong</t>
  </si>
  <si>
    <t xml:space="preserve">Chính thức </t>
  </si>
  <si>
    <t>Thử việc</t>
  </si>
  <si>
    <t>Phép hưởng lương</t>
  </si>
  <si>
    <t>Nhóm xưởng</t>
  </si>
  <si>
    <t>Làm thêm thử việc</t>
  </si>
  <si>
    <t>Số giờ làm việc trong tháng thử việc</t>
  </si>
  <si>
    <t>Tiền ăn nhập tay</t>
  </si>
  <si>
    <t>ThamNien</t>
  </si>
  <si>
    <t>Thâm niên nhập tay</t>
  </si>
  <si>
    <t>Chuyên cần nhập tay</t>
  </si>
  <si>
    <t>Lương quy đổi 1h thử việc</t>
  </si>
  <si>
    <t>Giờ HC 100%</t>
  </si>
  <si>
    <t>Thưởng 02.09</t>
  </si>
  <si>
    <t>Thưởng 30.04 - 01.05</t>
  </si>
  <si>
    <t>Thưởng tết</t>
  </si>
  <si>
    <t>HT4</t>
  </si>
  <si>
    <t>HT5</t>
  </si>
  <si>
    <t>Thưởng tết trung thu</t>
  </si>
  <si>
    <t>HT6</t>
  </si>
  <si>
    <t>HT7</t>
  </si>
  <si>
    <t>HT8</t>
  </si>
  <si>
    <t>HT9</t>
  </si>
  <si>
    <t>Phép covid</t>
  </si>
  <si>
    <t>LuongTinhCovid</t>
  </si>
  <si>
    <t>Lương tính covid</t>
  </si>
  <si>
    <t>Đã tạm ứng thưởng tết</t>
  </si>
  <si>
    <t>Đã tạm ứng thưởng Incentive</t>
  </si>
  <si>
    <t>HT10</t>
  </si>
  <si>
    <t>HT11</t>
  </si>
  <si>
    <t>s1</t>
  </si>
  <si>
    <t>s2</t>
  </si>
  <si>
    <t>s3</t>
  </si>
  <si>
    <t>s4</t>
  </si>
  <si>
    <t>s5</t>
  </si>
  <si>
    <t>s6</t>
  </si>
  <si>
    <t>s7</t>
  </si>
  <si>
    <t>s10</t>
  </si>
  <si>
    <t>s11</t>
  </si>
  <si>
    <t>s12</t>
  </si>
  <si>
    <t>s13</t>
  </si>
  <si>
    <t>s14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</si>
  <si>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</si>
  <si>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</si>
  <si>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</si>
  <si>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</si>
  <si>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</si>
  <si>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</si>
  <si>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</si>
  <si>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</si>
  <si>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</si>
  <si>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</si>
  <si>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s30</t>
  </si>
  <si>
    <t>s31</t>
  </si>
  <si>
    <t>s32</t>
  </si>
  <si>
    <t>s33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</si>
  <si>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</si>
  <si>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</si>
  <si>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</si>
  <si>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</si>
  <si>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</si>
  <si>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</si>
  <si>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</si>
  <si>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</si>
  <si>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</si>
  <si>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s51</t>
  </si>
  <si>
    <t>s52</t>
  </si>
  <si>
    <t>s53</t>
  </si>
  <si>
    <t>s54</t>
  </si>
  <si>
    <t>s59</t>
  </si>
  <si>
    <t>s60</t>
  </si>
  <si>
    <t>s61</t>
  </si>
  <si>
    <t>s62</t>
  </si>
  <si>
    <t>s63</t>
  </si>
  <si>
    <t>s64</t>
  </si>
  <si>
    <t>s65</t>
  </si>
  <si>
    <t>s66</t>
  </si>
  <si>
    <t>s67</t>
  </si>
  <si>
    <t>s68</t>
  </si>
  <si>
    <t>s70</t>
  </si>
  <si>
    <t>s75</t>
  </si>
  <si>
    <t>s79</t>
  </si>
  <si>
    <t>s80</t>
  </si>
  <si>
    <t>s81</t>
  </si>
  <si>
    <t>s83</t>
  </si>
  <si>
    <t>s84</t>
  </si>
  <si>
    <t>s85</t>
  </si>
  <si>
    <t>s86</t>
  </si>
  <si>
    <t>s87</t>
  </si>
  <si>
    <t>s88</t>
  </si>
  <si>
    <t>s89</t>
  </si>
  <si>
    <t>s90</t>
  </si>
  <si>
    <t>s91</t>
  </si>
  <si>
    <t>s92</t>
  </si>
  <si>
    <t>s94</t>
  </si>
  <si>
    <t>s95</t>
  </si>
  <si>
    <t>s96</t>
  </si>
  <si>
    <t>s97</t>
  </si>
  <si>
    <t>s98</t>
  </si>
  <si>
    <t>s99</t>
  </si>
  <si>
    <t>s103</t>
  </si>
  <si>
    <t>s104</t>
  </si>
  <si>
    <t>s105</t>
  </si>
  <si>
    <t>s106</t>
  </si>
  <si>
    <t>s107</t>
  </si>
  <si>
    <t>s108</t>
  </si>
  <si>
    <t>ptv_NghiDich</t>
  </si>
  <si>
    <t>HoanLuongThuViec</t>
  </si>
  <si>
    <t>MenstrualDay</t>
  </si>
  <si>
    <t>LoaiCongHoTroSinhLy</t>
  </si>
  <si>
    <t>Giờ sinh lý</t>
  </si>
  <si>
    <t>Loại công hỗ trợ sinh lý</t>
  </si>
  <si>
    <t>HuongLuong100</t>
  </si>
  <si>
    <t>Hưởng lương 100</t>
  </si>
  <si>
    <t>Hỗ trợ sinh lý</t>
  </si>
  <si>
    <t>s71</t>
  </si>
  <si>
    <t>CD1</t>
  </si>
  <si>
    <t>DongBH</t>
  </si>
  <si>
    <t>Đóng BH</t>
  </si>
  <si>
    <t>TienLuong1</t>
  </si>
  <si>
    <t>TienLuong2</t>
  </si>
  <si>
    <t>TienLuong3</t>
  </si>
  <si>
    <t>TienLuong4</t>
  </si>
  <si>
    <t>TienLuong5</t>
  </si>
  <si>
    <t>TienLuong6</t>
  </si>
  <si>
    <t>LuongBQ</t>
  </si>
  <si>
    <t>TienPN</t>
  </si>
  <si>
    <t>Tiền lương 1</t>
  </si>
  <si>
    <t>Tiền lương 2</t>
  </si>
  <si>
    <t>Tiền lương 3</t>
  </si>
  <si>
    <t>Tiền lương 4</t>
  </si>
  <si>
    <t>Tiền lương 5</t>
  </si>
  <si>
    <t>Tiền lương 6</t>
  </si>
  <si>
    <t>Tiền lương BQ</t>
  </si>
  <si>
    <t>Số ngày PN còn lại</t>
  </si>
  <si>
    <t>Tiền PN</t>
  </si>
  <si>
    <t>PhepNamConLai</t>
  </si>
  <si>
    <t>s69</t>
  </si>
  <si>
    <t>s110</t>
  </si>
  <si>
    <t>s111</t>
  </si>
  <si>
    <t>s112</t>
  </si>
  <si>
    <t>s113</t>
  </si>
  <si>
    <t>Salary_Month</t>
  </si>
  <si>
    <t>Salary_Year</t>
  </si>
  <si>
    <t>Tháng tính lương</t>
  </si>
  <si>
    <t>Mã bảng lương</t>
  </si>
  <si>
    <t>Năm tính lương</t>
  </si>
  <si>
    <t>HT13</t>
  </si>
  <si>
    <t>HT14</t>
  </si>
  <si>
    <t>Tiền quyết toán phép năm nhập tay</t>
  </si>
  <si>
    <t>Meal cost
(night shift+ holiday + Sunday)</t>
  </si>
  <si>
    <t>Người phụ thuộc</t>
  </si>
  <si>
    <t>Thưởng (Incentive )</t>
  </si>
  <si>
    <t>s109</t>
  </si>
  <si>
    <t>HT15</t>
  </si>
  <si>
    <t>HT16</t>
  </si>
  <si>
    <t>DongBHYT</t>
  </si>
  <si>
    <t>Đóng BHYT</t>
  </si>
  <si>
    <t>Suất ăn bổ sung theo tháng nhập tay</t>
  </si>
  <si>
    <t>s114</t>
  </si>
  <si>
    <t>Thưởng khác
Other Bonus</t>
  </si>
  <si>
    <t>Tiền hỗ trợ covid
Salary for support Covid</t>
  </si>
  <si>
    <t>Quyết toán phép năm
Annual leave remaining</t>
  </si>
  <si>
    <t>NguoiPhuThuoc</t>
  </si>
  <si>
    <t>Thưởng Incentive
보너스</t>
  </si>
  <si>
    <t>Phòng Chống Lũ Lụt
채해기금납부</t>
  </si>
  <si>
    <t>Cộng khác</t>
  </si>
  <si>
    <t>HT17</t>
  </si>
  <si>
    <t>s115</t>
  </si>
  <si>
    <t>HT20</t>
  </si>
  <si>
    <t>Đã tạm ứng thưởng khác</t>
  </si>
  <si>
    <t>s116</t>
  </si>
  <si>
    <t>Thưởng khác</t>
  </si>
  <si>
    <t>SoNgayDiLamNgayNghi</t>
  </si>
  <si>
    <t>Số ngày chờ đi làm lễ</t>
  </si>
  <si>
    <t>s117</t>
  </si>
  <si>
    <t>Tiền chờ đi làm
Waiting for working holiday</t>
  </si>
  <si>
    <t>s118</t>
  </si>
  <si>
    <t>s119</t>
  </si>
  <si>
    <t>ChuaKyHDChinhThuc</t>
  </si>
  <si>
    <t>Chưa ký HĐ chính thức</t>
  </si>
  <si>
    <t>PIT Thử việc</t>
  </si>
  <si>
    <t>PITThuViec</t>
  </si>
  <si>
    <t>NgayKyHDChinhThuc</t>
  </si>
  <si>
    <t>Ngày ký HĐ chính thức</t>
  </si>
  <si>
    <t>Ngay15</t>
  </si>
  <si>
    <t>Ngày 15</t>
  </si>
  <si>
    <t>Hoàn lương thử việc</t>
  </si>
  <si>
    <t>ChuaChinhThuc</t>
  </si>
  <si>
    <t>Chưa chính thức</t>
  </si>
  <si>
    <t>Thưởng ký hợp đồng chính thức
Bonus sign contract</t>
  </si>
  <si>
    <t>s120</t>
  </si>
  <si>
    <t>HT23</t>
  </si>
  <si>
    <t>Lương làm thử việc</t>
  </si>
  <si>
    <t>TongLuongThuViec</t>
  </si>
  <si>
    <t>BHYT Cty đóng nhập</t>
  </si>
  <si>
    <t>BHYT CN đóng nhập</t>
  </si>
  <si>
    <t>HT25</t>
  </si>
  <si>
    <t>HT26</t>
  </si>
  <si>
    <t>Đã tạm ứng tiền trung thu</t>
  </si>
  <si>
    <t>HT27</t>
  </si>
  <si>
    <r>
      <t>L</t>
    </r>
    <r>
      <rPr>
        <b/>
        <sz val="8"/>
        <rFont val="Calibri"/>
        <family val="2"/>
        <scheme val="minor"/>
      </rPr>
      <t>ươ</t>
    </r>
    <r>
      <rPr>
        <b/>
        <sz val="8"/>
        <rFont val="Calibri"/>
        <family val="3"/>
        <charset val="129"/>
        <scheme val="minor"/>
      </rPr>
      <t>ng la</t>
    </r>
    <r>
      <rPr>
        <b/>
        <sz val="8"/>
        <rFont val="Calibri"/>
        <family val="2"/>
        <scheme val="minor"/>
      </rPr>
      <t>̀</t>
    </r>
    <r>
      <rPr>
        <b/>
        <sz val="8"/>
        <rFont val="Calibri"/>
        <family val="3"/>
        <charset val="129"/>
        <scheme val="minor"/>
      </rPr>
      <t>m thêm ban đêm 490%
Over time of night 490%</t>
    </r>
    <phoneticPr fontId="39" type="noConversion"/>
  </si>
  <si>
    <t>Lương làm thêm ban đêm 490%
Over time of night 490%</t>
  </si>
  <si>
    <t>Position_NameEN</t>
  </si>
  <si>
    <t>pct_PhepHuongLuong</t>
  </si>
  <si>
    <t>pct_NghiDich</t>
  </si>
  <si>
    <t>NgayCongTieuChuan</t>
  </si>
  <si>
    <t>Ngày công tiêu chuẩn</t>
  </si>
  <si>
    <t>CD6</t>
  </si>
  <si>
    <t>DuocTienCC</t>
  </si>
  <si>
    <t>Được tiền CC</t>
  </si>
  <si>
    <t>TienAnTrua</t>
  </si>
  <si>
    <t>TienAnChieu</t>
  </si>
  <si>
    <t>TienAnDem</t>
  </si>
  <si>
    <t>TongTienAn</t>
  </si>
  <si>
    <t>Tiền ăn trưa</t>
  </si>
  <si>
    <t>Tiền ăn Chiều</t>
  </si>
  <si>
    <t>Tiền ăn Đêm</t>
  </si>
  <si>
    <t>Tổng tiền ăn</t>
  </si>
  <si>
    <t>cct_wt9</t>
  </si>
  <si>
    <t>cct_wt3</t>
  </si>
  <si>
    <t>cct_wt5</t>
  </si>
  <si>
    <t>cct_wt4</t>
  </si>
  <si>
    <t>cct_wt6</t>
  </si>
  <si>
    <t>cct_wt7</t>
  </si>
  <si>
    <t>cct_wt8</t>
  </si>
  <si>
    <t>cct_wt1</t>
  </si>
  <si>
    <t>StartedDate</t>
  </si>
  <si>
    <t>TernimationDate</t>
  </si>
  <si>
    <t>Ngày vào công ty</t>
  </si>
  <si>
    <t>Ngày nghỉ việc</t>
  </si>
  <si>
    <t>LuongToiDaDongBH</t>
  </si>
  <si>
    <t>Lương tối đa đóng BH</t>
  </si>
  <si>
    <t>TienChuyenCan</t>
  </si>
  <si>
    <t>Tiền ăn</t>
  </si>
  <si>
    <t>Tổng lương theo hợp đồng</t>
  </si>
  <si>
    <t>Công đoàn NLD Trả</t>
  </si>
  <si>
    <t>Công đoàn Cty Trả</t>
  </si>
  <si>
    <t>CongDoanNLDTra</t>
  </si>
  <si>
    <t>CongDoanCtyTra</t>
  </si>
  <si>
    <t>Groos expense</t>
  </si>
  <si>
    <t>CD7</t>
  </si>
  <si>
    <t>Thời gian làm thêm
초과근무 시간</t>
  </si>
  <si>
    <t>Tổng thời gian làm việc trong tháng
월 총 근무시간</t>
  </si>
  <si>
    <t>Key</t>
  </si>
  <si>
    <t>Tổng lương thử việc</t>
  </si>
  <si>
    <t>THUCLANH</t>
  </si>
  <si>
    <t>ACCDE</t>
  </si>
  <si>
    <t>ACCCR</t>
  </si>
  <si>
    <t>TK nợ</t>
  </si>
  <si>
    <t>TK có</t>
  </si>
  <si>
    <t>BHXHCT</t>
  </si>
  <si>
    <t>BHYTCT</t>
  </si>
  <si>
    <t>BHTNCT</t>
  </si>
  <si>
    <t>PCDNCT</t>
  </si>
  <si>
    <t>PCDNLD</t>
  </si>
  <si>
    <t>BHXHNLD</t>
  </si>
  <si>
    <t>BHYTNLD</t>
  </si>
  <si>
    <t>BHTNNLD</t>
  </si>
  <si>
    <t>PIT</t>
  </si>
  <si>
    <t>TongThuNhap</t>
  </si>
  <si>
    <t>Tiền làm ngày</t>
  </si>
  <si>
    <t>Tiền làm đêm</t>
  </si>
  <si>
    <t>s121</t>
  </si>
  <si>
    <t>s122</t>
  </si>
  <si>
    <t>Lương 1 giờ làm CT</t>
  </si>
  <si>
    <t>Lương 1 giờ làm TV</t>
  </si>
  <si>
    <t>s123</t>
  </si>
  <si>
    <t>s124</t>
  </si>
  <si>
    <t>s125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</si>
</sst>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5" formatCode="&quot;$&quot;#,##0_);\(&quot;$&quot;#,##0\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&quot;£&quot;* #,##0.00_-;\-&quot;£&quot;* #,##0.00_-;_-&quot;£&quot;* &quot;-&quot;??_-;_-@_-"/>
    <numFmt numFmtId="166" formatCode="_-* #,##0.00_-;\-* #,##0.00_-;_-* &quot;-&quot;??_-;_-@_-"/>
    <numFmt numFmtId="167" formatCode="&quot;¥&quot;#,##0.00;[Red]&quot;¥&quot;&quot;¥&quot;&quot;¥&quot;&quot;¥&quot;&quot;¥&quot;&quot;¥&quot;\-#,##0.00"/>
    <numFmt numFmtId="168" formatCode="&quot;¥&quot;#,##0;[Red]&quot;¥&quot;&quot;¥&quot;\-#,##0"/>
    <numFmt numFmtId="169" formatCode="_ * #,##0_)\ _$_ ;_ * \(#,##0\)\ _$_ ;_ * &quot;-&quot;_)\ _$_ ;_ @_ "/>
    <numFmt numFmtId="170" formatCode="&quot;R&quot;\ #,##0;[Red]&quot;R&quot;\ \-#,##0"/>
    <numFmt numFmtId="171" formatCode="#,##0.0000000"/>
    <numFmt numFmtId="172" formatCode="&quot;¥&quot;#,##0.00;[Red]&quot;¥&quot;\-#,##0.00"/>
    <numFmt numFmtId="173" formatCode="&quot;¥&quot;#,##0;[Red]&quot;¥&quot;\-#,##0"/>
    <numFmt numFmtId="174" formatCode="_-&quot;$&quot;* #,##0_-;\-&quot;$&quot;* #,##0_-;_-&quot;$&quot;* &quot;-&quot;_-;_-@_-"/>
    <numFmt numFmtId="175" formatCode="&quot;$&quot;#,##0;[Red]\-&quot;$&quot;#,##0"/>
    <numFmt numFmtId="176" formatCode="_-&quot;$&quot;* #,##0.00_-;\-&quot;$&quot;* #,##0.00_-;_-&quot;$&quot;* &quot;-&quot;??_-;_-@_-"/>
  </numFmts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4"/>
      <name val="??"/>
      <family val="3"/>
      <charset val="129"/>
    </font>
    <font>
      <sz val="10"/>
      <name val="???"/>
      <family val="3"/>
      <charset val="129"/>
    </font>
    <font>
      <sz val="12"/>
      <name val="¹UAAA¼"/>
      <family val="3"/>
      <charset val="129"/>
    </font>
    <font>
      <sz val="11"/>
      <color indexed="8"/>
      <name val="Arial"/>
      <family val="2"/>
    </font>
    <font>
      <sz val="10"/>
      <name val=".VnArial"/>
      <family val="2"/>
    </font>
    <font>
      <b/>
      <sz val="12"/>
      <name val="Arial"/>
      <family val="2"/>
    </font>
    <font>
      <b/>
      <sz val="18"/>
      <name val="Arial"/>
      <family val="2"/>
    </font>
    <font>
      <sz val="12"/>
      <name val="Arial"/>
      <family val="2"/>
    </font>
    <font>
      <sz val="10"/>
      <name val=".VnTime"/>
      <family val="2"/>
    </font>
    <font>
      <sz val="11"/>
      <color indexed="8"/>
      <name val="Calibri"/>
      <family val="2"/>
    </font>
    <font>
      <sz val="10"/>
      <name val=" "/>
      <family val="1"/>
      <charset val="136"/>
    </font>
    <font>
      <sz val="12"/>
      <name val="Times New Roman"/>
      <family val="1"/>
    </font>
    <font>
      <sz val="14"/>
      <name val="뼻뮝"/>
      <family val="3"/>
      <charset val="129"/>
    </font>
    <font>
      <sz val="12"/>
      <name val="바탕체"/>
      <family val="3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b/>
      <sz val="9"/>
      <name val="Arial"/>
      <family val="2"/>
    </font>
    <font>
      <sz val="12"/>
      <name val="新細明體"/>
      <family val="1"/>
      <charset val="136"/>
    </font>
    <font>
      <sz val="12"/>
      <name val="Courier"/>
      <family val="3"/>
    </font>
    <font>
      <b/>
      <sz val="26"/>
      <name val="Times New Roman"/>
      <family val="1"/>
    </font>
    <font>
      <b/>
      <sz val="8"/>
      <name val="맑은 고딕"/>
      <family val="3"/>
      <charset val="129"/>
    </font>
    <font>
      <b/>
      <sz val="8"/>
      <color indexed="8"/>
      <name val="맑은 고딕"/>
      <family val="3"/>
      <charset val="129"/>
    </font>
    <font>
      <b/>
      <sz val="8"/>
      <color indexed="60"/>
      <name val="맑은 고딕"/>
      <family val="3"/>
      <charset val="129"/>
    </font>
    <font>
      <b/>
      <sz val="8"/>
      <color indexed="12"/>
      <name val="맑은 고딕"/>
      <family val="3"/>
      <charset val="129"/>
    </font>
    <font>
      <sz val="11"/>
      <color theme="1"/>
      <name val="Calibri"/>
      <family val="2"/>
      <charset val="128"/>
      <scheme val="minor"/>
    </font>
    <font>
      <sz val="11"/>
      <color theme="1"/>
      <name val="Arial"/>
      <family val="2"/>
    </font>
    <font>
      <b/>
      <sz val="8"/>
      <name val="Calibri"/>
      <family val="3"/>
      <charset val="129"/>
      <scheme val="minor"/>
    </font>
    <font>
      <b/>
      <sz val="8"/>
      <color rgb="FFC00000"/>
      <name val="Calibri"/>
      <family val="3"/>
      <charset val="129"/>
      <scheme val="minor"/>
    </font>
    <font>
      <b/>
      <sz val="8"/>
      <color theme="1"/>
      <name val="Calibri"/>
      <family val="3"/>
      <charset val="129"/>
      <scheme val="minor"/>
    </font>
    <font>
      <b/>
      <sz val="8"/>
      <color rgb="FF000000"/>
      <name val="Calibri"/>
      <family val="3"/>
      <charset val="129"/>
      <scheme val="minor"/>
    </font>
    <font>
      <b/>
      <i/>
      <sz val="8"/>
      <name val="Calibri"/>
      <family val="3"/>
      <charset val="129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11">
    <xf numFmtId="0" fontId="0" fillId="0" borderId="0"/>
    <xf numFmtId="0" fontId="2" fillId="0" borderId="0"/>
    <xf numFmtId="167" fontId="2" fillId="0" borderId="0" applyFont="0" applyFill="0" applyBorder="0" applyAlignment="0" applyProtection="0"/>
    <xf numFmtId="0" fontId="3" fillId="0" borderId="0" applyFont="0" applyFill="0" applyBorder="0" applyAlignment="0" applyProtection="0"/>
    <xf numFmtId="168" fontId="2" fillId="0" borderId="0" applyFont="0" applyFill="0" applyBorder="0" applyAlignment="0" applyProtection="0"/>
    <xf numFmtId="40" fontId="3" fillId="0" borderId="0" applyFont="0" applyFill="0" applyBorder="0" applyAlignment="0" applyProtection="0"/>
    <xf numFmtId="38" fontId="3" fillId="0" borderId="0" applyFont="0" applyFill="0" applyBorder="0" applyAlignment="0" applyProtection="0"/>
    <xf numFmtId="10" fontId="2" fillId="0" borderId="0" applyFont="0" applyFill="0" applyBorder="0" applyAlignment="0" applyProtection="0"/>
    <xf numFmtId="0" fontId="4" fillId="0" borderId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/>
    <xf numFmtId="166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3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7" fillId="0" borderId="0" applyFont="0" applyFill="0" applyBorder="0" applyAlignment="0" applyProtection="0"/>
    <xf numFmtId="0" fontId="2" fillId="0" borderId="0" applyFont="0" applyFill="0" applyBorder="0" applyAlignment="0" applyProtection="0"/>
    <xf numFmtId="2" fontId="2" fillId="0" borderId="0" applyFont="0" applyFill="0" applyBorder="0" applyAlignment="0" applyProtection="0"/>
    <xf numFmtId="0" fontId="8" fillId="0" borderId="1" applyNumberFormat="0" applyAlignment="0" applyProtection="0">
      <alignment horizontal="left" vertical="center"/>
    </xf>
    <xf numFmtId="0" fontId="8" fillId="0" borderId="2">
      <alignment horizontal="left" vertical="center"/>
    </xf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10" fillId="0" borderId="0" applyNumberFormat="0" applyFont="0" applyFill="0" applyAlignment="0"/>
    <xf numFmtId="0" fontId="30" fillId="0" borderId="0"/>
    <xf numFmtId="5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0" fillId="0" borderId="0"/>
    <xf numFmtId="0" fontId="11" fillId="0" borderId="0"/>
    <xf numFmtId="0" fontId="1" fillId="0" borderId="0"/>
    <xf numFmtId="0" fontId="1" fillId="0" borderId="0"/>
    <xf numFmtId="0" fontId="12" fillId="0" borderId="0"/>
    <xf numFmtId="0" fontId="29" fillId="0" borderId="0">
      <alignment vertical="center"/>
    </xf>
    <xf numFmtId="0" fontId="3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3" applyNumberFormat="0" applyFont="0" applyFill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4" fillId="0" borderId="0">
      <alignment vertical="center"/>
    </xf>
    <xf numFmtId="40" fontId="15" fillId="0" borderId="0" applyFont="0" applyFill="0" applyBorder="0" applyAlignment="0" applyProtection="0"/>
    <xf numFmtId="38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7" fillId="0" borderId="0"/>
    <xf numFmtId="170" fontId="18" fillId="0" borderId="0" applyFont="0" applyFill="0" applyBorder="0" applyAlignment="0" applyProtection="0"/>
    <xf numFmtId="171" fontId="18" fillId="0" borderId="0" applyFont="0" applyFill="0" applyBorder="0" applyAlignment="0" applyProtection="0"/>
    <xf numFmtId="172" fontId="19" fillId="0" borderId="0" applyFont="0" applyFill="0" applyBorder="0" applyAlignment="0" applyProtection="0"/>
    <xf numFmtId="173" fontId="19" fillId="0" borderId="0" applyFont="0" applyFill="0" applyBorder="0" applyAlignment="0" applyProtection="0"/>
    <xf numFmtId="0" fontId="20" fillId="0" borderId="0"/>
    <xf numFmtId="0" fontId="21" fillId="0" borderId="0" applyProtection="0"/>
    <xf numFmtId="164" fontId="22" fillId="0" borderId="0" applyFont="0" applyFill="0" applyBorder="0" applyAlignment="0" applyProtection="0"/>
    <xf numFmtId="40" fontId="23" fillId="0" borderId="0" applyFont="0" applyFill="0" applyBorder="0" applyAlignment="0" applyProtection="0"/>
    <xf numFmtId="174" fontId="22" fillId="0" borderId="0" applyFont="0" applyFill="0" applyBorder="0" applyAlignment="0" applyProtection="0"/>
    <xf numFmtId="175" fontId="23" fillId="0" borderId="0" applyFont="0" applyFill="0" applyBorder="0" applyAlignment="0" applyProtection="0"/>
    <xf numFmtId="176" fontId="22" fillId="0" borderId="0" applyFont="0" applyFill="0" applyBorder="0" applyAlignment="0" applyProtection="0"/>
    <xf numFmtId="166" fontId="2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96">
    <xf numFmtId="0" fontId="0" fillId="0" borderId="0" xfId="0"/>
    <xf numFmtId="0" fontId="0" fillId="0" borderId="5" xfId="0" applyBorder="1"/>
    <xf numFmtId="0" fontId="36" fillId="0" borderId="0" xfId="110" applyNumberFormat="1" applyFont="1" applyFill="1" applyBorder="1" applyAlignment="1" applyProtection="1">
      <alignment horizontal="center" vertical="center"/>
    </xf>
    <xf numFmtId="0" fontId="37" fillId="0" borderId="0" xfId="110" applyNumberFormat="1" applyFont="1" applyAlignment="1">
      <alignment horizontal="center" vertical="center"/>
    </xf>
    <xf numFmtId="0" fontId="0" fillId="5" borderId="5" xfId="0" applyFill="1" applyBorder="1" applyAlignment="1">
      <alignment horizontal="center" vertical="center" wrapText="1"/>
    </xf>
    <xf numFmtId="0" fontId="0" fillId="6" borderId="5" xfId="0" applyFill="1" applyBorder="1" applyAlignment="1">
      <alignment horizontal="center" vertical="center" wrapText="1"/>
    </xf>
    <xf numFmtId="1" fontId="0" fillId="0" borderId="0" xfId="0" applyNumberFormat="1"/>
    <xf numFmtId="1" fontId="0" fillId="0" borderId="5" xfId="0" applyNumberFormat="1" applyBorder="1"/>
    <xf numFmtId="41" fontId="0" fillId="0" borderId="0" xfId="0" applyNumberFormat="1"/>
    <xf numFmtId="41" fontId="0" fillId="0" borderId="5" xfId="0" applyNumberFormat="1" applyBorder="1"/>
    <xf numFmtId="41" fontId="38" fillId="0" borderId="0" xfId="0" applyNumberFormat="1" applyFont="1"/>
    <xf numFmtId="41" fontId="38" fillId="0" borderId="5" xfId="0" applyNumberFormat="1" applyFont="1" applyBorder="1"/>
    <xf numFmtId="0" fontId="38" fillId="0" borderId="0" xfId="0" applyFont="1"/>
    <xf numFmtId="0" fontId="36" fillId="0" borderId="0" xfId="0" applyFont="1" applyAlignment="1">
      <alignment horizontal="center"/>
    </xf>
    <xf numFmtId="0" fontId="34" fillId="4" borderId="5" xfId="1" applyFont="1" applyFill="1" applyBorder="1" applyAlignment="1">
      <alignment horizontal="center" vertical="center" wrapText="1"/>
    </xf>
    <xf numFmtId="0" fontId="34" fillId="4" borderId="4" xfId="109" applyNumberFormat="1" applyFont="1" applyFill="1" applyBorder="1" applyAlignment="1">
      <alignment horizontal="center" vertical="center" wrapText="1" readingOrder="1"/>
    </xf>
    <xf numFmtId="0" fontId="34" fillId="7" borderId="5" xfId="1" applyFont="1" applyFill="1" applyBorder="1" applyAlignment="1">
      <alignment horizontal="center" vertical="center" wrapText="1"/>
    </xf>
    <xf numFmtId="0" fontId="34" fillId="7" borderId="4" xfId="109" applyNumberFormat="1" applyFont="1" applyFill="1" applyBorder="1" applyAlignment="1">
      <alignment horizontal="center" vertical="center" wrapText="1" readingOrder="1"/>
    </xf>
    <xf numFmtId="0" fontId="31" fillId="7" borderId="4" xfId="1" applyFont="1" applyFill="1" applyBorder="1" applyAlignment="1">
      <alignment horizontal="center" vertical="center" wrapText="1"/>
    </xf>
    <xf numFmtId="0" fontId="31" fillId="7" borderId="4" xfId="109" applyNumberFormat="1" applyFont="1" applyFill="1" applyBorder="1" applyAlignment="1">
      <alignment horizontal="center" vertical="center" wrapText="1"/>
    </xf>
    <xf numFmtId="0" fontId="31" fillId="7" borderId="5" xfId="1" applyFont="1" applyFill="1" applyBorder="1" applyAlignment="1">
      <alignment horizontal="center" vertical="center" wrapText="1"/>
    </xf>
    <xf numFmtId="0" fontId="0" fillId="4" borderId="5" xfId="0" applyFill="1" applyBorder="1"/>
    <xf numFmtId="0" fontId="31" fillId="4" borderId="5" xfId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0" borderId="5" xfId="0" applyBorder="1" applyAlignment="1">
      <alignment horizontal="left"/>
    </xf>
    <xf numFmtId="0" fontId="0" fillId="0" borderId="0" xfId="0" applyAlignment="1">
      <alignment horizontal="left"/>
    </xf>
    <xf numFmtId="14" fontId="0" fillId="0" borderId="0" xfId="0" applyNumberFormat="1"/>
    <xf numFmtId="14" fontId="0" fillId="0" borderId="5" xfId="0" applyNumberFormat="1" applyBorder="1"/>
    <xf numFmtId="0" fontId="31" fillId="4" borderId="5" xfId="1" applyFont="1" applyFill="1" applyBorder="1" applyAlignment="1">
      <alignment vertical="center" wrapText="1"/>
    </xf>
    <xf numFmtId="14" fontId="0" fillId="0" borderId="0" xfId="0" applyNumberFormat="1" applyAlignment="1">
      <alignment horizontal="center"/>
    </xf>
    <xf numFmtId="14" fontId="0" fillId="0" borderId="5" xfId="0" applyNumberFormat="1" applyBorder="1" applyAlignment="1">
      <alignment horizontal="center"/>
    </xf>
    <xf numFmtId="41" fontId="0" fillId="0" borderId="5" xfId="0" applyNumberFormat="1" applyBorder="1" applyAlignment="1">
      <alignment horizontal="center"/>
    </xf>
    <xf numFmtId="0" fontId="31" fillId="4" borderId="4" xfId="1" applyFont="1" applyFill="1" applyBorder="1" applyAlignment="1">
      <alignment horizontal="center" vertical="center" wrapText="1"/>
    </xf>
    <xf numFmtId="0" fontId="31" fillId="4" borderId="4" xfId="109" applyNumberFormat="1" applyFont="1" applyFill="1" applyBorder="1" applyAlignment="1">
      <alignment horizontal="center" vertical="center" wrapText="1"/>
    </xf>
    <xf numFmtId="0" fontId="31" fillId="7" borderId="6" xfId="1" applyFont="1" applyFill="1" applyBorder="1" applyAlignment="1">
      <alignment horizontal="center" vertical="center" wrapText="1"/>
    </xf>
    <xf numFmtId="0" fontId="24" fillId="2" borderId="0" xfId="1" applyFont="1" applyFill="1" applyAlignment="1">
      <alignment horizontal="center" vertical="center"/>
    </xf>
    <xf numFmtId="0" fontId="31" fillId="8" borderId="5" xfId="1" applyFont="1" applyFill="1" applyBorder="1" applyAlignment="1">
      <alignment horizontal="center" vertical="center" wrapText="1"/>
    </xf>
    <xf numFmtId="0" fontId="33" fillId="4" borderId="5" xfId="1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31" fillId="4" borderId="5" xfId="1" applyFont="1" applyFill="1" applyBorder="1" applyAlignment="1">
      <alignment horizontal="center" vertical="center" wrapText="1"/>
    </xf>
    <xf numFmtId="0" fontId="31" fillId="4" borderId="6" xfId="109" applyNumberFormat="1" applyFont="1" applyFill="1" applyBorder="1" applyAlignment="1">
      <alignment horizontal="center" vertical="center" wrapText="1"/>
    </xf>
    <xf numFmtId="0" fontId="31" fillId="4" borderId="4" xfId="109" applyNumberFormat="1" applyFont="1" applyFill="1" applyBorder="1" applyAlignment="1">
      <alignment horizontal="center" vertical="center" wrapText="1"/>
    </xf>
    <xf numFmtId="0" fontId="31" fillId="7" borderId="6" xfId="1" applyFont="1" applyFill="1" applyBorder="1" applyAlignment="1">
      <alignment horizontal="center" vertical="center" wrapText="1"/>
    </xf>
    <xf numFmtId="0" fontId="31" fillId="7" borderId="4" xfId="1" applyFont="1" applyFill="1" applyBorder="1" applyAlignment="1">
      <alignment horizontal="center" vertical="center" wrapText="1"/>
    </xf>
    <xf numFmtId="0" fontId="31" fillId="4" borderId="7" xfId="1" applyFont="1" applyFill="1" applyBorder="1" applyAlignment="1">
      <alignment horizontal="center" vertical="center" wrapText="1"/>
    </xf>
    <xf numFmtId="0" fontId="31" fillId="4" borderId="2" xfId="1" applyFont="1" applyFill="1" applyBorder="1" applyAlignment="1">
      <alignment horizontal="center" vertical="center" wrapText="1"/>
    </xf>
    <xf numFmtId="0" fontId="31" fillId="4" borderId="8" xfId="1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31" fillId="4" borderId="5" xfId="109" applyNumberFormat="1" applyFont="1" applyFill="1" applyBorder="1" applyAlignment="1">
      <alignment horizontal="center" vertical="center" wrapText="1"/>
    </xf>
    <xf numFmtId="0" fontId="33" fillId="4" borderId="6" xfId="1" applyFont="1" applyFill="1" applyBorder="1" applyAlignment="1">
      <alignment horizontal="center" vertical="center" wrapText="1"/>
    </xf>
    <xf numFmtId="0" fontId="33" fillId="4" borderId="4" xfId="1" applyFont="1" applyFill="1" applyBorder="1" applyAlignment="1">
      <alignment horizontal="center" vertical="center" wrapText="1"/>
    </xf>
    <xf numFmtId="0" fontId="32" fillId="4" borderId="7" xfId="1" applyFont="1" applyFill="1" applyBorder="1" applyAlignment="1">
      <alignment horizontal="center" vertical="center" wrapText="1"/>
    </xf>
    <xf numFmtId="0" fontId="32" fillId="4" borderId="2" xfId="1" applyFont="1" applyFill="1" applyBorder="1" applyAlignment="1">
      <alignment horizontal="center" vertical="center" wrapText="1"/>
    </xf>
    <xf numFmtId="0" fontId="32" fillId="4" borderId="8" xfId="1" applyFont="1" applyFill="1" applyBorder="1" applyAlignment="1">
      <alignment horizontal="center" vertical="center" wrapText="1"/>
    </xf>
    <xf numFmtId="0" fontId="34" fillId="8" borderId="6" xfId="109" applyNumberFormat="1" applyFont="1" applyFill="1" applyBorder="1" applyAlignment="1">
      <alignment horizontal="center" vertical="center" wrapText="1" readingOrder="1"/>
    </xf>
    <xf numFmtId="0" fontId="34" fillId="8" borderId="4" xfId="109" applyNumberFormat="1" applyFont="1" applyFill="1" applyBorder="1" applyAlignment="1">
      <alignment horizontal="center" vertical="center" wrapText="1" readingOrder="1"/>
    </xf>
    <xf numFmtId="0" fontId="31" fillId="3" borderId="6" xfId="1" applyFont="1" applyFill="1" applyBorder="1" applyAlignment="1">
      <alignment horizontal="center" vertical="center" wrapText="1"/>
    </xf>
    <xf numFmtId="0" fontId="31" fillId="3" borderId="4" xfId="1" applyFont="1" applyFill="1" applyBorder="1" applyAlignment="1">
      <alignment horizontal="center" vertical="center" wrapText="1"/>
    </xf>
    <xf numFmtId="0" fontId="32" fillId="4" borderId="6" xfId="1" applyFont="1" applyFill="1" applyBorder="1" applyAlignment="1">
      <alignment horizontal="center" vertical="center" wrapText="1"/>
    </xf>
    <xf numFmtId="0" fontId="32" fillId="4" borderId="9" xfId="1" applyFont="1" applyFill="1" applyBorder="1" applyAlignment="1">
      <alignment horizontal="center" vertical="center" wrapText="1"/>
    </xf>
    <xf numFmtId="0" fontId="32" fillId="4" borderId="4" xfId="1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31" fillId="4" borderId="6" xfId="1" applyFont="1" applyFill="1" applyBorder="1" applyAlignment="1">
      <alignment horizontal="center" vertical="center" wrapText="1"/>
    </xf>
    <xf numFmtId="0" fontId="31" fillId="4" borderId="4" xfId="1" applyFont="1" applyFill="1" applyBorder="1" applyAlignment="1">
      <alignment horizontal="center" vertical="center" wrapText="1"/>
    </xf>
    <xf numFmtId="0" fontId="40" fillId="4" borderId="5" xfId="0" applyFont="1" applyFill="1" applyBorder="1" applyAlignment="1">
      <alignment horizontal="center" vertical="center" wrapText="1"/>
    </xf>
    <xf numFmtId="0" fontId="32" fillId="4" borderId="5" xfId="1" applyFont="1" applyFill="1" applyBorder="1" applyAlignment="1">
      <alignment horizontal="center" vertical="center" wrapText="1"/>
    </xf>
    <xf numFmtId="0" fontId="35" fillId="4" borderId="6" xfId="1" applyFont="1" applyFill="1" applyBorder="1" applyAlignment="1">
      <alignment horizontal="center" vertical="center" wrapText="1"/>
    </xf>
    <xf numFmtId="0" fontId="35" fillId="4" borderId="4" xfId="1" applyFont="1" applyFill="1" applyBorder="1" applyAlignment="1">
      <alignment horizontal="center" vertical="center" wrapText="1"/>
    </xf>
    <xf numFmtId="0" fontId="31" fillId="3" borderId="9" xfId="1" applyFont="1" applyFill="1" applyBorder="1" applyAlignment="1">
      <alignment horizontal="center" vertical="center" wrapText="1"/>
    </xf>
    <xf numFmtId="0" fontId="31" fillId="5" borderId="7" xfId="1" applyFont="1" applyFill="1" applyBorder="1" applyAlignment="1">
      <alignment horizontal="center" vertical="center" wrapText="1"/>
    </xf>
    <xf numFmtId="0" fontId="31" fillId="5" borderId="2" xfId="1" applyFont="1" applyFill="1" applyBorder="1" applyAlignment="1">
      <alignment horizontal="center" vertical="center" wrapText="1"/>
    </xf>
    <xf numFmtId="0" fontId="31" fillId="5" borderId="8" xfId="1" applyFont="1" applyFill="1" applyBorder="1" applyAlignment="1">
      <alignment horizontal="center" vertical="center" wrapText="1"/>
    </xf>
    <xf numFmtId="0" fontId="31" fillId="4" borderId="9" xfId="1" applyFont="1" applyFill="1" applyBorder="1" applyAlignment="1">
      <alignment horizontal="center" vertical="center" wrapText="1"/>
    </xf>
    <xf numFmtId="0" fontId="34" fillId="4" borderId="7" xfId="109" applyNumberFormat="1" applyFont="1" applyFill="1" applyBorder="1" applyAlignment="1">
      <alignment horizontal="center" vertical="center" wrapText="1" readingOrder="1"/>
    </xf>
    <xf numFmtId="0" fontId="34" fillId="4" borderId="8" xfId="109" applyNumberFormat="1" applyFont="1" applyFill="1" applyBorder="1" applyAlignment="1">
      <alignment horizontal="center" vertical="center" wrapText="1" readingOrder="1"/>
    </xf>
    <xf numFmtId="0" fontId="31" fillId="7" borderId="7" xfId="1" applyFont="1" applyFill="1" applyBorder="1" applyAlignment="1">
      <alignment horizontal="center" vertical="center" wrapText="1"/>
    </xf>
    <xf numFmtId="0" fontId="31" fillId="7" borderId="2" xfId="1" applyFont="1" applyFill="1" applyBorder="1" applyAlignment="1">
      <alignment horizontal="center" vertical="center" wrapText="1"/>
    </xf>
    <xf numFmtId="0" fontId="31" fillId="7" borderId="8" xfId="1" applyFont="1" applyFill="1" applyBorder="1" applyAlignment="1">
      <alignment horizontal="center" vertical="center" wrapText="1"/>
    </xf>
    <xf numFmtId="0" fontId="31" fillId="7" borderId="5" xfId="1" applyFont="1" applyFill="1" applyBorder="1" applyAlignment="1">
      <alignment horizontal="center" vertical="center" wrapText="1"/>
    </xf>
    <xf numFmtId="0" fontId="35" fillId="3" borderId="6" xfId="1" applyFont="1" applyFill="1" applyBorder="1" applyAlignment="1">
      <alignment horizontal="center" vertical="center" wrapText="1"/>
    </xf>
    <xf numFmtId="0" fontId="35" fillId="3" borderId="4" xfId="1" applyFont="1" applyFill="1" applyBorder="1" applyAlignment="1">
      <alignment horizontal="center" vertical="center" wrapText="1"/>
    </xf>
    <xf numFmtId="0" fontId="32" fillId="4" borderId="6" xfId="109" applyNumberFormat="1" applyFont="1" applyFill="1" applyBorder="1" applyAlignment="1">
      <alignment horizontal="center" vertical="center" wrapText="1"/>
    </xf>
    <xf numFmtId="0" fontId="32" fillId="4" borderId="4" xfId="109" applyNumberFormat="1" applyFont="1" applyFill="1" applyBorder="1" applyAlignment="1">
      <alignment horizontal="center" vertical="center" wrapText="1"/>
    </xf>
    <xf numFmtId="0" fontId="34" fillId="5" borderId="7" xfId="109" applyNumberFormat="1" applyFont="1" applyFill="1" applyBorder="1" applyAlignment="1">
      <alignment horizontal="center" vertical="center" wrapText="1" readingOrder="1"/>
    </xf>
    <xf numFmtId="0" fontId="34" fillId="5" borderId="8" xfId="109" applyNumberFormat="1" applyFont="1" applyFill="1" applyBorder="1" applyAlignment="1">
      <alignment horizontal="center" vertical="center" wrapText="1" readingOrder="1"/>
    </xf>
    <xf numFmtId="0" fontId="31" fillId="7" borderId="9" xfId="1" applyFont="1" applyFill="1" applyBorder="1" applyAlignment="1">
      <alignment horizontal="center" vertical="center" wrapText="1"/>
    </xf>
    <xf numFmtId="0" fontId="33" fillId="7" borderId="6" xfId="1" applyFont="1" applyFill="1" applyBorder="1" applyAlignment="1">
      <alignment horizontal="center" vertical="center" wrapText="1"/>
    </xf>
    <xf numFmtId="0" fontId="33" fillId="7" borderId="4" xfId="1" applyFont="1" applyFill="1" applyBorder="1" applyAlignment="1">
      <alignment horizontal="center" vertical="center" wrapText="1"/>
    </xf>
    <xf numFmtId="0" fontId="33" fillId="4" borderId="7" xfId="1" applyFont="1" applyFill="1" applyBorder="1" applyAlignment="1">
      <alignment horizontal="center" vertical="center" wrapText="1"/>
    </xf>
    <xf numFmtId="0" fontId="33" fillId="4" borderId="8" xfId="1" applyFont="1" applyFill="1" applyBorder="1" applyAlignment="1">
      <alignment horizontal="center" vertical="center" wrapText="1"/>
    </xf>
    <xf numFmtId="0" fontId="24" fillId="2" borderId="0" xfId="1" applyFont="1" applyFill="1" applyAlignment="1">
      <alignment horizontal="center" vertical="center"/>
    </xf>
    <xf numFmtId="14" fontId="24" fillId="2" borderId="0" xfId="1" applyNumberFormat="1" applyFont="1" applyFill="1" applyAlignment="1">
      <alignment horizontal="center" vertical="center"/>
    </xf>
    <xf numFmtId="0" fontId="31" fillId="3" borderId="5" xfId="1" applyFont="1" applyFill="1" applyBorder="1" applyAlignment="1">
      <alignment horizontal="center" vertical="center" wrapText="1"/>
    </xf>
  </cellXfs>
  <cellStyles count="111">
    <cellStyle name="??" xfId="2" xr:uid="{00000000-0005-0000-0000-000000000000}"/>
    <cellStyle name="?? [0.00]_PRODUCT DETAIL Q1" xfId="3" xr:uid="{00000000-0005-0000-0000-000001000000}"/>
    <cellStyle name="?? [0]" xfId="4" xr:uid="{00000000-0005-0000-0000-000002000000}"/>
    <cellStyle name="???? [0.00]_PRODUCT DETAIL Q1" xfId="5" xr:uid="{00000000-0005-0000-0000-000003000000}"/>
    <cellStyle name="????_PRODUCT DETAIL Q1" xfId="6" xr:uid="{00000000-0005-0000-0000-000004000000}"/>
    <cellStyle name="???_HOBONG" xfId="7" xr:uid="{00000000-0005-0000-0000-000005000000}"/>
    <cellStyle name="??_(????)??????" xfId="8" xr:uid="{00000000-0005-0000-0000-000006000000}"/>
    <cellStyle name="AÞ¸¶ [0]_INQUIRY ¿µ¾÷AßAø " xfId="9" xr:uid="{00000000-0005-0000-0000-000007000000}"/>
    <cellStyle name="AÞ¸¶_INQUIRY ¿µ¾÷AßAø " xfId="10" xr:uid="{00000000-0005-0000-0000-000008000000}"/>
    <cellStyle name="C?AØ_¿µ¾÷CoE² " xfId="11" xr:uid="{00000000-0005-0000-0000-000009000000}"/>
    <cellStyle name="Comma" xfId="110" builtinId="3"/>
    <cellStyle name="Comma [0] 2" xfId="13" xr:uid="{00000000-0005-0000-0000-00000B000000}"/>
    <cellStyle name="Comma 10" xfId="14" xr:uid="{00000000-0005-0000-0000-00000C000000}"/>
    <cellStyle name="Comma 2" xfId="15" xr:uid="{00000000-0005-0000-0000-00000D000000}"/>
    <cellStyle name="Comma 2 2" xfId="16" xr:uid="{00000000-0005-0000-0000-00000E000000}"/>
    <cellStyle name="Comma 2 3" xfId="17" xr:uid="{00000000-0005-0000-0000-00000F000000}"/>
    <cellStyle name="Comma 2 3 2" xfId="18" xr:uid="{00000000-0005-0000-0000-000010000000}"/>
    <cellStyle name="Comma 2 3 2 2" xfId="19" xr:uid="{00000000-0005-0000-0000-000011000000}"/>
    <cellStyle name="Comma 2 4" xfId="20" xr:uid="{00000000-0005-0000-0000-000012000000}"/>
    <cellStyle name="Comma 3" xfId="21" xr:uid="{00000000-0005-0000-0000-000013000000}"/>
    <cellStyle name="Comma 3 2" xfId="22" xr:uid="{00000000-0005-0000-0000-000014000000}"/>
    <cellStyle name="Comma 3 2 2" xfId="23" xr:uid="{00000000-0005-0000-0000-000015000000}"/>
    <cellStyle name="Comma 3 3" xfId="24" xr:uid="{00000000-0005-0000-0000-000016000000}"/>
    <cellStyle name="Comma 3 3 2" xfId="25" xr:uid="{00000000-0005-0000-0000-000017000000}"/>
    <cellStyle name="Comma 3 4" xfId="26" xr:uid="{00000000-0005-0000-0000-000018000000}"/>
    <cellStyle name="Comma 3 4 2" xfId="27" xr:uid="{00000000-0005-0000-0000-000019000000}"/>
    <cellStyle name="Comma 4" xfId="28" xr:uid="{00000000-0005-0000-0000-00001A000000}"/>
    <cellStyle name="Comma 4 2" xfId="29" xr:uid="{00000000-0005-0000-0000-00001B000000}"/>
    <cellStyle name="Comma 4 2 2" xfId="30" xr:uid="{00000000-0005-0000-0000-00001C000000}"/>
    <cellStyle name="Comma 4 3" xfId="31" xr:uid="{00000000-0005-0000-0000-00001D000000}"/>
    <cellStyle name="Comma 5" xfId="32" xr:uid="{00000000-0005-0000-0000-00001E000000}"/>
    <cellStyle name="Comma 5 2" xfId="33" xr:uid="{00000000-0005-0000-0000-00001F000000}"/>
    <cellStyle name="Comma 5 2 2" xfId="34" xr:uid="{00000000-0005-0000-0000-000020000000}"/>
    <cellStyle name="Comma 5 3" xfId="35" xr:uid="{00000000-0005-0000-0000-000021000000}"/>
    <cellStyle name="Comma 6" xfId="12" xr:uid="{00000000-0005-0000-0000-000022000000}"/>
    <cellStyle name="Comma 7" xfId="109" xr:uid="{00000000-0005-0000-0000-000023000000}"/>
    <cellStyle name="Comma0" xfId="36" xr:uid="{00000000-0005-0000-0000-000024000000}"/>
    <cellStyle name="Currency 2" xfId="37" xr:uid="{00000000-0005-0000-0000-000025000000}"/>
    <cellStyle name="Currency0" xfId="38" xr:uid="{00000000-0005-0000-0000-000026000000}"/>
    <cellStyle name="Date" xfId="39" xr:uid="{00000000-0005-0000-0000-000027000000}"/>
    <cellStyle name="Fixed" xfId="40" xr:uid="{00000000-0005-0000-0000-000028000000}"/>
    <cellStyle name="Header1" xfId="41" xr:uid="{00000000-0005-0000-0000-000029000000}"/>
    <cellStyle name="Header2" xfId="42" xr:uid="{00000000-0005-0000-0000-00002A000000}"/>
    <cellStyle name="Heading 1 2" xfId="43" xr:uid="{00000000-0005-0000-0000-00002B000000}"/>
    <cellStyle name="Heading 2 2" xfId="44" xr:uid="{00000000-0005-0000-0000-00002C000000}"/>
    <cellStyle name="n" xfId="45" xr:uid="{00000000-0005-0000-0000-00002D000000}"/>
    <cellStyle name="Normal" xfId="0" builtinId="0"/>
    <cellStyle name="Normal 10" xfId="1" xr:uid="{00000000-0005-0000-0000-00002F000000}"/>
    <cellStyle name="Normal 2" xfId="46" xr:uid="{00000000-0005-0000-0000-000030000000}"/>
    <cellStyle name="Normal 2 10" xfId="47" xr:uid="{00000000-0005-0000-0000-000031000000}"/>
    <cellStyle name="Normal 2 2" xfId="48" xr:uid="{00000000-0005-0000-0000-000032000000}"/>
    <cellStyle name="Normal 2 3" xfId="49" xr:uid="{00000000-0005-0000-0000-000033000000}"/>
    <cellStyle name="Normal 2 4" xfId="50" xr:uid="{00000000-0005-0000-0000-000034000000}"/>
    <cellStyle name="Normal 2 5" xfId="51" xr:uid="{00000000-0005-0000-0000-000035000000}"/>
    <cellStyle name="Normal 2 6" xfId="52" xr:uid="{00000000-0005-0000-0000-000036000000}"/>
    <cellStyle name="Normal 2 6 2" xfId="53" xr:uid="{00000000-0005-0000-0000-000037000000}"/>
    <cellStyle name="Normal 2 7" xfId="54" xr:uid="{00000000-0005-0000-0000-000038000000}"/>
    <cellStyle name="Normal 2 7 2" xfId="55" xr:uid="{00000000-0005-0000-0000-000039000000}"/>
    <cellStyle name="Normal 3" xfId="56" xr:uid="{00000000-0005-0000-0000-00003A000000}"/>
    <cellStyle name="Normal 3 2" xfId="57" xr:uid="{00000000-0005-0000-0000-00003B000000}"/>
    <cellStyle name="Normal 3 3" xfId="58" xr:uid="{00000000-0005-0000-0000-00003C000000}"/>
    <cellStyle name="Normal 3 3 2" xfId="59" xr:uid="{00000000-0005-0000-0000-00003D000000}"/>
    <cellStyle name="Normal 4" xfId="60" xr:uid="{00000000-0005-0000-0000-00003E000000}"/>
    <cellStyle name="Normal 4 2" xfId="61" xr:uid="{00000000-0005-0000-0000-00003F000000}"/>
    <cellStyle name="Normal 5" xfId="62" xr:uid="{00000000-0005-0000-0000-000040000000}"/>
    <cellStyle name="Normal 5 2" xfId="63" xr:uid="{00000000-0005-0000-0000-000041000000}"/>
    <cellStyle name="Normal 5 2 2" xfId="64" xr:uid="{00000000-0005-0000-0000-000042000000}"/>
    <cellStyle name="Normal 6" xfId="65" xr:uid="{00000000-0005-0000-0000-000043000000}"/>
    <cellStyle name="Normal 6 2" xfId="66" xr:uid="{00000000-0005-0000-0000-000044000000}"/>
    <cellStyle name="Normal 6 2 2" xfId="67" xr:uid="{00000000-0005-0000-0000-000045000000}"/>
    <cellStyle name="Normal 6 3" xfId="68" xr:uid="{00000000-0005-0000-0000-000046000000}"/>
    <cellStyle name="Normal 7" xfId="69" xr:uid="{00000000-0005-0000-0000-000047000000}"/>
    <cellStyle name="Normal 7 2" xfId="70" xr:uid="{00000000-0005-0000-0000-000048000000}"/>
    <cellStyle name="Normal 7 2 2" xfId="71" xr:uid="{00000000-0005-0000-0000-000049000000}"/>
    <cellStyle name="Normal 8" xfId="72" xr:uid="{00000000-0005-0000-0000-00004A000000}"/>
    <cellStyle name="Normal 8 2" xfId="73" xr:uid="{00000000-0005-0000-0000-00004B000000}"/>
    <cellStyle name="Normal 9" xfId="74" xr:uid="{00000000-0005-0000-0000-00004C000000}"/>
    <cellStyle name="Normal 9 2" xfId="75" xr:uid="{00000000-0005-0000-0000-00004D000000}"/>
    <cellStyle name="Percent 2" xfId="76" xr:uid="{00000000-0005-0000-0000-00004E000000}"/>
    <cellStyle name="Percent 2 2" xfId="77" xr:uid="{00000000-0005-0000-0000-00004F000000}"/>
    <cellStyle name="Percent 2 3" xfId="78" xr:uid="{00000000-0005-0000-0000-000050000000}"/>
    <cellStyle name="Percent 2 4" xfId="79" xr:uid="{00000000-0005-0000-0000-000051000000}"/>
    <cellStyle name="Percent 2 5" xfId="80" xr:uid="{00000000-0005-0000-0000-000052000000}"/>
    <cellStyle name="Percent 2 6" xfId="81" xr:uid="{00000000-0005-0000-0000-000053000000}"/>
    <cellStyle name="Percent 2 7" xfId="82" xr:uid="{00000000-0005-0000-0000-000054000000}"/>
    <cellStyle name="Percent 2 8" xfId="83" xr:uid="{00000000-0005-0000-0000-000055000000}"/>
    <cellStyle name="Percent 2 9" xfId="84" xr:uid="{00000000-0005-0000-0000-000056000000}"/>
    <cellStyle name="Percent 2 9 2" xfId="85" xr:uid="{00000000-0005-0000-0000-000057000000}"/>
    <cellStyle name="Percent 3" xfId="86" xr:uid="{00000000-0005-0000-0000-000058000000}"/>
    <cellStyle name="Percent 3 2" xfId="87" xr:uid="{00000000-0005-0000-0000-000059000000}"/>
    <cellStyle name="Total 2" xfId="88" xr:uid="{00000000-0005-0000-0000-00005A000000}"/>
    <cellStyle name=" [0.00]_ Att. 1- Cover" xfId="89" xr:uid="{00000000-0005-0000-0000-00005B000000}"/>
    <cellStyle name="_ Att. 1- Cover" xfId="90" xr:uid="{00000000-0005-0000-0000-00005C000000}"/>
    <cellStyle name="?_ Att. 1- Cover" xfId="91" xr:uid="{00000000-0005-0000-0000-00005D000000}"/>
    <cellStyle name="똿뗦먛귟 [0.00]_PRODUCT DETAIL Q1" xfId="92" xr:uid="{00000000-0005-0000-0000-00005E000000}"/>
    <cellStyle name="똿뗦먛귟_PRODUCT DETAIL Q1" xfId="93" xr:uid="{00000000-0005-0000-0000-00005F000000}"/>
    <cellStyle name="믅됞 [0.00]_PRODUCT DETAIL Q1" xfId="94" xr:uid="{00000000-0005-0000-0000-000060000000}"/>
    <cellStyle name="믅됞_PRODUCT DETAIL Q1" xfId="95" xr:uid="{00000000-0005-0000-0000-000061000000}"/>
    <cellStyle name="백분율_95" xfId="96" xr:uid="{00000000-0005-0000-0000-000062000000}"/>
    <cellStyle name="뷭?_BOOKSHIP" xfId="97" xr:uid="{00000000-0005-0000-0000-000063000000}"/>
    <cellStyle name="콤마 [0]_1202" xfId="98" xr:uid="{00000000-0005-0000-0000-000064000000}"/>
    <cellStyle name="콤마_1202" xfId="99" xr:uid="{00000000-0005-0000-0000-000065000000}"/>
    <cellStyle name="통화 [0]_1202" xfId="100" xr:uid="{00000000-0005-0000-0000-000066000000}"/>
    <cellStyle name="통화_1202" xfId="101" xr:uid="{00000000-0005-0000-0000-000067000000}"/>
    <cellStyle name="표준_(정보부문)월별인원계획" xfId="102" xr:uid="{00000000-0005-0000-0000-000068000000}"/>
    <cellStyle name="一般_99Q3647-ALL-CAS2" xfId="103" xr:uid="{00000000-0005-0000-0000-000069000000}"/>
    <cellStyle name="千分位[0]_Book1" xfId="104" xr:uid="{00000000-0005-0000-0000-00006A000000}"/>
    <cellStyle name="千分位_99Q3647-ALL-CAS2" xfId="105" xr:uid="{00000000-0005-0000-0000-00006B000000}"/>
    <cellStyle name="貨幣 [0]_Book1" xfId="106" xr:uid="{00000000-0005-0000-0000-00006C000000}"/>
    <cellStyle name="貨幣[0]_BRE" xfId="107" xr:uid="{00000000-0005-0000-0000-00006D000000}"/>
    <cellStyle name="貨幣_Book1" xfId="108" xr:uid="{00000000-0005-0000-0000-00006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Z32"/>
  <sheetViews>
    <sheetView showZeros="0" tabSelected="1" topLeftCell="B1" workbookViewId="0">
      <selection activeCell="B16" sqref="B16"/>
    </sheetView>
  </sheetViews>
  <sheetFormatPr defaultRowHeight="15"/>
  <cols>
    <col min="1" max="1" width="9.140625" hidden="1" customWidth="1"/>
    <col min="2" max="2" width="14.28515625" customWidth="1"/>
    <col min="3" max="3" width="5" style="23" customWidth="1"/>
    <col min="4" max="4" width="12.140625" style="23" customWidth="1"/>
    <col min="5" max="5" width="18.42578125" style="26" customWidth="1"/>
    <col min="6" max="6" width="15.140625" style="23" customWidth="1"/>
    <col min="7" max="8" width="11.5703125" style="30" customWidth="1"/>
    <col min="9" max="10" width="12" style="8" customWidth="1"/>
    <col min="11" max="16" width="8" customWidth="1"/>
    <col min="17" max="17" width="12.42578125" style="8" customWidth="1"/>
    <col min="18" max="18" width="10.7109375" style="8" customWidth="1"/>
    <col min="19" max="20" width="9.140625" style="8"/>
    <col min="21" max="21" width="11.28515625" style="8" customWidth="1"/>
    <col min="22" max="22" width="10.140625" style="8" hidden="1" customWidth="1"/>
    <col min="23" max="23" width="9.140625" style="8"/>
    <col min="24" max="24" width="9.140625" style="10"/>
    <col min="25" max="25" width="12.140625" style="8" customWidth="1"/>
    <col min="26" max="26" width="12.28515625" style="8" customWidth="1"/>
    <col min="27" max="28" width="9.140625" style="8"/>
    <col min="29" max="29" width="6.85546875" customWidth="1"/>
    <col min="30" max="30" width="11" style="8" customWidth="1"/>
    <col min="31" max="31" width="6.85546875" customWidth="1"/>
    <col min="32" max="32" width="11" style="8" customWidth="1"/>
    <col min="33" max="33" width="6.85546875" customWidth="1"/>
    <col min="34" max="34" width="11" style="8" customWidth="1"/>
    <col min="35" max="35" width="6.85546875" customWidth="1"/>
    <col min="36" max="36" width="11" style="8" customWidth="1"/>
    <col min="37" max="37" width="6.85546875" customWidth="1"/>
    <col min="38" max="38" width="11" style="8" customWidth="1"/>
    <col min="39" max="39" width="6.85546875" customWidth="1"/>
    <col min="40" max="41" width="11" style="8" customWidth="1"/>
    <col min="42" max="42" width="6.85546875" customWidth="1"/>
    <col min="43" max="43" width="11" style="8" customWidth="1"/>
    <col min="44" max="44" width="6.85546875" customWidth="1"/>
    <col min="45" max="45" width="11" style="8" customWidth="1"/>
    <col min="46" max="46" width="6.85546875" customWidth="1"/>
    <col min="47" max="47" width="11" style="8" customWidth="1"/>
    <col min="48" max="48" width="6.85546875" customWidth="1"/>
    <col min="49" max="49" width="11" style="8" customWidth="1"/>
    <col min="50" max="50" width="6.85546875" customWidth="1"/>
    <col min="51" max="51" width="11" style="8" customWidth="1"/>
    <col min="52" max="52" width="6.85546875" customWidth="1"/>
    <col min="53" max="54" width="11" style="8" customWidth="1"/>
    <col min="55" max="66" width="11.7109375" style="8" hidden="1" customWidth="1"/>
    <col min="67" max="67" width="11.7109375" style="8" customWidth="1"/>
    <col min="68" max="75" width="10.28515625" style="8" customWidth="1"/>
    <col min="76" max="84" width="13" style="8" customWidth="1"/>
    <col min="85" max="88" width="13" style="8" hidden="1" customWidth="1"/>
    <col min="89" max="89" width="12.7109375" style="8" hidden="1" customWidth="1"/>
    <col min="90" max="97" width="13" style="8" hidden="1" customWidth="1"/>
    <col min="98" max="98" width="13" style="8" customWidth="1"/>
    <col min="99" max="99" width="12" style="8" customWidth="1"/>
    <col min="100" max="100" width="13.42578125" style="8" customWidth="1"/>
    <col min="101" max="105" width="12.140625" style="8" customWidth="1"/>
    <col min="106" max="112" width="12.140625" style="8" hidden="1" customWidth="1"/>
    <col min="113" max="116" width="12.140625" style="8" customWidth="1"/>
    <col min="124" max="125" width="11.28515625" customWidth="1"/>
    <col min="175" max="179" width="9.140625" style="27"/>
    <col min="180" max="180" width="9.42578125" customWidth="1"/>
  </cols>
  <sheetData>
    <row r="1" spans="1:182" ht="35.25" customHeight="1">
      <c r="A1">
        <v>1</v>
      </c>
      <c r="E1" s="23"/>
      <c r="G1" s="23"/>
      <c r="H1" s="23"/>
      <c r="I1"/>
      <c r="J1"/>
      <c r="M1" s="93" t="str">
        <f>"PAYROLL SALARY " &amp; A5</f>
        <v>PAYROLL SALARY 5</v>
      </c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  <c r="Y1"/>
      <c r="Z1" s="36"/>
      <c r="AA1" s="36"/>
      <c r="AB1" s="36"/>
      <c r="AC1" s="36"/>
      <c r="AD1" s="36"/>
      <c r="AE1" s="36"/>
      <c r="AF1" s="36"/>
      <c r="AG1" s="36"/>
      <c r="AH1" s="36"/>
      <c r="AJ1"/>
      <c r="AL1"/>
      <c r="AN1"/>
      <c r="AO1"/>
      <c r="AQ1"/>
      <c r="AS1"/>
      <c r="AU1"/>
      <c r="AW1"/>
      <c r="AY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FS1"/>
      <c r="FT1"/>
      <c r="FU1"/>
      <c r="FV1"/>
      <c r="FW1"/>
    </row>
    <row r="2" spans="1:182" ht="15" customHeight="1">
      <c r="A2">
        <v>2</v>
      </c>
      <c r="E2" s="23"/>
      <c r="G2" s="23"/>
      <c r="H2" s="23"/>
      <c r="I2"/>
      <c r="J2"/>
      <c r="M2" s="93"/>
      <c r="N2" s="93"/>
      <c r="O2" s="93"/>
      <c r="P2" s="93"/>
      <c r="Q2" s="93"/>
      <c r="R2" s="93"/>
      <c r="S2" s="93"/>
      <c r="T2" s="93"/>
      <c r="U2" s="93"/>
      <c r="V2" s="93"/>
      <c r="W2" s="93"/>
      <c r="X2" s="93"/>
      <c r="Y2"/>
      <c r="Z2" s="36"/>
      <c r="AA2" s="36"/>
      <c r="AB2" s="36"/>
      <c r="AC2" s="36"/>
      <c r="AD2" s="36"/>
      <c r="AE2" s="36"/>
      <c r="AF2" s="36"/>
      <c r="AG2" s="36"/>
      <c r="AH2" s="36"/>
      <c r="AJ2"/>
      <c r="AL2"/>
      <c r="AN2"/>
      <c r="AO2"/>
      <c r="AQ2"/>
      <c r="AS2"/>
      <c r="AU2"/>
      <c r="AW2"/>
      <c r="AY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FS2"/>
      <c r="FT2"/>
      <c r="FU2"/>
      <c r="FV2"/>
      <c r="FW2"/>
    </row>
    <row r="3" spans="1:182" ht="15" customHeight="1">
      <c r="A3">
        <v>3</v>
      </c>
      <c r="E3" s="23"/>
      <c r="G3" s="23"/>
      <c r="H3" s="23"/>
      <c r="I3"/>
      <c r="J3"/>
      <c r="M3" s="94">
        <f>DATE(A5,A4,1)</f>
        <v>1918</v>
      </c>
      <c r="N3" s="94"/>
      <c r="O3" s="94"/>
      <c r="P3" s="94"/>
      <c r="Q3" s="94"/>
      <c r="R3" s="94"/>
      <c r="S3" s="94"/>
      <c r="T3" s="94"/>
      <c r="U3" s="94"/>
      <c r="V3" s="94"/>
      <c r="W3" s="94"/>
      <c r="X3" s="94"/>
      <c r="Y3"/>
      <c r="Z3" s="36"/>
      <c r="AA3" s="36"/>
      <c r="AB3" s="36"/>
      <c r="AC3" s="36"/>
      <c r="AD3" s="36"/>
      <c r="AE3" s="36"/>
      <c r="AF3" s="36"/>
      <c r="AG3" s="36"/>
      <c r="AH3" s="36"/>
      <c r="AJ3"/>
      <c r="AL3"/>
      <c r="AN3"/>
      <c r="AO3"/>
      <c r="AQ3"/>
      <c r="AS3"/>
      <c r="AU3"/>
      <c r="AW3"/>
      <c r="AY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FS3"/>
      <c r="FT3"/>
      <c r="FU3"/>
      <c r="FV3"/>
      <c r="FW3"/>
    </row>
    <row r="4" spans="1:182" ht="15" customHeight="1">
      <c r="A4">
        <v>4</v>
      </c>
      <c r="E4" s="23"/>
      <c r="G4" s="23"/>
      <c r="H4" s="23"/>
      <c r="I4"/>
      <c r="J4"/>
      <c r="M4" s="94"/>
      <c r="N4" s="94"/>
      <c r="O4" s="94"/>
      <c r="P4" s="94"/>
      <c r="Q4" s="94"/>
      <c r="R4" s="94"/>
      <c r="S4" s="94"/>
      <c r="T4" s="94"/>
      <c r="U4" s="94"/>
      <c r="V4" s="94"/>
      <c r="W4" s="94"/>
      <c r="X4" s="94"/>
      <c r="Y4"/>
      <c r="Z4" s="36"/>
      <c r="AA4" s="36"/>
      <c r="AB4" s="36"/>
      <c r="AC4" s="36"/>
      <c r="AD4" s="36"/>
      <c r="AE4" s="36"/>
      <c r="AF4" s="36"/>
      <c r="AG4" s="36"/>
      <c r="AH4" s="36"/>
      <c r="AJ4"/>
      <c r="AL4"/>
      <c r="AN4"/>
      <c r="AO4"/>
      <c r="AQ4"/>
      <c r="AS4"/>
      <c r="AU4"/>
      <c r="AW4"/>
      <c r="AY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FS4"/>
      <c r="FT4"/>
      <c r="FU4"/>
      <c r="FV4"/>
      <c r="FW4"/>
    </row>
    <row r="5" spans="1:182">
      <c r="A5">
        <v>5</v>
      </c>
      <c r="E5" s="23"/>
      <c r="G5" s="23"/>
      <c r="H5" s="23"/>
      <c r="I5"/>
      <c r="J5"/>
      <c r="Q5"/>
      <c r="R5"/>
      <c r="S5"/>
      <c r="T5"/>
      <c r="U5"/>
      <c r="V5"/>
      <c r="W5"/>
      <c r="X5" s="12"/>
      <c r="Y5"/>
      <c r="Z5"/>
      <c r="AA5"/>
      <c r="AB5"/>
      <c r="AD5"/>
      <c r="AF5"/>
      <c r="AH5"/>
      <c r="AJ5"/>
      <c r="AL5"/>
      <c r="AN5"/>
      <c r="AO5"/>
      <c r="AQ5"/>
      <c r="AS5"/>
      <c r="AU5"/>
      <c r="AW5"/>
      <c r="AY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FS5"/>
      <c r="FT5"/>
      <c r="FU5"/>
      <c r="FV5"/>
      <c r="FW5"/>
    </row>
    <row r="6" spans="1:182">
      <c r="E6" s="23"/>
      <c r="G6" s="23"/>
      <c r="H6" s="23"/>
      <c r="I6"/>
      <c r="J6"/>
      <c r="Q6"/>
      <c r="R6"/>
      <c r="S6"/>
      <c r="T6"/>
      <c r="U6"/>
      <c r="V6"/>
      <c r="W6"/>
      <c r="X6" s="12"/>
      <c r="Y6"/>
      <c r="Z6"/>
      <c r="AA6"/>
      <c r="AB6"/>
      <c r="AD6"/>
      <c r="AF6"/>
      <c r="AH6"/>
      <c r="AJ6"/>
      <c r="AL6"/>
      <c r="AN6"/>
      <c r="AO6"/>
      <c r="AQ6"/>
      <c r="AS6"/>
      <c r="AU6"/>
      <c r="AW6"/>
      <c r="AY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FS6"/>
      <c r="FT6"/>
      <c r="FU6"/>
      <c r="FV6"/>
      <c r="FW6"/>
    </row>
    <row r="7" spans="1:182" ht="15" hidden="1" customHeight="1">
      <c r="B7" t="s">
        <v>67</v>
      </c>
      <c r="C7" s="13" t="s">
        <v>64</v>
      </c>
      <c r="D7" s="2" t="s">
        <v>63</v>
      </c>
      <c r="E7" s="2" t="s">
        <v>66</v>
      </c>
      <c r="F7" s="26" t="s">
        <v>296</v>
      </c>
      <c r="G7" s="26" t="s">
        <v>320</v>
      </c>
      <c r="H7" s="26" t="s">
        <v>321</v>
      </c>
      <c r="I7" t="s">
        <v>123</v>
      </c>
      <c r="J7"/>
      <c r="K7" t="s">
        <v>124</v>
      </c>
      <c r="L7" t="s">
        <v>125</v>
      </c>
      <c r="M7" t="s">
        <v>126</v>
      </c>
      <c r="N7" t="s">
        <v>127</v>
      </c>
      <c r="Q7" t="s">
        <v>128</v>
      </c>
      <c r="R7" t="s">
        <v>129</v>
      </c>
      <c r="S7" t="s">
        <v>130</v>
      </c>
      <c r="T7" t="s">
        <v>131</v>
      </c>
      <c r="U7" t="s">
        <v>132</v>
      </c>
      <c r="V7" t="s">
        <v>133</v>
      </c>
      <c r="W7" t="s">
        <v>134</v>
      </c>
      <c r="X7" t="s">
        <v>135</v>
      </c>
      <c r="Y7" t="s">
        <v>198</v>
      </c>
      <c r="Z7" t="s">
        <v>136</v>
      </c>
      <c r="AA7" t="s">
        <v>137</v>
      </c>
      <c r="AB7" t="s">
        <v>138</v>
      </c>
      <c r="AC7" t="s">
        <v>139</v>
      </c>
      <c r="AD7" t="s">
        <v>140</v>
      </c>
      <c r="AE7" t="s">
        <v>141</v>
      </c>
      <c r="AF7" t="s">
        <v>142</v>
      </c>
      <c r="AG7" t="s">
        <v>143</v>
      </c>
      <c r="AH7" t="s">
        <v>144</v>
      </c>
      <c r="AI7" t="s">
        <v>145</v>
      </c>
      <c r="AJ7" t="s">
        <v>146</v>
      </c>
      <c r="AK7" t="s">
        <v>147</v>
      </c>
      <c r="AL7" t="s">
        <v>148</v>
      </c>
      <c r="AM7" t="s">
        <v>149</v>
      </c>
      <c r="AN7" t="s">
        <v>150</v>
      </c>
      <c r="AO7" t="s">
        <v>151</v>
      </c>
      <c r="AP7" t="s">
        <v>152</v>
      </c>
      <c r="AQ7" t="s">
        <v>153</v>
      </c>
      <c r="AR7" t="s">
        <v>154</v>
      </c>
      <c r="AS7" t="s">
        <v>155</v>
      </c>
      <c r="AT7" t="s">
        <v>156</v>
      </c>
      <c r="AU7" t="s">
        <v>157</v>
      </c>
      <c r="AV7" t="s">
        <v>158</v>
      </c>
      <c r="AW7" t="s">
        <v>159</v>
      </c>
      <c r="AX7" t="s">
        <v>160</v>
      </c>
      <c r="AY7" t="s">
        <v>161</v>
      </c>
      <c r="AZ7" t="s">
        <v>162</v>
      </c>
      <c r="BA7" t="s">
        <v>163</v>
      </c>
      <c r="BB7" t="s">
        <v>164</v>
      </c>
      <c r="BC7" t="s">
        <v>165</v>
      </c>
      <c r="BD7" t="s">
        <v>166</v>
      </c>
      <c r="BE7" t="s">
        <v>167</v>
      </c>
      <c r="BF7" t="s">
        <v>168</v>
      </c>
      <c r="BG7" t="s">
        <v>169</v>
      </c>
      <c r="BH7" t="s">
        <v>170</v>
      </c>
      <c r="BI7" t="s">
        <v>171</v>
      </c>
      <c r="BJ7" t="s">
        <v>200</v>
      </c>
      <c r="BK7" t="s">
        <v>230</v>
      </c>
      <c r="BL7" t="s">
        <v>172</v>
      </c>
      <c r="BM7" t="s">
        <v>268</v>
      </c>
      <c r="BN7" t="s">
        <v>208</v>
      </c>
      <c r="BO7" t="s">
        <v>353</v>
      </c>
      <c r="BP7" t="s">
        <v>344</v>
      </c>
      <c r="BQ7" t="s">
        <v>345</v>
      </c>
      <c r="BR7" t="s">
        <v>346</v>
      </c>
      <c r="BS7" t="s">
        <v>173</v>
      </c>
      <c r="BT7" t="s">
        <v>349</v>
      </c>
      <c r="BU7" t="s">
        <v>350</v>
      </c>
      <c r="BV7" t="s">
        <v>351</v>
      </c>
      <c r="BW7" t="s">
        <v>174</v>
      </c>
      <c r="BX7" t="s">
        <v>175</v>
      </c>
      <c r="BY7" t="s">
        <v>176</v>
      </c>
      <c r="BZ7" t="s">
        <v>177</v>
      </c>
      <c r="CA7" t="s">
        <v>178</v>
      </c>
      <c r="CB7" t="s">
        <v>179</v>
      </c>
      <c r="CC7" t="s">
        <v>180</v>
      </c>
      <c r="CD7" t="s">
        <v>181</v>
      </c>
      <c r="CE7"/>
      <c r="CF7" t="s">
        <v>182</v>
      </c>
      <c r="CG7" t="s">
        <v>183</v>
      </c>
      <c r="CH7" t="s">
        <v>184</v>
      </c>
      <c r="CI7"/>
      <c r="CJ7"/>
      <c r="CK7"/>
      <c r="CL7"/>
      <c r="CM7" t="s">
        <v>284</v>
      </c>
      <c r="CN7" t="s">
        <v>185</v>
      </c>
      <c r="CO7" t="s">
        <v>186</v>
      </c>
      <c r="CP7" t="s">
        <v>187</v>
      </c>
      <c r="CQ7"/>
      <c r="CR7"/>
      <c r="CS7"/>
      <c r="CT7" t="s">
        <v>188</v>
      </c>
      <c r="CU7" t="s">
        <v>189</v>
      </c>
      <c r="CV7" t="s">
        <v>190</v>
      </c>
      <c r="CW7" t="s">
        <v>191</v>
      </c>
      <c r="CX7" t="s">
        <v>192</v>
      </c>
      <c r="CY7" t="s">
        <v>352</v>
      </c>
      <c r="CZ7" t="s">
        <v>348</v>
      </c>
      <c r="DA7" t="s">
        <v>347</v>
      </c>
      <c r="DB7" t="s">
        <v>193</v>
      </c>
      <c r="DC7" t="s">
        <v>194</v>
      </c>
      <c r="DD7" t="s">
        <v>195</v>
      </c>
      <c r="DE7" t="s">
        <v>196</v>
      </c>
      <c r="DF7" t="s">
        <v>246</v>
      </c>
      <c r="DG7" t="s">
        <v>231</v>
      </c>
      <c r="DH7" t="s">
        <v>264</v>
      </c>
      <c r="DI7" t="s">
        <v>197</v>
      </c>
      <c r="DJ7" t="s">
        <v>261</v>
      </c>
      <c r="DK7"/>
      <c r="DL7" t="s">
        <v>339</v>
      </c>
      <c r="DN7" t="s">
        <v>287</v>
      </c>
      <c r="DO7" t="s">
        <v>256</v>
      </c>
      <c r="DP7" t="s">
        <v>287</v>
      </c>
      <c r="DQ7" t="s">
        <v>236</v>
      </c>
      <c r="DR7" t="s">
        <v>235</v>
      </c>
      <c r="DS7" t="s">
        <v>337</v>
      </c>
      <c r="DT7" t="s">
        <v>360</v>
      </c>
      <c r="DU7" t="s">
        <v>361</v>
      </c>
      <c r="DV7" t="s">
        <v>356</v>
      </c>
      <c r="DW7" t="s">
        <v>357</v>
      </c>
      <c r="DX7" t="s">
        <v>302</v>
      </c>
      <c r="DY7" t="s">
        <v>304</v>
      </c>
      <c r="DZ7" t="s">
        <v>305</v>
      </c>
      <c r="EA7" t="s">
        <v>306</v>
      </c>
      <c r="EB7" t="s">
        <v>307</v>
      </c>
      <c r="EC7" t="s">
        <v>340</v>
      </c>
      <c r="ED7" t="s">
        <v>341</v>
      </c>
      <c r="EY7" t="s">
        <v>270</v>
      </c>
      <c r="EZ7" t="s">
        <v>271</v>
      </c>
      <c r="FA7" t="s">
        <v>232</v>
      </c>
      <c r="FB7" t="s">
        <v>233</v>
      </c>
      <c r="FC7" t="s">
        <v>252</v>
      </c>
      <c r="FD7" t="s">
        <v>362</v>
      </c>
      <c r="FH7" t="s">
        <v>234</v>
      </c>
      <c r="FS7"/>
      <c r="FT7"/>
      <c r="FU7"/>
      <c r="FV7"/>
      <c r="FW7"/>
    </row>
    <row r="8" spans="1:182" ht="15" hidden="1" customHeight="1">
      <c r="B8" t="s">
        <v>68</v>
      </c>
      <c r="C8" s="3"/>
      <c r="D8" s="3">
        <v>2</v>
      </c>
      <c r="E8" s="3">
        <v>2</v>
      </c>
      <c r="F8" s="23">
        <v>2</v>
      </c>
      <c r="G8" s="23"/>
      <c r="H8" s="23"/>
      <c r="I8">
        <v>1</v>
      </c>
      <c r="J8" s="23">
        <v>1</v>
      </c>
      <c r="K8">
        <v>1</v>
      </c>
      <c r="L8">
        <v>1</v>
      </c>
      <c r="M8">
        <v>1</v>
      </c>
      <c r="N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 s="12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  <c r="AZ8">
        <v>1</v>
      </c>
      <c r="BA8">
        <v>1</v>
      </c>
      <c r="BB8">
        <v>1</v>
      </c>
      <c r="BC8">
        <v>1</v>
      </c>
      <c r="BD8">
        <v>1</v>
      </c>
      <c r="BE8">
        <v>1</v>
      </c>
      <c r="BF8">
        <v>1</v>
      </c>
      <c r="BG8">
        <v>1</v>
      </c>
      <c r="BH8">
        <v>1</v>
      </c>
      <c r="BI8">
        <v>1</v>
      </c>
      <c r="BJ8">
        <v>1</v>
      </c>
      <c r="BK8">
        <v>1</v>
      </c>
      <c r="BL8">
        <v>1</v>
      </c>
      <c r="BM8"/>
      <c r="BN8">
        <v>1</v>
      </c>
      <c r="BO8">
        <v>1</v>
      </c>
      <c r="BP8">
        <v>1</v>
      </c>
      <c r="BQ8">
        <v>1</v>
      </c>
      <c r="BR8">
        <v>1</v>
      </c>
      <c r="BS8">
        <v>1</v>
      </c>
      <c r="BT8">
        <v>1</v>
      </c>
      <c r="BU8">
        <v>1</v>
      </c>
      <c r="BV8">
        <v>1</v>
      </c>
      <c r="BW8">
        <v>1</v>
      </c>
      <c r="BX8">
        <v>1</v>
      </c>
      <c r="BY8">
        <v>1</v>
      </c>
      <c r="BZ8">
        <v>1</v>
      </c>
      <c r="CA8">
        <v>1</v>
      </c>
      <c r="CB8">
        <v>1</v>
      </c>
      <c r="CC8">
        <v>1</v>
      </c>
      <c r="CD8">
        <v>1</v>
      </c>
      <c r="CE8">
        <v>1</v>
      </c>
      <c r="CF8">
        <v>1</v>
      </c>
      <c r="CG8">
        <v>1</v>
      </c>
      <c r="CH8">
        <v>1</v>
      </c>
      <c r="CI8">
        <v>1</v>
      </c>
      <c r="CJ8">
        <v>1</v>
      </c>
      <c r="CK8">
        <v>1</v>
      </c>
      <c r="CL8">
        <v>1</v>
      </c>
      <c r="CM8">
        <v>1</v>
      </c>
      <c r="CN8">
        <v>1</v>
      </c>
      <c r="CO8">
        <v>1</v>
      </c>
      <c r="CP8">
        <v>1</v>
      </c>
      <c r="CQ8">
        <v>1</v>
      </c>
      <c r="CR8"/>
      <c r="CS8">
        <v>1</v>
      </c>
      <c r="CT8">
        <v>1</v>
      </c>
      <c r="CU8">
        <v>1</v>
      </c>
      <c r="CV8">
        <v>1</v>
      </c>
      <c r="CW8">
        <v>1</v>
      </c>
      <c r="CX8">
        <v>1</v>
      </c>
      <c r="CY8">
        <v>1</v>
      </c>
      <c r="CZ8">
        <v>1</v>
      </c>
      <c r="DA8">
        <v>1</v>
      </c>
      <c r="DB8">
        <v>1</v>
      </c>
      <c r="DC8">
        <v>1</v>
      </c>
      <c r="DD8">
        <v>1</v>
      </c>
      <c r="DE8">
        <v>1</v>
      </c>
      <c r="DF8">
        <v>1</v>
      </c>
      <c r="DG8">
        <v>1</v>
      </c>
      <c r="DH8">
        <v>1</v>
      </c>
      <c r="DI8">
        <v>1</v>
      </c>
      <c r="DJ8">
        <v>1</v>
      </c>
      <c r="DK8"/>
      <c r="DL8">
        <v>1</v>
      </c>
      <c r="FS8"/>
      <c r="FT8"/>
      <c r="FU8"/>
      <c r="FV8"/>
      <c r="FW8"/>
    </row>
    <row r="9" spans="1:182" ht="15" hidden="1" customHeight="1">
      <c r="C9" s="13"/>
      <c r="D9" s="13" t="s">
        <v>63</v>
      </c>
      <c r="E9" s="13"/>
      <c r="F9" s="26"/>
      <c r="G9" s="26"/>
      <c r="H9" s="26"/>
      <c r="I9"/>
      <c r="J9"/>
      <c r="Q9"/>
      <c r="R9"/>
      <c r="S9"/>
      <c r="T9"/>
      <c r="U9"/>
      <c r="V9"/>
      <c r="W9"/>
      <c r="X9" s="12"/>
      <c r="Y9"/>
      <c r="Z9"/>
      <c r="AA9"/>
      <c r="AB9"/>
      <c r="AD9"/>
      <c r="AF9"/>
      <c r="AH9"/>
      <c r="AJ9"/>
      <c r="AL9"/>
      <c r="AN9"/>
      <c r="AO9"/>
      <c r="AQ9"/>
      <c r="AS9"/>
      <c r="AU9"/>
      <c r="AW9"/>
      <c r="AY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Q9" t="s">
        <v>236</v>
      </c>
      <c r="DR9" t="s">
        <v>235</v>
      </c>
      <c r="DS9" t="s">
        <v>337</v>
      </c>
      <c r="FS9"/>
      <c r="FT9"/>
      <c r="FU9"/>
      <c r="FV9"/>
      <c r="FW9"/>
    </row>
    <row r="10" spans="1:182" ht="15" hidden="1" customHeight="1">
      <c r="B10" t="s">
        <v>67</v>
      </c>
      <c r="C10" s="13" t="s">
        <v>64</v>
      </c>
      <c r="D10" s="2" t="s">
        <v>63</v>
      </c>
      <c r="E10" s="2" t="s">
        <v>66</v>
      </c>
      <c r="F10" s="26" t="s">
        <v>296</v>
      </c>
      <c r="G10" s="26" t="s">
        <v>320</v>
      </c>
      <c r="H10" s="26" t="s">
        <v>321</v>
      </c>
      <c r="I10" s="8" t="s">
        <v>209</v>
      </c>
      <c r="J10" t="s">
        <v>334</v>
      </c>
      <c r="L10" t="s">
        <v>312</v>
      </c>
      <c r="N10" t="s">
        <v>86</v>
      </c>
      <c r="Q10"/>
      <c r="R10" t="s">
        <v>69</v>
      </c>
      <c r="S10" t="s">
        <v>70</v>
      </c>
      <c r="T10" t="s">
        <v>71</v>
      </c>
      <c r="U10" t="s">
        <v>301</v>
      </c>
      <c r="V10"/>
      <c r="W10"/>
      <c r="X10" s="12"/>
      <c r="Y10"/>
      <c r="Z10"/>
      <c r="AA10"/>
      <c r="AB10"/>
      <c r="AC10" t="s">
        <v>313</v>
      </c>
      <c r="AD10"/>
      <c r="AE10" t="s">
        <v>314</v>
      </c>
      <c r="AF10"/>
      <c r="AG10" t="s">
        <v>315</v>
      </c>
      <c r="AH10"/>
      <c r="AI10" t="s">
        <v>316</v>
      </c>
      <c r="AJ10"/>
      <c r="AK10" t="s">
        <v>317</v>
      </c>
      <c r="AL10"/>
      <c r="AM10" t="s">
        <v>318</v>
      </c>
      <c r="AN10"/>
      <c r="AO10"/>
      <c r="AP10" t="s">
        <v>87</v>
      </c>
      <c r="AQ10"/>
      <c r="AR10" t="s">
        <v>88</v>
      </c>
      <c r="AS10"/>
      <c r="AT10" t="s">
        <v>89</v>
      </c>
      <c r="AU10"/>
      <c r="AV10" t="s">
        <v>90</v>
      </c>
      <c r="AW10"/>
      <c r="AX10" t="s">
        <v>91</v>
      </c>
      <c r="AY10"/>
      <c r="AZ10" t="s">
        <v>92</v>
      </c>
      <c r="BA10"/>
      <c r="BB10"/>
      <c r="BC10" t="s">
        <v>109</v>
      </c>
      <c r="BD10" t="s">
        <v>110</v>
      </c>
      <c r="BE10" t="s">
        <v>112</v>
      </c>
      <c r="BF10" t="s">
        <v>113</v>
      </c>
      <c r="BG10" t="s">
        <v>114</v>
      </c>
      <c r="BH10" t="s">
        <v>78</v>
      </c>
      <c r="BI10" t="s">
        <v>77</v>
      </c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 t="s">
        <v>285</v>
      </c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 t="s">
        <v>248</v>
      </c>
      <c r="DC10"/>
      <c r="DD10"/>
      <c r="DE10"/>
      <c r="DF10"/>
      <c r="DG10"/>
      <c r="DH10"/>
      <c r="DI10" t="s">
        <v>247</v>
      </c>
      <c r="DJ10" t="s">
        <v>260</v>
      </c>
      <c r="DK10"/>
      <c r="DL10"/>
      <c r="DN10" t="s">
        <v>287</v>
      </c>
      <c r="DO10" t="s">
        <v>256</v>
      </c>
      <c r="DP10" t="s">
        <v>287</v>
      </c>
      <c r="DQ10" t="s">
        <v>236</v>
      </c>
      <c r="DR10" t="s">
        <v>235</v>
      </c>
      <c r="DS10" t="s">
        <v>337</v>
      </c>
      <c r="DX10" t="s">
        <v>302</v>
      </c>
      <c r="DY10" t="s">
        <v>304</v>
      </c>
      <c r="DZ10" t="s">
        <v>305</v>
      </c>
      <c r="EA10" t="s">
        <v>306</v>
      </c>
      <c r="EB10" t="s">
        <v>307</v>
      </c>
      <c r="EC10" t="s">
        <v>340</v>
      </c>
      <c r="ED10" t="s">
        <v>341</v>
      </c>
      <c r="EE10" t="s">
        <v>73</v>
      </c>
      <c r="EF10" t="s">
        <v>266</v>
      </c>
      <c r="EG10" t="s">
        <v>326</v>
      </c>
      <c r="EH10" t="s">
        <v>75</v>
      </c>
      <c r="EI10" t="s">
        <v>101</v>
      </c>
      <c r="EJ10" t="s">
        <v>240</v>
      </c>
      <c r="EK10" t="s">
        <v>72</v>
      </c>
      <c r="EL10" t="s">
        <v>79</v>
      </c>
      <c r="EM10" t="s">
        <v>80</v>
      </c>
      <c r="EN10" t="s">
        <v>83</v>
      </c>
      <c r="EO10" t="s">
        <v>117</v>
      </c>
      <c r="EP10" t="s">
        <v>115</v>
      </c>
      <c r="EQ10" t="s">
        <v>121</v>
      </c>
      <c r="ER10" t="s">
        <v>122</v>
      </c>
      <c r="ES10" t="s">
        <v>293</v>
      </c>
      <c r="ET10" t="s">
        <v>262</v>
      </c>
      <c r="EU10" t="s">
        <v>297</v>
      </c>
      <c r="EV10" t="s">
        <v>93</v>
      </c>
      <c r="EW10" t="s">
        <v>319</v>
      </c>
      <c r="EX10" t="s">
        <v>85</v>
      </c>
      <c r="EY10" t="s">
        <v>298</v>
      </c>
      <c r="EZ10" t="s">
        <v>199</v>
      </c>
      <c r="FA10" t="s">
        <v>201</v>
      </c>
      <c r="FB10" t="s">
        <v>202</v>
      </c>
      <c r="FC10" t="s">
        <v>205</v>
      </c>
      <c r="FD10" t="s">
        <v>299</v>
      </c>
      <c r="FE10" t="s">
        <v>210</v>
      </c>
      <c r="FF10" t="s">
        <v>249</v>
      </c>
      <c r="FG10" t="s">
        <v>324</v>
      </c>
      <c r="FH10" t="s">
        <v>229</v>
      </c>
      <c r="FI10" t="s">
        <v>212</v>
      </c>
      <c r="FJ10" t="s">
        <v>213</v>
      </c>
      <c r="FK10" t="s">
        <v>214</v>
      </c>
      <c r="FL10" t="s">
        <v>215</v>
      </c>
      <c r="FM10" t="s">
        <v>216</v>
      </c>
      <c r="FN10" t="s">
        <v>217</v>
      </c>
      <c r="FO10" t="s">
        <v>218</v>
      </c>
      <c r="FP10" t="s">
        <v>219</v>
      </c>
      <c r="FQ10" t="s">
        <v>241</v>
      </c>
      <c r="FR10" t="s">
        <v>275</v>
      </c>
      <c r="FS10" t="s">
        <v>278</v>
      </c>
      <c r="FT10" t="s">
        <v>276</v>
      </c>
      <c r="FU10" t="s">
        <v>290</v>
      </c>
      <c r="FV10" t="s">
        <v>291</v>
      </c>
      <c r="FW10" t="s">
        <v>281</v>
      </c>
      <c r="FX10" t="s">
        <v>272</v>
      </c>
      <c r="FY10" t="s">
        <v>331</v>
      </c>
      <c r="FZ10" t="s">
        <v>332</v>
      </c>
    </row>
    <row r="11" spans="1:182" ht="15" hidden="1" customHeight="1">
      <c r="C11" s="2"/>
      <c r="D11" s="2" t="s">
        <v>63</v>
      </c>
      <c r="E11" s="2"/>
      <c r="G11" s="23"/>
      <c r="H11" s="23"/>
      <c r="I11" t="s">
        <v>123</v>
      </c>
      <c r="J11"/>
      <c r="K11" t="s">
        <v>124</v>
      </c>
      <c r="L11" t="s">
        <v>125</v>
      </c>
      <c r="M11" t="s">
        <v>126</v>
      </c>
      <c r="N11" t="s">
        <v>127</v>
      </c>
      <c r="Q11" t="s">
        <v>128</v>
      </c>
      <c r="R11" t="s">
        <v>129</v>
      </c>
      <c r="S11" t="s">
        <v>130</v>
      </c>
      <c r="T11" t="s">
        <v>131</v>
      </c>
      <c r="U11" t="s">
        <v>132</v>
      </c>
      <c r="V11" t="s">
        <v>133</v>
      </c>
      <c r="W11" t="s">
        <v>134</v>
      </c>
      <c r="X11" t="s">
        <v>135</v>
      </c>
      <c r="Y11" t="s">
        <v>198</v>
      </c>
      <c r="Z11" t="s">
        <v>136</v>
      </c>
      <c r="AA11" t="s">
        <v>137</v>
      </c>
      <c r="AB11" t="s">
        <v>138</v>
      </c>
      <c r="AC11" t="s">
        <v>139</v>
      </c>
      <c r="AD11" t="s">
        <v>140</v>
      </c>
      <c r="AE11" t="s">
        <v>141</v>
      </c>
      <c r="AF11" t="s">
        <v>142</v>
      </c>
      <c r="AG11" t="s">
        <v>143</v>
      </c>
      <c r="AH11" t="s">
        <v>144</v>
      </c>
      <c r="AI11" t="s">
        <v>145</v>
      </c>
      <c r="AJ11" t="s">
        <v>146</v>
      </c>
      <c r="AK11" t="s">
        <v>147</v>
      </c>
      <c r="AL11" t="s">
        <v>148</v>
      </c>
      <c r="AM11" t="s">
        <v>149</v>
      </c>
      <c r="AN11" t="s">
        <v>150</v>
      </c>
      <c r="AO11" t="s">
        <v>151</v>
      </c>
      <c r="AP11" t="s">
        <v>152</v>
      </c>
      <c r="AQ11" t="s">
        <v>153</v>
      </c>
      <c r="AR11" t="s">
        <v>154</v>
      </c>
      <c r="AS11" t="s">
        <v>155</v>
      </c>
      <c r="AT11" t="s">
        <v>156</v>
      </c>
      <c r="AU11" t="s">
        <v>157</v>
      </c>
      <c r="AV11" t="s">
        <v>158</v>
      </c>
      <c r="AW11" t="s">
        <v>159</v>
      </c>
      <c r="AX11" t="s">
        <v>160</v>
      </c>
      <c r="AY11" t="s">
        <v>161</v>
      </c>
      <c r="AZ11" t="s">
        <v>162</v>
      </c>
      <c r="BA11" t="s">
        <v>163</v>
      </c>
      <c r="BB11" t="s">
        <v>164</v>
      </c>
      <c r="BC11" t="s">
        <v>165</v>
      </c>
      <c r="BD11" t="s">
        <v>166</v>
      </c>
      <c r="BE11" t="s">
        <v>167</v>
      </c>
      <c r="BF11" t="s">
        <v>168</v>
      </c>
      <c r="BG11" t="s">
        <v>169</v>
      </c>
      <c r="BH11" t="s">
        <v>170</v>
      </c>
      <c r="BI11" t="s">
        <v>171</v>
      </c>
      <c r="BJ11" t="s">
        <v>200</v>
      </c>
      <c r="BK11" t="s">
        <v>230</v>
      </c>
      <c r="BL11" t="s">
        <v>172</v>
      </c>
      <c r="BM11" t="s">
        <v>268</v>
      </c>
      <c r="BN11" t="s">
        <v>208</v>
      </c>
      <c r="BO11" t="s">
        <v>353</v>
      </c>
      <c r="BP11" t="s">
        <v>344</v>
      </c>
      <c r="BQ11" t="s">
        <v>345</v>
      </c>
      <c r="BR11" t="s">
        <v>346</v>
      </c>
      <c r="BS11" t="s">
        <v>173</v>
      </c>
      <c r="BT11" t="s">
        <v>349</v>
      </c>
      <c r="BU11" t="s">
        <v>350</v>
      </c>
      <c r="BV11" t="s">
        <v>351</v>
      </c>
      <c r="BW11" t="s">
        <v>174</v>
      </c>
      <c r="BX11" t="s">
        <v>175</v>
      </c>
      <c r="BY11" t="s">
        <v>176</v>
      </c>
      <c r="BZ11" t="s">
        <v>177</v>
      </c>
      <c r="CA11" t="s">
        <v>178</v>
      </c>
      <c r="CB11" t="s">
        <v>179</v>
      </c>
      <c r="CC11" t="s">
        <v>180</v>
      </c>
      <c r="CD11" t="s">
        <v>181</v>
      </c>
      <c r="CE11"/>
      <c r="CF11" t="s">
        <v>182</v>
      </c>
      <c r="CG11" t="s">
        <v>183</v>
      </c>
      <c r="CH11" t="s">
        <v>184</v>
      </c>
      <c r="CI11"/>
      <c r="CJ11"/>
      <c r="CK11"/>
      <c r="CL11"/>
      <c r="CM11" t="s">
        <v>284</v>
      </c>
      <c r="CN11" t="s">
        <v>185</v>
      </c>
      <c r="CO11" t="s">
        <v>186</v>
      </c>
      <c r="CP11" t="s">
        <v>187</v>
      </c>
      <c r="CQ11"/>
      <c r="CR11"/>
      <c r="CS11"/>
      <c r="CT11" t="s">
        <v>188</v>
      </c>
      <c r="CU11" t="s">
        <v>189</v>
      </c>
      <c r="CV11" t="s">
        <v>190</v>
      </c>
      <c r="CW11" t="s">
        <v>191</v>
      </c>
      <c r="CX11" t="s">
        <v>192</v>
      </c>
      <c r="CY11" t="s">
        <v>352</v>
      </c>
      <c r="CZ11" t="s">
        <v>348</v>
      </c>
      <c r="DA11" t="s">
        <v>347</v>
      </c>
      <c r="DB11" t="s">
        <v>193</v>
      </c>
      <c r="DC11" t="s">
        <v>194</v>
      </c>
      <c r="DD11" t="s">
        <v>195</v>
      </c>
      <c r="DE11" t="s">
        <v>196</v>
      </c>
      <c r="DF11" t="s">
        <v>246</v>
      </c>
      <c r="DG11" t="s">
        <v>231</v>
      </c>
      <c r="DH11" t="s">
        <v>264</v>
      </c>
      <c r="DI11" t="s">
        <v>197</v>
      </c>
      <c r="DJ11" t="s">
        <v>261</v>
      </c>
      <c r="DK11"/>
      <c r="DL11" t="s">
        <v>339</v>
      </c>
      <c r="DQ11" t="s">
        <v>236</v>
      </c>
      <c r="DR11" t="s">
        <v>235</v>
      </c>
      <c r="DS11" t="s">
        <v>337</v>
      </c>
      <c r="DT11" t="s">
        <v>360</v>
      </c>
      <c r="DU11" t="s">
        <v>361</v>
      </c>
      <c r="DV11" t="s">
        <v>356</v>
      </c>
      <c r="DW11" t="s">
        <v>357</v>
      </c>
      <c r="EC11" t="s">
        <v>340</v>
      </c>
      <c r="ED11" t="s">
        <v>341</v>
      </c>
      <c r="EY11" t="s">
        <v>270</v>
      </c>
      <c r="EZ11" t="s">
        <v>271</v>
      </c>
      <c r="FA11" t="s">
        <v>232</v>
      </c>
      <c r="FB11" t="s">
        <v>233</v>
      </c>
      <c r="FC11" t="s">
        <v>252</v>
      </c>
      <c r="FD11" t="s">
        <v>362</v>
      </c>
      <c r="FH11" t="s">
        <v>234</v>
      </c>
      <c r="FS11"/>
      <c r="FT11"/>
      <c r="FU11"/>
      <c r="FV11"/>
      <c r="FW11"/>
    </row>
    <row r="12" spans="1:182" ht="29.25" customHeight="1">
      <c r="B12" s="67" t="s">
        <v>97</v>
      </c>
      <c r="C12" s="65" t="s">
        <v>0</v>
      </c>
      <c r="D12" s="65" t="s">
        <v>65</v>
      </c>
      <c r="E12" s="65" t="s">
        <v>1</v>
      </c>
      <c r="F12" s="65" t="s">
        <v>2</v>
      </c>
      <c r="G12" s="65" t="s">
        <v>322</v>
      </c>
      <c r="H12" s="65" t="s">
        <v>323</v>
      </c>
      <c r="I12" s="47" t="s">
        <v>3</v>
      </c>
      <c r="J12" s="48"/>
      <c r="K12" s="48"/>
      <c r="L12" s="48"/>
      <c r="M12" s="48"/>
      <c r="N12" s="48"/>
      <c r="O12" s="48"/>
      <c r="P12" s="48"/>
      <c r="Q12" s="49"/>
      <c r="R12" s="47" t="s">
        <v>4</v>
      </c>
      <c r="S12" s="48"/>
      <c r="T12" s="48"/>
      <c r="U12" s="48"/>
      <c r="V12" s="48"/>
      <c r="W12" s="48"/>
      <c r="X12" s="48"/>
      <c r="Y12" s="48"/>
      <c r="Z12" s="49"/>
      <c r="AA12" s="65" t="s">
        <v>26</v>
      </c>
      <c r="AB12" s="45" t="s">
        <v>104</v>
      </c>
      <c r="AC12" s="47" t="s">
        <v>5</v>
      </c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9"/>
      <c r="AP12" s="72" t="s">
        <v>98</v>
      </c>
      <c r="AQ12" s="73"/>
      <c r="AR12" s="73"/>
      <c r="AS12" s="73"/>
      <c r="AT12" s="73"/>
      <c r="AU12" s="73"/>
      <c r="AV12" s="73"/>
      <c r="AW12" s="73"/>
      <c r="AX12" s="73"/>
      <c r="AY12" s="73"/>
      <c r="AZ12" s="73"/>
      <c r="BA12" s="73"/>
      <c r="BB12" s="74"/>
      <c r="BC12" s="61" t="s">
        <v>107</v>
      </c>
      <c r="BD12" s="61" t="s">
        <v>106</v>
      </c>
      <c r="BE12" s="61" t="s">
        <v>111</v>
      </c>
      <c r="BF12" s="61" t="s">
        <v>108</v>
      </c>
      <c r="BG12" s="68" t="s">
        <v>257</v>
      </c>
      <c r="BH12" s="68" t="s">
        <v>253</v>
      </c>
      <c r="BI12" s="68" t="s">
        <v>6</v>
      </c>
      <c r="BJ12" s="68" t="s">
        <v>7</v>
      </c>
      <c r="BK12" s="68" t="s">
        <v>254</v>
      </c>
      <c r="BL12" s="61" t="s">
        <v>207</v>
      </c>
      <c r="BM12" s="61" t="s">
        <v>269</v>
      </c>
      <c r="BN12" s="61" t="s">
        <v>255</v>
      </c>
      <c r="BO12" s="38" t="s">
        <v>8</v>
      </c>
      <c r="BP12" s="68" t="s">
        <v>9</v>
      </c>
      <c r="BQ12" s="68"/>
      <c r="BR12" s="68"/>
      <c r="BS12" s="68"/>
      <c r="BT12" s="68"/>
      <c r="BU12" s="68"/>
      <c r="BV12" s="68"/>
      <c r="BW12" s="68"/>
      <c r="BX12" s="47" t="s">
        <v>10</v>
      </c>
      <c r="BY12" s="48"/>
      <c r="BZ12" s="48"/>
      <c r="CA12" s="48"/>
      <c r="CB12" s="48"/>
      <c r="CC12" s="48"/>
      <c r="CD12" s="48"/>
      <c r="CE12" s="48"/>
      <c r="CF12" s="48"/>
      <c r="CG12" s="48"/>
      <c r="CH12" s="48"/>
      <c r="CI12" s="48"/>
      <c r="CJ12" s="48"/>
      <c r="CK12" s="48"/>
      <c r="CL12" s="48"/>
      <c r="CM12" s="48"/>
      <c r="CN12" s="48"/>
      <c r="CO12" s="48"/>
      <c r="CP12" s="48"/>
      <c r="CQ12" s="48"/>
      <c r="CR12" s="48"/>
      <c r="CS12" s="48"/>
      <c r="CT12" s="49"/>
      <c r="CU12" s="47" t="s">
        <v>11</v>
      </c>
      <c r="CV12" s="48"/>
      <c r="CW12" s="48"/>
      <c r="CX12" s="48"/>
      <c r="CY12" s="49"/>
      <c r="CZ12" s="91" t="s">
        <v>12</v>
      </c>
      <c r="DA12" s="92"/>
      <c r="DB12" s="54" t="s">
        <v>13</v>
      </c>
      <c r="DC12" s="55"/>
      <c r="DD12" s="55"/>
      <c r="DE12" s="55"/>
      <c r="DF12" s="55"/>
      <c r="DG12" s="55"/>
      <c r="DH12" s="55"/>
      <c r="DI12" s="56"/>
      <c r="DJ12" s="29"/>
      <c r="DK12" s="59" t="s">
        <v>333</v>
      </c>
      <c r="DL12" s="42" t="s">
        <v>14</v>
      </c>
      <c r="DN12" s="50" t="s">
        <v>338</v>
      </c>
      <c r="DO12" s="50" t="s">
        <v>244</v>
      </c>
      <c r="DP12" s="39" t="s">
        <v>286</v>
      </c>
      <c r="DQ12" s="50" t="s">
        <v>239</v>
      </c>
      <c r="DR12" s="50" t="s">
        <v>237</v>
      </c>
      <c r="DS12" s="50" t="s">
        <v>238</v>
      </c>
      <c r="DT12" s="39" t="s">
        <v>358</v>
      </c>
      <c r="DU12" s="39" t="s">
        <v>359</v>
      </c>
      <c r="DV12" s="39" t="s">
        <v>354</v>
      </c>
      <c r="DW12" s="39" t="s">
        <v>355</v>
      </c>
      <c r="DX12" s="39" t="s">
        <v>303</v>
      </c>
      <c r="DY12" s="39" t="s">
        <v>308</v>
      </c>
      <c r="DZ12" s="39" t="s">
        <v>309</v>
      </c>
      <c r="EA12" s="39" t="s">
        <v>310</v>
      </c>
      <c r="EB12" s="39" t="s">
        <v>311</v>
      </c>
      <c r="EC12" s="39" t="s">
        <v>342</v>
      </c>
      <c r="ED12" s="39" t="s">
        <v>343</v>
      </c>
      <c r="EE12" s="50" t="s">
        <v>103</v>
      </c>
      <c r="EF12" s="39" t="s">
        <v>267</v>
      </c>
      <c r="EG12" s="39" t="s">
        <v>74</v>
      </c>
      <c r="EH12" s="50" t="s">
        <v>102</v>
      </c>
      <c r="EI12" s="39" t="s">
        <v>76</v>
      </c>
      <c r="EJ12" s="39" t="s">
        <v>251</v>
      </c>
      <c r="EK12" s="39" t="s">
        <v>100</v>
      </c>
      <c r="EL12" s="50" t="s">
        <v>81</v>
      </c>
      <c r="EM12" s="50" t="s">
        <v>82</v>
      </c>
      <c r="EN12" s="50" t="s">
        <v>84</v>
      </c>
      <c r="EO12" s="39" t="s">
        <v>118</v>
      </c>
      <c r="EP12" s="39" t="s">
        <v>280</v>
      </c>
      <c r="EQ12" s="39" t="s">
        <v>119</v>
      </c>
      <c r="ER12" s="39" t="s">
        <v>120</v>
      </c>
      <c r="ES12" s="39" t="s">
        <v>292</v>
      </c>
      <c r="ET12" s="39" t="s">
        <v>263</v>
      </c>
      <c r="EU12" s="64" t="s">
        <v>96</v>
      </c>
      <c r="EV12" s="64"/>
      <c r="EW12" s="50" t="s">
        <v>105</v>
      </c>
      <c r="EX12" s="50"/>
      <c r="EY12" s="64" t="s">
        <v>116</v>
      </c>
      <c r="EZ12" s="64"/>
      <c r="FA12" s="50" t="s">
        <v>203</v>
      </c>
      <c r="FB12" s="50" t="s">
        <v>204</v>
      </c>
      <c r="FC12" s="50" t="s">
        <v>206</v>
      </c>
      <c r="FD12" s="39" t="s">
        <v>300</v>
      </c>
      <c r="FE12" s="50" t="s">
        <v>211</v>
      </c>
      <c r="FF12" s="39" t="s">
        <v>250</v>
      </c>
      <c r="FG12" s="39" t="s">
        <v>325</v>
      </c>
      <c r="FH12" s="50" t="s">
        <v>227</v>
      </c>
      <c r="FI12" s="50" t="s">
        <v>220</v>
      </c>
      <c r="FJ12" s="50" t="s">
        <v>221</v>
      </c>
      <c r="FK12" s="50" t="s">
        <v>222</v>
      </c>
      <c r="FL12" s="50" t="s">
        <v>223</v>
      </c>
      <c r="FM12" s="50" t="s">
        <v>224</v>
      </c>
      <c r="FN12" s="50" t="s">
        <v>225</v>
      </c>
      <c r="FO12" s="50" t="s">
        <v>226</v>
      </c>
      <c r="FP12" s="50" t="s">
        <v>228</v>
      </c>
      <c r="FQ12" s="50" t="s">
        <v>242</v>
      </c>
      <c r="FR12" s="39" t="s">
        <v>274</v>
      </c>
      <c r="FS12" s="39" t="s">
        <v>279</v>
      </c>
      <c r="FT12" s="39" t="s">
        <v>277</v>
      </c>
      <c r="FU12" s="39" t="s">
        <v>288</v>
      </c>
      <c r="FV12" s="39" t="s">
        <v>289</v>
      </c>
      <c r="FW12" s="39" t="s">
        <v>282</v>
      </c>
      <c r="FX12" s="50" t="s">
        <v>273</v>
      </c>
      <c r="FY12" s="39" t="s">
        <v>329</v>
      </c>
      <c r="FZ12" s="39" t="s">
        <v>330</v>
      </c>
    </row>
    <row r="13" spans="1:182" ht="36.75" customHeight="1">
      <c r="B13" s="67"/>
      <c r="C13" s="75"/>
      <c r="D13" s="75"/>
      <c r="E13" s="75"/>
      <c r="F13" s="75"/>
      <c r="G13" s="75"/>
      <c r="H13" s="75"/>
      <c r="I13" s="45" t="s">
        <v>15</v>
      </c>
      <c r="J13" s="45" t="s">
        <v>328</v>
      </c>
      <c r="K13" s="76" t="s">
        <v>16</v>
      </c>
      <c r="L13" s="77"/>
      <c r="M13" s="86" t="s">
        <v>99</v>
      </c>
      <c r="N13" s="87"/>
      <c r="O13" s="57" t="s">
        <v>335</v>
      </c>
      <c r="P13" s="57" t="s">
        <v>336</v>
      </c>
      <c r="Q13" s="43" t="s">
        <v>17</v>
      </c>
      <c r="R13" s="45" t="s">
        <v>18</v>
      </c>
      <c r="S13" s="45" t="s">
        <v>19</v>
      </c>
      <c r="T13" s="45" t="s">
        <v>20</v>
      </c>
      <c r="U13" s="45" t="s">
        <v>21</v>
      </c>
      <c r="V13" s="35" t="s">
        <v>22</v>
      </c>
      <c r="W13" s="89" t="s">
        <v>23</v>
      </c>
      <c r="X13" s="45" t="s">
        <v>24</v>
      </c>
      <c r="Y13" s="45" t="s">
        <v>243</v>
      </c>
      <c r="Z13" s="65" t="s">
        <v>25</v>
      </c>
      <c r="AA13" s="75"/>
      <c r="AB13" s="88"/>
      <c r="AC13" s="47" t="s">
        <v>27</v>
      </c>
      <c r="AD13" s="48"/>
      <c r="AE13" s="48"/>
      <c r="AF13" s="49"/>
      <c r="AG13" s="47" t="s">
        <v>28</v>
      </c>
      <c r="AH13" s="48"/>
      <c r="AI13" s="48"/>
      <c r="AJ13" s="49"/>
      <c r="AK13" s="47" t="s">
        <v>29</v>
      </c>
      <c r="AL13" s="48"/>
      <c r="AM13" s="48"/>
      <c r="AN13" s="49"/>
      <c r="AO13" s="65" t="s">
        <v>30</v>
      </c>
      <c r="AP13" s="78" t="s">
        <v>27</v>
      </c>
      <c r="AQ13" s="79"/>
      <c r="AR13" s="79"/>
      <c r="AS13" s="80"/>
      <c r="AT13" s="78" t="s">
        <v>28</v>
      </c>
      <c r="AU13" s="79"/>
      <c r="AV13" s="79"/>
      <c r="AW13" s="80"/>
      <c r="AX13" s="78" t="s">
        <v>29</v>
      </c>
      <c r="AY13" s="79"/>
      <c r="AZ13" s="79"/>
      <c r="BA13" s="80"/>
      <c r="BB13" s="81" t="s">
        <v>30</v>
      </c>
      <c r="BC13" s="62"/>
      <c r="BD13" s="62"/>
      <c r="BE13" s="62"/>
      <c r="BF13" s="62"/>
      <c r="BG13" s="68"/>
      <c r="BH13" s="68"/>
      <c r="BI13" s="68"/>
      <c r="BJ13" s="68"/>
      <c r="BK13" s="68"/>
      <c r="BL13" s="62"/>
      <c r="BM13" s="62"/>
      <c r="BN13" s="62"/>
      <c r="BO13" s="38"/>
      <c r="BP13" s="69" t="str">
        <f>"Công ty trả BHXH " &amp; EM16*100 &amp; "%
사회 보험 회사 부담 금액"&amp;EM16*100 &amp;"%"</f>
        <v>Công ty trả BHXH 0%
사회 보험 회사 부담 금액0%</v>
      </c>
      <c r="BQ13" s="69" t="s">
        <v>31</v>
      </c>
      <c r="BR13" s="82" t="str">
        <f>"Công ty trả BHTN " &amp; EL16*100&amp;"%
 실업보험 회사부담 금액 "&amp; EL16*100 &amp;"%"</f>
        <v>Công ty trả BHTN 0%
 실업보험 회사부담 금액 0%</v>
      </c>
      <c r="BS13" s="69" t="str">
        <f>"Tổng cộng công ty phải trả " &amp;(EM16+EL16+0.03)*100&amp;"%
회사부담총
금액 ( " &amp; (EM16+EL16+0.03)*100&amp; "%)"</f>
        <v>Tổng cộng công ty phải trả 3%
회사부담총
금액 ( 3%)</v>
      </c>
      <c r="BT13" s="65" t="s">
        <v>32</v>
      </c>
      <c r="BU13" s="65" t="s">
        <v>33</v>
      </c>
      <c r="BV13" s="59" t="s">
        <v>34</v>
      </c>
      <c r="BW13" s="65" t="s">
        <v>35</v>
      </c>
      <c r="BX13" s="51" t="s">
        <v>36</v>
      </c>
      <c r="BY13" s="51" t="s">
        <v>37</v>
      </c>
      <c r="BZ13" s="51" t="s">
        <v>38</v>
      </c>
      <c r="CA13" s="51" t="s">
        <v>39</v>
      </c>
      <c r="CB13" s="51" t="s">
        <v>40</v>
      </c>
      <c r="CC13" s="51" t="s">
        <v>41</v>
      </c>
      <c r="CD13" s="51" t="s">
        <v>42</v>
      </c>
      <c r="CE13" s="43" t="s">
        <v>327</v>
      </c>
      <c r="CF13" s="51" t="s">
        <v>43</v>
      </c>
      <c r="CG13" s="51" t="s">
        <v>107</v>
      </c>
      <c r="CH13" s="51" t="s">
        <v>106</v>
      </c>
      <c r="CI13" s="43" t="s">
        <v>111</v>
      </c>
      <c r="CJ13" s="43" t="s">
        <v>108</v>
      </c>
      <c r="CK13" s="43" t="s">
        <v>257</v>
      </c>
      <c r="CL13" s="43" t="s">
        <v>253</v>
      </c>
      <c r="CM13" s="43" t="s">
        <v>283</v>
      </c>
      <c r="CN13" s="51" t="s">
        <v>6</v>
      </c>
      <c r="CO13" s="51" t="s">
        <v>44</v>
      </c>
      <c r="CP13" s="84" t="s">
        <v>45</v>
      </c>
      <c r="CQ13" s="84" t="s">
        <v>207</v>
      </c>
      <c r="CR13" s="84" t="s">
        <v>255</v>
      </c>
      <c r="CS13" s="84" t="s">
        <v>255</v>
      </c>
      <c r="CT13" s="38" t="s">
        <v>46</v>
      </c>
      <c r="CU13" s="42" t="s">
        <v>47</v>
      </c>
      <c r="CV13" s="42" t="s">
        <v>48</v>
      </c>
      <c r="CW13" s="38" t="s">
        <v>49</v>
      </c>
      <c r="CX13" s="42" t="s">
        <v>50</v>
      </c>
      <c r="CY13" s="42" t="s">
        <v>51</v>
      </c>
      <c r="CZ13" s="42" t="str">
        <f>"NLĐ
("&amp; FY16*100 &amp;"%)
근로자 부담 금액"</f>
        <v>NLĐ
(0%)
근로자 부담 금액</v>
      </c>
      <c r="DA13" s="42" t="str">
        <f>"Doanh Nghiệp 
("&amp; FZ16 * 100 &amp;"%)
회사 부담
금액"</f>
        <v>Doanh Nghiệp 
(0%)
회사 부담
금액</v>
      </c>
      <c r="DB13" s="38" t="s">
        <v>258</v>
      </c>
      <c r="DC13" s="52" t="s">
        <v>107</v>
      </c>
      <c r="DD13" s="52" t="s">
        <v>106</v>
      </c>
      <c r="DE13" s="52" t="s">
        <v>111</v>
      </c>
      <c r="DF13" s="52" t="s">
        <v>108</v>
      </c>
      <c r="DG13" s="52" t="s">
        <v>245</v>
      </c>
      <c r="DH13" s="52" t="s">
        <v>265</v>
      </c>
      <c r="DI13" s="95" t="s">
        <v>52</v>
      </c>
      <c r="DJ13" s="42" t="s">
        <v>259</v>
      </c>
      <c r="DK13" s="71"/>
      <c r="DL13" s="42"/>
      <c r="DN13" s="50"/>
      <c r="DO13" s="50"/>
      <c r="DP13" s="40"/>
      <c r="DQ13" s="50"/>
      <c r="DR13" s="50"/>
      <c r="DS13" s="50"/>
      <c r="DT13" s="40"/>
      <c r="DU13" s="40"/>
      <c r="DV13" s="40"/>
      <c r="DW13" s="40"/>
      <c r="DX13" s="40"/>
      <c r="DY13" s="40"/>
      <c r="DZ13" s="40"/>
      <c r="EA13" s="40"/>
      <c r="EB13" s="40"/>
      <c r="EC13" s="40"/>
      <c r="ED13" s="40"/>
      <c r="EE13" s="50"/>
      <c r="EF13" s="40"/>
      <c r="EG13" s="40"/>
      <c r="EH13" s="50"/>
      <c r="EI13" s="40"/>
      <c r="EJ13" s="40"/>
      <c r="EK13" s="40"/>
      <c r="EL13" s="50"/>
      <c r="EM13" s="50"/>
      <c r="EN13" s="50"/>
      <c r="EO13" s="40"/>
      <c r="EP13" s="40"/>
      <c r="EQ13" s="40"/>
      <c r="ER13" s="40"/>
      <c r="ES13" s="40"/>
      <c r="ET13" s="40"/>
      <c r="EU13" s="64"/>
      <c r="EV13" s="64"/>
      <c r="EW13" s="50"/>
      <c r="EX13" s="50"/>
      <c r="EY13" s="64"/>
      <c r="EZ13" s="64"/>
      <c r="FA13" s="50"/>
      <c r="FB13" s="50"/>
      <c r="FC13" s="50"/>
      <c r="FD13" s="40"/>
      <c r="FE13" s="50"/>
      <c r="FF13" s="40"/>
      <c r="FG13" s="40"/>
      <c r="FH13" s="50"/>
      <c r="FI13" s="50"/>
      <c r="FJ13" s="50"/>
      <c r="FK13" s="50"/>
      <c r="FL13" s="50"/>
      <c r="FM13" s="50"/>
      <c r="FN13" s="50"/>
      <c r="FO13" s="50"/>
      <c r="FP13" s="50"/>
      <c r="FQ13" s="50"/>
      <c r="FR13" s="40"/>
      <c r="FS13" s="40"/>
      <c r="FT13" s="40"/>
      <c r="FU13" s="40"/>
      <c r="FV13" s="40"/>
      <c r="FW13" s="40"/>
      <c r="FX13" s="50"/>
      <c r="FY13" s="40"/>
      <c r="FZ13" s="40"/>
    </row>
    <row r="14" spans="1:182" ht="90">
      <c r="B14" s="67"/>
      <c r="C14" s="66"/>
      <c r="D14" s="66"/>
      <c r="E14" s="66"/>
      <c r="F14" s="66"/>
      <c r="G14" s="66"/>
      <c r="H14" s="66"/>
      <c r="I14" s="46"/>
      <c r="J14" s="46"/>
      <c r="K14" s="14" t="s">
        <v>53</v>
      </c>
      <c r="L14" s="15" t="s">
        <v>54</v>
      </c>
      <c r="M14" s="16" t="s">
        <v>53</v>
      </c>
      <c r="N14" s="17" t="s">
        <v>54</v>
      </c>
      <c r="O14" s="58"/>
      <c r="P14" s="58"/>
      <c r="Q14" s="44"/>
      <c r="R14" s="46"/>
      <c r="S14" s="46"/>
      <c r="T14" s="46"/>
      <c r="U14" s="46"/>
      <c r="V14" s="18"/>
      <c r="W14" s="90"/>
      <c r="X14" s="46"/>
      <c r="Y14" s="46"/>
      <c r="Z14" s="66"/>
      <c r="AA14" s="66"/>
      <c r="AB14" s="46"/>
      <c r="AC14" s="33" t="s">
        <v>55</v>
      </c>
      <c r="AD14" s="33" t="s">
        <v>56</v>
      </c>
      <c r="AE14" s="33" t="s">
        <v>55</v>
      </c>
      <c r="AF14" s="33" t="s">
        <v>57</v>
      </c>
      <c r="AG14" s="33" t="s">
        <v>58</v>
      </c>
      <c r="AH14" s="33" t="s">
        <v>59</v>
      </c>
      <c r="AI14" s="33" t="s">
        <v>55</v>
      </c>
      <c r="AJ14" s="33" t="s">
        <v>60</v>
      </c>
      <c r="AK14" s="34" t="s">
        <v>55</v>
      </c>
      <c r="AL14" s="33" t="s">
        <v>61</v>
      </c>
      <c r="AM14" s="34" t="s">
        <v>55</v>
      </c>
      <c r="AN14" s="22" t="s">
        <v>294</v>
      </c>
      <c r="AO14" s="66"/>
      <c r="AP14" s="18" t="s">
        <v>55</v>
      </c>
      <c r="AQ14" s="18" t="s">
        <v>56</v>
      </c>
      <c r="AR14" s="18" t="s">
        <v>55</v>
      </c>
      <c r="AS14" s="18" t="s">
        <v>57</v>
      </c>
      <c r="AT14" s="18" t="s">
        <v>58</v>
      </c>
      <c r="AU14" s="18" t="s">
        <v>59</v>
      </c>
      <c r="AV14" s="18" t="s">
        <v>55</v>
      </c>
      <c r="AW14" s="18" t="s">
        <v>60</v>
      </c>
      <c r="AX14" s="19" t="s">
        <v>55</v>
      </c>
      <c r="AY14" s="18" t="s">
        <v>61</v>
      </c>
      <c r="AZ14" s="19" t="s">
        <v>55</v>
      </c>
      <c r="BA14" s="20" t="s">
        <v>295</v>
      </c>
      <c r="BB14" s="81"/>
      <c r="BC14" s="63"/>
      <c r="BD14" s="63"/>
      <c r="BE14" s="63"/>
      <c r="BF14" s="63"/>
      <c r="BG14" s="68"/>
      <c r="BH14" s="68"/>
      <c r="BI14" s="68"/>
      <c r="BJ14" s="68"/>
      <c r="BK14" s="68"/>
      <c r="BL14" s="63"/>
      <c r="BM14" s="63"/>
      <c r="BN14" s="63"/>
      <c r="BO14" s="38"/>
      <c r="BP14" s="70"/>
      <c r="BQ14" s="70"/>
      <c r="BR14" s="83"/>
      <c r="BS14" s="70"/>
      <c r="BT14" s="66"/>
      <c r="BU14" s="66"/>
      <c r="BV14" s="60"/>
      <c r="BW14" s="66"/>
      <c r="BX14" s="51"/>
      <c r="BY14" s="51"/>
      <c r="BZ14" s="51"/>
      <c r="CA14" s="51"/>
      <c r="CB14" s="51"/>
      <c r="CC14" s="51"/>
      <c r="CD14" s="51"/>
      <c r="CE14" s="44"/>
      <c r="CF14" s="51"/>
      <c r="CG14" s="51"/>
      <c r="CH14" s="51"/>
      <c r="CI14" s="44"/>
      <c r="CJ14" s="44"/>
      <c r="CK14" s="44"/>
      <c r="CL14" s="44"/>
      <c r="CM14" s="44"/>
      <c r="CN14" s="51"/>
      <c r="CO14" s="51"/>
      <c r="CP14" s="85" t="s">
        <v>62</v>
      </c>
      <c r="CQ14" s="85"/>
      <c r="CR14" s="85"/>
      <c r="CS14" s="85"/>
      <c r="CT14" s="38"/>
      <c r="CU14" s="42"/>
      <c r="CV14" s="42"/>
      <c r="CW14" s="38"/>
      <c r="CX14" s="42"/>
      <c r="CY14" s="42"/>
      <c r="CZ14" s="42"/>
      <c r="DA14" s="42"/>
      <c r="DB14" s="38"/>
      <c r="DC14" s="53"/>
      <c r="DD14" s="53"/>
      <c r="DE14" s="53"/>
      <c r="DF14" s="53"/>
      <c r="DG14" s="53"/>
      <c r="DH14" s="53"/>
      <c r="DI14" s="95"/>
      <c r="DJ14" s="42"/>
      <c r="DK14" s="60"/>
      <c r="DL14" s="42"/>
      <c r="DN14" s="50"/>
      <c r="DO14" s="50"/>
      <c r="DP14" s="41"/>
      <c r="DQ14" s="50"/>
      <c r="DR14" s="50"/>
      <c r="DS14" s="50"/>
      <c r="DT14" s="41"/>
      <c r="DU14" s="41"/>
      <c r="DV14" s="41"/>
      <c r="DW14" s="41"/>
      <c r="DX14" s="41"/>
      <c r="DY14" s="41"/>
      <c r="DZ14" s="41"/>
      <c r="EA14" s="41"/>
      <c r="EB14" s="41"/>
      <c r="EC14" s="41"/>
      <c r="ED14" s="41"/>
      <c r="EE14" s="50"/>
      <c r="EF14" s="41"/>
      <c r="EG14" s="41"/>
      <c r="EH14" s="50"/>
      <c r="EI14" s="41"/>
      <c r="EJ14" s="41"/>
      <c r="EK14" s="41"/>
      <c r="EL14" s="50"/>
      <c r="EM14" s="50"/>
      <c r="EN14" s="50"/>
      <c r="EO14" s="41"/>
      <c r="EP14" s="41"/>
      <c r="EQ14" s="41"/>
      <c r="ER14" s="41"/>
      <c r="ES14" s="41"/>
      <c r="ET14" s="41"/>
      <c r="EU14" s="5" t="s">
        <v>94</v>
      </c>
      <c r="EV14" s="4" t="s">
        <v>95</v>
      </c>
      <c r="EW14" s="5" t="s">
        <v>94</v>
      </c>
      <c r="EX14" s="4" t="s">
        <v>95</v>
      </c>
      <c r="EY14" s="5" t="s">
        <v>94</v>
      </c>
      <c r="EZ14" s="4" t="s">
        <v>95</v>
      </c>
      <c r="FA14" s="50"/>
      <c r="FB14" s="50"/>
      <c r="FC14" s="50"/>
      <c r="FD14" s="41"/>
      <c r="FE14" s="50"/>
      <c r="FF14" s="41"/>
      <c r="FG14" s="41"/>
      <c r="FH14" s="50"/>
      <c r="FI14" s="50"/>
      <c r="FJ14" s="50"/>
      <c r="FK14" s="50"/>
      <c r="FL14" s="50"/>
      <c r="FM14" s="50"/>
      <c r="FN14" s="50"/>
      <c r="FO14" s="50"/>
      <c r="FP14" s="50"/>
      <c r="FQ14" s="50"/>
      <c r="FR14" s="41"/>
      <c r="FS14" s="41"/>
      <c r="FT14" s="41"/>
      <c r="FU14" s="41"/>
      <c r="FV14" s="41"/>
      <c r="FW14" s="41"/>
      <c r="FX14" s="50"/>
      <c r="FY14" s="41"/>
      <c r="FZ14" s="41"/>
    </row>
    <row r="15" spans="1:182" s="6" customFormat="1">
      <c r="B15" s="21"/>
      <c r="C15" s="22">
        <v>1</v>
      </c>
      <c r="D15" s="22">
        <f>C15+1</f>
        <v>2</v>
      </c>
      <c r="E15" s="22">
        <f t="shared" ref="E15:BC15" si="0">D15+1</f>
        <v>3</v>
      </c>
      <c r="F15" s="22">
        <f t="shared" si="0"/>
        <v>4</v>
      </c>
      <c r="G15" s="22">
        <f t="shared" ref="G15" si="1">F15+1</f>
        <v>5</v>
      </c>
      <c r="H15" s="22">
        <f t="shared" ref="H15" si="2">G15+1</f>
        <v>6</v>
      </c>
      <c r="I15" s="20">
        <f>H15+1</f>
        <v>7</v>
      </c>
      <c r="J15" s="20">
        <f t="shared" ref="J15:K15" si="3">I15+1</f>
        <v>8</v>
      </c>
      <c r="K15" s="22">
        <f t="shared" si="3"/>
        <v>9</v>
      </c>
      <c r="L15" s="22">
        <f t="shared" si="0"/>
        <v>10</v>
      </c>
      <c r="M15" s="20">
        <f t="shared" si="0"/>
        <v>11</v>
      </c>
      <c r="N15" s="20">
        <f t="shared" si="0"/>
        <v>12</v>
      </c>
      <c r="O15" s="37">
        <f t="shared" ref="O15" si="4">N15+1</f>
        <v>13</v>
      </c>
      <c r="P15" s="37">
        <f t="shared" ref="P15" si="5">O15+1</f>
        <v>14</v>
      </c>
      <c r="Q15" s="20">
        <f t="shared" ref="Q15" si="6">P15+1</f>
        <v>15</v>
      </c>
      <c r="R15" s="20">
        <f t="shared" si="0"/>
        <v>16</v>
      </c>
      <c r="S15" s="20">
        <f t="shared" si="0"/>
        <v>17</v>
      </c>
      <c r="T15" s="20">
        <f t="shared" si="0"/>
        <v>18</v>
      </c>
      <c r="U15" s="20">
        <f t="shared" si="0"/>
        <v>19</v>
      </c>
      <c r="V15" s="20">
        <f t="shared" si="0"/>
        <v>20</v>
      </c>
      <c r="W15" s="20">
        <f t="shared" si="0"/>
        <v>21</v>
      </c>
      <c r="X15" s="20">
        <f t="shared" si="0"/>
        <v>22</v>
      </c>
      <c r="Y15" s="20">
        <f t="shared" ref="Y15" si="7">X15+1</f>
        <v>23</v>
      </c>
      <c r="Z15" s="20">
        <f t="shared" ref="Z15" si="8">Y15+1</f>
        <v>24</v>
      </c>
      <c r="AA15" s="22">
        <f t="shared" si="0"/>
        <v>25</v>
      </c>
      <c r="AB15" s="20">
        <f t="shared" si="0"/>
        <v>26</v>
      </c>
      <c r="AC15" s="22">
        <f t="shared" si="0"/>
        <v>27</v>
      </c>
      <c r="AD15" s="22">
        <f t="shared" si="0"/>
        <v>28</v>
      </c>
      <c r="AE15" s="22">
        <f t="shared" si="0"/>
        <v>29</v>
      </c>
      <c r="AF15" s="22">
        <f t="shared" si="0"/>
        <v>30</v>
      </c>
      <c r="AG15" s="22">
        <f t="shared" si="0"/>
        <v>31</v>
      </c>
      <c r="AH15" s="22">
        <f t="shared" si="0"/>
        <v>32</v>
      </c>
      <c r="AI15" s="22">
        <f t="shared" ref="AI15" si="9">AH15+1</f>
        <v>33</v>
      </c>
      <c r="AJ15" s="22">
        <f t="shared" ref="AJ15" si="10">AI15+1</f>
        <v>34</v>
      </c>
      <c r="AK15" s="22">
        <f t="shared" si="0"/>
        <v>35</v>
      </c>
      <c r="AL15" s="22">
        <f t="shared" si="0"/>
        <v>36</v>
      </c>
      <c r="AM15" s="22">
        <f t="shared" si="0"/>
        <v>37</v>
      </c>
      <c r="AN15" s="22">
        <f t="shared" si="0"/>
        <v>38</v>
      </c>
      <c r="AO15" s="22">
        <f t="shared" si="0"/>
        <v>39</v>
      </c>
      <c r="AP15" s="20">
        <f t="shared" si="0"/>
        <v>40</v>
      </c>
      <c r="AQ15" s="20">
        <f t="shared" si="0"/>
        <v>41</v>
      </c>
      <c r="AR15" s="20">
        <f t="shared" si="0"/>
        <v>42</v>
      </c>
      <c r="AS15" s="20">
        <f t="shared" si="0"/>
        <v>43</v>
      </c>
      <c r="AT15" s="20">
        <f t="shared" si="0"/>
        <v>44</v>
      </c>
      <c r="AU15" s="20">
        <f t="shared" si="0"/>
        <v>45</v>
      </c>
      <c r="AV15" s="20">
        <f t="shared" si="0"/>
        <v>46</v>
      </c>
      <c r="AW15" s="20">
        <f t="shared" si="0"/>
        <v>47</v>
      </c>
      <c r="AX15" s="20">
        <f t="shared" si="0"/>
        <v>48</v>
      </c>
      <c r="AY15" s="20">
        <f t="shared" si="0"/>
        <v>49</v>
      </c>
      <c r="AZ15" s="20">
        <f t="shared" si="0"/>
        <v>50</v>
      </c>
      <c r="BA15" s="20">
        <f t="shared" si="0"/>
        <v>51</v>
      </c>
      <c r="BB15" s="20">
        <f t="shared" si="0"/>
        <v>52</v>
      </c>
      <c r="BC15" s="22">
        <f t="shared" si="0"/>
        <v>53</v>
      </c>
      <c r="BD15" s="22">
        <f t="shared" ref="BD15:DE15" si="11">BC15+1</f>
        <v>54</v>
      </c>
      <c r="BE15" s="22">
        <f t="shared" si="11"/>
        <v>55</v>
      </c>
      <c r="BF15" s="22">
        <f t="shared" si="11"/>
        <v>56</v>
      </c>
      <c r="BG15" s="22">
        <f t="shared" si="11"/>
        <v>57</v>
      </c>
      <c r="BH15" s="22">
        <f t="shared" si="11"/>
        <v>58</v>
      </c>
      <c r="BI15" s="22">
        <f t="shared" si="11"/>
        <v>59</v>
      </c>
      <c r="BJ15" s="22">
        <f t="shared" si="11"/>
        <v>60</v>
      </c>
      <c r="BK15" s="22">
        <f t="shared" si="11"/>
        <v>61</v>
      </c>
      <c r="BL15" s="22">
        <f t="shared" si="11"/>
        <v>62</v>
      </c>
      <c r="BM15" s="22">
        <f t="shared" ref="BM15" si="12">BL15+1</f>
        <v>63</v>
      </c>
      <c r="BN15" s="22">
        <f t="shared" ref="BN15" si="13">BM15+1</f>
        <v>64</v>
      </c>
      <c r="BO15" s="22">
        <f t="shared" ref="BO15" si="14">BN15+1</f>
        <v>65</v>
      </c>
      <c r="BP15" s="22">
        <f t="shared" si="11"/>
        <v>66</v>
      </c>
      <c r="BQ15" s="22">
        <f t="shared" si="11"/>
        <v>67</v>
      </c>
      <c r="BR15" s="22">
        <f t="shared" si="11"/>
        <v>68</v>
      </c>
      <c r="BS15" s="22">
        <f t="shared" si="11"/>
        <v>69</v>
      </c>
      <c r="BT15" s="22">
        <f t="shared" si="11"/>
        <v>70</v>
      </c>
      <c r="BU15" s="22">
        <f t="shared" si="11"/>
        <v>71</v>
      </c>
      <c r="BV15" s="22">
        <f t="shared" si="11"/>
        <v>72</v>
      </c>
      <c r="BW15" s="22">
        <f t="shared" si="11"/>
        <v>73</v>
      </c>
      <c r="BX15" s="22">
        <f t="shared" si="11"/>
        <v>74</v>
      </c>
      <c r="BY15" s="22">
        <f t="shared" si="11"/>
        <v>75</v>
      </c>
      <c r="BZ15" s="22">
        <f t="shared" si="11"/>
        <v>76</v>
      </c>
      <c r="CA15" s="22">
        <f t="shared" si="11"/>
        <v>77</v>
      </c>
      <c r="CB15" s="22">
        <f t="shared" si="11"/>
        <v>78</v>
      </c>
      <c r="CC15" s="22">
        <f t="shared" si="11"/>
        <v>79</v>
      </c>
      <c r="CD15" s="22">
        <f t="shared" si="11"/>
        <v>80</v>
      </c>
      <c r="CE15" s="22">
        <f t="shared" ref="CE15" si="15">CD15+1</f>
        <v>81</v>
      </c>
      <c r="CF15" s="22">
        <f t="shared" ref="CF15" si="16">CE15+1</f>
        <v>82</v>
      </c>
      <c r="CG15" s="22">
        <f t="shared" si="11"/>
        <v>83</v>
      </c>
      <c r="CH15" s="22">
        <f t="shared" si="11"/>
        <v>84</v>
      </c>
      <c r="CI15" s="22">
        <f t="shared" ref="CI15" si="17">CH15+1</f>
        <v>85</v>
      </c>
      <c r="CJ15" s="22">
        <f t="shared" ref="CJ15" si="18">CI15+1</f>
        <v>86</v>
      </c>
      <c r="CK15" s="22">
        <f t="shared" ref="CK15" si="19">CJ15+1</f>
        <v>87</v>
      </c>
      <c r="CL15" s="22">
        <f t="shared" ref="CL15" si="20">CK15+1</f>
        <v>88</v>
      </c>
      <c r="CM15" s="22">
        <f t="shared" ref="CM15" si="21">CL15+1</f>
        <v>89</v>
      </c>
      <c r="CN15" s="22">
        <f t="shared" ref="CN15" si="22">CM15+1</f>
        <v>90</v>
      </c>
      <c r="CO15" s="22">
        <f t="shared" si="11"/>
        <v>91</v>
      </c>
      <c r="CP15" s="22">
        <f t="shared" ref="CP15" si="23">CO15+1</f>
        <v>92</v>
      </c>
      <c r="CQ15" s="22">
        <f t="shared" ref="CQ15" si="24">CP15+1</f>
        <v>93</v>
      </c>
      <c r="CR15" s="22">
        <f t="shared" ref="CR15" si="25">CQ15+1</f>
        <v>94</v>
      </c>
      <c r="CS15" s="22">
        <f t="shared" ref="CS15" si="26">CR15+1</f>
        <v>95</v>
      </c>
      <c r="CT15" s="22">
        <f t="shared" ref="CT15" si="27">CS15+1</f>
        <v>96</v>
      </c>
      <c r="CU15" s="22">
        <f t="shared" si="11"/>
        <v>97</v>
      </c>
      <c r="CV15" s="22">
        <f t="shared" si="11"/>
        <v>98</v>
      </c>
      <c r="CW15" s="22">
        <f t="shared" si="11"/>
        <v>99</v>
      </c>
      <c r="CX15" s="22">
        <f t="shared" si="11"/>
        <v>100</v>
      </c>
      <c r="CY15" s="22">
        <f t="shared" si="11"/>
        <v>101</v>
      </c>
      <c r="CZ15" s="22">
        <f t="shared" si="11"/>
        <v>102</v>
      </c>
      <c r="DA15" s="22">
        <f t="shared" si="11"/>
        <v>103</v>
      </c>
      <c r="DB15" s="22">
        <f t="shared" si="11"/>
        <v>104</v>
      </c>
      <c r="DC15" s="22">
        <f t="shared" si="11"/>
        <v>105</v>
      </c>
      <c r="DD15" s="22">
        <f t="shared" si="11"/>
        <v>106</v>
      </c>
      <c r="DE15" s="22">
        <f t="shared" si="11"/>
        <v>107</v>
      </c>
      <c r="DF15" s="22">
        <f t="shared" ref="DF15" si="28">DE15+1</f>
        <v>108</v>
      </c>
      <c r="DG15" s="22">
        <f t="shared" ref="DG15" si="29">DF15+1</f>
        <v>109</v>
      </c>
      <c r="DH15" s="22">
        <f t="shared" ref="DH15" si="30">DG15+1</f>
        <v>110</v>
      </c>
      <c r="DI15" s="22">
        <f t="shared" ref="DI15" si="31">DH15+1</f>
        <v>111</v>
      </c>
      <c r="DJ15" s="22">
        <f t="shared" ref="DJ15" si="32">DI15+1</f>
        <v>112</v>
      </c>
      <c r="DK15" s="22">
        <f t="shared" ref="DK15" si="33">DJ15+1</f>
        <v>113</v>
      </c>
      <c r="DL15" s="22">
        <f t="shared" ref="DL15" si="34">DK15+1</f>
        <v>114</v>
      </c>
      <c r="DN15" s="7"/>
      <c r="DO15" s="7"/>
      <c r="DP15" s="7"/>
      <c r="DQ15" s="7"/>
      <c r="DR15" s="7"/>
      <c r="DS15" s="7"/>
      <c r="DT15" s="7"/>
      <c r="DU15" s="7"/>
      <c r="DV15" s="7"/>
      <c r="DW15" s="7"/>
      <c r="DX15" s="7"/>
      <c r="DY15" s="7"/>
      <c r="DZ15" s="7"/>
      <c r="EA15" s="7"/>
      <c r="EB15" s="7"/>
      <c r="EC15" s="7"/>
      <c r="ED15" s="7"/>
      <c r="EE15" s="7"/>
      <c r="EF15" s="7">
        <v>0</v>
      </c>
      <c r="EG15" s="7"/>
      <c r="EH15" s="7"/>
      <c r="EI15" s="7"/>
      <c r="EJ15" s="7"/>
      <c r="EK15" s="7"/>
      <c r="EL15" s="7"/>
      <c r="EM15" s="7"/>
      <c r="EN15" s="7"/>
      <c r="EO15" s="7"/>
      <c r="EP15" s="7"/>
      <c r="EQ15" s="7"/>
      <c r="ER15" s="7"/>
      <c r="ES15" s="7"/>
      <c r="ET15" s="7"/>
      <c r="EU15" s="7"/>
      <c r="EV15" s="7"/>
      <c r="EW15" s="7"/>
      <c r="EX15" s="7"/>
      <c r="EY15" s="7"/>
      <c r="EZ15" s="7"/>
      <c r="FA15" s="7"/>
      <c r="FB15" s="7"/>
      <c r="FC15" s="7"/>
      <c r="FD15" s="7"/>
      <c r="FE15" s="7"/>
      <c r="FF15" s="7"/>
      <c r="FG15" s="7"/>
      <c r="FH15" s="7"/>
      <c r="FI15" s="7"/>
      <c r="FJ15" s="7"/>
      <c r="FK15" s="7"/>
      <c r="FL15" s="7"/>
      <c r="FM15" s="7"/>
      <c r="FN15" s="7"/>
      <c r="FO15" s="7"/>
      <c r="FP15" s="7"/>
      <c r="FQ15" s="7"/>
      <c r="FR15" s="7"/>
      <c r="FS15" s="1"/>
      <c r="FT15" s="1"/>
      <c r="FU15" s="1"/>
      <c r="FV15" s="1"/>
      <c r="FW15" s="1"/>
      <c r="FX15" s="7"/>
      <c r="FY15" s="7"/>
      <c r="FZ15" s="7"/>
    </row>
    <row r="16" spans="1:182">
      <c r="B16" s="1"/>
      <c r="C16" s="24"/>
      <c r="D16" s="24"/>
      <c r="E16" s="25"/>
      <c r="F16" s="24"/>
      <c r="G16" s="31"/>
      <c r="H16" s="31"/>
      <c r="I16" s="32">
        <v>0</v>
      </c>
      <c r="J16" s="32">
        <v>0</v>
      </c>
      <c r="K16" s="1">
        <f>EU16+EW16</f>
        <v>0</v>
      </c>
      <c r="L16" s="1">
        <v>0</v>
      </c>
      <c r="M16" s="1">
        <f>EV16+EX16</f>
        <v>0</v>
      </c>
      <c r="N16" s="1">
        <v>0</v>
      </c>
      <c r="O16" s="1">
        <f>AC16+AE16+AG16+AI16+AK16+AM16+AP16+AR16+AT16+AV16+AX16+AZ16</f>
        <v>0</v>
      </c>
      <c r="P16" s="1">
        <f>SUM(K16:O16)</f>
        <v>0</v>
      </c>
      <c r="Q16" s="9" t="e">
        <f>DV16+DW16</f>
        <v>#DIV/0!</v>
      </c>
      <c r="R16" s="9">
        <v>0</v>
      </c>
      <c r="S16" s="9">
        <v>0</v>
      </c>
      <c r="T16" s="9">
        <v>0</v>
      </c>
      <c r="U16" s="9">
        <v>0</v>
      </c>
      <c r="V16" s="9">
        <f>EK16</f>
        <v>0</v>
      </c>
      <c r="W16" s="9">
        <f>IF(EH16&gt;0,EH16,EI16)</f>
        <v>0</v>
      </c>
      <c r="X16" s="11">
        <f>IF(EE16&gt;0,EE16,EG16)</f>
        <v>0</v>
      </c>
      <c r="Y16" s="9">
        <f>EB16</f>
        <v>0</v>
      </c>
      <c r="Z16" s="9">
        <f>SUM(R16:Y16)</f>
        <v>0</v>
      </c>
      <c r="AA16" s="9">
        <f>ROUND((I16+U16)/26/8,0)</f>
        <v>0</v>
      </c>
      <c r="AB16" s="9">
        <f>ROUND(AA16*85%,0)</f>
        <v>0</v>
      </c>
      <c r="AC16" s="1">
        <v>0</v>
      </c>
      <c r="AD16" s="9">
        <f>ROUND(AA16*AC16*150%,0)</f>
        <v>0</v>
      </c>
      <c r="AE16" s="1">
        <v>0</v>
      </c>
      <c r="AF16" s="9">
        <f>ROUND(AA16*AE16*200%,0)</f>
        <v>0</v>
      </c>
      <c r="AG16" s="1">
        <v>0</v>
      </c>
      <c r="AH16" s="9">
        <f>ROUND(AA16*AG16*200%,0)</f>
        <v>0</v>
      </c>
      <c r="AI16" s="1">
        <v>0</v>
      </c>
      <c r="AJ16" s="9">
        <f>ROUND(AA16*AI16*270%,0)</f>
        <v>0</v>
      </c>
      <c r="AK16" s="1">
        <v>0</v>
      </c>
      <c r="AL16" s="9">
        <f>ROUND(AA16*AK16*300%,0)</f>
        <v>0</v>
      </c>
      <c r="AM16" s="1">
        <v>0</v>
      </c>
      <c r="AN16" s="9">
        <f>ROUND(AA16*AM16*490%,0)</f>
        <v>0</v>
      </c>
      <c r="AO16" s="9">
        <f>AD16+AF16+AH16+AJ16+AL16+AN16</f>
        <v>0</v>
      </c>
      <c r="AP16" s="1">
        <v>0</v>
      </c>
      <c r="AQ16" s="9">
        <f>ROUND(AB16*AP16*150%,0)</f>
        <v>0</v>
      </c>
      <c r="AR16" s="1">
        <v>0</v>
      </c>
      <c r="AS16" s="9">
        <f>ROUND(AB16*AR16*200%,0)</f>
        <v>0</v>
      </c>
      <c r="AT16" s="1">
        <v>0</v>
      </c>
      <c r="AU16" s="9">
        <f>ROUND(AB16*AT16*200%,0)</f>
        <v>0</v>
      </c>
      <c r="AV16" s="1">
        <v>0</v>
      </c>
      <c r="AW16" s="9">
        <f>ROUND(AB16*AV16*270%,0)</f>
        <v>0</v>
      </c>
      <c r="AX16" s="1">
        <v>0</v>
      </c>
      <c r="AY16" s="9">
        <f>ROUND(AB16*AX16*300%,0)</f>
        <v>0</v>
      </c>
      <c r="AZ16" s="1">
        <v>0</v>
      </c>
      <c r="BA16" s="9">
        <f>ROUND(AB16*AZ16*490%,0)</f>
        <v>0</v>
      </c>
      <c r="BB16" s="9">
        <f>AQ16+AS16+AU16+AW16+AY16+BA16</f>
        <v>0</v>
      </c>
      <c r="BC16" s="9">
        <v>0</v>
      </c>
      <c r="BD16" s="9">
        <v>0</v>
      </c>
      <c r="BE16" s="9">
        <v>0</v>
      </c>
      <c r="BF16" s="9">
        <v>0</v>
      </c>
      <c r="BG16" s="9">
        <v>0</v>
      </c>
      <c r="BH16" s="9">
        <v>0</v>
      </c>
      <c r="BI16" s="9">
        <v>0</v>
      </c>
      <c r="BJ16" s="9">
        <f>EP16</f>
        <v>0</v>
      </c>
      <c r="BK16" s="9">
        <f>EO16/26/8*(EY16+EZ16)</f>
        <v>0</v>
      </c>
      <c r="BL16" s="9">
        <f>FA16*FB16*IF(FC16&gt;0,AA16,AB16)</f>
        <v>0</v>
      </c>
      <c r="BM16" s="9">
        <f>200000*EF16</f>
        <v>0</v>
      </c>
      <c r="BN16" s="9">
        <f>IF(FQ16&gt;0,FQ16,FP16)</f>
        <v>0</v>
      </c>
      <c r="BO16" s="9" t="e">
        <f>Q16+W16+X16+U16+Y16+AO16+BB16+SUM(BC16:BN16)</f>
        <v>#DIV/0!</v>
      </c>
      <c r="BP16" s="9">
        <f>IF(FE16=1,IF(I16 &gt;= FG16,FG16,I16)*EM16,0)</f>
        <v>0</v>
      </c>
      <c r="BQ16" s="9">
        <f>IF(FU16&gt;0,FU16,IF(OR(FE16=1,FF16&gt;0),IF(I16 &gt;= FG16,FG16,I16)*3%,0))</f>
        <v>0</v>
      </c>
      <c r="BR16" s="9">
        <f>IF(FE16=1,(I16+R16+S16+T16+U16+W16+X16)*EL16,0)</f>
        <v>0</v>
      </c>
      <c r="BS16" s="9">
        <f>SUM(BP16:BR16)</f>
        <v>0</v>
      </c>
      <c r="BT16" s="9">
        <f>IF(FE16=1,IF(I16 &gt;= FG16,FG16,I16)*8%,0)</f>
        <v>0</v>
      </c>
      <c r="BU16" s="9">
        <f>IF(FV16&gt;0,FV16,IF(OR(FE16=1,FF16&gt;0),IF(I16 &gt;= FG16,FG16,I16)*1.5%,0))</f>
        <v>0</v>
      </c>
      <c r="BV16" s="9">
        <f>IF(FE16=1,(I16+R16+S16+T16+U16+W16+X16)*1%,0)</f>
        <v>0</v>
      </c>
      <c r="BW16" s="9">
        <f>SUM(BT16:BV16)</f>
        <v>0</v>
      </c>
      <c r="BX16" s="9">
        <f>IF(FX16&gt;0,0,I16/26/8*(K16+L16))</f>
        <v>0</v>
      </c>
      <c r="BY16" s="9">
        <f>IF(FX16&gt;0,0,R16/26/8*(K16+L16))</f>
        <v>0</v>
      </c>
      <c r="BZ16" s="9">
        <f>IF(FX16&gt;0,0,S16/26/8*(K16+L16))</f>
        <v>0</v>
      </c>
      <c r="CA16" s="9">
        <f>IF(FX16&gt;0,0,T16/26/8*(K16+L16))</f>
        <v>0</v>
      </c>
      <c r="CB16" s="9">
        <f>IF(FX16&gt;0,0,U16/26/8*(K16+L16))</f>
        <v>0</v>
      </c>
      <c r="CC16" s="9">
        <f>IF(FX16&gt;0,0,W16)</f>
        <v>0</v>
      </c>
      <c r="CD16" s="9">
        <f>IF(FX16&gt;0,0,X16)</f>
        <v>0</v>
      </c>
      <c r="CE16" s="9">
        <f>IF(Y16&gt;730000,Y16-730000,0)</f>
        <v>0</v>
      </c>
      <c r="CF16" s="9">
        <f>IF(FX16&gt;0,0,IF(AA16*(AC16+AE16+AG16+AI16+AK16+AM16)&lt;AO16,AA16*(AC16+AE16+AG16+AI16+AK16+AM16),AO16))</f>
        <v>0</v>
      </c>
      <c r="CG16" s="9">
        <f>IF(FX16&gt;0,0,BC16)</f>
        <v>0</v>
      </c>
      <c r="CH16" s="9">
        <f>IF(FX16&gt;0,0,BD16)</f>
        <v>0</v>
      </c>
      <c r="CI16" s="9">
        <f>IF(FX16&gt;0,0,BE16)</f>
        <v>0</v>
      </c>
      <c r="CJ16" s="9">
        <f>IF(FX16&gt;0,0,BF16)</f>
        <v>0</v>
      </c>
      <c r="CK16" s="9">
        <f>IF(FX16&gt;0,0,BG16)</f>
        <v>0</v>
      </c>
      <c r="CL16" s="9">
        <f>IF(FX16&gt;0,0,BH16)</f>
        <v>0</v>
      </c>
      <c r="CM16" s="9">
        <v>0</v>
      </c>
      <c r="CN16" s="9">
        <f>IF(FX16&gt;0,0,BI16)</f>
        <v>0</v>
      </c>
      <c r="CO16" s="9">
        <f>IF(FX16&gt;0,0,BJ16)</f>
        <v>0</v>
      </c>
      <c r="CP16" s="9">
        <f>IF(FX16&gt;0,0,BK16)</f>
        <v>0</v>
      </c>
      <c r="CQ16" s="9">
        <f>IF(FX16&gt;0,0,FA16*AA16)</f>
        <v>0</v>
      </c>
      <c r="CR16" s="9">
        <f>IF(FX16&gt;0,0,BM16)</f>
        <v>0</v>
      </c>
      <c r="CS16" s="9">
        <f>IF(FX16&gt;0,0,BN16)</f>
        <v>0</v>
      </c>
      <c r="CT16" s="9">
        <f>SUM(BX16:CS16)</f>
        <v>0</v>
      </c>
      <c r="CU16" s="9">
        <f>IF(FX16&gt;0,0,11000000)</f>
        <v>11000000</v>
      </c>
      <c r="CV16" s="9">
        <f>IF(FX16&gt;0,0,4400000*DO16)</f>
        <v>0</v>
      </c>
      <c r="CW16" s="9">
        <f>IF(FX16&gt;0,0,BW16)</f>
        <v>0</v>
      </c>
      <c r="CX16" s="9">
        <f>MAX(CT16-CU16-CV16-CW16-S16,0)</f>
        <v>0</v>
      </c>
      <c r="CY16" s="9">
        <f>IF(CX16&gt;0,IF(AND(CX16&gt;0,CX16&lt;=5000000),CX16*5%,IF(CX16&lt;=10000000,(CX16-5000000)*10%+250000,IF(CX16&lt;=18000000,(CX16-10000000)*15%+750000,IF(CX16&lt;=32000000,1950000+(CX16-18000000)*20%,IF(CX16&lt;=52000000,4750000+(CX16-32000000)*25%,IF(CX16&lt;=80000000,9750000+(CX16-52000000)*30%,IF(CX16&gt;80000000,(CX16-80000000)*35%+18150000,0))))))),0)</f>
        <v>0</v>
      </c>
      <c r="CZ16" s="9">
        <f>IF(FE16=1,EN16*FY16,0)</f>
        <v>0</v>
      </c>
      <c r="DA16" s="9">
        <f>IF(FE16=1,(I16+U16+W16)*FZ16,0)</f>
        <v>0</v>
      </c>
      <c r="DB16" s="9">
        <v>0</v>
      </c>
      <c r="DC16" s="9">
        <f>BC16</f>
        <v>0</v>
      </c>
      <c r="DD16" s="9">
        <f t="shared" ref="DD16" si="35">BD16</f>
        <v>0</v>
      </c>
      <c r="DE16" s="9">
        <f>IF(ES16&gt;0,BE16,0)</f>
        <v>0</v>
      </c>
      <c r="DF16" s="9">
        <f>IF(EQ16 &gt; 0,BF16,0)</f>
        <v>0</v>
      </c>
      <c r="DG16" s="9">
        <f>IF(ER16 &gt; 0,BG16,0)</f>
        <v>0</v>
      </c>
      <c r="DH16" s="9">
        <f>IF(ET16=1,CL16,IF(ET16&gt;1,ET16,0))</f>
        <v>0</v>
      </c>
      <c r="DI16" s="9">
        <v>0</v>
      </c>
      <c r="DJ16" s="9">
        <v>0</v>
      </c>
      <c r="DK16" s="9" t="e">
        <f>BO16+BS16+DA16</f>
        <v>#DIV/0!</v>
      </c>
      <c r="DL16" s="9" t="e">
        <f>BO16-BW16-CY16-CZ16-DB16-DC16-DD16-DE16-DH16-DF16-DG16-DI16</f>
        <v>#DIV/0!</v>
      </c>
      <c r="DN16" s="1"/>
      <c r="DO16" s="1"/>
      <c r="DP16" s="9" t="e">
        <f>BO16-AO16-(K16+L16*130%)</f>
        <v>#DIV/0!</v>
      </c>
      <c r="DQ16" s="1">
        <v>0</v>
      </c>
      <c r="DR16" s="1">
        <v>0</v>
      </c>
      <c r="DS16" s="1">
        <v>0</v>
      </c>
      <c r="DT16" s="1" t="e">
        <f>ROUND((I16+SUM(R16:T16))/(FD16*8),0)</f>
        <v>#DIV/0!</v>
      </c>
      <c r="DU16" s="1" t="e">
        <f>ROUND(DT16*85%,0)</f>
        <v>#DIV/0!</v>
      </c>
      <c r="DV16" s="1" t="e">
        <f>K16*DT16 + M16*DU16</f>
        <v>#DIV/0!</v>
      </c>
      <c r="DW16" s="1" t="e">
        <f>L16*130%*DT16 + N16*130%*DU16</f>
        <v>#DIV/0!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/>
      <c r="ED16" s="1"/>
      <c r="EE16" s="1">
        <v>0</v>
      </c>
      <c r="EF16" s="1"/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/>
      <c r="ET16" s="1"/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/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/>
      <c r="FS16" s="28"/>
      <c r="FT16" s="28"/>
      <c r="FU16" s="28">
        <v>0</v>
      </c>
      <c r="FV16" s="28">
        <v>0</v>
      </c>
      <c r="FW16" s="28">
        <v>0</v>
      </c>
      <c r="FX16" s="1">
        <v>0</v>
      </c>
      <c r="FY16" s="1"/>
      <c r="FZ16" s="1"/>
    </row>
    <row r="32" spans="50:50">
      <c r="AX32" s="8"/>
    </row>
  </sheetData>
  <autoFilter ref="B15:FX15" xr:uid="{00000000-0009-0000-0000-000000000000}"/>
  <mergeCells count="167">
    <mergeCell ref="DN12:DN14"/>
    <mergeCell ref="EC12:EC14"/>
    <mergeCell ref="ED12:ED14"/>
    <mergeCell ref="FY12:FY14"/>
    <mergeCell ref="FZ12:FZ14"/>
    <mergeCell ref="M1:X2"/>
    <mergeCell ref="M3:X4"/>
    <mergeCell ref="FW12:FW14"/>
    <mergeCell ref="FT12:FT14"/>
    <mergeCell ref="FS12:FS14"/>
    <mergeCell ref="DH13:DH14"/>
    <mergeCell ref="FR12:FR14"/>
    <mergeCell ref="FU12:FU14"/>
    <mergeCell ref="FV12:FV14"/>
    <mergeCell ref="CV13:CV14"/>
    <mergeCell ref="DI13:DI14"/>
    <mergeCell ref="FP12:FP14"/>
    <mergeCell ref="FA12:FA14"/>
    <mergeCell ref="FF12:FF14"/>
    <mergeCell ref="CU12:CY12"/>
    <mergeCell ref="CU13:CU14"/>
    <mergeCell ref="DF13:DF14"/>
    <mergeCell ref="ER12:ER14"/>
    <mergeCell ref="FQ12:FQ14"/>
    <mergeCell ref="DR12:DR14"/>
    <mergeCell ref="DS12:DS14"/>
    <mergeCell ref="FI12:FI14"/>
    <mergeCell ref="FJ12:FJ14"/>
    <mergeCell ref="FK12:FK14"/>
    <mergeCell ref="FL12:FL14"/>
    <mergeCell ref="FM12:FM14"/>
    <mergeCell ref="FN12:FN14"/>
    <mergeCell ref="FE12:FE14"/>
    <mergeCell ref="EJ12:EJ14"/>
    <mergeCell ref="DV12:DV14"/>
    <mergeCell ref="DW12:DW14"/>
    <mergeCell ref="DT12:DT14"/>
    <mergeCell ref="DU12:DU14"/>
    <mergeCell ref="FO12:FO14"/>
    <mergeCell ref="FH12:FH14"/>
    <mergeCell ref="ES12:ES14"/>
    <mergeCell ref="FD12:FD14"/>
    <mergeCell ref="EK12:EK14"/>
    <mergeCell ref="FG12:FG14"/>
    <mergeCell ref="EY12:EZ13"/>
    <mergeCell ref="EO12:EO14"/>
    <mergeCell ref="EP12:EP14"/>
    <mergeCell ref="CA13:CA14"/>
    <mergeCell ref="CD13:CD14"/>
    <mergeCell ref="CR13:CR14"/>
    <mergeCell ref="CS13:CS14"/>
    <mergeCell ref="EI12:EI14"/>
    <mergeCell ref="EG12:EG14"/>
    <mergeCell ref="DB13:DB14"/>
    <mergeCell ref="DC13:DC14"/>
    <mergeCell ref="DE13:DE14"/>
    <mergeCell ref="CZ12:DA12"/>
    <mergeCell ref="DO12:DO14"/>
    <mergeCell ref="DQ12:DQ14"/>
    <mergeCell ref="DY12:DY14"/>
    <mergeCell ref="DZ12:DZ14"/>
    <mergeCell ref="EA12:EA14"/>
    <mergeCell ref="EB12:EB14"/>
    <mergeCell ref="BX12:CT12"/>
    <mergeCell ref="CH13:CH14"/>
    <mergeCell ref="CN13:CN14"/>
    <mergeCell ref="CO13:CO14"/>
    <mergeCell ref="CT13:CT14"/>
    <mergeCell ref="CK13:CK14"/>
    <mergeCell ref="CL13:CL14"/>
    <mergeCell ref="CQ13:CQ14"/>
    <mergeCell ref="CM13:CM14"/>
    <mergeCell ref="CC13:CC14"/>
    <mergeCell ref="CJ13:CJ14"/>
    <mergeCell ref="CP13:CP14"/>
    <mergeCell ref="U13:U14"/>
    <mergeCell ref="M13:N13"/>
    <mergeCell ref="G12:G14"/>
    <mergeCell ref="H12:H14"/>
    <mergeCell ref="R12:Z12"/>
    <mergeCell ref="AA12:AA14"/>
    <mergeCell ref="AB12:AB14"/>
    <mergeCell ref="S13:S14"/>
    <mergeCell ref="W13:W14"/>
    <mergeCell ref="AO13:AO14"/>
    <mergeCell ref="BG12:BG14"/>
    <mergeCell ref="BY13:BY14"/>
    <mergeCell ref="Z13:Z14"/>
    <mergeCell ref="X13:X14"/>
    <mergeCell ref="BP12:BW12"/>
    <mergeCell ref="BO12:BO14"/>
    <mergeCell ref="BH12:BH14"/>
    <mergeCell ref="BI12:BI14"/>
    <mergeCell ref="AC12:AO12"/>
    <mergeCell ref="AP13:AS13"/>
    <mergeCell ref="AP12:BB12"/>
    <mergeCell ref="Y13:Y14"/>
    <mergeCell ref="AC13:AF13"/>
    <mergeCell ref="BN12:BN14"/>
    <mergeCell ref="BT13:BT14"/>
    <mergeCell ref="BU13:BU14"/>
    <mergeCell ref="C12:C14"/>
    <mergeCell ref="T13:T14"/>
    <mergeCell ref="E12:E14"/>
    <mergeCell ref="F12:F14"/>
    <mergeCell ref="K13:L13"/>
    <mergeCell ref="I13:I14"/>
    <mergeCell ref="R13:R14"/>
    <mergeCell ref="Q13:Q14"/>
    <mergeCell ref="I12:Q12"/>
    <mergeCell ref="D12:D14"/>
    <mergeCell ref="AT13:AW13"/>
    <mergeCell ref="AX13:BA13"/>
    <mergeCell ref="BQ13:BQ14"/>
    <mergeCell ref="BB13:BB14"/>
    <mergeCell ref="AG13:AJ13"/>
    <mergeCell ref="BR13:BR14"/>
    <mergeCell ref="BL12:BL14"/>
    <mergeCell ref="P13:P14"/>
    <mergeCell ref="BV13:BV14"/>
    <mergeCell ref="BM12:BM14"/>
    <mergeCell ref="EU12:EV13"/>
    <mergeCell ref="EW12:EX13"/>
    <mergeCell ref="CX13:CX14"/>
    <mergeCell ref="BW13:BW14"/>
    <mergeCell ref="BX13:BX14"/>
    <mergeCell ref="B12:B14"/>
    <mergeCell ref="EL12:EL14"/>
    <mergeCell ref="EM12:EM14"/>
    <mergeCell ref="EN12:EN14"/>
    <mergeCell ref="BD12:BD14"/>
    <mergeCell ref="BE12:BE14"/>
    <mergeCell ref="BF12:BF14"/>
    <mergeCell ref="BC12:BC14"/>
    <mergeCell ref="EE12:EE14"/>
    <mergeCell ref="EH12:EH14"/>
    <mergeCell ref="BJ12:BJ14"/>
    <mergeCell ref="BK12:BK14"/>
    <mergeCell ref="CB13:CB14"/>
    <mergeCell ref="DD13:DD14"/>
    <mergeCell ref="BP13:BP14"/>
    <mergeCell ref="BS13:BS14"/>
    <mergeCell ref="DK12:DK14"/>
    <mergeCell ref="CW13:CW14"/>
    <mergeCell ref="DP12:DP14"/>
    <mergeCell ref="DL12:DL14"/>
    <mergeCell ref="CE13:CE14"/>
    <mergeCell ref="J13:J14"/>
    <mergeCell ref="DX12:DX14"/>
    <mergeCell ref="AK13:AN13"/>
    <mergeCell ref="FX12:FX14"/>
    <mergeCell ref="DA13:DA14"/>
    <mergeCell ref="EQ12:EQ14"/>
    <mergeCell ref="CY13:CY14"/>
    <mergeCell ref="CF13:CF14"/>
    <mergeCell ref="BZ13:BZ14"/>
    <mergeCell ref="CZ13:CZ14"/>
    <mergeCell ref="DG13:DG14"/>
    <mergeCell ref="DJ13:DJ14"/>
    <mergeCell ref="ET12:ET14"/>
    <mergeCell ref="CI13:CI14"/>
    <mergeCell ref="EF12:EF14"/>
    <mergeCell ref="FB12:FB14"/>
    <mergeCell ref="FC12:FC14"/>
    <mergeCell ref="DB12:DI12"/>
    <mergeCell ref="CG13:CG14"/>
    <mergeCell ref="O13:O14"/>
  </mergeCells>
  <phoneticPr fontId="39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Ngọc Sơn Nguyễn</dc:creator>
  <cp:lastModifiedBy>ADMIN</cp:lastModifiedBy>
  <dcterms:created xsi:type="dcterms:W3CDTF">2015-06-05T18:17:20Z</dcterms:created>
  <dcterms:modified xsi:type="dcterms:W3CDTF">2022-12-15T09:02:35Z</dcterms:modified>
</cp:coreProperties>
</file>