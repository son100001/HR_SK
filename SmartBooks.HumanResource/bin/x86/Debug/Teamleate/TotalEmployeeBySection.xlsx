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SourceCodeHR\YDC\SmartBooks.HumanResource\bin\x86\Debug\Teamleate\"/>
    </mc:Choice>
  </mc:AlternateContent>
  <xr:revisionPtr revIDLastSave="0" documentId="13_ncr:1_{7FB57A0D-DADF-45D1-AD06-DFFCA58907FA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2" i="2" l="1"/>
  <c r="Q82" i="2"/>
  <c r="P82" i="2"/>
  <c r="O82" i="2"/>
  <c r="N82" i="2"/>
  <c r="M82" i="2"/>
  <c r="L82" i="2"/>
  <c r="K82" i="2"/>
  <c r="J82" i="2"/>
  <c r="I82" i="2"/>
  <c r="H82" i="2"/>
  <c r="G82" i="2"/>
  <c r="R83" i="2"/>
  <c r="Q83" i="2"/>
  <c r="P83" i="2"/>
  <c r="O83" i="2"/>
  <c r="N83" i="2"/>
  <c r="M83" i="2"/>
  <c r="L83" i="2"/>
  <c r="K83" i="2"/>
  <c r="J83" i="2"/>
  <c r="I83" i="2"/>
  <c r="H83" i="2"/>
  <c r="G83" i="2"/>
  <c r="R53" i="2"/>
  <c r="Q53" i="2"/>
  <c r="P53" i="2"/>
  <c r="O53" i="2"/>
  <c r="N53" i="2"/>
  <c r="M53" i="2"/>
  <c r="L53" i="2"/>
  <c r="K53" i="2"/>
  <c r="J53" i="2"/>
  <c r="I53" i="2"/>
  <c r="H53" i="2"/>
  <c r="G53" i="2"/>
  <c r="Y8" i="1"/>
  <c r="Y9" i="1"/>
  <c r="Y10" i="1"/>
  <c r="Y11" i="1"/>
  <c r="Y12" i="1"/>
  <c r="Y13" i="1"/>
  <c r="Y14" i="1"/>
  <c r="Y15" i="1"/>
  <c r="Y16" i="1"/>
  <c r="Y17" i="1"/>
  <c r="Y18" i="1"/>
  <c r="Y19" i="1"/>
  <c r="Y7" i="1"/>
  <c r="G76" i="2" l="1"/>
  <c r="G77" i="2"/>
  <c r="G78" i="2"/>
  <c r="H76" i="2"/>
  <c r="H77" i="2"/>
  <c r="T8" i="1"/>
  <c r="T9" i="1"/>
  <c r="I87" i="2" s="1"/>
  <c r="T10" i="1"/>
  <c r="T11" i="1"/>
  <c r="K87" i="2" s="1"/>
  <c r="T12" i="1"/>
  <c r="T13" i="1"/>
  <c r="M87" i="2" s="1"/>
  <c r="T14" i="1"/>
  <c r="T15" i="1"/>
  <c r="O87" i="2" s="1"/>
  <c r="T16" i="1"/>
  <c r="T17" i="1"/>
  <c r="Q87" i="2" s="1"/>
  <c r="T18" i="1"/>
  <c r="T19" i="1"/>
  <c r="T7" i="1"/>
  <c r="P8" i="1"/>
  <c r="P9" i="1"/>
  <c r="P10" i="1"/>
  <c r="P11" i="1"/>
  <c r="P12" i="1"/>
  <c r="L79" i="2" s="1"/>
  <c r="P13" i="1"/>
  <c r="P14" i="1"/>
  <c r="P15" i="1"/>
  <c r="P16" i="1"/>
  <c r="P79" i="2" s="1"/>
  <c r="P17" i="1"/>
  <c r="P18" i="1"/>
  <c r="R79" i="2" s="1"/>
  <c r="P19" i="1"/>
  <c r="P7" i="1"/>
  <c r="G79" i="2" s="1"/>
  <c r="L8" i="1"/>
  <c r="L9" i="1"/>
  <c r="L10" i="1"/>
  <c r="L11" i="1"/>
  <c r="K81" i="2" s="1"/>
  <c r="L12" i="1"/>
  <c r="L13" i="1"/>
  <c r="L14" i="1"/>
  <c r="L15" i="1"/>
  <c r="O81" i="2" s="1"/>
  <c r="L16" i="1"/>
  <c r="L17" i="1"/>
  <c r="L18" i="1"/>
  <c r="L19" i="1"/>
  <c r="L7" i="1"/>
  <c r="R77" i="2"/>
  <c r="Q77" i="2"/>
  <c r="P77" i="2"/>
  <c r="O77" i="2"/>
  <c r="N77" i="2"/>
  <c r="M77" i="2"/>
  <c r="L77" i="2"/>
  <c r="K77" i="2"/>
  <c r="J77" i="2"/>
  <c r="I77" i="2"/>
  <c r="R76" i="2"/>
  <c r="Q76" i="2"/>
  <c r="P76" i="2"/>
  <c r="O76" i="2"/>
  <c r="N76" i="2"/>
  <c r="M76" i="2"/>
  <c r="L76" i="2"/>
  <c r="K76" i="2"/>
  <c r="J76" i="2"/>
  <c r="I76" i="2"/>
  <c r="R18" i="2"/>
  <c r="Q18" i="2"/>
  <c r="P18" i="2"/>
  <c r="O18" i="2"/>
  <c r="N18" i="2"/>
  <c r="M18" i="2"/>
  <c r="L18" i="2"/>
  <c r="K18" i="2"/>
  <c r="J18" i="2"/>
  <c r="I18" i="2"/>
  <c r="H18" i="2"/>
  <c r="G18" i="2"/>
  <c r="R17" i="2"/>
  <c r="Q17" i="2"/>
  <c r="P17" i="2"/>
  <c r="O17" i="2"/>
  <c r="N17" i="2"/>
  <c r="M17" i="2"/>
  <c r="L17" i="2"/>
  <c r="K17" i="2"/>
  <c r="J17" i="2"/>
  <c r="I17" i="2"/>
  <c r="H17" i="2"/>
  <c r="G17" i="2"/>
  <c r="R16" i="2"/>
  <c r="Q16" i="2"/>
  <c r="P16" i="2"/>
  <c r="O16" i="2"/>
  <c r="N16" i="2"/>
  <c r="M16" i="2"/>
  <c r="L16" i="2"/>
  <c r="K16" i="2"/>
  <c r="J16" i="2"/>
  <c r="I16" i="2"/>
  <c r="H16" i="2"/>
  <c r="G16" i="2"/>
  <c r="R15" i="2"/>
  <c r="Q15" i="2"/>
  <c r="P15" i="2"/>
  <c r="O15" i="2"/>
  <c r="N15" i="2"/>
  <c r="M15" i="2"/>
  <c r="L15" i="2"/>
  <c r="K15" i="2"/>
  <c r="J15" i="2"/>
  <c r="I15" i="2"/>
  <c r="H15" i="2"/>
  <c r="G15" i="2"/>
  <c r="H79" i="2" l="1"/>
  <c r="H87" i="2"/>
  <c r="O79" i="2"/>
  <c r="K79" i="2"/>
  <c r="G87" i="2"/>
  <c r="G81" i="2"/>
  <c r="Q79" i="2"/>
  <c r="M79" i="2"/>
  <c r="I79" i="2"/>
  <c r="R87" i="2"/>
  <c r="N87" i="2"/>
  <c r="J87" i="2"/>
  <c r="P87" i="2"/>
  <c r="L87" i="2"/>
  <c r="M81" i="2"/>
  <c r="I81" i="2"/>
  <c r="Q81" i="2"/>
  <c r="R81" i="2"/>
  <c r="N81" i="2"/>
  <c r="J81" i="2"/>
  <c r="H81" i="2"/>
  <c r="L81" i="2"/>
  <c r="P81" i="2"/>
  <c r="J79" i="2"/>
  <c r="N79" i="2"/>
  <c r="R58" i="2"/>
  <c r="Q58" i="2"/>
  <c r="P58" i="2"/>
  <c r="O58" i="2"/>
  <c r="N58" i="2"/>
  <c r="M58" i="2"/>
  <c r="L58" i="2"/>
  <c r="K58" i="2"/>
  <c r="J58" i="2"/>
  <c r="I58" i="2"/>
  <c r="G57" i="2"/>
  <c r="H58" i="2"/>
  <c r="G58" i="2"/>
  <c r="R57" i="2"/>
  <c r="Q57" i="2"/>
  <c r="P57" i="2"/>
  <c r="O57" i="2"/>
  <c r="N57" i="2"/>
  <c r="M57" i="2"/>
  <c r="L57" i="2"/>
  <c r="K57" i="2"/>
  <c r="J57" i="2"/>
  <c r="I57" i="2"/>
  <c r="H57" i="2"/>
  <c r="R55" i="2"/>
  <c r="Q55" i="2"/>
  <c r="P55" i="2"/>
  <c r="O55" i="2"/>
  <c r="N55" i="2"/>
  <c r="M55" i="2"/>
  <c r="L55" i="2"/>
  <c r="K55" i="2"/>
  <c r="J55" i="2"/>
  <c r="I55" i="2"/>
  <c r="H55" i="2"/>
  <c r="G55" i="2"/>
  <c r="R54" i="2"/>
  <c r="Q54" i="2"/>
  <c r="P54" i="2"/>
  <c r="O54" i="2"/>
  <c r="N54" i="2"/>
  <c r="M54" i="2"/>
  <c r="L54" i="2"/>
  <c r="K54" i="2" l="1"/>
  <c r="J54" i="2"/>
  <c r="I54" i="2"/>
  <c r="H54" i="2"/>
  <c r="G54" i="2"/>
  <c r="R52" i="2"/>
  <c r="Q52" i="2"/>
  <c r="P52" i="2"/>
  <c r="O52" i="2"/>
  <c r="N52" i="2"/>
  <c r="M52" i="2"/>
  <c r="L52" i="2"/>
  <c r="K52" i="2"/>
  <c r="J52" i="2"/>
  <c r="I52" i="2"/>
  <c r="H52" i="2"/>
  <c r="G52" i="2"/>
  <c r="R51" i="2"/>
  <c r="Q51" i="2"/>
  <c r="P51" i="2"/>
  <c r="O51" i="2"/>
  <c r="N51" i="2"/>
  <c r="M51" i="2"/>
  <c r="L51" i="2"/>
  <c r="K51" i="2"/>
  <c r="J51" i="2"/>
  <c r="I51" i="2"/>
  <c r="H51" i="2"/>
  <c r="G51" i="2"/>
  <c r="R50" i="2"/>
  <c r="Q50" i="2"/>
  <c r="P50" i="2"/>
  <c r="O50" i="2"/>
  <c r="N50" i="2"/>
  <c r="M50" i="2"/>
  <c r="L50" i="2"/>
  <c r="K50" i="2"/>
  <c r="J50" i="2"/>
  <c r="I50" i="2"/>
  <c r="H50" i="2"/>
  <c r="G50" i="2"/>
  <c r="R49" i="2"/>
  <c r="Q49" i="2"/>
  <c r="P49" i="2"/>
  <c r="O49" i="2"/>
  <c r="N49" i="2"/>
  <c r="M49" i="2"/>
  <c r="L49" i="2"/>
  <c r="K49" i="2"/>
  <c r="J49" i="2"/>
  <c r="I49" i="2"/>
  <c r="H49" i="2"/>
  <c r="G49" i="2"/>
  <c r="R32" i="2"/>
  <c r="Q32" i="2"/>
  <c r="P32" i="2"/>
  <c r="O32" i="2"/>
  <c r="N32" i="2"/>
  <c r="M32" i="2"/>
  <c r="L32" i="2"/>
  <c r="K32" i="2"/>
  <c r="J32" i="2"/>
  <c r="I32" i="2"/>
  <c r="H32" i="2"/>
  <c r="G32" i="2"/>
  <c r="R31" i="2"/>
  <c r="Q31" i="2"/>
  <c r="P31" i="2"/>
  <c r="O31" i="2"/>
  <c r="N31" i="2"/>
  <c r="M31" i="2"/>
  <c r="L31" i="2"/>
  <c r="K31" i="2"/>
  <c r="J31" i="2"/>
  <c r="I31" i="2"/>
  <c r="H31" i="2"/>
  <c r="G31" i="2"/>
  <c r="C93" i="2"/>
  <c r="C94" i="2"/>
  <c r="C95" i="2"/>
  <c r="C96" i="2"/>
  <c r="C97" i="2"/>
  <c r="C98" i="2"/>
  <c r="C99" i="2"/>
  <c r="C100" i="2"/>
  <c r="G93" i="2"/>
  <c r="G94" i="2"/>
  <c r="G95" i="2"/>
  <c r="G96" i="2"/>
  <c r="G97" i="2"/>
  <c r="G98" i="2"/>
  <c r="G99" i="2"/>
  <c r="G100" i="2"/>
  <c r="R85" i="2" l="1"/>
  <c r="Q85" i="2"/>
  <c r="P85" i="2"/>
  <c r="O85" i="2"/>
  <c r="N85" i="2"/>
  <c r="M85" i="2"/>
  <c r="L85" i="2"/>
  <c r="K85" i="2"/>
  <c r="J85" i="2"/>
  <c r="I85" i="2"/>
  <c r="H85" i="2"/>
  <c r="G85" i="2"/>
  <c r="R86" i="2"/>
  <c r="Q86" i="2"/>
  <c r="P86" i="2"/>
  <c r="O86" i="2"/>
  <c r="N86" i="2"/>
  <c r="M86" i="2"/>
  <c r="L86" i="2"/>
  <c r="K86" i="2"/>
  <c r="J86" i="2"/>
  <c r="I86" i="2"/>
  <c r="H86" i="2"/>
  <c r="G86" i="2"/>
  <c r="R84" i="2"/>
  <c r="Q84" i="2"/>
  <c r="P84" i="2"/>
  <c r="O84" i="2"/>
  <c r="N84" i="2"/>
  <c r="M84" i="2"/>
  <c r="L84" i="2"/>
  <c r="K84" i="2"/>
  <c r="J84" i="2"/>
  <c r="I84" i="2"/>
  <c r="H84" i="2"/>
  <c r="G84" i="2"/>
  <c r="R80" i="2"/>
  <c r="Q80" i="2"/>
  <c r="P80" i="2"/>
  <c r="O80" i="2"/>
  <c r="N80" i="2"/>
  <c r="M80" i="2"/>
  <c r="L80" i="2"/>
  <c r="K80" i="2"/>
  <c r="J80" i="2"/>
  <c r="I80" i="2"/>
  <c r="H80" i="2"/>
  <c r="G80" i="2"/>
  <c r="R78" i="2"/>
  <c r="Q78" i="2"/>
  <c r="P78" i="2"/>
  <c r="O78" i="2"/>
  <c r="N78" i="2"/>
  <c r="M78" i="2"/>
  <c r="L78" i="2"/>
  <c r="K78" i="2"/>
  <c r="J78" i="2"/>
  <c r="I78" i="2"/>
  <c r="H78" i="2"/>
  <c r="R56" i="2"/>
  <c r="Q56" i="2"/>
  <c r="P56" i="2"/>
  <c r="O56" i="2"/>
  <c r="N56" i="2"/>
  <c r="M56" i="2"/>
  <c r="L56" i="2"/>
  <c r="K56" i="2"/>
  <c r="J56" i="2"/>
  <c r="I56" i="2"/>
  <c r="H56" i="2"/>
  <c r="R35" i="2"/>
  <c r="Q35" i="2"/>
  <c r="P35" i="2"/>
  <c r="O35" i="2"/>
  <c r="N35" i="2"/>
  <c r="M35" i="2"/>
  <c r="L35" i="2"/>
  <c r="K35" i="2"/>
  <c r="J35" i="2"/>
  <c r="I35" i="2"/>
  <c r="H35" i="2"/>
  <c r="G35" i="2"/>
  <c r="R34" i="2"/>
  <c r="Q34" i="2"/>
  <c r="P34" i="2"/>
  <c r="O34" i="2"/>
  <c r="N34" i="2"/>
  <c r="M34" i="2"/>
  <c r="L34" i="2"/>
  <c r="K34" i="2"/>
  <c r="J34" i="2"/>
  <c r="I34" i="2"/>
  <c r="H34" i="2"/>
  <c r="G34" i="2"/>
  <c r="R33" i="2"/>
  <c r="Q33" i="2"/>
  <c r="P33" i="2"/>
  <c r="O33" i="2"/>
  <c r="N33" i="2"/>
  <c r="M33" i="2"/>
  <c r="L33" i="2"/>
  <c r="K33" i="2"/>
  <c r="J33" i="2"/>
  <c r="I33" i="2"/>
  <c r="H33" i="2"/>
  <c r="G33" i="2"/>
  <c r="G56" i="2"/>
  <c r="O88" i="2" l="1"/>
  <c r="G88" i="2"/>
  <c r="R88" i="2"/>
  <c r="P88" i="2"/>
  <c r="N88" i="2"/>
  <c r="M88" i="2"/>
  <c r="Q88" i="2"/>
  <c r="L88" i="2"/>
  <c r="K88" i="2"/>
  <c r="J88" i="2"/>
  <c r="I88" i="2"/>
  <c r="H88" i="2"/>
  <c r="L59" i="2"/>
  <c r="N59" i="2"/>
  <c r="M59" i="2"/>
  <c r="K59" i="2"/>
  <c r="I59" i="2"/>
  <c r="R59" i="2"/>
  <c r="Q59" i="2"/>
  <c r="P59" i="2"/>
  <c r="O59" i="2"/>
  <c r="J59" i="2"/>
  <c r="H59" i="2"/>
  <c r="G59" i="2"/>
  <c r="M36" i="2"/>
  <c r="I36" i="2"/>
  <c r="R36" i="2"/>
  <c r="Q36" i="2"/>
  <c r="L36" i="2"/>
  <c r="J36" i="2"/>
  <c r="G36" i="2"/>
  <c r="P36" i="2"/>
  <c r="O36" i="2"/>
  <c r="N36" i="2"/>
  <c r="K36" i="2"/>
  <c r="H36" i="2"/>
</calcChain>
</file>

<file path=xl/sharedStrings.xml><?xml version="1.0" encoding="utf-8"?>
<sst xmlns="http://schemas.openxmlformats.org/spreadsheetml/2006/main" count="178" uniqueCount="130">
  <si>
    <t>Month</t>
  </si>
  <si>
    <t>HD1NAM</t>
  </si>
  <si>
    <t>HD3NAM</t>
  </si>
  <si>
    <t>HDHOCVIEC</t>
  </si>
  <si>
    <t>THUVIEC</t>
  </si>
  <si>
    <t>tgGA</t>
  </si>
  <si>
    <t>tgMA</t>
  </si>
  <si>
    <t>tgPL</t>
  </si>
  <si>
    <t>tgPr</t>
  </si>
  <si>
    <t>tgQD</t>
  </si>
  <si>
    <t>Tháng</t>
  </si>
  <si>
    <t>HĐ 1 năm</t>
  </si>
  <si>
    <t>HDĐ 3 năm</t>
  </si>
  <si>
    <t>HĐ học việc</t>
  </si>
  <si>
    <t>Thử việc</t>
  </si>
  <si>
    <t>Hành chính tổng hợp</t>
  </si>
  <si>
    <t>Bảo trì</t>
  </si>
  <si>
    <t>Mua hàng và Logictics</t>
  </si>
  <si>
    <t>Sản xuất</t>
  </si>
  <si>
    <t>Chất lượng</t>
  </si>
  <si>
    <t>Tăng hành chính</t>
  </si>
  <si>
    <t>Tăng bảo trì</t>
  </si>
  <si>
    <t>Tăng mua hàng</t>
  </si>
  <si>
    <t>Tăng sản xuất</t>
  </si>
  <si>
    <t>Tăng chất lượng</t>
  </si>
  <si>
    <t>1. Employees Status ( 근무인원 현황)</t>
    <phoneticPr fontId="0" type="noConversion"/>
  </si>
  <si>
    <t>Korean-Vietnames ( 주재원-현지)</t>
    <phoneticPr fontId="0" type="noConversion"/>
  </si>
  <si>
    <t>No</t>
    <phoneticPr fontId="0" type="noConversion"/>
  </si>
  <si>
    <t>Nationality</t>
    <phoneticPr fontId="0" type="noConversion"/>
  </si>
  <si>
    <t>Jan</t>
    <phoneticPr fontId="0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</si>
  <si>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</si>
  <si>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</si>
  <si>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</si>
  <si>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</si>
  <si>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</si>
  <si>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</si>
  <si>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</si>
  <si>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</si>
  <si>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</si>
  <si>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</si>
  <si>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</si>
  <si>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Korea</t>
    <phoneticPr fontId="0" type="noConversion"/>
  </si>
  <si>
    <t>Vietnamese</t>
    <phoneticPr fontId="0" type="noConversion"/>
  </si>
  <si>
    <t>Employees status ( 직원 현황)</t>
    <phoneticPr fontId="0" type="noConversion"/>
  </si>
  <si>
    <t>Employees status(현황)</t>
    <phoneticPr fontId="0" type="noConversion"/>
  </si>
  <si>
    <t>Intern</t>
    <phoneticPr fontId="0" type="noConversion"/>
  </si>
  <si>
    <t>Probation</t>
    <phoneticPr fontId="0" type="noConversion"/>
  </si>
  <si>
    <t xml:space="preserve">1Year contract </t>
    <phoneticPr fontId="0" type="noConversion"/>
  </si>
  <si>
    <t>3Year contract</t>
    <phoneticPr fontId="0" type="noConversion"/>
  </si>
  <si>
    <t>Permanent</t>
    <phoneticPr fontId="0" type="noConversion"/>
  </si>
  <si>
    <t>Total</t>
    <phoneticPr fontId="0" type="noConversion"/>
  </si>
  <si>
    <t>By Department ( 부서별 인원 현황)</t>
    <phoneticPr fontId="0" type="noConversion"/>
  </si>
  <si>
    <t>Department</t>
    <phoneticPr fontId="0" type="noConversion"/>
  </si>
  <si>
    <t>General administration</t>
    <phoneticPr fontId="0" type="noConversion"/>
  </si>
  <si>
    <t>Production</t>
    <phoneticPr fontId="0" type="noConversion"/>
  </si>
  <si>
    <t>Quality</t>
    <phoneticPr fontId="0" type="noConversion"/>
  </si>
  <si>
    <t>Purchasing &amp; Logistics</t>
    <phoneticPr fontId="0" type="noConversion"/>
  </si>
  <si>
    <t>Employees turnover ( 부서별 인원 변동 현황)</t>
    <phoneticPr fontId="0" type="noConversion"/>
  </si>
  <si>
    <t>General adm +</t>
    <phoneticPr fontId="0" type="noConversion"/>
  </si>
  <si>
    <t>General adm -</t>
    <phoneticPr fontId="0" type="noConversion"/>
  </si>
  <si>
    <t>Production +</t>
    <phoneticPr fontId="0" type="noConversion"/>
  </si>
  <si>
    <t>Production -</t>
    <phoneticPr fontId="0" type="noConversion"/>
  </si>
  <si>
    <t>Quality +</t>
    <phoneticPr fontId="0" type="noConversion"/>
  </si>
  <si>
    <t>Quality -</t>
    <phoneticPr fontId="0" type="noConversion"/>
  </si>
  <si>
    <t>Pur &amp; Log +</t>
    <phoneticPr fontId="0" type="noConversion"/>
  </si>
  <si>
    <t>Pur &amp; Log -</t>
    <phoneticPr fontId="0" type="noConversion"/>
  </si>
  <si>
    <t>Reason for Resignation ( 퇴사 사유별)</t>
    <phoneticPr fontId="0" type="noConversion"/>
  </si>
  <si>
    <t>Reason</t>
    <phoneticPr fontId="0" type="noConversion"/>
  </si>
  <si>
    <t># of Employees</t>
    <phoneticPr fontId="0" type="noConversion"/>
  </si>
  <si>
    <t>HDVTH</t>
  </si>
  <si>
    <t>HĐ vô thời hạn</t>
  </si>
  <si>
    <t>TerminationCode</t>
  </si>
  <si>
    <t>ReasonTernimated</t>
  </si>
  <si>
    <t>Mã nghỉ</t>
  </si>
  <si>
    <t>Lý do</t>
  </si>
  <si>
    <t>CountEmployeeTerminated</t>
  </si>
  <si>
    <t>Số lượng</t>
  </si>
  <si>
    <t>Type</t>
  </si>
  <si>
    <t>Resident</t>
  </si>
  <si>
    <t>Travel</t>
  </si>
  <si>
    <t>Indirect</t>
  </si>
  <si>
    <t>Direct</t>
  </si>
  <si>
    <t>Managerment</t>
  </si>
  <si>
    <t>Office</t>
  </si>
  <si>
    <t>Other</t>
  </si>
  <si>
    <t>Industrial Engineer</t>
  </si>
  <si>
    <t>W/H</t>
  </si>
  <si>
    <t>MAN_</t>
  </si>
  <si>
    <t>GA_Office</t>
  </si>
  <si>
    <t>GA_Other</t>
  </si>
  <si>
    <t>GA_</t>
  </si>
  <si>
    <t>Pr_Direct</t>
  </si>
  <si>
    <t>Pr_Indirect</t>
  </si>
  <si>
    <t>MA_Office</t>
  </si>
  <si>
    <t>MA_Other</t>
  </si>
  <si>
    <t>PL_Office</t>
  </si>
  <si>
    <t>PL_</t>
  </si>
  <si>
    <t>PL_WH</t>
  </si>
  <si>
    <t>MA_</t>
  </si>
  <si>
    <t>Pr_</t>
  </si>
  <si>
    <t>QD_</t>
  </si>
  <si>
    <t>tgMAN</t>
  </si>
  <si>
    <t>Tăng quản lý</t>
  </si>
  <si>
    <t>Quản lý</t>
  </si>
  <si>
    <t>Văn phòng</t>
  </si>
  <si>
    <t>Văn phòng khác</t>
  </si>
  <si>
    <t>Bảo trì văn phòng</t>
  </si>
  <si>
    <t>Bảo trì khác</t>
  </si>
  <si>
    <t>Mua hàng và Logictics - VP</t>
  </si>
  <si>
    <t>Mua hàng và Logictics - Nhà kho</t>
  </si>
  <si>
    <t>Sản xuất - Trực tiếp</t>
  </si>
  <si>
    <t>Sản xuất - Gián tiếp</t>
  </si>
  <si>
    <t>Approved H/C</t>
  </si>
  <si>
    <t>Over/Less</t>
  </si>
  <si>
    <t>Vietnamese_Direct</t>
  </si>
  <si>
    <t>NonVietnamese_Resident</t>
  </si>
  <si>
    <t>Vietnamese_Indirect</t>
  </si>
  <si>
    <t>NonVietnamese_Travel</t>
  </si>
  <si>
    <t>Việt nam TT Sản xuất</t>
  </si>
  <si>
    <t>Việt nam GT Sản xuất</t>
  </si>
  <si>
    <t>Người nước ngoài k cư trú</t>
  </si>
  <si>
    <t>Người nước ngoài cư trú</t>
  </si>
  <si>
    <t>Management +</t>
  </si>
  <si>
    <t>Managenent -</t>
  </si>
  <si>
    <t>Industrial Eng +</t>
  </si>
  <si>
    <t>Industrial Eng -</t>
  </si>
  <si>
    <t>Quản lý sản xuất</t>
  </si>
  <si>
    <t>tgPM</t>
  </si>
  <si>
    <t>Tăng quản lý sản xuất</t>
  </si>
  <si>
    <t>PM_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</si>
</sst>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Sheet2!$C$49</c:f>
              <c:strCache>
                <c:ptCount val="1"/>
                <c:pt idx="0">
                  <c:v>Managerment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Sheet2!$G$49:$R$49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F-49BA-9240-732F44CEE581}"/>
            </c:ext>
          </c:extLst>
        </c:ser>
        <c:ser>
          <c:idx val="1"/>
          <c:order val="1"/>
          <c:tx>
            <c:strRef>
              <c:f>Sheet2!$C$50:$D$50</c:f>
              <c:strCache>
                <c:ptCount val="2"/>
                <c:pt idx="0">
                  <c:v>General administration</c:v>
                </c:pt>
                <c:pt idx="1">
                  <c:v>Office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Sheet2!$G$50:$R$50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F-49BA-9240-732F44CEE581}"/>
            </c:ext>
          </c:extLst>
        </c:ser>
        <c:ser>
          <c:idx val="5"/>
          <c:order val="2"/>
          <c:tx>
            <c:strRef>
              <c:f>Sheet2!$C$51:$D$51</c:f>
              <c:strCache>
                <c:ptCount val="2"/>
                <c:pt idx="0">
                  <c:v>General administration</c:v>
                </c:pt>
                <c:pt idx="1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Sheet2!$G$51:$R$51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6-4456-9C0D-AF622FAEC346}"/>
            </c:ext>
          </c:extLst>
        </c:ser>
        <c:ser>
          <c:idx val="2"/>
          <c:order val="3"/>
          <c:tx>
            <c:strRef>
              <c:f>Sheet2!$C$52:$D$52</c:f>
              <c:strCache>
                <c:ptCount val="2"/>
                <c:pt idx="0">
                  <c:v>Production</c:v>
                </c:pt>
                <c:pt idx="1">
                  <c:v>Direct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Sheet2!$G$52:$R$52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F-49BA-9240-732F44CEE581}"/>
            </c:ext>
          </c:extLst>
        </c:ser>
        <c:ser>
          <c:idx val="6"/>
          <c:order val="4"/>
          <c:tx>
            <c:strRef>
              <c:f>Sheet2!$C$53:$D$53</c:f>
              <c:strCache>
                <c:ptCount val="2"/>
                <c:pt idx="0">
                  <c:v>Production</c:v>
                </c:pt>
                <c:pt idx="1">
                  <c:v>Indirect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Sheet2!$G$53:$R$53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F6-4456-9C0D-AF622FAEC346}"/>
            </c:ext>
          </c:extLst>
        </c:ser>
        <c:ser>
          <c:idx val="7"/>
          <c:order val="5"/>
          <c:tx>
            <c:strRef>
              <c:f>Sheet2!$C$54:$D$54</c:f>
              <c:strCache>
                <c:ptCount val="2"/>
                <c:pt idx="0">
                  <c:v>Industrial Engineer</c:v>
                </c:pt>
                <c:pt idx="1">
                  <c:v>Office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Sheet2!$G$54:$R$54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F6-4456-9C0D-AF622FAEC346}"/>
            </c:ext>
          </c:extLst>
        </c:ser>
        <c:ser>
          <c:idx val="8"/>
          <c:order val="6"/>
          <c:tx>
            <c:strRef>
              <c:f>Sheet2!$C$55:$D$55</c:f>
              <c:strCache>
                <c:ptCount val="2"/>
                <c:pt idx="0">
                  <c:v>Industrial Engineer</c:v>
                </c:pt>
                <c:pt idx="1">
                  <c:v>Other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Sheet2!$G$55:$R$55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F6-4456-9C0D-AF622FAEC346}"/>
            </c:ext>
          </c:extLst>
        </c:ser>
        <c:ser>
          <c:idx val="3"/>
          <c:order val="7"/>
          <c:tx>
            <c:strRef>
              <c:f>Sheet2!$C$56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Sheet2!$G$56:$R$56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F-49BA-9240-732F44CEE581}"/>
            </c:ext>
          </c:extLst>
        </c:ser>
        <c:ser>
          <c:idx val="4"/>
          <c:order val="8"/>
          <c:tx>
            <c:strRef>
              <c:f>Sheet2!$C$57:$D$57</c:f>
              <c:strCache>
                <c:ptCount val="2"/>
                <c:pt idx="0">
                  <c:v>Purchasing &amp; Logistics</c:v>
                </c:pt>
                <c:pt idx="1">
                  <c:v>Office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Sheet2!$G$57:$R$57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5F-49BA-9240-732F44CEE581}"/>
            </c:ext>
          </c:extLst>
        </c:ser>
        <c:ser>
          <c:idx val="9"/>
          <c:order val="9"/>
          <c:tx>
            <c:strRef>
              <c:f>Sheet2!$C$58:$D$58</c:f>
              <c:strCache>
                <c:ptCount val="2"/>
                <c:pt idx="0">
                  <c:v>Purchasing &amp; Logistics</c:v>
                </c:pt>
                <c:pt idx="1">
                  <c:v>W/H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Sheet2!$G$48:$R$48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Sheet2!$G$58:$R$58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F6-4456-9C0D-AF622FAEC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8193904"/>
        <c:axId val="608184336"/>
      </c:barChart>
      <c:catAx>
        <c:axId val="6081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84336"/>
        <c:crosses val="autoZero"/>
        <c:auto val="1"/>
        <c:lblAlgn val="ctr"/>
        <c:lblOffset val="100"/>
        <c:noMultiLvlLbl val="0"/>
      </c:catAx>
      <c:valAx>
        <c:axId val="6081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1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0"/>
          <c:order val="0"/>
          <c:tx>
            <c:strRef>
              <c:f>Sheet2!$C$76</c:f>
              <c:strCache>
                <c:ptCount val="1"/>
                <c:pt idx="0">
                  <c:v>Management +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Sheet2!$G$76:$R$76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B7-4A2A-83D3-4AA8637B65D7}"/>
            </c:ext>
          </c:extLst>
        </c:ser>
        <c:ser>
          <c:idx val="11"/>
          <c:order val="1"/>
          <c:tx>
            <c:strRef>
              <c:f>Sheet2!$C$77</c:f>
              <c:strCache>
                <c:ptCount val="1"/>
                <c:pt idx="0">
                  <c:v>Managenent -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Sheet2!$G$77:$R$77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B7-4A2A-83D3-4AA8637B65D7}"/>
            </c:ext>
          </c:extLst>
        </c:ser>
        <c:ser>
          <c:idx val="0"/>
          <c:order val="2"/>
          <c:tx>
            <c:strRef>
              <c:f>Sheet2!$C$78</c:f>
              <c:strCache>
                <c:ptCount val="1"/>
                <c:pt idx="0">
                  <c:v>Industrial Eng 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Sheet2!$G$78:$R$78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4-48AA-935B-6FEF5200CAD0}"/>
            </c:ext>
          </c:extLst>
        </c:ser>
        <c:ser>
          <c:idx val="1"/>
          <c:order val="3"/>
          <c:tx>
            <c:strRef>
              <c:f>Sheet2!$C$79</c:f>
              <c:strCache>
                <c:ptCount val="1"/>
                <c:pt idx="0">
                  <c:v>Industrial Eng -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Sheet2!$G$79:$R$79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4-48AA-935B-6FEF5200CAD0}"/>
            </c:ext>
          </c:extLst>
        </c:ser>
        <c:ser>
          <c:idx val="2"/>
          <c:order val="4"/>
          <c:tx>
            <c:strRef>
              <c:f>Sheet2!$C$80</c:f>
              <c:strCache>
                <c:ptCount val="1"/>
                <c:pt idx="0">
                  <c:v>General adm 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Sheet2!$G$80:$R$80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4-48AA-935B-6FEF5200CAD0}"/>
            </c:ext>
          </c:extLst>
        </c:ser>
        <c:ser>
          <c:idx val="3"/>
          <c:order val="5"/>
          <c:tx>
            <c:strRef>
              <c:f>Sheet2!$C$81</c:f>
              <c:strCache>
                <c:ptCount val="1"/>
                <c:pt idx="0">
                  <c:v>General adm -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Sheet2!$G$81:$R$81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4-48AA-935B-6FEF5200CAD0}"/>
            </c:ext>
          </c:extLst>
        </c:ser>
        <c:ser>
          <c:idx val="4"/>
          <c:order val="6"/>
          <c:tx>
            <c:strRef>
              <c:f>Sheet2!$C$82</c:f>
              <c:strCache>
                <c:ptCount val="1"/>
                <c:pt idx="0">
                  <c:v>Production +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Sheet2!$G$82:$R$82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D4-48AA-935B-6FEF5200CAD0}"/>
            </c:ext>
          </c:extLst>
        </c:ser>
        <c:ser>
          <c:idx val="5"/>
          <c:order val="7"/>
          <c:tx>
            <c:strRef>
              <c:f>Sheet2!$C$83</c:f>
              <c:strCache>
                <c:ptCount val="1"/>
                <c:pt idx="0">
                  <c:v>Production -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Sheet2!$G$83:$R$83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D4-48AA-935B-6FEF5200CAD0}"/>
            </c:ext>
          </c:extLst>
        </c:ser>
        <c:ser>
          <c:idx val="6"/>
          <c:order val="8"/>
          <c:tx>
            <c:strRef>
              <c:f>Sheet2!$C$84</c:f>
              <c:strCache>
                <c:ptCount val="1"/>
                <c:pt idx="0">
                  <c:v>Quality +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Sheet2!$G$84:$R$84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D4-48AA-935B-6FEF5200CAD0}"/>
            </c:ext>
          </c:extLst>
        </c:ser>
        <c:ser>
          <c:idx val="7"/>
          <c:order val="9"/>
          <c:tx>
            <c:strRef>
              <c:f>Sheet2!$C$85</c:f>
              <c:strCache>
                <c:ptCount val="1"/>
                <c:pt idx="0">
                  <c:v>Quality -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Sheet2!$G$85:$R$85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D4-48AA-935B-6FEF5200CAD0}"/>
            </c:ext>
          </c:extLst>
        </c:ser>
        <c:ser>
          <c:idx val="8"/>
          <c:order val="10"/>
          <c:tx>
            <c:strRef>
              <c:f>Sheet2!$C$86</c:f>
              <c:strCache>
                <c:ptCount val="1"/>
                <c:pt idx="0">
                  <c:v>Pur &amp; Log +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Sheet2!$G$86:$R$86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D4-48AA-935B-6FEF5200CAD0}"/>
            </c:ext>
          </c:extLst>
        </c:ser>
        <c:ser>
          <c:idx val="9"/>
          <c:order val="11"/>
          <c:tx>
            <c:strRef>
              <c:f>Sheet2!$C$87</c:f>
              <c:strCache>
                <c:ptCount val="1"/>
                <c:pt idx="0">
                  <c:v>Pur &amp; Log -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Sheet2!$G$75:$R$75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Sheet2!$G$87:$R$87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D4-48AA-935B-6FEF5200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634928"/>
        <c:axId val="703645744"/>
      </c:barChart>
      <c:catAx>
        <c:axId val="7036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45744"/>
        <c:crosses val="autoZero"/>
        <c:auto val="1"/>
        <c:lblAlgn val="ctr"/>
        <c:lblOffset val="100"/>
        <c:noMultiLvlLbl val="0"/>
      </c:catAx>
      <c:valAx>
        <c:axId val="7036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Sheet2!$C$31</c:f>
              <c:strCache>
                <c:ptCount val="1"/>
                <c:pt idx="0">
                  <c:v>Intern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Sheet2!$G$30:$R$30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Sheet2!$G$31:$R$31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E-4D2D-A33A-A95198BD7F5E}"/>
            </c:ext>
          </c:extLst>
        </c:ser>
        <c:ser>
          <c:idx val="1"/>
          <c:order val="1"/>
          <c:tx>
            <c:strRef>
              <c:f>Sheet2!$C$32</c:f>
              <c:strCache>
                <c:ptCount val="1"/>
                <c:pt idx="0">
                  <c:v>Probation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Sheet2!$G$30:$R$30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Sheet2!$G$32:$R$32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E-4D2D-A33A-A95198BD7F5E}"/>
            </c:ext>
          </c:extLst>
        </c:ser>
        <c:ser>
          <c:idx val="2"/>
          <c:order val="2"/>
          <c:tx>
            <c:strRef>
              <c:f>Sheet2!$C$33</c:f>
              <c:strCache>
                <c:ptCount val="1"/>
                <c:pt idx="0">
                  <c:v>1Year contract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Sheet2!$G$30:$R$30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Sheet2!$G$33:$R$33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E-4D2D-A33A-A95198BD7F5E}"/>
            </c:ext>
          </c:extLst>
        </c:ser>
        <c:ser>
          <c:idx val="3"/>
          <c:order val="3"/>
          <c:tx>
            <c:strRef>
              <c:f>Sheet2!$C$34</c:f>
              <c:strCache>
                <c:ptCount val="1"/>
                <c:pt idx="0">
                  <c:v>3Year contract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Sheet2!$G$30:$R$30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Sheet2!$G$34:$R$34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5E-4D2D-A33A-A95198BD7F5E}"/>
            </c:ext>
          </c:extLst>
        </c:ser>
        <c:ser>
          <c:idx val="4"/>
          <c:order val="4"/>
          <c:tx>
            <c:strRef>
              <c:f>Sheet2!$C$35</c:f>
              <c:strCache>
                <c:ptCount val="1"/>
                <c:pt idx="0">
                  <c:v>Permanent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Sheet2!$G$30:$R$30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Sheet2!$G$35:$R$35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5E-4D2D-A33A-A95198BD7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2786976"/>
        <c:axId val="2132788224"/>
      </c:barChart>
      <c:catAx>
        <c:axId val="21327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8224"/>
        <c:crosses val="autoZero"/>
        <c:auto val="1"/>
        <c:lblAlgn val="ctr"/>
        <c:lblOffset val="100"/>
        <c:noMultiLvlLbl val="0"/>
      </c:catAx>
      <c:valAx>
        <c:axId val="21327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Sheet2!$C$15:$D$15</c:f>
              <c:strCache>
                <c:ptCount val="2"/>
                <c:pt idx="0">
                  <c:v>Korea</c:v>
                </c:pt>
                <c:pt idx="1">
                  <c:v>Resident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Sheet2!$G$14:$R$14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Sheet2!$G$15:$R$15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B-4892-98B0-A6A798C79C6F}"/>
            </c:ext>
          </c:extLst>
        </c:ser>
        <c:ser>
          <c:idx val="2"/>
          <c:order val="1"/>
          <c:tx>
            <c:strRef>
              <c:f>Sheet2!$C$16:$D$16</c:f>
              <c:strCache>
                <c:ptCount val="2"/>
                <c:pt idx="0">
                  <c:v>Korea</c:v>
                </c:pt>
                <c:pt idx="1">
                  <c:v>Travel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Sheet2!$G$14:$R$14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Sheet2!$G$16:$R$16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C-4616-9F42-77406175A122}"/>
            </c:ext>
          </c:extLst>
        </c:ser>
        <c:ser>
          <c:idx val="1"/>
          <c:order val="2"/>
          <c:tx>
            <c:strRef>
              <c:f>Sheet2!$C$17:$D$17</c:f>
              <c:strCache>
                <c:ptCount val="2"/>
                <c:pt idx="0">
                  <c:v>Vietnamese</c:v>
                </c:pt>
                <c:pt idx="1">
                  <c:v>Indirect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Sheet2!$G$14:$R$14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Sheet2!$G$17:$R$17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B-4892-98B0-A6A798C79C6F}"/>
            </c:ext>
          </c:extLst>
        </c:ser>
        <c:ser>
          <c:idx val="3"/>
          <c:order val="3"/>
          <c:tx>
            <c:strRef>
              <c:f>Sheet2!$C$18:$D$18</c:f>
              <c:strCache>
                <c:ptCount val="2"/>
                <c:pt idx="0">
                  <c:v>Vietnamese</c:v>
                </c:pt>
                <c:pt idx="1">
                  <c:v>Direct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Sheet2!$G$14:$R$14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Sheet2!$G$18:$R$18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6C-4616-9F42-77406175A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2787392"/>
        <c:axId val="2132790304"/>
      </c:barChart>
      <c:catAx>
        <c:axId val="21327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90304"/>
        <c:crosses val="autoZero"/>
        <c:auto val="1"/>
        <c:lblAlgn val="ctr"/>
        <c:lblOffset val="100"/>
        <c:noMultiLvlLbl val="0"/>
      </c:catAx>
      <c:valAx>
        <c:axId val="21327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Resignation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Sheet2!$C$93:$C$100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Sheet2!$C$92:$C$100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F-4AC2-B34B-F2C1E1F6021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Sheet2!$C$93:$C$100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Sheet2!$G$92:$G$100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5AF-4AC2-B34B-F2C1E1F6021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Sheet2!$C$93:$C$100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Sheet2!$H$92:$H$100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BC0C-4BBA-B1D0-2644EDDF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684080"/>
        <c:axId val="636691296"/>
        <c:extLst/>
      </c:barChart>
      <c:catAx>
        <c:axId val="6366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91296"/>
        <c:crosses val="autoZero"/>
        <c:auto val="1"/>
        <c:lblAlgn val="ctr"/>
        <c:lblOffset val="100"/>
        <c:noMultiLvlLbl val="0"/>
      </c:catAx>
      <c:valAx>
        <c:axId val="63669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38</xdr:row>
      <xdr:rowOff>114301</xdr:rowOff>
    </xdr:from>
    <xdr:to>
      <xdr:col>18</xdr:col>
      <xdr:colOff>47625</xdr:colOff>
      <xdr:row>46</xdr:row>
      <xdr:rowOff>152401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C121935-8AE7-4310-8F21-568FC34CE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61</xdr:row>
      <xdr:rowOff>76200</xdr:rowOff>
    </xdr:from>
    <xdr:to>
      <xdr:col>18</xdr:col>
      <xdr:colOff>0</xdr:colOff>
      <xdr:row>73</xdr:row>
      <xdr:rowOff>19050</xdr:rowOff>
    </xdr:to>
    <xdr:graphicFrame macro="">
      <xdr:nvGraphicFramePr>
        <xdr:cNvPr id="3" name="차트 4">
          <a:extLst>
            <a:ext uri="{FF2B5EF4-FFF2-40B4-BE49-F238E27FC236}">
              <a16:creationId xmlns:a16="http://schemas.microsoft.com/office/drawing/2014/main" id="{DB4D1F17-A52D-40D6-B021-168DCEB01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9524</xdr:colOff>
      <xdr:row>20</xdr:row>
      <xdr:rowOff>9525</xdr:rowOff>
    </xdr:from>
    <xdr:to>
      <xdr:col>17</xdr:col>
      <xdr:colOff>600074</xdr:colOff>
      <xdr:row>28</xdr:row>
      <xdr:rowOff>114300</xdr:rowOff>
    </xdr:to>
    <xdr:graphicFrame macro="">
      <xdr:nvGraphicFramePr>
        <xdr:cNvPr id="4" name="차트 7">
          <a:extLst>
            <a:ext uri="{FF2B5EF4-FFF2-40B4-BE49-F238E27FC236}">
              <a16:creationId xmlns:a16="http://schemas.microsoft.com/office/drawing/2014/main" id="{F9764349-01DA-4DB9-A9BB-8241888E5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600075</xdr:colOff>
      <xdr:row>4</xdr:row>
      <xdr:rowOff>190499</xdr:rowOff>
    </xdr:from>
    <xdr:to>
      <xdr:col>18</xdr:col>
      <xdr:colOff>0</xdr:colOff>
      <xdr:row>12</xdr:row>
      <xdr:rowOff>38099</xdr:rowOff>
    </xdr:to>
    <xdr:graphicFrame macro="">
      <xdr:nvGraphicFramePr>
        <xdr:cNvPr id="5" name="차트 9">
          <a:extLst>
            <a:ext uri="{FF2B5EF4-FFF2-40B4-BE49-F238E27FC236}">
              <a16:creationId xmlns:a16="http://schemas.microsoft.com/office/drawing/2014/main" id="{AFBCF7B7-AF3C-41C7-A977-44A754DB2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57150</xdr:colOff>
      <xdr:row>0</xdr:row>
      <xdr:rowOff>0</xdr:rowOff>
    </xdr:from>
    <xdr:to>
      <xdr:col>18</xdr:col>
      <xdr:colOff>33600</xdr:colOff>
      <xdr:row>2</xdr:row>
      <xdr:rowOff>150422</xdr:rowOff>
    </xdr:to>
    <xdr:pic>
      <xdr:nvPicPr>
        <xdr:cNvPr id="7" name="그림 12">
          <a:extLst>
            <a:ext uri="{FF2B5EF4-FFF2-40B4-BE49-F238E27FC236}">
              <a16:creationId xmlns:a16="http://schemas.microsoft.com/office/drawing/2014/main" id="{303DB93E-2439-41EF-B971-5252247E0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0"/>
          <a:ext cx="1043250" cy="531422"/>
        </a:xfrm>
        <a:prstGeom prst="rect">
          <a:avLst/>
        </a:prstGeom>
      </xdr:spPr>
    </xdr:pic>
    <xdr:clientData/>
  </xdr:twoCellAnchor>
  <xdr:twoCellAnchor>
    <xdr:from>
      <xdr:col>8</xdr:col>
      <xdr:colOff>238125</xdr:colOff>
      <xdr:row>90</xdr:row>
      <xdr:rowOff>76200</xdr:rowOff>
    </xdr:from>
    <xdr:to>
      <xdr:col>17</xdr:col>
      <xdr:colOff>514351</xdr:colOff>
      <xdr:row>100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978732-9492-402D-9C01-86FF0B0A4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N19"/>
  <sheetViews>
    <sheetView workbookViewId="0">
      <pane xSplit="2" ySplit="6" topLeftCell="K7" activePane="bottomRight" state="frozen"/>
      <selection pane="topRight" activeCell="C1" sqref="C1"/>
      <selection pane="bottomLeft" activeCell="A7" sqref="A7"/>
      <selection pane="bottomRight" activeCell="X6" sqref="X6"/>
    </sheetView>
  </sheetViews>
  <sheetFormatPr defaultRowHeight="15"/>
  <cols>
    <col min="2" max="36" width="11.7109375" style="1" customWidth="1"/>
    <col min="37" max="37" width="11.85546875" style="1" customWidth="1"/>
    <col min="38" max="39" width="11.85546875" customWidth="1"/>
  </cols>
  <sheetData>
    <row r="4" spans="2:40">
      <c r="B4" s="1">
        <v>1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2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1">
        <v>2</v>
      </c>
      <c r="AC4" s="1">
        <v>2</v>
      </c>
      <c r="AD4" s="1">
        <v>2</v>
      </c>
      <c r="AE4" s="1">
        <v>2</v>
      </c>
      <c r="AF4" s="1">
        <v>2</v>
      </c>
      <c r="AG4" s="1">
        <v>2</v>
      </c>
      <c r="AI4" s="1">
        <v>2</v>
      </c>
      <c r="AK4" s="1">
        <v>2</v>
      </c>
      <c r="AL4" s="1">
        <v>2</v>
      </c>
      <c r="AM4" s="1">
        <v>2</v>
      </c>
    </row>
    <row r="5" spans="2:40">
      <c r="B5" s="1" t="s">
        <v>0</v>
      </c>
      <c r="C5" s="1" t="s">
        <v>1</v>
      </c>
      <c r="D5" s="1" t="s">
        <v>2</v>
      </c>
      <c r="E5" s="1" t="s">
        <v>3</v>
      </c>
      <c r="F5" s="1" t="s">
        <v>69</v>
      </c>
      <c r="G5" s="1" t="s">
        <v>4</v>
      </c>
      <c r="H5" s="1" t="s">
        <v>87</v>
      </c>
      <c r="I5" s="1" t="s">
        <v>88</v>
      </c>
      <c r="J5" s="1" t="s">
        <v>89</v>
      </c>
      <c r="K5" s="1" t="s">
        <v>90</v>
      </c>
      <c r="M5" s="1" t="s">
        <v>93</v>
      </c>
      <c r="N5" s="1" t="s">
        <v>94</v>
      </c>
      <c r="O5" s="1" t="s">
        <v>98</v>
      </c>
      <c r="Q5" s="1" t="s">
        <v>95</v>
      </c>
      <c r="R5" s="1" t="s">
        <v>97</v>
      </c>
      <c r="S5" s="1" t="s">
        <v>96</v>
      </c>
      <c r="U5" s="1" t="s">
        <v>91</v>
      </c>
      <c r="V5" s="1" t="s">
        <v>92</v>
      </c>
      <c r="W5" s="1" t="s">
        <v>99</v>
      </c>
      <c r="X5" s="1" t="s">
        <v>129</v>
      </c>
      <c r="Z5" s="1" t="s">
        <v>100</v>
      </c>
      <c r="AA5" s="1" t="s">
        <v>101</v>
      </c>
      <c r="AB5" s="1" t="s">
        <v>5</v>
      </c>
      <c r="AC5" s="1" t="s">
        <v>6</v>
      </c>
      <c r="AD5" s="1" t="s">
        <v>7</v>
      </c>
      <c r="AE5" s="1" t="s">
        <v>8</v>
      </c>
      <c r="AF5" s="1" t="s">
        <v>9</v>
      </c>
      <c r="AG5" s="1" t="s">
        <v>127</v>
      </c>
      <c r="AH5" s="1" t="s">
        <v>114</v>
      </c>
      <c r="AI5" s="1" t="s">
        <v>116</v>
      </c>
      <c r="AJ5" s="1" t="s">
        <v>117</v>
      </c>
      <c r="AK5" s="1" t="s">
        <v>115</v>
      </c>
      <c r="AL5" t="s">
        <v>71</v>
      </c>
      <c r="AM5" t="s">
        <v>72</v>
      </c>
      <c r="AN5" t="s">
        <v>75</v>
      </c>
    </row>
    <row r="6" spans="2:40" s="2" customFormat="1" ht="43.5" customHeight="1">
      <c r="B6" s="3" t="s">
        <v>10</v>
      </c>
      <c r="C6" s="3" t="s">
        <v>11</v>
      </c>
      <c r="D6" s="3" t="s">
        <v>12</v>
      </c>
      <c r="E6" s="3" t="s">
        <v>13</v>
      </c>
      <c r="F6" s="3" t="s">
        <v>70</v>
      </c>
      <c r="G6" s="3" t="s">
        <v>14</v>
      </c>
      <c r="H6" s="3" t="s">
        <v>103</v>
      </c>
      <c r="I6" s="3" t="s">
        <v>104</v>
      </c>
      <c r="J6" s="3" t="s">
        <v>105</v>
      </c>
      <c r="K6" s="3" t="s">
        <v>15</v>
      </c>
      <c r="L6" s="3"/>
      <c r="M6" s="3" t="s">
        <v>106</v>
      </c>
      <c r="N6" s="3" t="s">
        <v>107</v>
      </c>
      <c r="O6" s="3" t="s">
        <v>16</v>
      </c>
      <c r="P6" s="3"/>
      <c r="Q6" s="3" t="s">
        <v>108</v>
      </c>
      <c r="R6" s="3" t="s">
        <v>109</v>
      </c>
      <c r="S6" s="3" t="s">
        <v>17</v>
      </c>
      <c r="T6" s="3"/>
      <c r="U6" s="3" t="s">
        <v>110</v>
      </c>
      <c r="V6" s="3" t="s">
        <v>111</v>
      </c>
      <c r="W6" s="3" t="s">
        <v>18</v>
      </c>
      <c r="X6" s="3" t="s">
        <v>126</v>
      </c>
      <c r="Y6" s="3"/>
      <c r="Z6" s="3" t="s">
        <v>19</v>
      </c>
      <c r="AA6" s="3" t="s">
        <v>102</v>
      </c>
      <c r="AB6" s="3" t="s">
        <v>20</v>
      </c>
      <c r="AC6" s="3" t="s">
        <v>21</v>
      </c>
      <c r="AD6" s="3" t="s">
        <v>22</v>
      </c>
      <c r="AE6" s="3" t="s">
        <v>23</v>
      </c>
      <c r="AF6" s="3" t="s">
        <v>24</v>
      </c>
      <c r="AG6" s="3" t="s">
        <v>128</v>
      </c>
      <c r="AH6" s="3" t="s">
        <v>118</v>
      </c>
      <c r="AI6" s="3" t="s">
        <v>119</v>
      </c>
      <c r="AJ6" s="18" t="s">
        <v>120</v>
      </c>
      <c r="AK6" s="18" t="s">
        <v>121</v>
      </c>
      <c r="AL6" s="3" t="s">
        <v>73</v>
      </c>
      <c r="AM6" s="3" t="s">
        <v>74</v>
      </c>
      <c r="AN6" s="3" t="s">
        <v>76</v>
      </c>
    </row>
    <row r="7" spans="2:40">
      <c r="B7" s="4"/>
      <c r="C7" s="4"/>
      <c r="D7" s="4"/>
      <c r="E7" s="4"/>
      <c r="F7" s="4"/>
      <c r="G7" s="4"/>
      <c r="H7" s="4"/>
      <c r="I7" s="4"/>
      <c r="J7" s="4"/>
      <c r="K7" s="4"/>
      <c r="L7" s="4">
        <f>I7+J7</f>
        <v>0</v>
      </c>
      <c r="M7" s="4"/>
      <c r="N7" s="4"/>
      <c r="O7" s="4"/>
      <c r="P7" s="4">
        <f>M7+N7</f>
        <v>0</v>
      </c>
      <c r="Q7" s="4"/>
      <c r="R7" s="4"/>
      <c r="S7" s="4"/>
      <c r="T7" s="4">
        <f>Q7+R7</f>
        <v>0</v>
      </c>
      <c r="U7" s="4"/>
      <c r="V7" s="4"/>
      <c r="W7" s="4"/>
      <c r="X7" s="4"/>
      <c r="Y7" s="4">
        <f>U7+V7+X7</f>
        <v>0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16"/>
      <c r="AM7" s="16"/>
      <c r="AN7" s="16"/>
    </row>
    <row r="8" spans="2:40">
      <c r="B8" s="4"/>
      <c r="C8" s="4"/>
      <c r="D8" s="4"/>
      <c r="E8" s="4"/>
      <c r="F8" s="4"/>
      <c r="G8" s="4"/>
      <c r="H8" s="4"/>
      <c r="I8" s="4"/>
      <c r="J8" s="4"/>
      <c r="K8" s="4"/>
      <c r="L8" s="4">
        <f t="shared" ref="L8:L19" si="0">I8+J8</f>
        <v>0</v>
      </c>
      <c r="M8" s="4"/>
      <c r="N8" s="4"/>
      <c r="O8" s="4"/>
      <c r="P8" s="4">
        <f t="shared" ref="P8:P19" si="1">M8+N8</f>
        <v>0</v>
      </c>
      <c r="Q8" s="4"/>
      <c r="R8" s="4"/>
      <c r="S8" s="4"/>
      <c r="T8" s="4">
        <f t="shared" ref="T8:T19" si="2">Q8+R8</f>
        <v>0</v>
      </c>
      <c r="U8" s="4"/>
      <c r="V8" s="4"/>
      <c r="W8" s="4"/>
      <c r="X8" s="4"/>
      <c r="Y8" s="4">
        <f t="shared" ref="Y8:Y19" si="3">U8+V8+X8</f>
        <v>0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6"/>
      <c r="AM8" s="16"/>
      <c r="AN8" s="16"/>
    </row>
    <row r="9" spans="2:40">
      <c r="B9" s="4"/>
      <c r="C9" s="4"/>
      <c r="D9" s="4"/>
      <c r="E9" s="4"/>
      <c r="F9" s="4"/>
      <c r="G9" s="4"/>
      <c r="H9" s="4"/>
      <c r="I9" s="4"/>
      <c r="J9" s="4"/>
      <c r="K9" s="4"/>
      <c r="L9" s="4">
        <f t="shared" si="0"/>
        <v>0</v>
      </c>
      <c r="M9" s="4"/>
      <c r="N9" s="4"/>
      <c r="O9" s="4"/>
      <c r="P9" s="4">
        <f t="shared" si="1"/>
        <v>0</v>
      </c>
      <c r="Q9" s="4"/>
      <c r="R9" s="4"/>
      <c r="S9" s="4"/>
      <c r="T9" s="4">
        <f t="shared" si="2"/>
        <v>0</v>
      </c>
      <c r="U9" s="4"/>
      <c r="V9" s="4"/>
      <c r="W9" s="4"/>
      <c r="X9" s="4"/>
      <c r="Y9" s="4">
        <f t="shared" si="3"/>
        <v>0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6"/>
      <c r="AM9" s="16"/>
      <c r="AN9" s="16"/>
    </row>
    <row r="10" spans="2:40">
      <c r="B10" s="4"/>
      <c r="C10" s="4"/>
      <c r="D10" s="4"/>
      <c r="E10" s="4"/>
      <c r="F10" s="4"/>
      <c r="G10" s="4"/>
      <c r="H10" s="4"/>
      <c r="I10" s="4"/>
      <c r="J10" s="4"/>
      <c r="K10" s="4"/>
      <c r="L10" s="4">
        <f t="shared" si="0"/>
        <v>0</v>
      </c>
      <c r="M10" s="4"/>
      <c r="N10" s="4"/>
      <c r="O10" s="4"/>
      <c r="P10" s="4">
        <f t="shared" si="1"/>
        <v>0</v>
      </c>
      <c r="Q10" s="4"/>
      <c r="R10" s="4"/>
      <c r="S10" s="4"/>
      <c r="T10" s="4">
        <f t="shared" si="2"/>
        <v>0</v>
      </c>
      <c r="U10" s="4"/>
      <c r="V10" s="4"/>
      <c r="W10" s="4"/>
      <c r="X10" s="4"/>
      <c r="Y10" s="4">
        <f t="shared" si="3"/>
        <v>0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16"/>
      <c r="AM10" s="16"/>
      <c r="AN10" s="16"/>
    </row>
    <row r="11" spans="2:40">
      <c r="B11" s="4"/>
      <c r="C11" s="4"/>
      <c r="D11" s="4"/>
      <c r="E11" s="4"/>
      <c r="F11" s="4"/>
      <c r="G11" s="4"/>
      <c r="H11" s="4"/>
      <c r="I11" s="4"/>
      <c r="J11" s="4"/>
      <c r="K11" s="4"/>
      <c r="L11" s="4">
        <f t="shared" si="0"/>
        <v>0</v>
      </c>
      <c r="M11" s="4"/>
      <c r="N11" s="4"/>
      <c r="O11" s="4"/>
      <c r="P11" s="4">
        <f t="shared" si="1"/>
        <v>0</v>
      </c>
      <c r="Q11" s="4"/>
      <c r="R11" s="4"/>
      <c r="S11" s="4"/>
      <c r="T11" s="4">
        <f t="shared" si="2"/>
        <v>0</v>
      </c>
      <c r="U11" s="4"/>
      <c r="V11" s="4"/>
      <c r="W11" s="4"/>
      <c r="X11" s="4"/>
      <c r="Y11" s="4">
        <f t="shared" si="3"/>
        <v>0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16"/>
      <c r="AM11" s="16"/>
      <c r="AN11" s="16"/>
    </row>
    <row r="12" spans="2:40">
      <c r="B12" s="4"/>
      <c r="C12" s="4"/>
      <c r="D12" s="4"/>
      <c r="E12" s="4"/>
      <c r="F12" s="4"/>
      <c r="G12" s="4"/>
      <c r="H12" s="4"/>
      <c r="I12" s="4"/>
      <c r="J12" s="4"/>
      <c r="K12" s="4"/>
      <c r="L12" s="4">
        <f t="shared" si="0"/>
        <v>0</v>
      </c>
      <c r="M12" s="4"/>
      <c r="N12" s="4"/>
      <c r="O12" s="4"/>
      <c r="P12" s="4">
        <f t="shared" si="1"/>
        <v>0</v>
      </c>
      <c r="Q12" s="4"/>
      <c r="R12" s="4"/>
      <c r="S12" s="4"/>
      <c r="T12" s="4">
        <f t="shared" si="2"/>
        <v>0</v>
      </c>
      <c r="U12" s="4"/>
      <c r="V12" s="4"/>
      <c r="W12" s="4"/>
      <c r="X12" s="4"/>
      <c r="Y12" s="4">
        <f t="shared" si="3"/>
        <v>0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16"/>
      <c r="AM12" s="16"/>
      <c r="AN12" s="16"/>
    </row>
    <row r="13" spans="2:40">
      <c r="B13" s="4"/>
      <c r="C13" s="4"/>
      <c r="D13" s="4"/>
      <c r="E13" s="4"/>
      <c r="F13" s="4"/>
      <c r="G13" s="4"/>
      <c r="H13" s="4"/>
      <c r="I13" s="4"/>
      <c r="J13" s="4"/>
      <c r="K13" s="4"/>
      <c r="L13" s="4">
        <f t="shared" si="0"/>
        <v>0</v>
      </c>
      <c r="M13" s="4"/>
      <c r="N13" s="4"/>
      <c r="O13" s="4"/>
      <c r="P13" s="4">
        <f t="shared" si="1"/>
        <v>0</v>
      </c>
      <c r="Q13" s="4"/>
      <c r="R13" s="4"/>
      <c r="S13" s="4"/>
      <c r="T13" s="4">
        <f t="shared" si="2"/>
        <v>0</v>
      </c>
      <c r="U13" s="4"/>
      <c r="V13" s="4"/>
      <c r="W13" s="4"/>
      <c r="X13" s="4"/>
      <c r="Y13" s="4">
        <f t="shared" si="3"/>
        <v>0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16"/>
      <c r="AM13" s="16"/>
      <c r="AN13" s="16"/>
    </row>
    <row r="14" spans="2:40">
      <c r="B14" s="4"/>
      <c r="C14" s="4"/>
      <c r="D14" s="4"/>
      <c r="E14" s="4"/>
      <c r="F14" s="4"/>
      <c r="G14" s="4"/>
      <c r="H14" s="4"/>
      <c r="I14" s="4"/>
      <c r="J14" s="4"/>
      <c r="K14" s="4"/>
      <c r="L14" s="4">
        <f t="shared" si="0"/>
        <v>0</v>
      </c>
      <c r="M14" s="4"/>
      <c r="N14" s="4"/>
      <c r="O14" s="4"/>
      <c r="P14" s="4">
        <f t="shared" si="1"/>
        <v>0</v>
      </c>
      <c r="Q14" s="4"/>
      <c r="R14" s="4"/>
      <c r="S14" s="4"/>
      <c r="T14" s="4">
        <f t="shared" si="2"/>
        <v>0</v>
      </c>
      <c r="U14" s="4"/>
      <c r="V14" s="4"/>
      <c r="W14" s="4"/>
      <c r="X14" s="4"/>
      <c r="Y14" s="4">
        <f t="shared" si="3"/>
        <v>0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16"/>
      <c r="AM14" s="16"/>
      <c r="AN14" s="16"/>
    </row>
    <row r="15" spans="2:40">
      <c r="B15" s="4"/>
      <c r="C15" s="4"/>
      <c r="D15" s="4"/>
      <c r="E15" s="4"/>
      <c r="F15" s="4"/>
      <c r="G15" s="4"/>
      <c r="H15" s="4"/>
      <c r="I15" s="4"/>
      <c r="J15" s="4"/>
      <c r="K15" s="4"/>
      <c r="L15" s="4">
        <f t="shared" si="0"/>
        <v>0</v>
      </c>
      <c r="M15" s="4"/>
      <c r="N15" s="4"/>
      <c r="O15" s="4"/>
      <c r="P15" s="4">
        <f t="shared" si="1"/>
        <v>0</v>
      </c>
      <c r="Q15" s="4"/>
      <c r="R15" s="4"/>
      <c r="S15" s="4"/>
      <c r="T15" s="4">
        <f t="shared" si="2"/>
        <v>0</v>
      </c>
      <c r="U15" s="4"/>
      <c r="V15" s="4"/>
      <c r="W15" s="4"/>
      <c r="X15" s="4"/>
      <c r="Y15" s="4">
        <f t="shared" si="3"/>
        <v>0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16"/>
      <c r="AM15" s="16"/>
      <c r="AN15" s="16"/>
    </row>
    <row r="16" spans="2:40">
      <c r="B16" s="4"/>
      <c r="C16" s="4"/>
      <c r="D16" s="4"/>
      <c r="E16" s="4"/>
      <c r="F16" s="4"/>
      <c r="G16" s="4"/>
      <c r="H16" s="4"/>
      <c r="I16" s="4"/>
      <c r="J16" s="4"/>
      <c r="K16" s="4"/>
      <c r="L16" s="4">
        <f t="shared" si="0"/>
        <v>0</v>
      </c>
      <c r="M16" s="4"/>
      <c r="N16" s="4"/>
      <c r="O16" s="4"/>
      <c r="P16" s="4">
        <f t="shared" si="1"/>
        <v>0</v>
      </c>
      <c r="Q16" s="4"/>
      <c r="R16" s="4"/>
      <c r="S16" s="4"/>
      <c r="T16" s="4">
        <f t="shared" si="2"/>
        <v>0</v>
      </c>
      <c r="U16" s="4"/>
      <c r="V16" s="4"/>
      <c r="W16" s="4"/>
      <c r="X16" s="4"/>
      <c r="Y16" s="4">
        <f t="shared" si="3"/>
        <v>0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16"/>
      <c r="AM16" s="16"/>
      <c r="AN16" s="16"/>
    </row>
    <row r="17" spans="2:40">
      <c r="B17" s="4"/>
      <c r="C17" s="4"/>
      <c r="D17" s="4"/>
      <c r="E17" s="4"/>
      <c r="F17" s="4"/>
      <c r="G17" s="4"/>
      <c r="H17" s="4"/>
      <c r="I17" s="4"/>
      <c r="J17" s="4"/>
      <c r="K17" s="4"/>
      <c r="L17" s="4">
        <f t="shared" si="0"/>
        <v>0</v>
      </c>
      <c r="M17" s="4"/>
      <c r="N17" s="4"/>
      <c r="O17" s="4"/>
      <c r="P17" s="4">
        <f t="shared" si="1"/>
        <v>0</v>
      </c>
      <c r="Q17" s="4"/>
      <c r="R17" s="4"/>
      <c r="S17" s="4"/>
      <c r="T17" s="4">
        <f t="shared" si="2"/>
        <v>0</v>
      </c>
      <c r="U17" s="4"/>
      <c r="V17" s="4"/>
      <c r="W17" s="4"/>
      <c r="X17" s="4"/>
      <c r="Y17" s="4">
        <f t="shared" si="3"/>
        <v>0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16"/>
      <c r="AM17" s="16"/>
      <c r="AN17" s="16"/>
    </row>
    <row r="18" spans="2:40">
      <c r="B18" s="4"/>
      <c r="C18" s="4"/>
      <c r="D18" s="4"/>
      <c r="E18" s="4"/>
      <c r="F18" s="4"/>
      <c r="G18" s="4"/>
      <c r="H18" s="4"/>
      <c r="I18" s="4"/>
      <c r="J18" s="4"/>
      <c r="K18" s="4"/>
      <c r="L18" s="4">
        <f t="shared" si="0"/>
        <v>0</v>
      </c>
      <c r="M18" s="4"/>
      <c r="N18" s="4"/>
      <c r="O18" s="4"/>
      <c r="P18" s="4">
        <f t="shared" si="1"/>
        <v>0</v>
      </c>
      <c r="Q18" s="4"/>
      <c r="R18" s="4"/>
      <c r="S18" s="4"/>
      <c r="T18" s="4">
        <f t="shared" si="2"/>
        <v>0</v>
      </c>
      <c r="U18" s="4"/>
      <c r="V18" s="4"/>
      <c r="W18" s="4"/>
      <c r="X18" s="4"/>
      <c r="Y18" s="4">
        <f t="shared" si="3"/>
        <v>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16"/>
      <c r="AM18" s="16"/>
      <c r="AN18" s="16"/>
    </row>
    <row r="19" spans="2:40">
      <c r="B19" s="4"/>
      <c r="C19" s="4"/>
      <c r="D19" s="4"/>
      <c r="E19" s="4"/>
      <c r="F19" s="4"/>
      <c r="G19" s="4"/>
      <c r="H19" s="4"/>
      <c r="I19" s="4"/>
      <c r="J19" s="4"/>
      <c r="K19" s="4"/>
      <c r="L19" s="4">
        <f t="shared" si="0"/>
        <v>0</v>
      </c>
      <c r="M19" s="4"/>
      <c r="N19" s="4"/>
      <c r="O19" s="4"/>
      <c r="P19" s="4">
        <f t="shared" si="1"/>
        <v>0</v>
      </c>
      <c r="Q19" s="4"/>
      <c r="R19" s="4"/>
      <c r="S19" s="4"/>
      <c r="T19" s="4">
        <f t="shared" si="2"/>
        <v>0</v>
      </c>
      <c r="U19" s="4"/>
      <c r="V19" s="4"/>
      <c r="W19" s="4"/>
      <c r="X19" s="4"/>
      <c r="Y19" s="4">
        <f t="shared" si="3"/>
        <v>0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16"/>
      <c r="AM19" s="16"/>
      <c r="AN19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F0A0-7DD8-4004-8A0B-E716A43CA9DF}">
  <dimension ref="A1:R100"/>
  <sheetViews>
    <sheetView tabSelected="1" topLeftCell="B1" zoomScaleNormal="100" workbookViewId="0">
      <selection activeCell="H15" sqref="H15"/>
    </sheetView>
  </sheetViews>
  <sheetFormatPr defaultRowHeight="15"/>
  <cols>
    <col min="1" max="1" width="0" hidden="1" customWidth="1"/>
    <col min="3" max="4" width="22" customWidth="1"/>
    <col min="5" max="6" width="10.85546875" customWidth="1"/>
    <col min="7" max="18" width="8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5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6" t="s">
        <v>26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1" customHeight="1">
      <c r="A14" s="1"/>
      <c r="B14" s="8" t="s">
        <v>27</v>
      </c>
      <c r="C14" s="8" t="s">
        <v>28</v>
      </c>
      <c r="D14" s="8" t="s">
        <v>77</v>
      </c>
      <c r="E14" s="8"/>
      <c r="F14" s="8"/>
      <c r="G14" s="8" t="s">
        <v>29</v>
      </c>
      <c r="H14" s="8" t="s">
        <v>30</v>
      </c>
      <c r="I14" s="8" t="s">
        <v>31</v>
      </c>
      <c r="J14" s="8" t="s">
        <v>32</v>
      </c>
      <c r="K14" s="8" t="s">
        <v>33</v>
      </c>
      <c r="L14" s="8" t="s">
        <v>34</v>
      </c>
      <c r="M14" s="8" t="s">
        <v>35</v>
      </c>
      <c r="N14" s="8" t="s">
        <v>36</v>
      </c>
      <c r="O14" s="8" t="s">
        <v>37</v>
      </c>
      <c r="P14" s="8" t="s">
        <v>38</v>
      </c>
      <c r="Q14" s="8" t="s">
        <v>39</v>
      </c>
      <c r="R14" s="8" t="s">
        <v>40</v>
      </c>
    </row>
    <row r="15" spans="1:18">
      <c r="A15" s="1"/>
      <c r="B15" s="36">
        <v>1</v>
      </c>
      <c r="C15" s="36" t="s">
        <v>41</v>
      </c>
      <c r="D15" s="24" t="s">
        <v>78</v>
      </c>
      <c r="E15" s="24"/>
      <c r="F15" s="24"/>
      <c r="G15" s="22">
        <f>Sheet1!AK7</f>
        <v>0</v>
      </c>
      <c r="H15" s="22">
        <f>Sheet1!AK8</f>
        <v>0</v>
      </c>
      <c r="I15" s="22">
        <f>Sheet1!AK9</f>
        <v>0</v>
      </c>
      <c r="J15" s="22">
        <f>Sheet1!AK10</f>
        <v>0</v>
      </c>
      <c r="K15" s="22">
        <f>Sheet1!AK11</f>
        <v>0</v>
      </c>
      <c r="L15" s="22">
        <f>Sheet1!AK12</f>
        <v>0</v>
      </c>
      <c r="M15" s="22">
        <f>Sheet1!AK13</f>
        <v>0</v>
      </c>
      <c r="N15" s="22">
        <f>Sheet1!AK14</f>
        <v>0</v>
      </c>
      <c r="O15" s="22">
        <f>Sheet1!AK15</f>
        <v>0</v>
      </c>
      <c r="P15" s="22">
        <f>Sheet1!AK16</f>
        <v>0</v>
      </c>
      <c r="Q15" s="22">
        <f>Sheet1!AK17</f>
        <v>0</v>
      </c>
      <c r="R15" s="22">
        <f>Sheet1!AK18</f>
        <v>0</v>
      </c>
    </row>
    <row r="16" spans="1:18">
      <c r="A16" s="1"/>
      <c r="B16" s="37"/>
      <c r="C16" s="37"/>
      <c r="D16" s="4" t="s">
        <v>79</v>
      </c>
      <c r="E16" s="4"/>
      <c r="F16" s="4"/>
      <c r="G16" s="29">
        <f>Sheet1!AJ7</f>
        <v>0</v>
      </c>
      <c r="H16" s="29">
        <f>Sheet1!AJ8</f>
        <v>0</v>
      </c>
      <c r="I16" s="29">
        <f>Sheet1!AJ9</f>
        <v>0</v>
      </c>
      <c r="J16" s="29">
        <f>Sheet1!AJ10</f>
        <v>0</v>
      </c>
      <c r="K16" s="29">
        <f>Sheet1!AJ11</f>
        <v>0</v>
      </c>
      <c r="L16" s="29">
        <f>Sheet1!AJ12</f>
        <v>0</v>
      </c>
      <c r="M16" s="29">
        <f>Sheet1!AJ13</f>
        <v>0</v>
      </c>
      <c r="N16" s="29">
        <f>Sheet1!AJ14</f>
        <v>0</v>
      </c>
      <c r="O16" s="29">
        <f>Sheet1!AJ15</f>
        <v>0</v>
      </c>
      <c r="P16" s="29">
        <f>Sheet1!AJ16</f>
        <v>0</v>
      </c>
      <c r="Q16" s="29">
        <f>Sheet1!AJ17</f>
        <v>0</v>
      </c>
      <c r="R16" s="29">
        <f>Sheet1!AJ18</f>
        <v>0</v>
      </c>
    </row>
    <row r="17" spans="1:18">
      <c r="A17" s="1"/>
      <c r="B17" s="36">
        <v>2</v>
      </c>
      <c r="C17" s="36" t="s">
        <v>42</v>
      </c>
      <c r="D17" s="4" t="s">
        <v>80</v>
      </c>
      <c r="E17" s="4"/>
      <c r="F17" s="4"/>
      <c r="G17" s="29">
        <f>Sheet1!AI7</f>
        <v>0</v>
      </c>
      <c r="H17" s="29">
        <f>Sheet1!AI8</f>
        <v>0</v>
      </c>
      <c r="I17" s="29">
        <f>Sheet1!AI9</f>
        <v>0</v>
      </c>
      <c r="J17" s="29">
        <f>Sheet1!AI10</f>
        <v>0</v>
      </c>
      <c r="K17" s="29">
        <f>Sheet1!AI11</f>
        <v>0</v>
      </c>
      <c r="L17" s="29">
        <f>Sheet1!AI12</f>
        <v>0</v>
      </c>
      <c r="M17" s="29">
        <f>Sheet1!AI13</f>
        <v>0</v>
      </c>
      <c r="N17" s="29">
        <f>Sheet1!AI14</f>
        <v>0</v>
      </c>
      <c r="O17" s="29">
        <f>Sheet1!AI15</f>
        <v>0</v>
      </c>
      <c r="P17" s="29">
        <f>Sheet1!AI16</f>
        <v>0</v>
      </c>
      <c r="Q17" s="29">
        <f>Sheet1!AI17</f>
        <v>0</v>
      </c>
      <c r="R17" s="29">
        <f>Sheet1!AI18</f>
        <v>0</v>
      </c>
    </row>
    <row r="18" spans="1:18">
      <c r="A18" s="1"/>
      <c r="B18" s="37"/>
      <c r="C18" s="37"/>
      <c r="D18" s="4" t="s">
        <v>81</v>
      </c>
      <c r="E18" s="4"/>
      <c r="F18" s="4"/>
      <c r="G18" s="31">
        <f>Sheet1!AH7</f>
        <v>0</v>
      </c>
      <c r="H18" s="31">
        <f>Sheet1!AH8</f>
        <v>0</v>
      </c>
      <c r="I18" s="31">
        <f>Sheet1!AH9</f>
        <v>0</v>
      </c>
      <c r="J18" s="31">
        <f>Sheet1!AH10</f>
        <v>0</v>
      </c>
      <c r="K18" s="29">
        <f>Sheet1!AH11</f>
        <v>0</v>
      </c>
      <c r="L18" s="29">
        <f>Sheet1!AH12</f>
        <v>0</v>
      </c>
      <c r="M18" s="29">
        <f>Sheet1!AH13</f>
        <v>0</v>
      </c>
      <c r="N18" s="29">
        <f>Sheet1!AH14</f>
        <v>0</v>
      </c>
      <c r="O18" s="29">
        <f>Sheet1!AH15</f>
        <v>0</v>
      </c>
      <c r="P18" s="29">
        <f>Sheet1!AH16</f>
        <v>0</v>
      </c>
      <c r="Q18" s="29">
        <f>Sheet1!AH17</f>
        <v>0</v>
      </c>
      <c r="R18" s="29">
        <f>Sheet1!AH18</f>
        <v>0</v>
      </c>
    </row>
    <row r="19" spans="1: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/>
      <c r="B20" s="6" t="s">
        <v>43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8" t="s">
        <v>27</v>
      </c>
      <c r="C30" s="8" t="s">
        <v>44</v>
      </c>
      <c r="D30" s="8"/>
      <c r="E30" s="8"/>
      <c r="F30" s="8"/>
      <c r="G30" s="8" t="s">
        <v>29</v>
      </c>
      <c r="H30" s="8" t="s">
        <v>30</v>
      </c>
      <c r="I30" s="8" t="s">
        <v>31</v>
      </c>
      <c r="J30" s="8" t="s">
        <v>32</v>
      </c>
      <c r="K30" s="8" t="s">
        <v>33</v>
      </c>
      <c r="L30" s="8" t="s">
        <v>34</v>
      </c>
      <c r="M30" s="8" t="s">
        <v>35</v>
      </c>
      <c r="N30" s="8" t="s">
        <v>36</v>
      </c>
      <c r="O30" s="8" t="s">
        <v>37</v>
      </c>
      <c r="P30" s="8" t="s">
        <v>38</v>
      </c>
      <c r="Q30" s="8" t="s">
        <v>39</v>
      </c>
      <c r="R30" s="8" t="s">
        <v>40</v>
      </c>
    </row>
    <row r="31" spans="1:18">
      <c r="A31" s="1"/>
      <c r="B31" s="4">
        <v>1</v>
      </c>
      <c r="C31" s="10" t="s">
        <v>45</v>
      </c>
      <c r="D31" s="10"/>
      <c r="E31" s="10"/>
      <c r="F31" s="10"/>
      <c r="G31" s="9">
        <f>Sheet1!E7</f>
        <v>0</v>
      </c>
      <c r="H31" s="21">
        <f>Sheet1!E8</f>
        <v>0</v>
      </c>
      <c r="I31" s="21">
        <f>Sheet1!E9</f>
        <v>0</v>
      </c>
      <c r="J31" s="21">
        <f>Sheet1!E10</f>
        <v>0</v>
      </c>
      <c r="K31" s="21">
        <f>Sheet1!E11</f>
        <v>0</v>
      </c>
      <c r="L31" s="21">
        <f>Sheet1!E12</f>
        <v>0</v>
      </c>
      <c r="M31" s="21">
        <f>Sheet1!E13</f>
        <v>0</v>
      </c>
      <c r="N31" s="21">
        <f>Sheet1!E14</f>
        <v>0</v>
      </c>
      <c r="O31" s="21">
        <f>Sheet1!E15</f>
        <v>0</v>
      </c>
      <c r="P31" s="21">
        <f>Sheet1!E16</f>
        <v>0</v>
      </c>
      <c r="Q31" s="21">
        <f>Sheet1!E17</f>
        <v>0</v>
      </c>
      <c r="R31" s="21">
        <f>Sheet1!E18</f>
        <v>0</v>
      </c>
    </row>
    <row r="32" spans="1:18">
      <c r="A32" s="1"/>
      <c r="B32" s="4">
        <v>2</v>
      </c>
      <c r="C32" s="10" t="s">
        <v>46</v>
      </c>
      <c r="D32" s="10"/>
      <c r="E32" s="10"/>
      <c r="F32" s="10"/>
      <c r="G32" s="9">
        <f>Sheet1!G7</f>
        <v>0</v>
      </c>
      <c r="H32" s="21">
        <f>Sheet1!G8</f>
        <v>0</v>
      </c>
      <c r="I32" s="21">
        <f>Sheet1!G9</f>
        <v>0</v>
      </c>
      <c r="J32" s="21">
        <f>Sheet1!G10</f>
        <v>0</v>
      </c>
      <c r="K32" s="21">
        <f>Sheet1!G11</f>
        <v>0</v>
      </c>
      <c r="L32" s="21">
        <f>Sheet1!G12</f>
        <v>0</v>
      </c>
      <c r="M32" s="21">
        <f>Sheet1!G13</f>
        <v>0</v>
      </c>
      <c r="N32" s="21">
        <f>Sheet1!G14</f>
        <v>0</v>
      </c>
      <c r="O32" s="21">
        <f>Sheet1!G15</f>
        <v>0</v>
      </c>
      <c r="P32" s="21">
        <f>Sheet1!G16</f>
        <v>0</v>
      </c>
      <c r="Q32" s="21">
        <f>Sheet1!G17</f>
        <v>0</v>
      </c>
      <c r="R32" s="21">
        <f>Sheet1!G18</f>
        <v>0</v>
      </c>
    </row>
    <row r="33" spans="1:18">
      <c r="A33" s="1"/>
      <c r="B33" s="4">
        <v>3</v>
      </c>
      <c r="C33" s="10" t="s">
        <v>47</v>
      </c>
      <c r="D33" s="10"/>
      <c r="E33" s="10"/>
      <c r="F33" s="10"/>
      <c r="G33" s="9">
        <f>Sheet1!C7</f>
        <v>0</v>
      </c>
      <c r="H33" s="9">
        <f>Sheet1!C8</f>
        <v>0</v>
      </c>
      <c r="I33" s="9">
        <f>Sheet1!C9</f>
        <v>0</v>
      </c>
      <c r="J33" s="9">
        <f>Sheet1!C10</f>
        <v>0</v>
      </c>
      <c r="K33" s="9">
        <f>Sheet1!C11</f>
        <v>0</v>
      </c>
      <c r="L33" s="9">
        <f>Sheet1!C12</f>
        <v>0</v>
      </c>
      <c r="M33" s="9">
        <f>Sheet1!C13</f>
        <v>0</v>
      </c>
      <c r="N33" s="9">
        <f>Sheet1!C14</f>
        <v>0</v>
      </c>
      <c r="O33" s="9">
        <f>Sheet1!C15</f>
        <v>0</v>
      </c>
      <c r="P33" s="9">
        <f>Sheet1!C16</f>
        <v>0</v>
      </c>
      <c r="Q33" s="9">
        <f>Sheet1!C17</f>
        <v>0</v>
      </c>
      <c r="R33" s="9">
        <f>Sheet1!C18</f>
        <v>0</v>
      </c>
    </row>
    <row r="34" spans="1:18">
      <c r="A34" s="1"/>
      <c r="B34" s="4">
        <v>4</v>
      </c>
      <c r="C34" s="10" t="s">
        <v>48</v>
      </c>
      <c r="D34" s="10"/>
      <c r="E34" s="10"/>
      <c r="F34" s="10"/>
      <c r="G34" s="9">
        <f>Sheet1!D7</f>
        <v>0</v>
      </c>
      <c r="H34" s="9">
        <f>Sheet1!D8</f>
        <v>0</v>
      </c>
      <c r="I34" s="9">
        <f>Sheet1!D9</f>
        <v>0</v>
      </c>
      <c r="J34" s="9">
        <f>Sheet1!D10</f>
        <v>0</v>
      </c>
      <c r="K34" s="9">
        <f>Sheet1!D11</f>
        <v>0</v>
      </c>
      <c r="L34" s="9">
        <f>Sheet1!D12</f>
        <v>0</v>
      </c>
      <c r="M34" s="9">
        <f>Sheet1!D13</f>
        <v>0</v>
      </c>
      <c r="N34" s="9">
        <f>Sheet1!D14</f>
        <v>0</v>
      </c>
      <c r="O34" s="9">
        <f>Sheet1!D15</f>
        <v>0</v>
      </c>
      <c r="P34" s="9">
        <f>Sheet1!D16</f>
        <v>0</v>
      </c>
      <c r="Q34" s="9">
        <f>Sheet1!D17</f>
        <v>0</v>
      </c>
      <c r="R34" s="9">
        <f>Sheet1!D18</f>
        <v>0</v>
      </c>
    </row>
    <row r="35" spans="1:18">
      <c r="A35" s="1"/>
      <c r="B35" s="4">
        <v>5</v>
      </c>
      <c r="C35" s="10" t="s">
        <v>49</v>
      </c>
      <c r="D35" s="10"/>
      <c r="E35" s="10"/>
      <c r="F35" s="10"/>
      <c r="G35" s="9">
        <f>Sheet1!F7</f>
        <v>0</v>
      </c>
      <c r="H35" s="9">
        <f>Sheet1!F8</f>
        <v>0</v>
      </c>
      <c r="I35" s="9">
        <f>Sheet1!F9</f>
        <v>0</v>
      </c>
      <c r="J35" s="9">
        <f>Sheet1!F10</f>
        <v>0</v>
      </c>
      <c r="K35" s="9">
        <f>Sheet1!F11</f>
        <v>0</v>
      </c>
      <c r="L35" s="9">
        <f>Sheet1!F12</f>
        <v>0</v>
      </c>
      <c r="M35" s="9">
        <f>Sheet1!F13</f>
        <v>0</v>
      </c>
      <c r="N35" s="9">
        <f>Sheet1!F14</f>
        <v>0</v>
      </c>
      <c r="O35" s="9">
        <f>Sheet1!F15</f>
        <v>0</v>
      </c>
      <c r="P35" s="9">
        <f>Sheet1!F16</f>
        <v>0</v>
      </c>
      <c r="Q35" s="9">
        <f>Sheet1!F17</f>
        <v>0</v>
      </c>
      <c r="R35" s="9">
        <f>Sheet1!F18</f>
        <v>0</v>
      </c>
    </row>
    <row r="36" spans="1:18">
      <c r="A36" s="1"/>
      <c r="B36" s="42" t="s">
        <v>50</v>
      </c>
      <c r="C36" s="42"/>
      <c r="D36" s="23"/>
      <c r="E36" s="26"/>
      <c r="F36" s="26"/>
      <c r="G36" s="9">
        <f>SUM(G31:G35)</f>
        <v>0</v>
      </c>
      <c r="H36" s="9">
        <f t="shared" ref="H36:R36" si="0">SUM(H31:H35)</f>
        <v>0</v>
      </c>
      <c r="I36" s="9">
        <f t="shared" si="0"/>
        <v>0</v>
      </c>
      <c r="J36" s="9">
        <f t="shared" si="0"/>
        <v>0</v>
      </c>
      <c r="K36" s="9">
        <f t="shared" si="0"/>
        <v>0</v>
      </c>
      <c r="L36" s="9">
        <f t="shared" si="0"/>
        <v>0</v>
      </c>
      <c r="M36" s="9">
        <f t="shared" si="0"/>
        <v>0</v>
      </c>
      <c r="N36" s="9">
        <f t="shared" si="0"/>
        <v>0</v>
      </c>
      <c r="O36" s="9">
        <f t="shared" si="0"/>
        <v>0</v>
      </c>
      <c r="P36" s="9">
        <f t="shared" si="0"/>
        <v>0</v>
      </c>
      <c r="Q36" s="9">
        <f t="shared" si="0"/>
        <v>0</v>
      </c>
      <c r="R36" s="9">
        <f t="shared" si="0"/>
        <v>0</v>
      </c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6" t="s">
        <v>51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30">
      <c r="A48" s="1"/>
      <c r="B48" s="8" t="s">
        <v>27</v>
      </c>
      <c r="C48" s="8" t="s">
        <v>52</v>
      </c>
      <c r="D48" s="8"/>
      <c r="E48" s="30" t="s">
        <v>112</v>
      </c>
      <c r="F48" s="8" t="s">
        <v>113</v>
      </c>
      <c r="G48" s="8" t="s">
        <v>29</v>
      </c>
      <c r="H48" s="8" t="s">
        <v>30</v>
      </c>
      <c r="I48" s="8" t="s">
        <v>31</v>
      </c>
      <c r="J48" s="8" t="s">
        <v>32</v>
      </c>
      <c r="K48" s="8" t="s">
        <v>33</v>
      </c>
      <c r="L48" s="8" t="s">
        <v>34</v>
      </c>
      <c r="M48" s="8" t="s">
        <v>35</v>
      </c>
      <c r="N48" s="8" t="s">
        <v>36</v>
      </c>
      <c r="O48" s="8" t="s">
        <v>37</v>
      </c>
      <c r="P48" s="8" t="s">
        <v>38</v>
      </c>
      <c r="Q48" s="8" t="s">
        <v>39</v>
      </c>
      <c r="R48" s="8" t="s">
        <v>40</v>
      </c>
    </row>
    <row r="49" spans="1:18">
      <c r="A49" s="1"/>
      <c r="B49" s="23">
        <v>1</v>
      </c>
      <c r="C49" s="40" t="s">
        <v>82</v>
      </c>
      <c r="D49" s="41"/>
      <c r="E49" s="27"/>
      <c r="F49" s="27"/>
      <c r="G49" s="23">
        <f>Sheet1!H7</f>
        <v>0</v>
      </c>
      <c r="H49" s="26">
        <f>Sheet1!H8</f>
        <v>0</v>
      </c>
      <c r="I49" s="23">
        <f>Sheet1!H9</f>
        <v>0</v>
      </c>
      <c r="J49" s="23">
        <f>Sheet1!H10</f>
        <v>0</v>
      </c>
      <c r="K49" s="23">
        <f>Sheet1!H11</f>
        <v>0</v>
      </c>
      <c r="L49" s="23">
        <f>Sheet1!H12</f>
        <v>0</v>
      </c>
      <c r="M49" s="23">
        <f>Sheet1!H13</f>
        <v>0</v>
      </c>
      <c r="N49" s="23">
        <f>Sheet1!H14</f>
        <v>0</v>
      </c>
      <c r="O49" s="23">
        <f>Sheet1!H15</f>
        <v>0</v>
      </c>
      <c r="P49" s="23">
        <f>Sheet1!H16</f>
        <v>0</v>
      </c>
      <c r="Q49" s="26">
        <f>Sheet1!H17</f>
        <v>0</v>
      </c>
      <c r="R49" s="23">
        <f>Sheet1!H18</f>
        <v>0</v>
      </c>
    </row>
    <row r="50" spans="1:18">
      <c r="A50" s="1"/>
      <c r="B50" s="36">
        <v>2</v>
      </c>
      <c r="C50" s="38" t="s">
        <v>53</v>
      </c>
      <c r="D50" s="25" t="s">
        <v>83</v>
      </c>
      <c r="E50" s="25"/>
      <c r="F50" s="25"/>
      <c r="G50" s="23">
        <f>Sheet1!I7</f>
        <v>0</v>
      </c>
      <c r="H50" s="23">
        <f>Sheet1!I8</f>
        <v>0</v>
      </c>
      <c r="I50" s="23">
        <f>Sheet1!I9</f>
        <v>0</v>
      </c>
      <c r="J50" s="23">
        <f>Sheet1!I10</f>
        <v>0</v>
      </c>
      <c r="K50" s="23">
        <f>Sheet1!I11</f>
        <v>0</v>
      </c>
      <c r="L50" s="23">
        <f>Sheet1!I12</f>
        <v>0</v>
      </c>
      <c r="M50" s="23">
        <f>Sheet1!I13</f>
        <v>0</v>
      </c>
      <c r="N50" s="23">
        <f>Sheet1!I14</f>
        <v>0</v>
      </c>
      <c r="O50" s="23">
        <f>Sheet1!I15</f>
        <v>0</v>
      </c>
      <c r="P50" s="23">
        <f>Sheet1!I16</f>
        <v>0</v>
      </c>
      <c r="Q50" s="23">
        <f>Sheet1!I17</f>
        <v>0</v>
      </c>
      <c r="R50" s="23">
        <f>Sheet1!I18</f>
        <v>0</v>
      </c>
    </row>
    <row r="51" spans="1:18">
      <c r="A51" s="1"/>
      <c r="B51" s="37"/>
      <c r="C51" s="39"/>
      <c r="D51" s="25" t="s">
        <v>84</v>
      </c>
      <c r="E51" s="25"/>
      <c r="F51" s="25"/>
      <c r="G51" s="23">
        <f>Sheet1!J7</f>
        <v>0</v>
      </c>
      <c r="H51" s="23">
        <f>Sheet1!J8</f>
        <v>0</v>
      </c>
      <c r="I51" s="23">
        <f>Sheet1!J9</f>
        <v>0</v>
      </c>
      <c r="J51" s="23">
        <f>Sheet1!J10</f>
        <v>0</v>
      </c>
      <c r="K51" s="23">
        <f>Sheet1!J11</f>
        <v>0</v>
      </c>
      <c r="L51" s="23">
        <f>Sheet1!J12</f>
        <v>0</v>
      </c>
      <c r="M51" s="23">
        <f>Sheet1!J13</f>
        <v>0</v>
      </c>
      <c r="N51" s="23">
        <f>Sheet1!J14</f>
        <v>0</v>
      </c>
      <c r="O51" s="23">
        <f>Sheet1!J15</f>
        <v>0</v>
      </c>
      <c r="P51" s="23">
        <f>Sheet1!J16</f>
        <v>0</v>
      </c>
      <c r="Q51" s="23">
        <f>Sheet1!J17</f>
        <v>0</v>
      </c>
      <c r="R51" s="23">
        <f>Sheet1!J18</f>
        <v>0</v>
      </c>
    </row>
    <row r="52" spans="1:18">
      <c r="A52" s="1"/>
      <c r="B52" s="36">
        <v>3</v>
      </c>
      <c r="C52" s="38" t="s">
        <v>54</v>
      </c>
      <c r="D52" s="25" t="s">
        <v>81</v>
      </c>
      <c r="E52" s="25"/>
      <c r="F52" s="25"/>
      <c r="G52" s="23">
        <f>Sheet1!U7</f>
        <v>0</v>
      </c>
      <c r="H52" s="23">
        <f>Sheet1!U8</f>
        <v>0</v>
      </c>
      <c r="I52" s="23">
        <f>Sheet1!U9</f>
        <v>0</v>
      </c>
      <c r="J52" s="23">
        <f>Sheet1!U10</f>
        <v>0</v>
      </c>
      <c r="K52" s="23">
        <f>Sheet1!U11</f>
        <v>0</v>
      </c>
      <c r="L52" s="23">
        <f>Sheet1!U12</f>
        <v>0</v>
      </c>
      <c r="M52" s="23">
        <f>Sheet1!U13</f>
        <v>0</v>
      </c>
      <c r="N52" s="23">
        <f>Sheet1!U14</f>
        <v>0</v>
      </c>
      <c r="O52" s="23">
        <f>Sheet1!U15</f>
        <v>0</v>
      </c>
      <c r="P52" s="23">
        <f>Sheet1!U16</f>
        <v>0</v>
      </c>
      <c r="Q52" s="23">
        <f>Sheet1!U17</f>
        <v>0</v>
      </c>
      <c r="R52" s="23">
        <f>Sheet1!U18</f>
        <v>0</v>
      </c>
    </row>
    <row r="53" spans="1:18">
      <c r="A53" s="1"/>
      <c r="B53" s="37"/>
      <c r="C53" s="39"/>
      <c r="D53" s="25" t="s">
        <v>80</v>
      </c>
      <c r="E53" s="25"/>
      <c r="F53" s="25"/>
      <c r="G53" s="23">
        <f>Sheet1!V7 + Sheet1!X7</f>
        <v>0</v>
      </c>
      <c r="H53" s="23">
        <f>Sheet1!V8 + Sheet1!X8</f>
        <v>0</v>
      </c>
      <c r="I53" s="23">
        <f>Sheet1!V9 + Sheet1!X9</f>
        <v>0</v>
      </c>
      <c r="J53" s="23">
        <f>Sheet1!V10 + Sheet1!X10</f>
        <v>0</v>
      </c>
      <c r="K53" s="23">
        <f>Sheet1!V11 + Sheet1!X11</f>
        <v>0</v>
      </c>
      <c r="L53" s="23">
        <f>Sheet1!V12 + Sheet1!X12</f>
        <v>0</v>
      </c>
      <c r="M53" s="23">
        <f>Sheet1!V13 + Sheet1!X13</f>
        <v>0</v>
      </c>
      <c r="N53" s="23">
        <f>Sheet1!V14 + Sheet1!X14</f>
        <v>0</v>
      </c>
      <c r="O53" s="23">
        <f>Sheet1!V15 + Sheet1!X15</f>
        <v>0</v>
      </c>
      <c r="P53" s="23">
        <f>Sheet1!V16 + Sheet1!X16</f>
        <v>0</v>
      </c>
      <c r="Q53" s="23">
        <f>Sheet1!V17 + Sheet1!X17</f>
        <v>0</v>
      </c>
      <c r="R53" s="23">
        <f>Sheet1!V18 + Sheet1!X18</f>
        <v>0</v>
      </c>
    </row>
    <row r="54" spans="1:18">
      <c r="A54" s="1"/>
      <c r="B54" s="36">
        <v>4</v>
      </c>
      <c r="C54" s="38" t="s">
        <v>85</v>
      </c>
      <c r="D54" s="25" t="s">
        <v>83</v>
      </c>
      <c r="E54" s="25"/>
      <c r="F54" s="25"/>
      <c r="G54" s="23">
        <f>Sheet1!M7</f>
        <v>0</v>
      </c>
      <c r="H54" s="23">
        <f>Sheet1!M8</f>
        <v>0</v>
      </c>
      <c r="I54" s="23">
        <f>Sheet1!M9</f>
        <v>0</v>
      </c>
      <c r="J54" s="23">
        <f>Sheet1!M10</f>
        <v>0</v>
      </c>
      <c r="K54" s="23">
        <f>Sheet1!M11</f>
        <v>0</v>
      </c>
      <c r="L54" s="23">
        <f>Sheet1!M12</f>
        <v>0</v>
      </c>
      <c r="M54" s="23">
        <f>Sheet1!M13</f>
        <v>0</v>
      </c>
      <c r="N54" s="23">
        <f>Sheet1!M14</f>
        <v>0</v>
      </c>
      <c r="O54" s="23">
        <f>Sheet1!M15</f>
        <v>0</v>
      </c>
      <c r="P54" s="23">
        <f>Sheet1!M16</f>
        <v>0</v>
      </c>
      <c r="Q54" s="23">
        <f>Sheet1!M17</f>
        <v>0</v>
      </c>
      <c r="R54" s="23">
        <f>Sheet1!M18</f>
        <v>0</v>
      </c>
    </row>
    <row r="55" spans="1:18">
      <c r="A55" s="1"/>
      <c r="B55" s="37"/>
      <c r="C55" s="39"/>
      <c r="D55" s="25" t="s">
        <v>84</v>
      </c>
      <c r="E55" s="25"/>
      <c r="F55" s="25"/>
      <c r="G55" s="23">
        <f>Sheet1!N7</f>
        <v>0</v>
      </c>
      <c r="H55" s="23">
        <f>Sheet1!N8</f>
        <v>0</v>
      </c>
      <c r="I55" s="23">
        <f>Sheet1!N9</f>
        <v>0</v>
      </c>
      <c r="J55" s="23">
        <f>Sheet1!N10</f>
        <v>0</v>
      </c>
      <c r="K55" s="23">
        <f>Sheet1!N11</f>
        <v>0</v>
      </c>
      <c r="L55" s="23">
        <f>Sheet1!N12</f>
        <v>0</v>
      </c>
      <c r="M55" s="23">
        <f>Sheet1!N13</f>
        <v>0</v>
      </c>
      <c r="N55" s="23">
        <f>Sheet1!N14</f>
        <v>0</v>
      </c>
      <c r="O55" s="23">
        <f>Sheet1!N15</f>
        <v>0</v>
      </c>
      <c r="P55" s="23">
        <f>Sheet1!N16</f>
        <v>0</v>
      </c>
      <c r="Q55" s="23">
        <f>Sheet1!N17</f>
        <v>0</v>
      </c>
      <c r="R55" s="23">
        <f>Sheet1!N18</f>
        <v>0</v>
      </c>
    </row>
    <row r="56" spans="1:18">
      <c r="A56" s="1"/>
      <c r="B56" s="23">
        <v>5</v>
      </c>
      <c r="C56" s="40" t="s">
        <v>55</v>
      </c>
      <c r="D56" s="41"/>
      <c r="E56" s="27"/>
      <c r="F56" s="27"/>
      <c r="G56" s="23">
        <f>Sheet1!Z7</f>
        <v>0</v>
      </c>
      <c r="H56" s="23">
        <f>Sheet1!Z8</f>
        <v>0</v>
      </c>
      <c r="I56" s="23">
        <f>Sheet1!Z9</f>
        <v>0</v>
      </c>
      <c r="J56" s="23">
        <f>Sheet1!Z10</f>
        <v>0</v>
      </c>
      <c r="K56" s="23">
        <f>Sheet1!Z11</f>
        <v>0</v>
      </c>
      <c r="L56" s="23">
        <f>Sheet1!Z12</f>
        <v>0</v>
      </c>
      <c r="M56" s="23">
        <f>Sheet1!Z13</f>
        <v>0</v>
      </c>
      <c r="N56" s="23">
        <f>Sheet1!Z14</f>
        <v>0</v>
      </c>
      <c r="O56" s="23">
        <f>Sheet1!Z15</f>
        <v>0</v>
      </c>
      <c r="P56" s="23">
        <f>Sheet1!Z16</f>
        <v>0</v>
      </c>
      <c r="Q56" s="23">
        <f>Sheet1!Z17</f>
        <v>0</v>
      </c>
      <c r="R56" s="23">
        <f>Sheet1!Z18</f>
        <v>0</v>
      </c>
    </row>
    <row r="57" spans="1:18">
      <c r="A57" s="1"/>
      <c r="B57" s="36">
        <v>6</v>
      </c>
      <c r="C57" s="38" t="s">
        <v>56</v>
      </c>
      <c r="D57" s="25" t="s">
        <v>83</v>
      </c>
      <c r="E57" s="25"/>
      <c r="F57" s="25"/>
      <c r="G57" s="23">
        <f>Sheet1!Q7</f>
        <v>0</v>
      </c>
      <c r="H57" s="23">
        <f>Sheet1!Q8</f>
        <v>0</v>
      </c>
      <c r="I57" s="23">
        <f>Sheet1!Q9</f>
        <v>0</v>
      </c>
      <c r="J57" s="23">
        <f>Sheet1!Q10</f>
        <v>0</v>
      </c>
      <c r="K57" s="23">
        <f>Sheet1!Q11</f>
        <v>0</v>
      </c>
      <c r="L57" s="23">
        <f>Sheet1!Q12</f>
        <v>0</v>
      </c>
      <c r="M57" s="23">
        <f>Sheet1!Q13</f>
        <v>0</v>
      </c>
      <c r="N57" s="23">
        <f>Sheet1!Q14</f>
        <v>0</v>
      </c>
      <c r="O57" s="23">
        <f>Sheet1!Q15</f>
        <v>0</v>
      </c>
      <c r="P57" s="23">
        <f>Sheet1!Q16</f>
        <v>0</v>
      </c>
      <c r="Q57" s="23">
        <f>Sheet1!Q17</f>
        <v>0</v>
      </c>
      <c r="R57" s="23">
        <f>Sheet1!Q18</f>
        <v>0</v>
      </c>
    </row>
    <row r="58" spans="1:18">
      <c r="A58" s="1"/>
      <c r="B58" s="37"/>
      <c r="C58" s="39"/>
      <c r="D58" s="25" t="s">
        <v>86</v>
      </c>
      <c r="E58" s="25"/>
      <c r="F58" s="25"/>
      <c r="G58" s="23">
        <f>Sheet1!R7</f>
        <v>0</v>
      </c>
      <c r="H58" s="23">
        <f>Sheet1!R8</f>
        <v>0</v>
      </c>
      <c r="I58" s="23">
        <f>Sheet1!R9</f>
        <v>0</v>
      </c>
      <c r="J58" s="23">
        <f>Sheet1!R10</f>
        <v>0</v>
      </c>
      <c r="K58" s="23">
        <f>Sheet1!R11</f>
        <v>0</v>
      </c>
      <c r="L58" s="23">
        <f>Sheet1!R12</f>
        <v>0</v>
      </c>
      <c r="M58" s="23">
        <f>Sheet1!R13</f>
        <v>0</v>
      </c>
      <c r="N58" s="23">
        <f>Sheet1!R14</f>
        <v>0</v>
      </c>
      <c r="O58" s="23">
        <f>Sheet1!R15</f>
        <v>0</v>
      </c>
      <c r="P58" s="23">
        <f>Sheet1!R16</f>
        <v>0</v>
      </c>
      <c r="Q58" s="23">
        <f>Sheet1!R17</f>
        <v>0</v>
      </c>
      <c r="R58" s="23">
        <f>Sheet1!R18</f>
        <v>0</v>
      </c>
    </row>
    <row r="59" spans="1:18">
      <c r="A59" s="1"/>
      <c r="B59" s="43" t="s">
        <v>50</v>
      </c>
      <c r="C59" s="44"/>
      <c r="D59" s="45"/>
      <c r="E59" s="28"/>
      <c r="F59" s="28"/>
      <c r="G59" s="23">
        <f t="shared" ref="G59:R59" si="1">SUM(G49:G58)</f>
        <v>0</v>
      </c>
      <c r="H59" s="23">
        <f t="shared" si="1"/>
        <v>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8" t="s">
        <v>27</v>
      </c>
      <c r="C75" s="8" t="s">
        <v>52</v>
      </c>
      <c r="D75" s="8"/>
      <c r="E75" s="8"/>
      <c r="F75" s="8"/>
      <c r="G75" s="8" t="s">
        <v>29</v>
      </c>
      <c r="H75" s="8" t="s">
        <v>30</v>
      </c>
      <c r="I75" s="8" t="s">
        <v>31</v>
      </c>
      <c r="J75" s="8" t="s">
        <v>32</v>
      </c>
      <c r="K75" s="8" t="s">
        <v>33</v>
      </c>
      <c r="L75" s="8" t="s">
        <v>34</v>
      </c>
      <c r="M75" s="8" t="s">
        <v>35</v>
      </c>
      <c r="N75" s="8" t="s">
        <v>36</v>
      </c>
      <c r="O75" s="8" t="s">
        <v>37</v>
      </c>
      <c r="P75" s="8" t="s">
        <v>38</v>
      </c>
      <c r="Q75" s="8" t="s">
        <v>39</v>
      </c>
      <c r="R75" s="8" t="s">
        <v>40</v>
      </c>
    </row>
    <row r="76" spans="1:18">
      <c r="A76" s="1"/>
      <c r="B76" s="46">
        <v>1</v>
      </c>
      <c r="C76" s="34" t="s">
        <v>122</v>
      </c>
      <c r="D76" s="33"/>
      <c r="E76" s="33"/>
      <c r="F76" s="33"/>
      <c r="G76" s="33">
        <f>Sheet1!AA7</f>
        <v>0</v>
      </c>
      <c r="H76" s="33">
        <f>Sheet1!AA8</f>
        <v>0</v>
      </c>
      <c r="I76" s="33">
        <f>Sheet1!AA9</f>
        <v>0</v>
      </c>
      <c r="J76" s="33">
        <f>Sheet1!AA10</f>
        <v>0</v>
      </c>
      <c r="K76" s="33">
        <f>Sheet1!AA11</f>
        <v>0</v>
      </c>
      <c r="L76" s="33">
        <f>Sheet1!AA12</f>
        <v>0</v>
      </c>
      <c r="M76" s="33">
        <f>Sheet1!AA13</f>
        <v>0</v>
      </c>
      <c r="N76" s="33">
        <f>Sheet1!AA14</f>
        <v>0</v>
      </c>
      <c r="O76" s="33">
        <f>Sheet1!AA15</f>
        <v>0</v>
      </c>
      <c r="P76" s="33">
        <f>Sheet1!AA16</f>
        <v>0</v>
      </c>
      <c r="Q76" s="33">
        <f>Sheet1!AA17</f>
        <v>0</v>
      </c>
      <c r="R76" s="33">
        <f>Sheet1!AA18</f>
        <v>0</v>
      </c>
    </row>
    <row r="77" spans="1:18">
      <c r="A77" s="1"/>
      <c r="B77" s="47"/>
      <c r="C77" s="35" t="s">
        <v>123</v>
      </c>
      <c r="D77" s="32"/>
      <c r="E77" s="32"/>
      <c r="F77" s="32"/>
      <c r="G77" s="32">
        <f>Sheet1!H7 - (Sheet1!H19 + Sheet1!AA7)</f>
        <v>0</v>
      </c>
      <c r="H77" s="32">
        <f>Sheet1!H8 - (Sheet1!H7 + Sheet1!AA8)</f>
        <v>0</v>
      </c>
      <c r="I77" s="32">
        <f>Sheet1!H9 - (Sheet1!H8 + Sheet1!AA9)</f>
        <v>0</v>
      </c>
      <c r="J77" s="32">
        <f>Sheet1!H10 - (Sheet1!H9 + Sheet1!AA10)</f>
        <v>0</v>
      </c>
      <c r="K77" s="32">
        <f>Sheet1!H11 - (Sheet1!H10 + Sheet1!AA11)</f>
        <v>0</v>
      </c>
      <c r="L77" s="32">
        <f>Sheet1!H12 - (Sheet1!H11 + Sheet1!AA12)</f>
        <v>0</v>
      </c>
      <c r="M77" s="32">
        <f>Sheet1!H13 - (Sheet1!H12 + Sheet1!AA13)</f>
        <v>0</v>
      </c>
      <c r="N77" s="32">
        <f>Sheet1!H14 - (Sheet1!H13 + Sheet1!AA14)</f>
        <v>0</v>
      </c>
      <c r="O77" s="32">
        <f>Sheet1!H15 - (Sheet1!H14 + Sheet1!AA15)</f>
        <v>0</v>
      </c>
      <c r="P77" s="32">
        <f>Sheet1!H16 - (Sheet1!H15 + Sheet1!AA16)</f>
        <v>0</v>
      </c>
      <c r="Q77" s="32">
        <f>Sheet1!H17 - (Sheet1!H16 + Sheet1!AA17)</f>
        <v>0</v>
      </c>
      <c r="R77" s="32">
        <f>Sheet1!H18 - (Sheet1!H17 + Sheet1!AA18)</f>
        <v>0</v>
      </c>
    </row>
    <row r="78" spans="1:18">
      <c r="A78" s="1"/>
      <c r="B78" s="36">
        <v>2</v>
      </c>
      <c r="C78" s="12" t="s">
        <v>124</v>
      </c>
      <c r="D78" s="12"/>
      <c r="E78" s="12"/>
      <c r="F78" s="12"/>
      <c r="G78" s="13">
        <f>Sheet1!AC7</f>
        <v>0</v>
      </c>
      <c r="H78" s="13">
        <f>Sheet1!AC8</f>
        <v>0</v>
      </c>
      <c r="I78" s="13">
        <f>Sheet1!AC9</f>
        <v>0</v>
      </c>
      <c r="J78" s="13">
        <f>Sheet1!AC10</f>
        <v>0</v>
      </c>
      <c r="K78" s="13">
        <f>Sheet1!AC11</f>
        <v>0</v>
      </c>
      <c r="L78" s="13">
        <f>Sheet1!AC12</f>
        <v>0</v>
      </c>
      <c r="M78" s="13">
        <f>Sheet1!AC13</f>
        <v>0</v>
      </c>
      <c r="N78" s="13">
        <f>Sheet1!AC14</f>
        <v>0</v>
      </c>
      <c r="O78" s="13">
        <f>Sheet1!AC15</f>
        <v>0</v>
      </c>
      <c r="P78" s="13">
        <f>Sheet1!AC16</f>
        <v>0</v>
      </c>
      <c r="Q78" s="13">
        <f>Sheet1!AC17</f>
        <v>0</v>
      </c>
      <c r="R78" s="13">
        <f>Sheet1!AC18</f>
        <v>0</v>
      </c>
    </row>
    <row r="79" spans="1:18">
      <c r="A79" s="1"/>
      <c r="B79" s="37"/>
      <c r="C79" s="14" t="s">
        <v>125</v>
      </c>
      <c r="D79" s="14"/>
      <c r="E79" s="14"/>
      <c r="F79" s="14"/>
      <c r="G79" s="15">
        <f>Sheet1!P7 - (Sheet1!P19 + Sheet1!AC7)</f>
        <v>0</v>
      </c>
      <c r="H79" s="15">
        <f>Sheet1!P8 - (Sheet1!P7 + Sheet1!AC8)</f>
        <v>0</v>
      </c>
      <c r="I79" s="15">
        <f>Sheet1!P9 - (Sheet1!P8 + Sheet1!AC9)</f>
        <v>0</v>
      </c>
      <c r="J79" s="15">
        <f>Sheet1!P10 - (Sheet1!P9 + Sheet1!AC10)</f>
        <v>0</v>
      </c>
      <c r="K79" s="15">
        <f>Sheet1!P11 - (Sheet1!P10 + Sheet1!AC11)</f>
        <v>0</v>
      </c>
      <c r="L79" s="15">
        <f>Sheet1!P12 - (Sheet1!P11 + Sheet1!AC12)</f>
        <v>0</v>
      </c>
      <c r="M79" s="15">
        <f>Sheet1!P13 - (Sheet1!P12 + Sheet1!AC13)</f>
        <v>0</v>
      </c>
      <c r="N79" s="17">
        <f>Sheet1!P14 - (Sheet1!P13 + Sheet1!AC14)</f>
        <v>0</v>
      </c>
      <c r="O79" s="15">
        <f>Sheet1!P15 - (Sheet1!P14 + Sheet1!AC15)</f>
        <v>0</v>
      </c>
      <c r="P79" s="15">
        <f>Sheet1!P16 - (Sheet1!P15 + Sheet1!AC16)</f>
        <v>0</v>
      </c>
      <c r="Q79" s="15">
        <f>Sheet1!P17 - (Sheet1!P16 + Sheet1!AC17)</f>
        <v>0</v>
      </c>
      <c r="R79" s="15">
        <f>Sheet1!P18 - (Sheet1!P17 + Sheet1!AC18)</f>
        <v>0</v>
      </c>
    </row>
    <row r="80" spans="1:18">
      <c r="A80" s="1"/>
      <c r="B80" s="36">
        <v>3</v>
      </c>
      <c r="C80" s="12" t="s">
        <v>58</v>
      </c>
      <c r="D80" s="12"/>
      <c r="E80" s="12"/>
      <c r="F80" s="12"/>
      <c r="G80" s="13">
        <f>Sheet1!AB7</f>
        <v>0</v>
      </c>
      <c r="H80" s="13">
        <f>Sheet1!AB8</f>
        <v>0</v>
      </c>
      <c r="I80" s="13">
        <f>Sheet1!AB9</f>
        <v>0</v>
      </c>
      <c r="J80" s="13">
        <f>Sheet1!AB10</f>
        <v>0</v>
      </c>
      <c r="K80" s="13">
        <f>Sheet1!AB11</f>
        <v>0</v>
      </c>
      <c r="L80" s="13">
        <f>Sheet1!AB12</f>
        <v>0</v>
      </c>
      <c r="M80" s="13">
        <f>Sheet1!AB13</f>
        <v>0</v>
      </c>
      <c r="N80" s="13">
        <f>Sheet1!AB14</f>
        <v>0</v>
      </c>
      <c r="O80" s="13">
        <f>Sheet1!AB15</f>
        <v>0</v>
      </c>
      <c r="P80" s="13">
        <f>Sheet1!AB16</f>
        <v>0</v>
      </c>
      <c r="Q80" s="13">
        <f>Sheet1!AB17</f>
        <v>0</v>
      </c>
      <c r="R80" s="13">
        <f>Sheet1!AB18</f>
        <v>0</v>
      </c>
    </row>
    <row r="81" spans="1:18">
      <c r="A81" s="1"/>
      <c r="B81" s="37"/>
      <c r="C81" s="14" t="s">
        <v>59</v>
      </c>
      <c r="D81" s="14"/>
      <c r="E81" s="14"/>
      <c r="F81" s="14"/>
      <c r="G81" s="15">
        <f>Sheet1!L7 - (Sheet1!L19 + Sheet1!AB7)</f>
        <v>0</v>
      </c>
      <c r="H81" s="15">
        <f>Sheet1!L8 - (Sheet1!L7 + Sheet1!AB8)</f>
        <v>0</v>
      </c>
      <c r="I81" s="15">
        <f>Sheet1!L9 - (Sheet1!L8 + Sheet1!AB9)</f>
        <v>0</v>
      </c>
      <c r="J81" s="15">
        <f>Sheet1!L10 - (Sheet1!L9 + Sheet1!AB10)</f>
        <v>0</v>
      </c>
      <c r="K81" s="15">
        <f>Sheet1!L11 - (Sheet1!L10 + Sheet1!AB11)</f>
        <v>0</v>
      </c>
      <c r="L81" s="15">
        <f>Sheet1!L12 - (Sheet1!L11 + Sheet1!AB12)</f>
        <v>0</v>
      </c>
      <c r="M81" s="15">
        <f>Sheet1!L13 - (Sheet1!L12 + Sheet1!AB13)</f>
        <v>0</v>
      </c>
      <c r="N81" s="15">
        <f>Sheet1!L14 - (Sheet1!L13 + Sheet1!AB14)</f>
        <v>0</v>
      </c>
      <c r="O81" s="15">
        <f>Sheet1!L15 - (Sheet1!L14 + Sheet1!AB15)</f>
        <v>0</v>
      </c>
      <c r="P81" s="15">
        <f>Sheet1!L16 - (Sheet1!L15 + Sheet1!AB16)</f>
        <v>0</v>
      </c>
      <c r="Q81" s="15">
        <f>Sheet1!L17 - (Sheet1!L16 + Sheet1!AB17)</f>
        <v>0</v>
      </c>
      <c r="R81" s="15">
        <f>Sheet1!L18 - (Sheet1!L17 + Sheet1!AB18)</f>
        <v>0</v>
      </c>
    </row>
    <row r="82" spans="1:18">
      <c r="A82" s="1"/>
      <c r="B82" s="36">
        <v>4</v>
      </c>
      <c r="C82" s="12" t="s">
        <v>60</v>
      </c>
      <c r="D82" s="12"/>
      <c r="E82" s="12"/>
      <c r="F82" s="12"/>
      <c r="G82" s="13">
        <f>Sheet1!AE7+Sheet1!AG7</f>
        <v>0</v>
      </c>
      <c r="H82" s="13">
        <f>Sheet1!AE8+Sheet1!AG8</f>
        <v>0</v>
      </c>
      <c r="I82" s="13">
        <f>Sheet1!AE9+Sheet1!AG9</f>
        <v>0</v>
      </c>
      <c r="J82" s="13">
        <f>Sheet1!AE10+Sheet1!AG10</f>
        <v>0</v>
      </c>
      <c r="K82" s="13">
        <f>Sheet1!AE11+Sheet1!AG11</f>
        <v>0</v>
      </c>
      <c r="L82" s="13">
        <f>Sheet1!AE12+Sheet1!AG12</f>
        <v>0</v>
      </c>
      <c r="M82" s="13">
        <f>Sheet1!AE13+Sheet1!AG13</f>
        <v>0</v>
      </c>
      <c r="N82" s="13">
        <f>Sheet1!AE14+Sheet1!AG14</f>
        <v>0</v>
      </c>
      <c r="O82" s="13">
        <f>Sheet1!AE15+Sheet1!AG15</f>
        <v>0</v>
      </c>
      <c r="P82" s="13">
        <f>Sheet1!AE16+Sheet1!AG16</f>
        <v>0</v>
      </c>
      <c r="Q82" s="13">
        <f>Sheet1!AE17+Sheet1!AG17</f>
        <v>0</v>
      </c>
      <c r="R82" s="13">
        <f>Sheet1!AE18+Sheet1!AG18</f>
        <v>0</v>
      </c>
    </row>
    <row r="83" spans="1:18">
      <c r="A83" s="1"/>
      <c r="B83" s="37"/>
      <c r="C83" s="14" t="s">
        <v>61</v>
      </c>
      <c r="D83" s="14"/>
      <c r="E83" s="14"/>
      <c r="F83" s="14"/>
      <c r="G83" s="15">
        <f>Sheet1!Y7-(Sheet1!Y19+Sheet1!AE7+Sheet1!AG7)</f>
        <v>0</v>
      </c>
      <c r="H83" s="15">
        <f>Sheet1!Y8-(Sheet1!Y7+Sheet1!AE8+Sheet1!AG8)</f>
        <v>0</v>
      </c>
      <c r="I83" s="15">
        <f>Sheet1!Y9-(Sheet1!Y8+Sheet1!AE9+Sheet1!AG9)</f>
        <v>0</v>
      </c>
      <c r="J83" s="15">
        <f>Sheet1!Y10-(Sheet1!Y9+Sheet1!AE10+Sheet1!AG10)</f>
        <v>0</v>
      </c>
      <c r="K83" s="15">
        <f>Sheet1!Y11-(Sheet1!Y10+Sheet1!AE11+Sheet1!AG11)</f>
        <v>0</v>
      </c>
      <c r="L83" s="15">
        <f>Sheet1!Y12-(Sheet1!Y11+Sheet1!AE12+Sheet1!AG12)</f>
        <v>0</v>
      </c>
      <c r="M83" s="15">
        <f>Sheet1!Y13-(Sheet1!Y12+Sheet1!AE13+Sheet1!AG13)</f>
        <v>0</v>
      </c>
      <c r="N83" s="15">
        <f>Sheet1!Y14-(Sheet1!Y13+Sheet1!AE14+Sheet1!AG14)</f>
        <v>0</v>
      </c>
      <c r="O83" s="15">
        <f>Sheet1!Y15-(Sheet1!Y14+Sheet1!AE15+Sheet1!AG15)</f>
        <v>0</v>
      </c>
      <c r="P83" s="15">
        <f>Sheet1!Y16-(Sheet1!Y15+Sheet1!AE16+Sheet1!AG16)</f>
        <v>0</v>
      </c>
      <c r="Q83" s="15">
        <f>Sheet1!Y17-(Sheet1!Y16+Sheet1!AE17+Sheet1!AG17)</f>
        <v>0</v>
      </c>
      <c r="R83" s="15">
        <f>Sheet1!Y18-(Sheet1!Y17+Sheet1!AE18+Sheet1!AG18)</f>
        <v>0</v>
      </c>
    </row>
    <row r="84" spans="1:18">
      <c r="A84" s="1"/>
      <c r="B84" s="36">
        <v>5</v>
      </c>
      <c r="C84" s="12" t="s">
        <v>62</v>
      </c>
      <c r="D84" s="12"/>
      <c r="E84" s="12"/>
      <c r="F84" s="12"/>
      <c r="G84" s="13">
        <f>Sheet1!AF7</f>
        <v>0</v>
      </c>
      <c r="H84" s="13">
        <f>Sheet1!AF8</f>
        <v>0</v>
      </c>
      <c r="I84" s="13">
        <f>Sheet1!AF9</f>
        <v>0</v>
      </c>
      <c r="J84" s="13">
        <f>Sheet1!AF10</f>
        <v>0</v>
      </c>
      <c r="K84" s="13">
        <f>Sheet1!AF11</f>
        <v>0</v>
      </c>
      <c r="L84" s="13">
        <f>Sheet1!AF12</f>
        <v>0</v>
      </c>
      <c r="M84" s="13">
        <f>Sheet1!AF13</f>
        <v>0</v>
      </c>
      <c r="N84" s="13">
        <f>Sheet1!AF14</f>
        <v>0</v>
      </c>
      <c r="O84" s="13">
        <f>Sheet1!AF15</f>
        <v>0</v>
      </c>
      <c r="P84" s="13">
        <f>Sheet1!AF16</f>
        <v>0</v>
      </c>
      <c r="Q84" s="13">
        <f>Sheet1!AF17</f>
        <v>0</v>
      </c>
      <c r="R84" s="13">
        <f>Sheet1!AF18</f>
        <v>0</v>
      </c>
    </row>
    <row r="85" spans="1:18">
      <c r="A85" s="1"/>
      <c r="B85" s="37"/>
      <c r="C85" s="14" t="s">
        <v>63</v>
      </c>
      <c r="D85" s="14"/>
      <c r="E85" s="14"/>
      <c r="F85" s="14"/>
      <c r="G85" s="15">
        <f>Sheet1!Z7-(Sheet1!Z19+Sheet1!AF7)</f>
        <v>0</v>
      </c>
      <c r="H85" s="15">
        <f>Sheet1!Z8-(Sheet1!Z7+Sheet1!AF8)</f>
        <v>0</v>
      </c>
      <c r="I85" s="15">
        <f>Sheet1!Z9-(Sheet1!Z8+Sheet1!AF9)</f>
        <v>0</v>
      </c>
      <c r="J85" s="15">
        <f>Sheet1!Z10-(Sheet1!Z9+Sheet1!AF10)</f>
        <v>0</v>
      </c>
      <c r="K85" s="15">
        <f>Sheet1!Z11-(Sheet1!Z10+Sheet1!AF11)</f>
        <v>0</v>
      </c>
      <c r="L85" s="15">
        <f>Sheet1!Z12-(Sheet1!Z11+Sheet1!AF12)</f>
        <v>0</v>
      </c>
      <c r="M85" s="15">
        <f>Sheet1!Z13-(Sheet1!Z12+Sheet1!AF13)</f>
        <v>0</v>
      </c>
      <c r="N85" s="15">
        <f>Sheet1!Z14-(Sheet1!Z13+Sheet1!AF14)</f>
        <v>0</v>
      </c>
      <c r="O85" s="15">
        <f>Sheet1!Z15-(Sheet1!Z14+Sheet1!AF15)</f>
        <v>0</v>
      </c>
      <c r="P85" s="15">
        <f>Sheet1!Z16-(Sheet1!Z15+Sheet1!AF16)</f>
        <v>0</v>
      </c>
      <c r="Q85" s="15">
        <f>Sheet1!Z17-(Sheet1!Z16+Sheet1!AF17)</f>
        <v>0</v>
      </c>
      <c r="R85" s="15">
        <f>Sheet1!Z18-(Sheet1!Z17+Sheet1!AF18)</f>
        <v>0</v>
      </c>
    </row>
    <row r="86" spans="1:18">
      <c r="A86" s="1"/>
      <c r="B86" s="36">
        <v>6</v>
      </c>
      <c r="C86" s="12" t="s">
        <v>64</v>
      </c>
      <c r="D86" s="12"/>
      <c r="E86" s="12"/>
      <c r="F86" s="12"/>
      <c r="G86" s="13">
        <f>Sheet1!AD7</f>
        <v>0</v>
      </c>
      <c r="H86" s="13">
        <f>Sheet1!AD8</f>
        <v>0</v>
      </c>
      <c r="I86" s="13">
        <f>Sheet1!AD9</f>
        <v>0</v>
      </c>
      <c r="J86" s="13">
        <f>Sheet1!AD10</f>
        <v>0</v>
      </c>
      <c r="K86" s="13">
        <f>Sheet1!AD11</f>
        <v>0</v>
      </c>
      <c r="L86" s="13">
        <f>Sheet1!AD12</f>
        <v>0</v>
      </c>
      <c r="M86" s="13">
        <f>Sheet1!AD13</f>
        <v>0</v>
      </c>
      <c r="N86" s="13">
        <f>Sheet1!AD14</f>
        <v>0</v>
      </c>
      <c r="O86" s="13">
        <f>Sheet1!AD15</f>
        <v>0</v>
      </c>
      <c r="P86" s="13">
        <f>Sheet1!AD16</f>
        <v>0</v>
      </c>
      <c r="Q86" s="13">
        <f>Sheet1!AD17</f>
        <v>0</v>
      </c>
      <c r="R86" s="13">
        <f>Sheet1!AD18</f>
        <v>0</v>
      </c>
    </row>
    <row r="87" spans="1:18">
      <c r="A87" s="1"/>
      <c r="B87" s="37"/>
      <c r="C87" s="14" t="s">
        <v>65</v>
      </c>
      <c r="D87" s="14"/>
      <c r="E87" s="14"/>
      <c r="F87" s="14"/>
      <c r="G87" s="15">
        <f>Sheet1!T7-(Sheet1!T19+Sheet1!AD7)</f>
        <v>0</v>
      </c>
      <c r="H87" s="15">
        <f>Sheet1!T8-(Sheet1!T7+Sheet1!AD8)</f>
        <v>0</v>
      </c>
      <c r="I87" s="15">
        <f>Sheet1!T9-(Sheet1!T8+Sheet1!AD9)</f>
        <v>0</v>
      </c>
      <c r="J87" s="15">
        <f>Sheet1!T10-(Sheet1!T9+Sheet1!AD10)</f>
        <v>0</v>
      </c>
      <c r="K87" s="15">
        <f>Sheet1!T11-(Sheet1!T10+Sheet1!AD11)</f>
        <v>0</v>
      </c>
      <c r="L87" s="15">
        <f>Sheet1!T12-(Sheet1!T11+Sheet1!AD12)</f>
        <v>0</v>
      </c>
      <c r="M87" s="15">
        <f>Sheet1!T13-(Sheet1!T12+Sheet1!AD13)</f>
        <v>0</v>
      </c>
      <c r="N87" s="15">
        <f>Sheet1!T14-(Sheet1!T13+Sheet1!AD14)</f>
        <v>0</v>
      </c>
      <c r="O87" s="15">
        <f>Sheet1!T15-(Sheet1!T14+Sheet1!AD15)</f>
        <v>0</v>
      </c>
      <c r="P87" s="15">
        <f>Sheet1!T16-(Sheet1!T15+Sheet1!AD16)</f>
        <v>0</v>
      </c>
      <c r="Q87" s="15">
        <f>Sheet1!T17-(Sheet1!T16+Sheet1!AD17)</f>
        <v>0</v>
      </c>
      <c r="R87" s="15">
        <f>Sheet1!T18-(Sheet1!T17+Sheet1!AD18)</f>
        <v>0</v>
      </c>
    </row>
    <row r="88" spans="1:18">
      <c r="A88" s="1"/>
      <c r="B88" s="42" t="s">
        <v>50</v>
      </c>
      <c r="C88" s="42"/>
      <c r="D88" s="23"/>
      <c r="E88" s="26"/>
      <c r="F88" s="26"/>
      <c r="G88" s="9">
        <f>SUM(G78:G86)</f>
        <v>0</v>
      </c>
      <c r="H88" s="9">
        <f t="shared" ref="H88:R88" si="2">SUM(H78:H86)</f>
        <v>0</v>
      </c>
      <c r="I88" s="9">
        <f t="shared" si="2"/>
        <v>0</v>
      </c>
      <c r="J88" s="9">
        <f t="shared" si="2"/>
        <v>0</v>
      </c>
      <c r="K88" s="9">
        <f t="shared" si="2"/>
        <v>0</v>
      </c>
      <c r="L88" s="9">
        <f t="shared" si="2"/>
        <v>0</v>
      </c>
      <c r="M88" s="9">
        <f t="shared" si="2"/>
        <v>0</v>
      </c>
      <c r="N88" s="9">
        <f t="shared" si="2"/>
        <v>0</v>
      </c>
      <c r="O88" s="9">
        <f t="shared" si="2"/>
        <v>0</v>
      </c>
      <c r="P88" s="9">
        <f t="shared" si="2"/>
        <v>0</v>
      </c>
      <c r="Q88" s="9">
        <f t="shared" si="2"/>
        <v>0</v>
      </c>
      <c r="R88" s="9">
        <f t="shared" si="2"/>
        <v>0</v>
      </c>
    </row>
    <row r="89" spans="1: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>
      <c r="A90" s="1"/>
      <c r="B90" s="6" t="s">
        <v>66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>
      <c r="A92" s="1"/>
      <c r="B92" s="4" t="s">
        <v>27</v>
      </c>
      <c r="C92" s="4" t="s">
        <v>67</v>
      </c>
      <c r="D92" s="4"/>
      <c r="E92" s="4"/>
      <c r="F92" s="4"/>
      <c r="G92" s="42" t="s">
        <v>68</v>
      </c>
      <c r="H92" s="42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>
      <c r="A93" s="1"/>
      <c r="B93" s="11">
        <v>1</v>
      </c>
      <c r="C93" s="19">
        <f>Sheet1!AM7</f>
        <v>0</v>
      </c>
      <c r="D93" s="19"/>
      <c r="E93" s="19"/>
      <c r="F93" s="19"/>
      <c r="G93" s="42">
        <f>Sheet1!AN7</f>
        <v>0</v>
      </c>
      <c r="H93" s="42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>
      <c r="A94" s="1"/>
      <c r="B94" s="11">
        <v>2</v>
      </c>
      <c r="C94" s="19">
        <f>Sheet1!AM8</f>
        <v>0</v>
      </c>
      <c r="D94" s="19"/>
      <c r="E94" s="19"/>
      <c r="F94" s="19"/>
      <c r="G94" s="42">
        <f>Sheet1!AN8</f>
        <v>0</v>
      </c>
      <c r="H94" s="42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>
      <c r="A95" s="1"/>
      <c r="B95" s="11">
        <v>3</v>
      </c>
      <c r="C95" s="19">
        <f>Sheet1!AM9</f>
        <v>0</v>
      </c>
      <c r="D95" s="19"/>
      <c r="E95" s="19"/>
      <c r="F95" s="19"/>
      <c r="G95" s="42">
        <f>Sheet1!AN9</f>
        <v>0</v>
      </c>
      <c r="H95" s="42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>
      <c r="A96" s="1"/>
      <c r="B96" s="11">
        <v>4</v>
      </c>
      <c r="C96" s="19">
        <f>Sheet1!AM10</f>
        <v>0</v>
      </c>
      <c r="D96" s="19"/>
      <c r="E96" s="19"/>
      <c r="F96" s="19"/>
      <c r="G96" s="42">
        <f>Sheet1!AN10</f>
        <v>0</v>
      </c>
      <c r="H96" s="42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>
      <c r="A97" s="1"/>
      <c r="B97" s="11">
        <v>5</v>
      </c>
      <c r="C97" s="19">
        <f>Sheet1!AM11</f>
        <v>0</v>
      </c>
      <c r="D97" s="19"/>
      <c r="E97" s="19"/>
      <c r="F97" s="19"/>
      <c r="G97" s="42">
        <f>Sheet1!AN11</f>
        <v>0</v>
      </c>
      <c r="H97" s="42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>
      <c r="A98" s="1"/>
      <c r="B98" s="20">
        <v>6</v>
      </c>
      <c r="C98" s="19">
        <f>Sheet1!AM12</f>
        <v>0</v>
      </c>
      <c r="D98" s="19"/>
      <c r="E98" s="19"/>
      <c r="F98" s="19"/>
      <c r="G98" s="42">
        <f>Sheet1!AN12</f>
        <v>0</v>
      </c>
      <c r="H98" s="42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>
      <c r="B99" s="22">
        <v>7</v>
      </c>
      <c r="C99" s="19">
        <f>Sheet1!AM13</f>
        <v>0</v>
      </c>
      <c r="D99" s="19"/>
      <c r="E99" s="19"/>
      <c r="F99" s="19"/>
      <c r="G99" s="42">
        <f>Sheet1!AN13</f>
        <v>0</v>
      </c>
      <c r="H99" s="42"/>
    </row>
    <row r="100" spans="1:18">
      <c r="B100" s="22">
        <v>8</v>
      </c>
      <c r="C100" s="19">
        <f>Sheet1!AM14</f>
        <v>0</v>
      </c>
      <c r="D100" s="19"/>
      <c r="E100" s="19"/>
      <c r="F100" s="19"/>
      <c r="G100" s="42">
        <f>Sheet1!AN14</f>
        <v>0</v>
      </c>
      <c r="H100" s="42"/>
    </row>
  </sheetData>
  <mergeCells count="32">
    <mergeCell ref="B76:B77"/>
    <mergeCell ref="G95:H95"/>
    <mergeCell ref="G99:H99"/>
    <mergeCell ref="G100:H100"/>
    <mergeCell ref="B84:B85"/>
    <mergeCell ref="G97:H97"/>
    <mergeCell ref="G98:H98"/>
    <mergeCell ref="B78:B79"/>
    <mergeCell ref="B80:B81"/>
    <mergeCell ref="B82:B83"/>
    <mergeCell ref="G96:H96"/>
    <mergeCell ref="B86:B87"/>
    <mergeCell ref="B88:C88"/>
    <mergeCell ref="G92:H92"/>
    <mergeCell ref="G93:H93"/>
    <mergeCell ref="G94:H94"/>
    <mergeCell ref="B59:D59"/>
    <mergeCell ref="B52:B53"/>
    <mergeCell ref="C52:C53"/>
    <mergeCell ref="B54:B55"/>
    <mergeCell ref="C54:C55"/>
    <mergeCell ref="B57:B58"/>
    <mergeCell ref="C57:C58"/>
    <mergeCell ref="C56:D56"/>
    <mergeCell ref="B15:B16"/>
    <mergeCell ref="C15:C16"/>
    <mergeCell ref="B17:B18"/>
    <mergeCell ref="C17:C18"/>
    <mergeCell ref="B50:B51"/>
    <mergeCell ref="C50:C51"/>
    <mergeCell ref="C49:D49"/>
    <mergeCell ref="B36:C3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2021-10-25T08:05:01Z</dcterms:modified>
</cp:coreProperties>
</file>