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SAUDIT\Taekwang\SmartBooks.HumanResource\bin\x86\Debug\Teamleate\"/>
    </mc:Choice>
  </mc:AlternateContent>
  <xr:revisionPtr revIDLastSave="0" documentId="13_ncr:1_{32D48454-0E62-4B1C-BFF5-F96B4033B997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1" i="1" l="1"/>
  <c r="V11" i="1"/>
</calcChain>
</file>

<file path=xl/sharedStrings.xml><?xml version="1.0" encoding="utf-8"?>
<sst xmlns="http://schemas.openxmlformats.org/spreadsheetml/2006/main" count="47" uniqueCount="40">
  <si>
    <t>No</t>
  </si>
  <si>
    <t>Mã số</t>
  </si>
  <si>
    <t>Họ và Tên</t>
  </si>
  <si>
    <t>Dept</t>
  </si>
  <si>
    <t>Enter Date</t>
  </si>
  <si>
    <t>Thang2</t>
  </si>
  <si>
    <t>Thang3</t>
  </si>
  <si>
    <t>Thang4</t>
  </si>
  <si>
    <t>Thang5</t>
  </si>
  <si>
    <t>Thang6</t>
  </si>
  <si>
    <t>Tiền phép</t>
  </si>
  <si>
    <t>Số phép</t>
  </si>
  <si>
    <t>Lương trung bình</t>
  </si>
  <si>
    <t>số ngày</t>
  </si>
  <si>
    <t>BONUS SALARY</t>
  </si>
  <si>
    <t>Hardship, hazardous</t>
  </si>
  <si>
    <t>Amount</t>
  </si>
  <si>
    <t>MucLuong</t>
  </si>
  <si>
    <t>pcDochai</t>
  </si>
  <si>
    <t>StartedDate</t>
  </si>
  <si>
    <t>Employee_Firstname</t>
  </si>
  <si>
    <t>Employee_LastName</t>
  </si>
  <si>
    <t>Employee_ID</t>
  </si>
  <si>
    <t>Salary Basic</t>
  </si>
  <si>
    <t>TienDH</t>
  </si>
  <si>
    <t>TienThuong</t>
  </si>
  <si>
    <t>fullname</t>
  </si>
  <si>
    <t>Salary key</t>
  </si>
  <si>
    <t>SalaryKey</t>
  </si>
  <si>
    <t>SalaryMonth</t>
  </si>
  <si>
    <t>SalaryYear</t>
  </si>
  <si>
    <t>Salary year</t>
  </si>
  <si>
    <t>Salary month</t>
  </si>
  <si>
    <t>key</t>
  </si>
  <si>
    <t>Salary_Month</t>
  </si>
  <si>
    <t>Salary_Year</t>
  </si>
  <si>
    <t>PositionFullName</t>
  </si>
  <si>
    <t>s171</t>
  </si>
  <si>
    <t>s1</t>
  </si>
  <si>
    <t>s33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</si>
</sst>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12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charset val="129"/>
      <scheme val="minor"/>
    </font>
    <font>
      <sz val="10"/>
      <color rgb="FF000000"/>
      <name val="Tahoma"/>
      <family val="2"/>
    </font>
    <font>
      <sz val="11"/>
      <color theme="1"/>
      <name val="Calibri"/>
      <family val="3"/>
      <charset val="129"/>
      <scheme val="minor"/>
    </font>
    <font>
      <b/>
      <sz val="9"/>
      <color rgb="FF000000"/>
      <name val="Calibri"/>
      <family val="2"/>
    </font>
    <font>
      <b/>
      <sz val="8.25"/>
      <color rgb="FF33482F"/>
      <name val="맑은 고딕"/>
    </font>
    <font>
      <sz val="8"/>
      <color rgb="FF000000"/>
      <name val="Tahoma"/>
      <family val="2"/>
    </font>
    <font>
      <sz val="8"/>
      <color theme="1"/>
      <name val="Calibri"/>
      <family val="2"/>
      <charset val="136"/>
      <scheme val="minor"/>
    </font>
    <font>
      <sz val="18"/>
      <color rgb="FF000000"/>
      <name val="Tahoma"/>
      <family val="2"/>
    </font>
  </fonts>
  <fills count="4">
    <fill>
      <patternFill patternType="none"/>
    </fill>
    <fill>
      <patternFill patternType="gray125"/>
    </fill>
    <fill>
      <gradientFill degree="90">
        <stop position="0">
          <color rgb="FFF4F8F3"/>
        </stop>
        <stop position="1">
          <color rgb="FFDFE7DE"/>
        </stop>
      </gradientFill>
    </fill>
    <fill>
      <patternFill patternType="solid">
        <fgColor rgb="FFF90000" tint="0.96862697225867489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6" fillId="0" borderId="0"/>
  </cellStyleXfs>
  <cellXfs count="2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7" fillId="2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14" fontId="8" fillId="2" borderId="1" xfId="4" applyNumberFormat="1" applyFont="1" applyFill="1" applyBorder="1" applyAlignment="1">
      <alignment horizontal="center" vertical="center"/>
    </xf>
    <xf numFmtId="14" fontId="3" fillId="0" borderId="0" xfId="1" applyNumberFormat="1" applyFont="1" applyAlignment="1">
      <alignment vertical="center"/>
    </xf>
    <xf numFmtId="0" fontId="8" fillId="2" borderId="2" xfId="4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center"/>
    </xf>
    <xf numFmtId="164" fontId="3" fillId="0" borderId="0" xfId="1" applyNumberFormat="1" applyFont="1" applyAlignment="1">
      <alignment vertical="center"/>
    </xf>
    <xf numFmtId="0" fontId="9" fillId="3" borderId="1" xfId="4" applyFont="1" applyFill="1" applyBorder="1" applyAlignment="1">
      <alignment horizontal="center" vertical="center" wrapText="1"/>
    </xf>
    <xf numFmtId="0" fontId="9" fillId="3" borderId="1" xfId="4" applyFont="1" applyFill="1" applyBorder="1" applyAlignment="1">
      <alignment horizontal="center" vertical="center"/>
    </xf>
    <xf numFmtId="14" fontId="9" fillId="3" borderId="1" xfId="4" applyNumberFormat="1" applyFont="1" applyFill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  <xf numFmtId="49" fontId="10" fillId="0" borderId="0" xfId="0" applyNumberFormat="1" applyFont="1">
      <alignment vertical="center"/>
    </xf>
    <xf numFmtId="0" fontId="10" fillId="0" borderId="0" xfId="0" applyFont="1">
      <alignment vertical="center"/>
    </xf>
    <xf numFmtId="0" fontId="0" fillId="0" borderId="3" xfId="0" applyBorder="1">
      <alignment vertical="center"/>
    </xf>
    <xf numFmtId="164" fontId="3" fillId="0" borderId="3" xfId="1" applyNumberFormat="1" applyFont="1" applyBorder="1" applyAlignment="1">
      <alignment vertical="center"/>
    </xf>
    <xf numFmtId="14" fontId="3" fillId="0" borderId="3" xfId="1" applyNumberFormat="1" applyFont="1" applyBorder="1" applyAlignment="1">
      <alignment vertical="center"/>
    </xf>
    <xf numFmtId="164" fontId="3" fillId="0" borderId="3" xfId="1" applyNumberFormat="1" applyFont="1" applyBorder="1" applyAlignment="1">
      <alignment vertical="center" shrinkToFit="1"/>
    </xf>
    <xf numFmtId="164" fontId="3" fillId="0" borderId="0" xfId="1" applyNumberFormat="1" applyFont="1" applyAlignment="1">
      <alignment vertical="center" shrinkToFit="1"/>
    </xf>
    <xf numFmtId="0" fontId="11" fillId="3" borderId="4" xfId="4" applyFont="1" applyFill="1" applyBorder="1" applyAlignment="1">
      <alignment horizontal="center" vertical="center" wrapText="1"/>
    </xf>
    <xf numFmtId="0" fontId="11" fillId="3" borderId="5" xfId="4" applyFont="1" applyFill="1" applyBorder="1" applyAlignment="1">
      <alignment horizontal="center" vertical="center" wrapText="1"/>
    </xf>
    <xf numFmtId="0" fontId="11" fillId="3" borderId="5" xfId="4" applyFont="1" applyFill="1" applyBorder="1" applyAlignment="1">
      <alignment horizontal="center" vertical="center"/>
    </xf>
    <xf numFmtId="0" fontId="11" fillId="3" borderId="6" xfId="4" applyFont="1" applyFill="1" applyBorder="1" applyAlignment="1">
      <alignment horizontal="center" vertical="center"/>
    </xf>
  </cellXfs>
  <cellStyles count="6">
    <cellStyle name="Comma" xfId="1" builtinId="3"/>
    <cellStyle name="Comma [0]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표준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topLeftCell="B1" workbookViewId="0">
      <selection activeCell="B11" sqref="B11"/>
    </sheetView>
  </sheetViews>
  <sheetFormatPr defaultRowHeight="15.75"/>
  <cols>
    <col min="1" max="1" width="5.625" hidden="1" customWidth="1"/>
    <col min="2" max="2" width="5.625" customWidth="1"/>
    <col min="3" max="3" width="7.375" hidden="1" customWidth="1"/>
    <col min="4" max="4" width="9.125" hidden="1" customWidth="1"/>
    <col min="5" max="5" width="7.875" hidden="1" customWidth="1"/>
    <col min="6" max="6" width="11.625" customWidth="1"/>
    <col min="7" max="7" width="23" customWidth="1"/>
    <col min="8" max="8" width="49.875" style="8" customWidth="1"/>
    <col min="9" max="9" width="11" style="5" customWidth="1"/>
    <col min="10" max="10" width="15.375" style="8" customWidth="1"/>
    <col min="11" max="11" width="14.125" style="8" customWidth="1"/>
    <col min="12" max="12" width="16.875" style="8" customWidth="1"/>
    <col min="13" max="13" width="16.875" style="1" customWidth="1"/>
    <col min="14" max="21" width="0" hidden="1" customWidth="1"/>
    <col min="22" max="22" width="11.75" hidden="1" customWidth="1"/>
    <col min="23" max="26" width="0" hidden="1" customWidth="1"/>
  </cols>
  <sheetData>
    <row r="1" spans="1:25" ht="22.5">
      <c r="A1" s="20" t="s">
        <v>14</v>
      </c>
      <c r="B1" s="21"/>
      <c r="C1" s="21"/>
      <c r="D1" s="21"/>
      <c r="E1" s="21"/>
      <c r="F1" s="22"/>
      <c r="G1" s="22"/>
      <c r="H1" s="22"/>
      <c r="I1" s="22"/>
      <c r="J1" s="22"/>
      <c r="K1" s="22"/>
      <c r="L1" s="23"/>
    </row>
    <row r="2" spans="1:25" s="14" customFormat="1" ht="11.25">
      <c r="A2" s="9"/>
      <c r="B2" s="9"/>
      <c r="C2" s="9"/>
      <c r="D2" s="9"/>
      <c r="E2" s="9"/>
      <c r="F2" s="10"/>
      <c r="G2" s="10"/>
      <c r="H2" s="10"/>
      <c r="I2" s="10"/>
      <c r="J2" s="10"/>
      <c r="K2" s="10"/>
      <c r="L2" s="10"/>
      <c r="M2" s="13"/>
    </row>
    <row r="3" spans="1:25" s="14" customFormat="1" ht="11.25" hidden="1">
      <c r="A3" s="9"/>
      <c r="B3" s="9"/>
      <c r="C3" s="9"/>
      <c r="D3" s="9"/>
      <c r="E3" s="9"/>
      <c r="F3" s="10"/>
      <c r="G3" s="10"/>
      <c r="H3" s="10"/>
      <c r="I3" s="10"/>
      <c r="J3" s="10"/>
      <c r="K3" s="10"/>
      <c r="L3" s="10"/>
      <c r="M3" s="13"/>
    </row>
    <row r="4" spans="1:25" s="14" customFormat="1" ht="11.25" hidden="1">
      <c r="A4" s="9"/>
      <c r="B4" s="9"/>
      <c r="C4" s="9"/>
      <c r="D4" s="9"/>
      <c r="E4" s="9"/>
      <c r="F4" s="10"/>
      <c r="G4" s="10"/>
      <c r="H4" s="10"/>
      <c r="I4" s="10"/>
      <c r="J4" s="10"/>
      <c r="K4" s="10"/>
      <c r="L4" s="10"/>
      <c r="M4" s="13"/>
    </row>
    <row r="5" spans="1:25" s="14" customFormat="1" ht="11.25" hidden="1">
      <c r="A5" s="9"/>
      <c r="B5" s="9"/>
      <c r="C5" s="9"/>
      <c r="D5" s="9"/>
      <c r="E5" s="9"/>
      <c r="F5" s="10"/>
      <c r="G5" s="10"/>
      <c r="H5" s="10"/>
      <c r="I5" s="10"/>
      <c r="J5" s="10"/>
      <c r="K5" s="10"/>
      <c r="L5" s="10"/>
      <c r="M5" s="13"/>
    </row>
    <row r="6" spans="1:25" s="14" customFormat="1" ht="11.25" hidden="1">
      <c r="A6" s="9"/>
      <c r="B6" s="9"/>
      <c r="C6" s="9">
        <v>2</v>
      </c>
      <c r="D6" s="9">
        <v>2</v>
      </c>
      <c r="E6" s="9">
        <v>2</v>
      </c>
      <c r="F6" s="10">
        <v>2</v>
      </c>
      <c r="G6" s="10">
        <v>2</v>
      </c>
      <c r="H6" s="10">
        <v>2</v>
      </c>
      <c r="I6" s="10">
        <v>2</v>
      </c>
      <c r="J6" s="10">
        <v>1</v>
      </c>
      <c r="K6" s="10">
        <v>1</v>
      </c>
      <c r="L6" s="10">
        <v>1</v>
      </c>
      <c r="M6" s="13"/>
    </row>
    <row r="7" spans="1:25" s="14" customFormat="1" ht="11.25" hidden="1">
      <c r="A7" s="9"/>
      <c r="B7" s="9"/>
      <c r="C7" s="10" t="s">
        <v>33</v>
      </c>
      <c r="D7" s="10" t="s">
        <v>34</v>
      </c>
      <c r="E7" s="10" t="s">
        <v>35</v>
      </c>
      <c r="F7" s="10" t="s">
        <v>22</v>
      </c>
      <c r="G7" s="10"/>
      <c r="H7" s="10"/>
      <c r="I7" s="10"/>
      <c r="J7" s="10"/>
      <c r="K7" s="10"/>
      <c r="L7" s="10"/>
      <c r="M7" s="13"/>
    </row>
    <row r="8" spans="1:25" s="14" customFormat="1" ht="11.25" hidden="1">
      <c r="A8" s="9"/>
      <c r="B8" s="9"/>
      <c r="C8" s="10" t="s">
        <v>33</v>
      </c>
      <c r="D8" s="10" t="s">
        <v>34</v>
      </c>
      <c r="E8" s="10" t="s">
        <v>35</v>
      </c>
      <c r="F8" s="10" t="s">
        <v>22</v>
      </c>
      <c r="G8" s="10"/>
      <c r="H8" s="10"/>
      <c r="I8" s="10"/>
      <c r="J8" s="10" t="s">
        <v>38</v>
      </c>
      <c r="K8" s="10" t="s">
        <v>39</v>
      </c>
      <c r="L8" s="10" t="s">
        <v>37</v>
      </c>
      <c r="M8" s="13"/>
    </row>
    <row r="9" spans="1:25" s="14" customFormat="1" ht="18" hidden="1" customHeight="1">
      <c r="A9" s="9"/>
      <c r="B9" s="9" t="s">
        <v>0</v>
      </c>
      <c r="C9" s="9" t="s">
        <v>28</v>
      </c>
      <c r="D9" s="9" t="s">
        <v>29</v>
      </c>
      <c r="E9" s="9" t="s">
        <v>30</v>
      </c>
      <c r="F9" s="10" t="s">
        <v>22</v>
      </c>
      <c r="G9" s="10" t="s">
        <v>26</v>
      </c>
      <c r="H9" s="10" t="s">
        <v>36</v>
      </c>
      <c r="I9" s="11" t="s">
        <v>19</v>
      </c>
      <c r="J9" s="12" t="s">
        <v>17</v>
      </c>
      <c r="K9" s="12" t="s">
        <v>24</v>
      </c>
      <c r="L9" s="12" t="s">
        <v>25</v>
      </c>
      <c r="M9" s="13"/>
      <c r="N9" s="12" t="s">
        <v>18</v>
      </c>
      <c r="X9" s="14" t="s">
        <v>20</v>
      </c>
      <c r="Y9" s="14" t="s">
        <v>21</v>
      </c>
    </row>
    <row r="10" spans="1:25">
      <c r="A10" s="2"/>
      <c r="B10" s="2" t="s">
        <v>0</v>
      </c>
      <c r="C10" s="2" t="s">
        <v>27</v>
      </c>
      <c r="D10" s="2" t="s">
        <v>32</v>
      </c>
      <c r="E10" s="2" t="s">
        <v>31</v>
      </c>
      <c r="F10" s="3" t="s">
        <v>1</v>
      </c>
      <c r="G10" s="3" t="s">
        <v>2</v>
      </c>
      <c r="H10" s="3" t="s">
        <v>3</v>
      </c>
      <c r="I10" s="4" t="s">
        <v>4</v>
      </c>
      <c r="J10" s="7" t="s">
        <v>23</v>
      </c>
      <c r="K10" s="7" t="s">
        <v>15</v>
      </c>
      <c r="L10" s="7" t="s">
        <v>16</v>
      </c>
      <c r="N10" s="12" t="s">
        <v>18</v>
      </c>
      <c r="O10" s="6" t="s">
        <v>5</v>
      </c>
      <c r="P10" s="6" t="s">
        <v>6</v>
      </c>
      <c r="Q10" s="6" t="s">
        <v>7</v>
      </c>
      <c r="R10" s="6" t="s">
        <v>8</v>
      </c>
      <c r="S10" s="6" t="s">
        <v>9</v>
      </c>
      <c r="T10" s="6" t="s">
        <v>12</v>
      </c>
      <c r="U10" s="6" t="s">
        <v>11</v>
      </c>
      <c r="V10" s="6" t="s">
        <v>10</v>
      </c>
      <c r="W10" s="6" t="s">
        <v>13</v>
      </c>
    </row>
    <row r="11" spans="1:25">
      <c r="B11" s="15"/>
      <c r="C11" s="15"/>
      <c r="D11" s="15"/>
      <c r="E11" s="15"/>
      <c r="F11" s="15"/>
      <c r="G11" s="15" t="str">
        <f>X11&amp;" "&amp;Y11</f>
        <v xml:space="preserve"> </v>
      </c>
      <c r="H11" s="18"/>
      <c r="I11" s="17"/>
      <c r="J11" s="16"/>
      <c r="K11" s="16"/>
      <c r="L11" s="16"/>
      <c r="V11">
        <f>(T11/IF(W11=27,26,W11)/8)*U11</f>
        <v>0</v>
      </c>
      <c r="W11">
        <v>26</v>
      </c>
    </row>
    <row r="12" spans="1:25">
      <c r="H12" s="19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admcs</dc:creator>
  <cp:lastModifiedBy>PhamHoang</cp:lastModifiedBy>
  <dcterms:created xsi:type="dcterms:W3CDTF">2016-09-22T02:49:00Z</dcterms:created>
  <dcterms:modified xsi:type="dcterms:W3CDTF">2019-09-07T08:55:10Z</dcterms:modified>
</cp:coreProperties>
</file>