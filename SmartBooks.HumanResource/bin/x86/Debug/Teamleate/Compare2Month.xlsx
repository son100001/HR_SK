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8AE71F53-3E52-477D-8F49-872EF449F2EE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MVP_Nov &amp; Dec Actual" sheetId="3" r:id="rId2"/>
    <sheet name="MP" sheetId="4" r:id="rId3"/>
  </sheets>
  <externalReferences>
    <externalReference r:id="rId4"/>
  </externalReferences>
  <definedNames>
    <definedName name="Insurance__Company_payment" localSheetId="1">'MVP_Nov &amp; Dec Actual'!$B$25:$B$28</definedName>
    <definedName name="Insurance__Company_payment">#REF!</definedName>
    <definedName name="_xlnm.Print_Area" localSheetId="1">'MVP_Nov &amp; Dec Actual'!$A$1:$AA$30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B1" i="3"/>
  <c r="O11" i="3"/>
  <c r="D2" i="4" s="1"/>
  <c r="O10" i="3"/>
  <c r="N15" i="3"/>
  <c r="M15" i="3"/>
  <c r="N14" i="3"/>
  <c r="M14" i="3"/>
  <c r="N13" i="3"/>
  <c r="M13" i="3"/>
  <c r="N12" i="3"/>
  <c r="M12" i="3"/>
  <c r="N11" i="3"/>
  <c r="M11" i="3"/>
  <c r="N10" i="3"/>
  <c r="M10" i="3"/>
  <c r="K9" i="3"/>
  <c r="H26" i="3"/>
  <c r="G26" i="3"/>
  <c r="F26" i="3"/>
  <c r="E26" i="3"/>
  <c r="H25" i="3"/>
  <c r="G25" i="3"/>
  <c r="F25" i="3"/>
  <c r="E25" i="3"/>
  <c r="H24" i="3"/>
  <c r="G24" i="3"/>
  <c r="F24" i="3"/>
  <c r="E24" i="3"/>
  <c r="H17" i="3"/>
  <c r="F17" i="3"/>
  <c r="H15" i="3"/>
  <c r="G15" i="3"/>
  <c r="F15" i="3"/>
  <c r="E15" i="3"/>
  <c r="H14" i="3"/>
  <c r="G14" i="3"/>
  <c r="K8" i="4" s="1"/>
  <c r="F14" i="3"/>
  <c r="E14" i="3"/>
  <c r="H13" i="3"/>
  <c r="G13" i="3"/>
  <c r="K7" i="4" s="1"/>
  <c r="F13" i="3"/>
  <c r="E13" i="3"/>
  <c r="H12" i="3"/>
  <c r="G12" i="3"/>
  <c r="K6" i="4" s="1"/>
  <c r="F12" i="3"/>
  <c r="E12" i="3"/>
  <c r="H11" i="3"/>
  <c r="G11" i="3"/>
  <c r="F11" i="3"/>
  <c r="E11" i="3"/>
  <c r="H10" i="3"/>
  <c r="G10" i="3"/>
  <c r="K4" i="4" s="1"/>
  <c r="F10" i="3"/>
  <c r="E10" i="3"/>
  <c r="H9" i="3"/>
  <c r="G9" i="3"/>
  <c r="G16" i="3" s="1"/>
  <c r="F9" i="3"/>
  <c r="E9" i="3"/>
  <c r="H8" i="3"/>
  <c r="F8" i="3"/>
  <c r="H7" i="3"/>
  <c r="G7" i="3"/>
  <c r="F7" i="3"/>
  <c r="E7" i="3"/>
  <c r="E8" i="3" s="1"/>
  <c r="H27" i="3"/>
  <c r="F27" i="3"/>
  <c r="J9" i="4"/>
  <c r="J8" i="4"/>
  <c r="J7" i="4"/>
  <c r="J6" i="4"/>
  <c r="J5" i="4"/>
  <c r="J4" i="4"/>
  <c r="H16" i="3"/>
  <c r="H22" i="3" s="1"/>
  <c r="F16" i="3"/>
  <c r="F22" i="3" s="1"/>
  <c r="E16" i="3"/>
  <c r="G8" i="3"/>
  <c r="C3" i="4"/>
  <c r="C20" i="4" s="1"/>
  <c r="D19" i="4"/>
  <c r="C19" i="4"/>
  <c r="D18" i="4"/>
  <c r="C18" i="4"/>
  <c r="D17" i="4"/>
  <c r="C17" i="4"/>
  <c r="D16" i="4"/>
  <c r="E16" i="4" s="1"/>
  <c r="C16" i="4"/>
  <c r="D15" i="4"/>
  <c r="C15" i="4"/>
  <c r="D14" i="4"/>
  <c r="C14" i="4"/>
  <c r="D13" i="4"/>
  <c r="C13" i="4"/>
  <c r="D12" i="4"/>
  <c r="E12" i="4" s="1"/>
  <c r="C12" i="4"/>
  <c r="D11" i="4"/>
  <c r="C11" i="4"/>
  <c r="D10" i="4"/>
  <c r="C10" i="4"/>
  <c r="K9" i="4"/>
  <c r="D9" i="4"/>
  <c r="E9" i="4" s="1"/>
  <c r="C9" i="4"/>
  <c r="D8" i="4"/>
  <c r="C8" i="4"/>
  <c r="D7" i="4"/>
  <c r="E7" i="4" s="1"/>
  <c r="C7" i="4"/>
  <c r="D6" i="4"/>
  <c r="C6" i="4"/>
  <c r="K5" i="4"/>
  <c r="L5" i="4" s="1"/>
  <c r="D5" i="4"/>
  <c r="E5" i="4" s="1"/>
  <c r="C5" i="4"/>
  <c r="D4" i="4"/>
  <c r="C4" i="4"/>
  <c r="D3" i="4"/>
  <c r="E19" i="4"/>
  <c r="E18" i="4"/>
  <c r="E17" i="4"/>
  <c r="E15" i="4"/>
  <c r="E14" i="4"/>
  <c r="E13" i="4"/>
  <c r="E11" i="4"/>
  <c r="E10" i="4"/>
  <c r="E8" i="4"/>
  <c r="E6" i="4"/>
  <c r="E4" i="4"/>
  <c r="K15" i="3" l="1"/>
  <c r="K11" i="3"/>
  <c r="K14" i="3"/>
  <c r="C2" i="4"/>
  <c r="K12" i="3"/>
  <c r="K10" i="3"/>
  <c r="K13" i="3"/>
  <c r="L8" i="4"/>
  <c r="L9" i="4"/>
  <c r="K3" i="4"/>
  <c r="L6" i="4"/>
  <c r="L4" i="4"/>
  <c r="L7" i="4"/>
  <c r="H30" i="3"/>
  <c r="H18" i="3"/>
  <c r="H29" i="3"/>
  <c r="F30" i="3"/>
  <c r="F18" i="3"/>
  <c r="F29" i="3"/>
  <c r="J3" i="4"/>
  <c r="L3" i="4" s="1"/>
  <c r="E3" i="4"/>
  <c r="D20" i="4"/>
  <c r="E20" i="4" s="1"/>
  <c r="J30" i="3" l="1"/>
  <c r="I30" i="3"/>
  <c r="J29" i="3"/>
  <c r="I29" i="3"/>
  <c r="J28" i="3"/>
  <c r="I28" i="3"/>
  <c r="J27" i="3"/>
  <c r="I27" i="3"/>
  <c r="J26" i="3"/>
  <c r="I26" i="3"/>
  <c r="K25" i="3"/>
  <c r="I25" i="3"/>
  <c r="J25" i="3"/>
  <c r="I24" i="3"/>
  <c r="J24" i="3"/>
  <c r="J23" i="3"/>
  <c r="J22" i="3"/>
  <c r="I22" i="3"/>
  <c r="J21" i="3"/>
  <c r="I21" i="3"/>
  <c r="J20" i="3"/>
  <c r="J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L7" i="3"/>
  <c r="J7" i="3"/>
  <c r="I5" i="3"/>
  <c r="I7" i="3" l="1"/>
</calcChain>
</file>

<file path=xl/sharedStrings.xml><?xml version="1.0" encoding="utf-8"?>
<sst xmlns="http://schemas.openxmlformats.org/spreadsheetml/2006/main" count="129" uniqueCount="124">
  <si>
    <t>Salary_Month</t>
  </si>
  <si>
    <t>Salary_Year</t>
  </si>
  <si>
    <t>SoLuongNV</t>
  </si>
  <si>
    <t>BasicSalary</t>
  </si>
  <si>
    <t>PhuCap</t>
  </si>
  <si>
    <t>TienTangCa</t>
  </si>
  <si>
    <t>Luong1Gio</t>
  </si>
  <si>
    <t>GioLamViecKhongCoNghi</t>
  </si>
  <si>
    <t>GioTangCa150</t>
  </si>
  <si>
    <t>GioTangCaCN200</t>
  </si>
  <si>
    <t>GioTangCaDem210</t>
  </si>
  <si>
    <t>GioTangCaDemCN270</t>
  </si>
  <si>
    <t>GioTangCaLe300</t>
  </si>
  <si>
    <t>GioTangCaDemLe390</t>
  </si>
  <si>
    <t>TongTangCa</t>
  </si>
  <si>
    <t>TongTangCaVaHCDaChuyen</t>
  </si>
  <si>
    <t>GioLamDem130</t>
  </si>
  <si>
    <t>TienCaDem130</t>
  </si>
  <si>
    <t>TongLuong</t>
  </si>
  <si>
    <t>CongDoanCtyTra</t>
  </si>
  <si>
    <t>BHCtyTra</t>
  </si>
  <si>
    <t>TongChiPhi</t>
  </si>
  <si>
    <t>BHNVDong</t>
  </si>
  <si>
    <t>TTCN</t>
  </si>
  <si>
    <t>CongDoanNVDong</t>
  </si>
  <si>
    <t>TroCapConNho</t>
  </si>
  <si>
    <t>TroCapPhuNu</t>
  </si>
  <si>
    <t>HoTroKhac</t>
  </si>
  <si>
    <t>ThucNhan</t>
  </si>
  <si>
    <t>LuongChoViec</t>
  </si>
  <si>
    <t>ActualWorkingDay</t>
  </si>
  <si>
    <t>PublicHoliday</t>
  </si>
  <si>
    <t>WorkingSaturday</t>
  </si>
  <si>
    <t>SaturdayOT</t>
  </si>
  <si>
    <t>Unit: VND</t>
  </si>
  <si>
    <t>Section</t>
  </si>
  <si>
    <t>Dec - Actual
(B)</t>
  </si>
  <si>
    <t>Jan - Actual
(A)</t>
  </si>
  <si>
    <t>Different
(B-A)</t>
  </si>
  <si>
    <t>Reason</t>
  </si>
  <si>
    <t>Remarks</t>
  </si>
  <si>
    <t xml:space="preserve"> Person
(Hour)</t>
  </si>
  <si>
    <t>Amount</t>
  </si>
  <si>
    <t>Person</t>
  </si>
  <si>
    <t>233P</t>
  </si>
  <si>
    <t>18P</t>
  </si>
  <si>
    <t>New employee working in QC, Production in MVP &amp; training Korea</t>
  </si>
  <si>
    <t>Total salary</t>
    <phoneticPr fontId="0" type="noConversion"/>
  </si>
  <si>
    <t>Basic salary</t>
  </si>
  <si>
    <t>Allowance</t>
  </si>
  <si>
    <t>Over time &amp; Allowance 30%</t>
  </si>
  <si>
    <t>Allowance night shift 30%</t>
  </si>
  <si>
    <t>Normal (150%)</t>
  </si>
  <si>
    <t>Sunday (200%)</t>
  </si>
  <si>
    <t>Normal (210%)</t>
  </si>
  <si>
    <t>Sunday (270%)</t>
  </si>
  <si>
    <t>Sunday (300%)</t>
  </si>
  <si>
    <t>Sunday (390%)</t>
  </si>
  <si>
    <t>Subtotal</t>
  </si>
  <si>
    <t>Gross salary</t>
  </si>
  <si>
    <t>Monthly salary</t>
  </si>
  <si>
    <t>Attendance ratio (%)</t>
  </si>
  <si>
    <t>Home working</t>
  </si>
  <si>
    <t>Cv allowance</t>
  </si>
  <si>
    <t>Temporary worker</t>
  </si>
  <si>
    <t>Total A=  (1) + (2)</t>
  </si>
  <si>
    <r>
      <t>Tax refund (4</t>
    </r>
    <r>
      <rPr>
        <b/>
        <sz val="12"/>
        <color theme="1"/>
        <rFont val="Times New Roman"/>
        <family val="1"/>
      </rPr>
      <t>)</t>
    </r>
  </si>
  <si>
    <t>Deduction</t>
  </si>
  <si>
    <t>Insurance (Employee payment)</t>
  </si>
  <si>
    <t>PIT</t>
  </si>
  <si>
    <t>Union</t>
  </si>
  <si>
    <t>Total B (5)</t>
  </si>
  <si>
    <t>- Trade union fee: 30.000 VND / person 
 (Deduct directly from employees' salary</t>
  </si>
  <si>
    <t>Pay tax (6)</t>
  </si>
  <si>
    <t>Net income(excluded bonus ) 
(7)= Total A-Total B + (3)</t>
  </si>
  <si>
    <t>Net income(Included temporary +bonus )
 (8)= Total A-Total B + (3)</t>
  </si>
  <si>
    <t>M/P</t>
  </si>
  <si>
    <t>Dec</t>
  </si>
  <si>
    <t>Diff</t>
  </si>
  <si>
    <t>Total</t>
  </si>
  <si>
    <t>Jan</t>
  </si>
  <si>
    <t>Different</t>
  </si>
  <si>
    <t>30% night shift</t>
  </si>
  <si>
    <t>OT Normal 150% (h/m)</t>
  </si>
  <si>
    <t>OT Sunday 200% (h/m)</t>
  </si>
  <si>
    <t>OT Sunday 210% (h/m)</t>
  </si>
  <si>
    <t>OT Sunday 270% (h/m)</t>
  </si>
  <si>
    <t>OT Holiday 300% (h/m)</t>
  </si>
  <si>
    <t>OT Holiday 390% (h/m)</t>
  </si>
  <si>
    <t>TienTangCa150</t>
  </si>
  <si>
    <t>TienTangCaCN200</t>
  </si>
  <si>
    <t>TienTangCaDem210</t>
  </si>
  <si>
    <t>TienTangCaDemCN270</t>
  </si>
  <si>
    <t>TienTangCaLe300</t>
  </si>
  <si>
    <t>TienTangCaDemLe390</t>
  </si>
  <si>
    <t>SoLuongNhanVien</t>
  </si>
  <si>
    <t>SoLuongNhanVienThangCu</t>
  </si>
  <si>
    <t>ChucDanh1</t>
  </si>
  <si>
    <t>ChucDanh</t>
  </si>
  <si>
    <t>No</t>
  </si>
  <si>
    <t>Auto</t>
  </si>
  <si>
    <t>Brushing</t>
  </si>
  <si>
    <t>Cleaner</t>
  </si>
  <si>
    <t>Deburing</t>
  </si>
  <si>
    <t>Delivery</t>
  </si>
  <si>
    <t>FM/DFProduction</t>
  </si>
  <si>
    <t>FM/DFQC</t>
  </si>
  <si>
    <t>MATworker</t>
  </si>
  <si>
    <t>MCTworker</t>
  </si>
  <si>
    <t>METworker</t>
  </si>
  <si>
    <t>MMTworker</t>
  </si>
  <si>
    <t>Office1</t>
  </si>
  <si>
    <t>Office2</t>
  </si>
  <si>
    <t>Packing</t>
  </si>
  <si>
    <t>PQC/OQC</t>
  </si>
  <si>
    <t>Service</t>
  </si>
  <si>
    <t>V/I</t>
  </si>
  <si>
    <t>TienLuongHC</t>
  </si>
  <si>
    <t>SoNVDongBH</t>
  </si>
  <si>
    <t>SoTienDongBH</t>
  </si>
  <si>
    <t>SoNguoiDongThue</t>
  </si>
  <si>
    <t>SoTienDongThue</t>
  </si>
  <si>
    <t>SoNguoiDongCongDoan</t>
  </si>
  <si>
    <t>SoTienDongCongDoan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</si>
</sst>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_-* #,##0_-;\-* #,##0_-;_-* &quot;-&quot;_-;_-@_-"/>
    <numFmt numFmtId="168" formatCode="_-* #,##0.00_-;\-* #,##0.0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6" fillId="0" borderId="10" xfId="1" applyNumberFormat="1" applyFont="1" applyFill="1" applyBorder="1" applyAlignment="1">
      <alignment horizontal="center" vertical="center" wrapText="1"/>
    </xf>
    <xf numFmtId="164" fontId="6" fillId="0" borderId="10" xfId="1" applyNumberFormat="1" applyFont="1" applyFill="1" applyBorder="1" applyAlignment="1">
      <alignment horizontal="center" wrapText="1"/>
    </xf>
    <xf numFmtId="0" fontId="3" fillId="0" borderId="12" xfId="0" applyFont="1" applyBorder="1"/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165" fontId="7" fillId="0" borderId="7" xfId="1" applyNumberFormat="1" applyFont="1" applyFill="1" applyBorder="1" applyAlignment="1">
      <alignment horizontal="center" vertical="center" wrapText="1"/>
    </xf>
    <xf numFmtId="165" fontId="7" fillId="0" borderId="14" xfId="1" applyNumberFormat="1" applyFont="1" applyFill="1" applyBorder="1" applyAlignment="1">
      <alignment horizontal="center" vertical="center" wrapText="1"/>
    </xf>
    <xf numFmtId="165" fontId="7" fillId="0" borderId="7" xfId="1" applyNumberFormat="1" applyFont="1" applyFill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/>
    <xf numFmtId="0" fontId="3" fillId="0" borderId="13" xfId="0" applyFont="1" applyBorder="1"/>
    <xf numFmtId="164" fontId="8" fillId="0" borderId="10" xfId="1" applyNumberFormat="1" applyFont="1" applyFill="1" applyBorder="1" applyAlignment="1">
      <alignment vertical="center"/>
    </xf>
    <xf numFmtId="164" fontId="7" fillId="0" borderId="10" xfId="1" applyNumberFormat="1" applyFont="1" applyFill="1" applyBorder="1" applyAlignment="1">
      <alignment vertical="center"/>
    </xf>
    <xf numFmtId="164" fontId="7" fillId="0" borderId="10" xfId="1" applyNumberFormat="1" applyFont="1" applyFill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left" vertical="center" wrapText="1"/>
    </xf>
    <xf numFmtId="0" fontId="7" fillId="0" borderId="13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/>
    <xf numFmtId="0" fontId="8" fillId="0" borderId="10" xfId="0" quotePrefix="1" applyFont="1" applyBorder="1" applyAlignment="1">
      <alignment horizontal="left" vertical="center" wrapText="1"/>
    </xf>
    <xf numFmtId="43" fontId="3" fillId="0" borderId="10" xfId="0" applyNumberFormat="1" applyFont="1" applyBorder="1"/>
    <xf numFmtId="43" fontId="3" fillId="0" borderId="10" xfId="0" applyNumberFormat="1" applyFont="1" applyBorder="1" applyAlignment="1">
      <alignment horizontal="center" wrapText="1"/>
    </xf>
    <xf numFmtId="43" fontId="3" fillId="0" borderId="10" xfId="0" applyNumberFormat="1" applyFont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164" fontId="9" fillId="0" borderId="10" xfId="1" applyNumberFormat="1" applyFont="1" applyFill="1" applyBorder="1" applyAlignment="1">
      <alignment horizontal="center" vertical="center" wrapText="1"/>
    </xf>
    <xf numFmtId="164" fontId="6" fillId="0" borderId="10" xfId="1" applyNumberFormat="1" applyFont="1" applyFill="1" applyBorder="1" applyAlignment="1">
      <alignment vertical="center"/>
    </xf>
    <xf numFmtId="0" fontId="8" fillId="0" borderId="7" xfId="0" quotePrefix="1" applyFont="1" applyBorder="1" applyAlignment="1">
      <alignment vertical="center" wrapText="1"/>
    </xf>
    <xf numFmtId="164" fontId="7" fillId="0" borderId="10" xfId="0" applyNumberFormat="1" applyFont="1" applyBorder="1" applyAlignment="1">
      <alignment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9" fontId="8" fillId="0" borderId="10" xfId="2" applyFont="1" applyFill="1" applyBorder="1" applyAlignment="1">
      <alignment vertical="center"/>
    </xf>
    <xf numFmtId="43" fontId="7" fillId="0" borderId="10" xfId="1" applyFont="1" applyFill="1" applyBorder="1" applyAlignment="1">
      <alignment vertical="center"/>
    </xf>
    <xf numFmtId="166" fontId="7" fillId="0" borderId="10" xfId="2" applyNumberFormat="1" applyFont="1" applyFill="1" applyBorder="1" applyAlignment="1">
      <alignment vertical="center"/>
    </xf>
    <xf numFmtId="9" fontId="7" fillId="0" borderId="10" xfId="2" applyFont="1" applyFill="1" applyBorder="1" applyAlignment="1">
      <alignment horizontal="right" vertical="center" wrapText="1"/>
    </xf>
    <xf numFmtId="164" fontId="8" fillId="0" borderId="10" xfId="2" applyNumberFormat="1" applyFont="1" applyFill="1" applyBorder="1" applyAlignment="1">
      <alignment horizontal="left" vertical="center" indent="1"/>
    </xf>
    <xf numFmtId="164" fontId="9" fillId="0" borderId="5" xfId="1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164" fontId="8" fillId="0" borderId="10" xfId="1" applyNumberFormat="1" applyFont="1" applyFill="1" applyBorder="1" applyAlignment="1">
      <alignment horizontal="center" vertical="center" wrapText="1"/>
    </xf>
    <xf numFmtId="164" fontId="7" fillId="0" borderId="10" xfId="0" applyNumberFormat="1" applyFont="1" applyBorder="1"/>
    <xf numFmtId="0" fontId="3" fillId="0" borderId="13" xfId="0" applyFont="1" applyBorder="1" applyAlignment="1">
      <alignment horizontal="center"/>
    </xf>
    <xf numFmtId="164" fontId="9" fillId="0" borderId="10" xfId="1" applyNumberFormat="1" applyFont="1" applyFill="1" applyBorder="1" applyAlignment="1">
      <alignment horizontal="right" vertical="center" wrapText="1"/>
    </xf>
    <xf numFmtId="43" fontId="6" fillId="0" borderId="10" xfId="1" applyFont="1" applyFill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8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/>
    <xf numFmtId="167" fontId="3" fillId="0" borderId="0" xfId="3" applyFont="1" applyFill="1" applyAlignment="1"/>
    <xf numFmtId="0" fontId="10" fillId="0" borderId="0" xfId="0" applyFont="1" applyAlignment="1">
      <alignment horizontal="center" vertical="center" wrapText="1"/>
    </xf>
    <xf numFmtId="167" fontId="10" fillId="0" borderId="0" xfId="3" applyFont="1" applyFill="1" applyAlignment="1">
      <alignment horizontal="center" vertical="center" wrapText="1"/>
    </xf>
    <xf numFmtId="43" fontId="3" fillId="0" borderId="0" xfId="0" applyNumberFormat="1" applyFont="1"/>
    <xf numFmtId="168" fontId="3" fillId="0" borderId="0" xfId="3" applyNumberFormat="1" applyFont="1" applyFill="1" applyAlignme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8" fontId="3" fillId="0" borderId="10" xfId="3" applyNumberFormat="1" applyFont="1" applyFill="1" applyBorder="1" applyAlignment="1"/>
    <xf numFmtId="164" fontId="3" fillId="0" borderId="0" xfId="1" applyNumberFormat="1" applyFont="1" applyFill="1"/>
    <xf numFmtId="167" fontId="3" fillId="0" borderId="0" xfId="3" applyFont="1" applyFill="1" applyBorder="1" applyAlignment="1"/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65" fontId="0" fillId="0" borderId="10" xfId="1" applyNumberFormat="1" applyFont="1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5" xfId="1" applyNumberFormat="1" applyFont="1" applyFill="1" applyBorder="1" applyAlignment="1">
      <alignment horizontal="center" vertical="center" wrapText="1"/>
    </xf>
    <xf numFmtId="164" fontId="6" fillId="0" borderId="6" xfId="1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textRotation="180" wrapText="1"/>
    </xf>
    <xf numFmtId="0" fontId="7" fillId="0" borderId="11" xfId="0" applyFont="1" applyBorder="1" applyAlignment="1">
      <alignment horizontal="center" vertical="center" textRotation="180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4">
    <cellStyle name="Comma" xfId="1" builtinId="3"/>
    <cellStyle name="Comma [0] 2" xfId="3" xr:uid="{1EBAB449-8172-47D8-8ED2-1DB378580ACB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38099</xdr:rowOff>
    </xdr:from>
    <xdr:to>
      <xdr:col>2</xdr:col>
      <xdr:colOff>575837</xdr:colOff>
      <xdr:row>2</xdr:row>
      <xdr:rowOff>81642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8E361-F1D0-4152-A59D-06F6F9D9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8099"/>
          <a:ext cx="1147337" cy="58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7283</xdr:colOff>
          <xdr:row>16</xdr:row>
          <xdr:rowOff>104777</xdr:rowOff>
        </xdr:from>
        <xdr:to>
          <xdr:col>11</xdr:col>
          <xdr:colOff>1</xdr:colOff>
          <xdr:row>21</xdr:row>
          <xdr:rowOff>291352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C8EC1FFB-7605-8927-E699-BDFBDA8FF9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P!$I$2:$L$9" spid="_x0000_s329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652871" y="6794689"/>
              <a:ext cx="3623424" cy="193469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10</xdr:col>
      <xdr:colOff>76200</xdr:colOff>
      <xdr:row>6</xdr:row>
      <xdr:rowOff>28575</xdr:rowOff>
    </xdr:from>
    <xdr:to>
      <xdr:col>10</xdr:col>
      <xdr:colOff>3590925</xdr:colOff>
      <xdr:row>7</xdr:row>
      <xdr:rowOff>467286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13D10B57-08B2-C9C0-60E8-6DE7AD432071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1581150"/>
          <a:ext cx="3514725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6</xdr:row>
          <xdr:rowOff>19050</xdr:rowOff>
        </xdr:from>
        <xdr:to>
          <xdr:col>10</xdr:col>
          <xdr:colOff>3343275</xdr:colOff>
          <xdr:row>7</xdr:row>
          <xdr:rowOff>1809190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B754C3A8-DC0F-2DD3-A895-EC8D4C1D5A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P!$B$2:$E$20" spid="_x0000_s330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658475" y="1571625"/>
              <a:ext cx="3305175" cy="3629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CodeHR\Myongshin\Documents\New%20folder%20(1)\6.%20Salary_analysis%20on%20Dec,%202022%20(plan%20salary)_OK.xlsx" TargetMode="External"/><Relationship Id="rId1" Type="http://schemas.openxmlformats.org/officeDocument/2006/relationships/externalLinkPath" Target="/SourceCodeHR/Myongshin/Documents/New%20folder%20(1)/6.%20Salary_analysis%20on%20Dec,%202022%20(plan%20salary)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VP_Dec Plan &amp; actual)"/>
      <sheetName val="MVP (2)"/>
      <sheetName val="MVP_Nov &amp; Dec Actual"/>
      <sheetName val="Actual &amp; plan "/>
      <sheetName val="Compa OT"/>
      <sheetName val="MP"/>
    </sheetNames>
    <sheetDataSet>
      <sheetData sheetId="0">
        <row r="7">
          <cell r="L7" t="str">
            <v>(Total employees: 380P
 ( Maternity: 0P, quited job: 5P; Temporary OP: 0P remaining: 3755P)</v>
          </cell>
        </row>
        <row r="26">
          <cell r="K26" t="str">
            <v xml:space="preserve">- JAN.2023 included 355P join insurance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workbookViewId="0">
      <selection activeCell="C4" sqref="C4"/>
    </sheetView>
  </sheetViews>
  <sheetFormatPr defaultRowHeight="15" x14ac:dyDescent="0.25"/>
  <sheetData>
    <row r="1" spans="1:53" x14ac:dyDescent="0.25">
      <c r="A1">
        <v>1</v>
      </c>
    </row>
    <row r="2" spans="1:53" x14ac:dyDescent="0.25">
      <c r="A2">
        <v>2</v>
      </c>
      <c r="B2" t="s">
        <v>99</v>
      </c>
      <c r="C2" t="s">
        <v>95</v>
      </c>
      <c r="D2" t="s">
        <v>96</v>
      </c>
      <c r="E2" t="s">
        <v>97</v>
      </c>
      <c r="F2" t="s">
        <v>98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117</v>
      </c>
      <c r="M2" t="s">
        <v>5</v>
      </c>
      <c r="N2" t="s">
        <v>6</v>
      </c>
      <c r="O2" t="s">
        <v>7</v>
      </c>
      <c r="P2" t="s">
        <v>8</v>
      </c>
      <c r="Q2" t="s">
        <v>89</v>
      </c>
      <c r="R2" t="s">
        <v>9</v>
      </c>
      <c r="S2" t="s">
        <v>90</v>
      </c>
      <c r="T2" t="s">
        <v>10</v>
      </c>
      <c r="U2" t="s">
        <v>91</v>
      </c>
      <c r="V2" t="s">
        <v>11</v>
      </c>
      <c r="W2" t="s">
        <v>92</v>
      </c>
      <c r="X2" t="s">
        <v>12</v>
      </c>
      <c r="Y2" t="s">
        <v>93</v>
      </c>
      <c r="Z2" t="s">
        <v>13</v>
      </c>
      <c r="AA2" t="s">
        <v>94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27</v>
      </c>
      <c r="AP2" t="s">
        <v>28</v>
      </c>
      <c r="AQ2" t="s">
        <v>29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30</v>
      </c>
      <c r="AY2" t="s">
        <v>31</v>
      </c>
      <c r="AZ2" t="s">
        <v>32</v>
      </c>
      <c r="BA2" t="s">
        <v>33</v>
      </c>
    </row>
    <row r="3" spans="1:53" x14ac:dyDescent="0.25">
      <c r="A3">
        <v>3</v>
      </c>
      <c r="B3">
        <v>2</v>
      </c>
      <c r="C3">
        <v>2</v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</row>
    <row r="4" spans="1:53" x14ac:dyDescent="0.25">
      <c r="A4">
        <v>4</v>
      </c>
    </row>
    <row r="5" spans="1:53" x14ac:dyDescent="0.25">
      <c r="A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750C-CBDC-4FEC-A2A9-9D9675E15183}">
  <sheetPr>
    <tabColor theme="5" tint="0.39997558519241921"/>
  </sheetPr>
  <dimension ref="A1:U34"/>
  <sheetViews>
    <sheetView tabSelected="1" view="pageBreakPreview" topLeftCell="B1" zoomScale="85" zoomScaleNormal="85" zoomScaleSheetLayoutView="85" workbookViewId="0">
      <selection activeCell="E8" sqref="E8"/>
    </sheetView>
  </sheetViews>
  <sheetFormatPr defaultColWidth="9.140625" defaultRowHeight="15" x14ac:dyDescent="0.25"/>
  <cols>
    <col min="1" max="1" width="4" style="1" customWidth="1"/>
    <col min="2" max="2" width="10.85546875" style="1" customWidth="1"/>
    <col min="3" max="3" width="12.85546875" style="1" customWidth="1"/>
    <col min="4" max="4" width="28.5703125" style="1" customWidth="1"/>
    <col min="5" max="5" width="14.5703125" style="61" customWidth="1"/>
    <col min="6" max="6" width="19.42578125" style="61" customWidth="1"/>
    <col min="7" max="7" width="16.28515625" style="61" customWidth="1"/>
    <col min="8" max="8" width="19.42578125" style="61" customWidth="1"/>
    <col min="9" max="9" width="13.85546875" style="61" customWidth="1"/>
    <col min="10" max="10" width="19.42578125" style="1" customWidth="1"/>
    <col min="11" max="11" width="54.42578125" style="1" customWidth="1"/>
    <col min="12" max="12" width="22.28515625" style="1" customWidth="1"/>
    <col min="13" max="13" width="18" style="1" customWidth="1"/>
    <col min="14" max="14" width="18.140625" style="53" customWidth="1"/>
    <col min="15" max="15" width="16.5703125" style="1" customWidth="1"/>
    <col min="16" max="16" width="16.85546875" style="1" customWidth="1"/>
    <col min="17" max="17" width="15" style="1" customWidth="1"/>
    <col min="18" max="21" width="9.42578125" style="1" customWidth="1"/>
    <col min="22" max="16384" width="9.140625" style="1"/>
  </cols>
  <sheetData>
    <row r="1" spans="1:21" ht="27.75" customHeight="1" x14ac:dyDescent="0.3">
      <c r="B1" s="70" t="str">
        <f>"ACTUAL  SALARY COMPARISION ANALYSIS_"&amp;UPPER(TEXT(DATE(Sheet1!A2,Sheet1!A1,1),"MMM yyyy"))&amp;" &amp; "&amp;UPPER(TEXT(DATE(Sheet1!A2,Sheet1!A1,1),"MMM yyyy"))&amp;""</f>
        <v>ACTUAL  SALARY COMPARISION ANALYSIS_JAN 1902 &amp; JAN 1902</v>
      </c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21" x14ac:dyDescent="0.25">
      <c r="C2" s="2"/>
      <c r="D2" s="2"/>
      <c r="E2" s="3"/>
      <c r="F2" s="98" t="str">
        <f ca="1">"Date: " &amp; TEXT(TODAY(),"dd-MM-YYYY")</f>
        <v>Date: 17-02-2023</v>
      </c>
      <c r="G2" s="98"/>
      <c r="H2" s="98"/>
      <c r="I2" s="98"/>
      <c r="J2" s="98"/>
    </row>
    <row r="3" spans="1:21" x14ac:dyDescent="0.25">
      <c r="C3" s="2"/>
      <c r="D3" s="2"/>
      <c r="E3" s="5"/>
      <c r="F3" s="6"/>
      <c r="G3" s="6"/>
      <c r="H3" s="6"/>
      <c r="I3" s="6"/>
      <c r="J3" s="6"/>
      <c r="K3" s="2"/>
      <c r="L3" s="4" t="s">
        <v>34</v>
      </c>
    </row>
    <row r="4" spans="1:21" s="54" customFormat="1" ht="28.5" customHeight="1" x14ac:dyDescent="0.25">
      <c r="A4" s="71" t="s">
        <v>35</v>
      </c>
      <c r="B4" s="72"/>
      <c r="C4" s="72"/>
      <c r="D4" s="73"/>
      <c r="E4" s="77" t="s">
        <v>36</v>
      </c>
      <c r="F4" s="78"/>
      <c r="G4" s="77" t="s">
        <v>37</v>
      </c>
      <c r="H4" s="78"/>
      <c r="I4" s="79" t="s">
        <v>38</v>
      </c>
      <c r="J4" s="80"/>
      <c r="K4" s="81" t="s">
        <v>39</v>
      </c>
      <c r="L4" s="81" t="s">
        <v>40</v>
      </c>
      <c r="N4" s="55"/>
    </row>
    <row r="5" spans="1:21" s="54" customFormat="1" ht="36.6" customHeight="1" x14ac:dyDescent="0.25">
      <c r="A5" s="74"/>
      <c r="B5" s="75"/>
      <c r="C5" s="75"/>
      <c r="D5" s="76"/>
      <c r="E5" s="7" t="s">
        <v>41</v>
      </c>
      <c r="F5" s="7" t="s">
        <v>42</v>
      </c>
      <c r="G5" s="7" t="s">
        <v>41</v>
      </c>
      <c r="H5" s="7" t="s">
        <v>42</v>
      </c>
      <c r="I5" s="8" t="str">
        <f>+G5</f>
        <v xml:space="preserve"> Person
(Hour)</v>
      </c>
      <c r="J5" s="7" t="s">
        <v>42</v>
      </c>
      <c r="K5" s="82"/>
      <c r="L5" s="82"/>
      <c r="N5" s="55"/>
    </row>
    <row r="6" spans="1:21" ht="39.6" hidden="1" customHeight="1" x14ac:dyDescent="0.25">
      <c r="A6" s="9"/>
      <c r="B6" s="10" t="s">
        <v>43</v>
      </c>
      <c r="C6" s="11" t="s">
        <v>43</v>
      </c>
      <c r="D6" s="11"/>
      <c r="E6" s="12"/>
      <c r="F6" s="13"/>
      <c r="G6" s="12" t="s">
        <v>44</v>
      </c>
      <c r="H6" s="13"/>
      <c r="I6" s="13"/>
      <c r="J6" s="14" t="s">
        <v>45</v>
      </c>
      <c r="K6" s="15" t="s">
        <v>46</v>
      </c>
      <c r="L6" s="16"/>
    </row>
    <row r="7" spans="1:21" ht="145.5" customHeight="1" x14ac:dyDescent="0.25">
      <c r="A7" s="17"/>
      <c r="B7" s="15" t="s">
        <v>47</v>
      </c>
      <c r="C7" s="84" t="s">
        <v>48</v>
      </c>
      <c r="D7" s="85"/>
      <c r="E7" s="18">
        <f>Sheet1!I5</f>
        <v>0</v>
      </c>
      <c r="F7" s="18">
        <f>Sheet1!J5</f>
        <v>0</v>
      </c>
      <c r="G7" s="19">
        <f>Sheet1!I6</f>
        <v>0</v>
      </c>
      <c r="H7" s="19">
        <f>Sheet1!J6</f>
        <v>0</v>
      </c>
      <c r="I7" s="20">
        <f>+G7-E7</f>
        <v>0</v>
      </c>
      <c r="J7" s="20">
        <f>+H7-F7</f>
        <v>0</v>
      </c>
      <c r="K7" s="21"/>
      <c r="L7" s="86" t="str">
        <f>+'[1]MVP_Dec Plan &amp; actual)'!L7:L14</f>
        <v>(Total employees: 380P
 ( Maternity: 0P, quited job: 5P; Temporary OP: 0P remaining: 3755P)</v>
      </c>
    </row>
    <row r="8" spans="1:21" ht="145.5" customHeight="1" x14ac:dyDescent="0.25">
      <c r="A8" s="17"/>
      <c r="B8" s="22"/>
      <c r="C8" s="84" t="s">
        <v>49</v>
      </c>
      <c r="D8" s="85"/>
      <c r="E8" s="18">
        <f>E7</f>
        <v>0</v>
      </c>
      <c r="F8" s="18">
        <f>Sheet1!K5</f>
        <v>0</v>
      </c>
      <c r="G8" s="19">
        <f>G7</f>
        <v>0</v>
      </c>
      <c r="H8" s="19">
        <f>Sheet1!K6</f>
        <v>0</v>
      </c>
      <c r="I8" s="20">
        <f t="shared" ref="I8:J30" si="0">+G8-E8</f>
        <v>0</v>
      </c>
      <c r="J8" s="20">
        <f t="shared" si="0"/>
        <v>0</v>
      </c>
      <c r="K8" s="21"/>
      <c r="L8" s="87"/>
    </row>
    <row r="9" spans="1:21" ht="36" customHeight="1" x14ac:dyDescent="0.25">
      <c r="A9" s="17"/>
      <c r="B9" s="22"/>
      <c r="C9" s="88" t="s">
        <v>50</v>
      </c>
      <c r="D9" s="23" t="s">
        <v>51</v>
      </c>
      <c r="E9" s="18">
        <f>Sheet1!T5</f>
        <v>0</v>
      </c>
      <c r="F9" s="18">
        <f>Sheet1!U5</f>
        <v>0</v>
      </c>
      <c r="G9" s="19">
        <f>Sheet1!T6</f>
        <v>0</v>
      </c>
      <c r="H9" s="19">
        <f>Sheet1!U6</f>
        <v>0</v>
      </c>
      <c r="I9" s="20">
        <f t="shared" si="0"/>
        <v>0</v>
      </c>
      <c r="J9" s="20">
        <f t="shared" si="0"/>
        <v>0</v>
      </c>
      <c r="K9" s="21" t="str">
        <f>" - Working day in " &amp; UPPER(TEXT(DATE(Sheet1!A2,Sheet1!A1,1),"MMM, yyyy")) &amp; "             : "&amp; Sheet1!$AX$5 &amp;" days
 - Working day in " &amp; UPPER(TEXT(DATE(Sheet1!A2,Sheet1!A1,1)-1,"MMM, yyyy")) &amp; "             : "&amp; Sheet1!$AX$5 &amp;" days"</f>
        <v xml:space="preserve"> - Working day in JAN, 1902             :  days
 - Working day in DEC, 1901             :  days</v>
      </c>
      <c r="L9" s="24"/>
    </row>
    <row r="10" spans="1:21" ht="36" customHeight="1" x14ac:dyDescent="0.25">
      <c r="A10" s="17"/>
      <c r="B10" s="22"/>
      <c r="C10" s="89"/>
      <c r="D10" s="23" t="s">
        <v>52</v>
      </c>
      <c r="E10" s="18">
        <f>Sheet1!P5</f>
        <v>0</v>
      </c>
      <c r="F10" s="18">
        <f>Sheet1!Q5</f>
        <v>0</v>
      </c>
      <c r="G10" s="19">
        <f>Sheet1!P6</f>
        <v>0</v>
      </c>
      <c r="H10" s="19">
        <f>Sheet1!Q6</f>
        <v>0</v>
      </c>
      <c r="I10" s="20">
        <f t="shared" si="0"/>
        <v>0</v>
      </c>
      <c r="J10" s="20">
        <f t="shared" si="0"/>
        <v>0</v>
      </c>
      <c r="K10" s="25" t="e">
        <f>"- " &amp; $O$10 &amp;" : "&amp; Sheet1!$AX$5 &amp;" normal day 150%          (" &amp; ROUND(M10,2) &amp; " h/m)
- "  &amp; O11 &amp;": "&amp; Sheet1!$AX$5 &amp;" normal day 150%           ("  &amp; ROUND(N10,2) &amp;" h/m)"</f>
        <v>#DIV/0!</v>
      </c>
      <c r="L10" s="26"/>
      <c r="M10" s="56" t="e">
        <f>+E10/E7</f>
        <v>#DIV/0!</v>
      </c>
      <c r="N10" s="57" t="e">
        <f>+G10/G7</f>
        <v>#DIV/0!</v>
      </c>
      <c r="O10" s="58" t="str">
        <f>UPPER(TEXT(DATE(Sheet1!$A$2,Sheet1!$A$1,1)-1,"MMM"))</f>
        <v>DEC</v>
      </c>
      <c r="P10" s="56"/>
      <c r="Q10" s="56"/>
      <c r="R10" s="56"/>
      <c r="S10" s="56"/>
      <c r="T10" s="56"/>
      <c r="U10" s="56"/>
    </row>
    <row r="11" spans="1:21" ht="36" customHeight="1" x14ac:dyDescent="0.25">
      <c r="A11" s="17"/>
      <c r="B11" s="22"/>
      <c r="C11" s="89"/>
      <c r="D11" s="23" t="s">
        <v>53</v>
      </c>
      <c r="E11" s="18">
        <f>Sheet1!R5</f>
        <v>0</v>
      </c>
      <c r="F11" s="18">
        <f>Sheet1!S5</f>
        <v>0</v>
      </c>
      <c r="G11" s="19">
        <f>Sheet1!R6</f>
        <v>0</v>
      </c>
      <c r="H11" s="19">
        <f>Sheet1!S6</f>
        <v>0</v>
      </c>
      <c r="I11" s="20">
        <f t="shared" si="0"/>
        <v>0</v>
      </c>
      <c r="J11" s="20">
        <f t="shared" si="0"/>
        <v>0</v>
      </c>
      <c r="K11" s="25" t="e">
        <f>"- " &amp; $O$10 &amp;" : "&amp; Sheet1!$AX$5 &amp;" normal day 200%          (" &amp; ROUND(M11,2) &amp; " h/m)
- "  &amp; $O$11 &amp;": "&amp; Sheet1!$AX$5 &amp;" normal day 200%           ("  &amp; ROUND(N11,2) &amp;" h/m)"</f>
        <v>#DIV/0!</v>
      </c>
      <c r="L11" s="27"/>
      <c r="M11" s="56" t="e">
        <f>+E11/$E$7</f>
        <v>#DIV/0!</v>
      </c>
      <c r="N11" s="57" t="e">
        <f>+G11/$G$7</f>
        <v>#DIV/0!</v>
      </c>
      <c r="O11" s="58" t="str">
        <f>UPPER(TEXT(Sheet1!$A$1*28,"MMM"))</f>
        <v>JAN</v>
      </c>
      <c r="P11" s="56"/>
      <c r="Q11" s="56"/>
      <c r="R11" s="56"/>
      <c r="S11" s="56"/>
      <c r="T11" s="56"/>
      <c r="U11" s="56"/>
    </row>
    <row r="12" spans="1:21" ht="36" customHeight="1" x14ac:dyDescent="0.25">
      <c r="A12" s="17"/>
      <c r="B12" s="22"/>
      <c r="C12" s="89"/>
      <c r="D12" s="23" t="s">
        <v>54</v>
      </c>
      <c r="E12" s="18">
        <f>Sheet1!T5</f>
        <v>0</v>
      </c>
      <c r="F12" s="18">
        <f>Sheet1!U5</f>
        <v>0</v>
      </c>
      <c r="G12" s="19">
        <f>Sheet1!T6</f>
        <v>0</v>
      </c>
      <c r="H12" s="19">
        <f>Sheet1!U6</f>
        <v>0</v>
      </c>
      <c r="I12" s="20">
        <f t="shared" si="0"/>
        <v>0</v>
      </c>
      <c r="J12" s="20">
        <f t="shared" si="0"/>
        <v>0</v>
      </c>
      <c r="K12" s="25" t="e">
        <f>"- " &amp; $O$10 &amp;" : "&amp; Sheet1!$AX$5 &amp;" normal day 210%          (" &amp; ROUND(M12,2) &amp; " h/m)
- "  &amp; $O$11 &amp;": "&amp; Sheet1!$AX$5 &amp;" normal day 210%           ("  &amp; ROUND(N12,2) &amp;" h/m)"</f>
        <v>#DIV/0!</v>
      </c>
      <c r="L12" s="28"/>
      <c r="M12" s="56" t="e">
        <f>+E12/$E$7</f>
        <v>#DIV/0!</v>
      </c>
      <c r="N12" s="57" t="e">
        <f>+G12/$G$7</f>
        <v>#DIV/0!</v>
      </c>
    </row>
    <row r="13" spans="1:21" ht="36" customHeight="1" x14ac:dyDescent="0.25">
      <c r="A13" s="17"/>
      <c r="B13" s="22"/>
      <c r="C13" s="89"/>
      <c r="D13" s="23" t="s">
        <v>55</v>
      </c>
      <c r="E13" s="18">
        <f>Sheet1!V5</f>
        <v>0</v>
      </c>
      <c r="F13" s="18">
        <f>Sheet1!W5</f>
        <v>0</v>
      </c>
      <c r="G13" s="19">
        <f>Sheet1!V6</f>
        <v>0</v>
      </c>
      <c r="H13" s="19">
        <f>Sheet1!W6</f>
        <v>0</v>
      </c>
      <c r="I13" s="20">
        <f t="shared" si="0"/>
        <v>0</v>
      </c>
      <c r="J13" s="20">
        <f t="shared" si="0"/>
        <v>0</v>
      </c>
      <c r="K13" s="25" t="e">
        <f>"- " &amp; $O$10 &amp;" : "&amp; Sheet1!$AX$5 &amp;" normal day 270%          (" &amp; ROUND(M13,2) &amp; " h/m)
- "  &amp; $O$11 &amp;": "&amp; Sheet1!$AX$5 &amp;" normal day 270%           ("  &amp; ROUND(N13,2) &amp;" h/m)"</f>
        <v>#DIV/0!</v>
      </c>
      <c r="L13" s="27"/>
      <c r="M13" s="56" t="e">
        <f>+E13/$E$7</f>
        <v>#DIV/0!</v>
      </c>
      <c r="N13" s="57" t="e">
        <f>+G13/$G$7</f>
        <v>#DIV/0!</v>
      </c>
    </row>
    <row r="14" spans="1:21" ht="36" hidden="1" customHeight="1" x14ac:dyDescent="0.25">
      <c r="A14" s="17"/>
      <c r="B14" s="22"/>
      <c r="C14" s="89"/>
      <c r="D14" s="23" t="s">
        <v>56</v>
      </c>
      <c r="E14" s="18">
        <f>Sheet1!X5</f>
        <v>0</v>
      </c>
      <c r="F14" s="18">
        <f>Sheet1!Y5</f>
        <v>0</v>
      </c>
      <c r="G14" s="19">
        <f>Sheet1!X6</f>
        <v>0</v>
      </c>
      <c r="H14" s="19">
        <f>Sheet1!Y6</f>
        <v>0</v>
      </c>
      <c r="I14" s="20">
        <f>+G14-E14</f>
        <v>0</v>
      </c>
      <c r="J14" s="20">
        <f t="shared" si="0"/>
        <v>0</v>
      </c>
      <c r="K14" s="25" t="e">
        <f>"- " &amp; $O$10 &amp;" : "&amp; Sheet1!$AX$5 &amp;" normal day 300%          (" &amp; ROUND(M14,2) &amp; " h/m)
- "  &amp; $O$11 &amp;": "&amp; Sheet1!$AX$5 &amp;" normal day 300%           ("  &amp; ROUND(N14,2) &amp;" h/m)"</f>
        <v>#DIV/0!</v>
      </c>
      <c r="L14" s="26"/>
      <c r="M14" s="56" t="e">
        <f t="shared" ref="M14:M15" si="1">+E14/$E$7</f>
        <v>#DIV/0!</v>
      </c>
      <c r="N14" s="57" t="e">
        <f t="shared" ref="N14:N15" si="2">+G14/$G$7</f>
        <v>#DIV/0!</v>
      </c>
      <c r="O14" s="59"/>
      <c r="Q14" s="59"/>
    </row>
    <row r="15" spans="1:21" ht="36" hidden="1" customHeight="1" x14ac:dyDescent="0.25">
      <c r="A15" s="17"/>
      <c r="B15" s="22"/>
      <c r="C15" s="89"/>
      <c r="D15" s="23" t="s">
        <v>57</v>
      </c>
      <c r="E15" s="18">
        <f>Sheet1!Z5</f>
        <v>0</v>
      </c>
      <c r="F15" s="18">
        <f>Sheet1!AA5</f>
        <v>0</v>
      </c>
      <c r="G15" s="19">
        <f>Sheet1!Z6</f>
        <v>0</v>
      </c>
      <c r="H15" s="19">
        <f>Sheet1!AA6</f>
        <v>0</v>
      </c>
      <c r="I15" s="20">
        <f t="shared" si="0"/>
        <v>0</v>
      </c>
      <c r="J15" s="20">
        <f t="shared" si="0"/>
        <v>0</v>
      </c>
      <c r="K15" s="25" t="e">
        <f>"- " &amp; $O$10 &amp;" : "&amp; Sheet1!$AX$5 &amp;" normal day 390%          (" &amp; ROUND(M15,2) &amp; " h/m)
- "  &amp; $O$11 &amp;": "&amp; Sheet1!$AX$5 &amp;" normal day 390%           ("  &amp; ROUND(N15,2) &amp;" h/m)"</f>
        <v>#DIV/0!</v>
      </c>
      <c r="L15" s="26"/>
      <c r="M15" s="56" t="e">
        <f t="shared" si="1"/>
        <v>#DIV/0!</v>
      </c>
      <c r="N15" s="57" t="e">
        <f t="shared" si="2"/>
        <v>#DIV/0!</v>
      </c>
    </row>
    <row r="16" spans="1:21" ht="36" customHeight="1" x14ac:dyDescent="0.25">
      <c r="A16" s="17"/>
      <c r="B16" s="22"/>
      <c r="C16" s="90"/>
      <c r="D16" s="29" t="s">
        <v>58</v>
      </c>
      <c r="E16" s="30">
        <f>SUBTOTAL(9,E9:E13)</f>
        <v>0</v>
      </c>
      <c r="F16" s="30">
        <f t="shared" ref="F16:H16" si="3">SUBTOTAL(9,F9:F13)</f>
        <v>0</v>
      </c>
      <c r="G16" s="31">
        <f t="shared" si="3"/>
        <v>0</v>
      </c>
      <c r="H16" s="31">
        <f t="shared" si="3"/>
        <v>0</v>
      </c>
      <c r="I16" s="7">
        <f>+G16-E16</f>
        <v>0</v>
      </c>
      <c r="J16" s="7">
        <f t="shared" si="0"/>
        <v>0</v>
      </c>
      <c r="K16" s="32"/>
      <c r="L16" s="33"/>
      <c r="N16" s="57"/>
    </row>
    <row r="17" spans="1:17" ht="36" customHeight="1" x14ac:dyDescent="0.25">
      <c r="A17" s="17"/>
      <c r="B17" s="22"/>
      <c r="C17" s="91" t="s">
        <v>59</v>
      </c>
      <c r="D17" s="23" t="s">
        <v>60</v>
      </c>
      <c r="E17" s="18"/>
      <c r="F17" s="18">
        <f>Sheet1!L5</f>
        <v>0</v>
      </c>
      <c r="G17" s="19"/>
      <c r="H17" s="19">
        <f>Sheet1!L6</f>
        <v>0</v>
      </c>
      <c r="I17" s="20">
        <f t="shared" si="0"/>
        <v>0</v>
      </c>
      <c r="J17" s="20">
        <f t="shared" si="0"/>
        <v>0</v>
      </c>
      <c r="K17" s="23"/>
      <c r="L17" s="33"/>
      <c r="M17" s="59"/>
      <c r="N17" s="57"/>
    </row>
    <row r="18" spans="1:17" ht="35.25" customHeight="1" x14ac:dyDescent="0.25">
      <c r="A18" s="17"/>
      <c r="B18" s="34"/>
      <c r="C18" s="92"/>
      <c r="D18" s="35" t="s">
        <v>61</v>
      </c>
      <c r="E18" s="18"/>
      <c r="F18" s="36" t="e">
        <f>(F22-F16)/(F7+F8)</f>
        <v>#DIV/0!</v>
      </c>
      <c r="G18" s="37"/>
      <c r="H18" s="38" t="e">
        <f>(H22-H16)/(H7+H8)</f>
        <v>#DIV/0!</v>
      </c>
      <c r="I18" s="20">
        <f t="shared" si="0"/>
        <v>0</v>
      </c>
      <c r="J18" s="39" t="e">
        <f t="shared" si="0"/>
        <v>#DIV/0!</v>
      </c>
      <c r="K18" s="23"/>
      <c r="L18" s="33"/>
      <c r="N18" s="57"/>
    </row>
    <row r="19" spans="1:17" ht="35.25" hidden="1" customHeight="1" x14ac:dyDescent="0.25">
      <c r="A19" s="17"/>
      <c r="B19" s="34"/>
      <c r="C19" s="93" t="s">
        <v>62</v>
      </c>
      <c r="D19" s="93"/>
      <c r="E19" s="18"/>
      <c r="F19" s="18"/>
      <c r="G19" s="37"/>
      <c r="H19" s="19"/>
      <c r="I19" s="20"/>
      <c r="J19" s="20">
        <f t="shared" si="0"/>
        <v>0</v>
      </c>
      <c r="K19" s="23"/>
      <c r="L19" s="33"/>
      <c r="N19" s="57"/>
    </row>
    <row r="20" spans="1:17" ht="35.25" customHeight="1" x14ac:dyDescent="0.25">
      <c r="A20" s="17"/>
      <c r="B20" s="34"/>
      <c r="C20" s="93" t="s">
        <v>63</v>
      </c>
      <c r="D20" s="93"/>
      <c r="E20" s="18"/>
      <c r="F20" s="18"/>
      <c r="G20" s="37"/>
      <c r="H20" s="19"/>
      <c r="I20" s="20"/>
      <c r="J20" s="20">
        <f t="shared" si="0"/>
        <v>0</v>
      </c>
      <c r="K20" s="23"/>
      <c r="L20" s="33"/>
      <c r="N20" s="57"/>
    </row>
    <row r="21" spans="1:17" ht="30.75" customHeight="1" x14ac:dyDescent="0.25">
      <c r="A21" s="17"/>
      <c r="B21" s="34"/>
      <c r="C21" s="94" t="s">
        <v>64</v>
      </c>
      <c r="D21" s="94"/>
      <c r="E21" s="18"/>
      <c r="F21" s="40"/>
      <c r="G21" s="19"/>
      <c r="H21" s="19"/>
      <c r="I21" s="20">
        <f t="shared" si="0"/>
        <v>0</v>
      </c>
      <c r="J21" s="20">
        <f t="shared" si="0"/>
        <v>0</v>
      </c>
      <c r="K21" s="23"/>
      <c r="L21" s="33"/>
      <c r="N21" s="57"/>
      <c r="P21" s="56"/>
    </row>
    <row r="22" spans="1:17" ht="29.25" customHeight="1" x14ac:dyDescent="0.25">
      <c r="A22" s="17"/>
      <c r="B22" s="74" t="s">
        <v>65</v>
      </c>
      <c r="C22" s="75"/>
      <c r="D22" s="76"/>
      <c r="E22" s="41"/>
      <c r="F22" s="30">
        <f>F16+F17+F21</f>
        <v>0</v>
      </c>
      <c r="G22" s="19"/>
      <c r="H22" s="31">
        <f t="shared" ref="H22" si="4">H16+H17+H21</f>
        <v>0</v>
      </c>
      <c r="I22" s="20">
        <f t="shared" si="0"/>
        <v>0</v>
      </c>
      <c r="J22" s="7">
        <f t="shared" si="0"/>
        <v>0</v>
      </c>
      <c r="K22" s="23"/>
      <c r="L22" s="60"/>
      <c r="N22" s="1"/>
      <c r="O22" s="59"/>
      <c r="P22" s="56"/>
    </row>
    <row r="23" spans="1:17" ht="30.75" customHeight="1" x14ac:dyDescent="0.25">
      <c r="A23" s="17"/>
      <c r="B23" s="42"/>
      <c r="C23" s="95" t="s">
        <v>66</v>
      </c>
      <c r="D23" s="95"/>
      <c r="E23" s="18"/>
      <c r="F23" s="18"/>
      <c r="G23" s="37"/>
      <c r="H23" s="19"/>
      <c r="I23" s="20"/>
      <c r="J23" s="20">
        <f t="shared" si="0"/>
        <v>0</v>
      </c>
      <c r="K23" s="10"/>
      <c r="L23" s="60"/>
      <c r="N23" s="1"/>
      <c r="O23" s="59"/>
    </row>
    <row r="24" spans="1:17" ht="30.75" customHeight="1" x14ac:dyDescent="0.25">
      <c r="A24" s="17"/>
      <c r="B24" s="43" t="s">
        <v>67</v>
      </c>
      <c r="C24" s="83" t="s">
        <v>68</v>
      </c>
      <c r="D24" s="83"/>
      <c r="E24" s="18">
        <f>Sheet1!AR5</f>
        <v>0</v>
      </c>
      <c r="F24" s="44">
        <f>Sheet1!AS5</f>
        <v>0</v>
      </c>
      <c r="G24" s="19">
        <f>Sheet1!AR6</f>
        <v>0</v>
      </c>
      <c r="H24" s="19">
        <f>Sheet1!AS6</f>
        <v>0</v>
      </c>
      <c r="I24" s="20">
        <f t="shared" si="0"/>
        <v>0</v>
      </c>
      <c r="J24" s="20">
        <f t="shared" si="0"/>
        <v>0</v>
      </c>
      <c r="K24" s="23"/>
      <c r="L24" s="45"/>
      <c r="O24" s="59"/>
      <c r="P24" s="59"/>
      <c r="Q24" s="59"/>
    </row>
    <row r="25" spans="1:17" ht="30.75" customHeight="1" x14ac:dyDescent="0.25">
      <c r="A25" s="17"/>
      <c r="B25" s="43"/>
      <c r="C25" s="83" t="s">
        <v>69</v>
      </c>
      <c r="D25" s="83"/>
      <c r="E25" s="44">
        <f>Sheet1!AT5</f>
        <v>0</v>
      </c>
      <c r="F25" s="44">
        <f>Sheet1!AU5</f>
        <v>0</v>
      </c>
      <c r="G25" s="19">
        <f>Sheet1!AT6</f>
        <v>0</v>
      </c>
      <c r="H25" s="19">
        <f>Sheet1!AU6</f>
        <v>0</v>
      </c>
      <c r="I25" s="20">
        <f t="shared" si="0"/>
        <v>0</v>
      </c>
      <c r="J25" s="20">
        <f t="shared" si="0"/>
        <v>0</v>
      </c>
      <c r="K25" s="25" t="str">
        <f>+'[1]MVP_Dec Plan &amp; actual)'!K26</f>
        <v xml:space="preserve">- JAN.2023 included 355P join insurance </v>
      </c>
      <c r="L25" s="45"/>
      <c r="O25" s="59"/>
    </row>
    <row r="26" spans="1:17" ht="30.75" customHeight="1" x14ac:dyDescent="0.25">
      <c r="A26" s="17"/>
      <c r="B26" s="43"/>
      <c r="C26" s="83" t="s">
        <v>70</v>
      </c>
      <c r="D26" s="83"/>
      <c r="E26" s="18">
        <f>Sheet1!AV5</f>
        <v>0</v>
      </c>
      <c r="F26" s="44">
        <f>Sheet1!AW5</f>
        <v>0</v>
      </c>
      <c r="G26" s="19">
        <f>Sheet1!AV6</f>
        <v>0</v>
      </c>
      <c r="H26" s="19">
        <f>Sheet1!AW6</f>
        <v>0</v>
      </c>
      <c r="I26" s="20">
        <f t="shared" si="0"/>
        <v>0</v>
      </c>
      <c r="J26" s="20">
        <f t="shared" si="0"/>
        <v>0</v>
      </c>
      <c r="K26" s="25"/>
      <c r="L26" s="24"/>
    </row>
    <row r="27" spans="1:17" ht="30.75" customHeight="1" x14ac:dyDescent="0.25">
      <c r="A27" s="46"/>
      <c r="B27" s="96" t="s">
        <v>71</v>
      </c>
      <c r="C27" s="96"/>
      <c r="D27" s="96"/>
      <c r="E27" s="47"/>
      <c r="F27" s="30">
        <f>SUBTOTAL(9,F24:F26)</f>
        <v>0</v>
      </c>
      <c r="G27" s="48"/>
      <c r="H27" s="31">
        <f>SUBTOTAL(9,H24:H26)</f>
        <v>0</v>
      </c>
      <c r="I27" s="20">
        <f>+G27-E27</f>
        <v>0</v>
      </c>
      <c r="J27" s="7">
        <f>+H27-F27</f>
        <v>0</v>
      </c>
      <c r="K27" s="25" t="s">
        <v>72</v>
      </c>
      <c r="L27" s="24"/>
      <c r="M27" s="59"/>
    </row>
    <row r="28" spans="1:17" ht="30.75" hidden="1" customHeight="1" x14ac:dyDescent="0.25">
      <c r="A28" s="17"/>
      <c r="B28" s="43"/>
      <c r="C28" s="83" t="s">
        <v>73</v>
      </c>
      <c r="D28" s="83"/>
      <c r="E28" s="18"/>
      <c r="F28" s="44"/>
      <c r="G28" s="37"/>
      <c r="H28" s="19"/>
      <c r="I28" s="20">
        <f t="shared" si="0"/>
        <v>0</v>
      </c>
      <c r="J28" s="20">
        <f t="shared" si="0"/>
        <v>0</v>
      </c>
      <c r="K28" s="21"/>
      <c r="L28" s="24"/>
      <c r="M28" s="59"/>
    </row>
    <row r="29" spans="1:17" ht="30.75" customHeight="1" x14ac:dyDescent="0.25">
      <c r="A29" s="49"/>
      <c r="B29" s="77" t="s">
        <v>74</v>
      </c>
      <c r="C29" s="97"/>
      <c r="D29" s="78"/>
      <c r="E29" s="50"/>
      <c r="F29" s="30">
        <f>F22-F27-F21</f>
        <v>0</v>
      </c>
      <c r="G29" s="48"/>
      <c r="H29" s="31">
        <f>H22-H27-H21</f>
        <v>0</v>
      </c>
      <c r="I29" s="7">
        <f t="shared" si="0"/>
        <v>0</v>
      </c>
      <c r="J29" s="7">
        <f t="shared" si="0"/>
        <v>0</v>
      </c>
      <c r="K29" s="51"/>
      <c r="L29" s="52"/>
      <c r="P29" s="59"/>
    </row>
    <row r="30" spans="1:17" ht="30.75" customHeight="1" x14ac:dyDescent="0.25">
      <c r="A30" s="49"/>
      <c r="B30" s="77" t="s">
        <v>75</v>
      </c>
      <c r="C30" s="97"/>
      <c r="D30" s="78"/>
      <c r="E30" s="50"/>
      <c r="F30" s="30">
        <f>F22-F27</f>
        <v>0</v>
      </c>
      <c r="G30" s="48"/>
      <c r="H30" s="31">
        <f>H22-H27</f>
        <v>0</v>
      </c>
      <c r="I30" s="7">
        <f t="shared" si="0"/>
        <v>0</v>
      </c>
      <c r="J30" s="7">
        <f t="shared" si="0"/>
        <v>0</v>
      </c>
      <c r="K30" s="51"/>
      <c r="L30" s="52"/>
      <c r="P30" s="59"/>
    </row>
    <row r="31" spans="1:17" x14ac:dyDescent="0.25">
      <c r="M31" s="62"/>
      <c r="N31" s="1"/>
    </row>
    <row r="32" spans="1:17" x14ac:dyDescent="0.25">
      <c r="M32" s="62"/>
      <c r="N32" s="1"/>
    </row>
    <row r="33" spans="14:14" x14ac:dyDescent="0.25">
      <c r="N33" s="62"/>
    </row>
    <row r="34" spans="14:14" x14ac:dyDescent="0.25">
      <c r="N34" s="62"/>
    </row>
  </sheetData>
  <mergeCells count="25">
    <mergeCell ref="C26:D26"/>
    <mergeCell ref="B27:D27"/>
    <mergeCell ref="C28:D28"/>
    <mergeCell ref="B29:D29"/>
    <mergeCell ref="B30:D30"/>
    <mergeCell ref="C25:D25"/>
    <mergeCell ref="C7:D7"/>
    <mergeCell ref="L7:L8"/>
    <mergeCell ref="C8:D8"/>
    <mergeCell ref="C9:C16"/>
    <mergeCell ref="C17:C18"/>
    <mergeCell ref="C19:D19"/>
    <mergeCell ref="C20:D20"/>
    <mergeCell ref="C21:D21"/>
    <mergeCell ref="B22:D22"/>
    <mergeCell ref="C23:D23"/>
    <mergeCell ref="C24:D24"/>
    <mergeCell ref="B1:L1"/>
    <mergeCell ref="F2:J2"/>
    <mergeCell ref="A4:D5"/>
    <mergeCell ref="E4:F4"/>
    <mergeCell ref="G4:H4"/>
    <mergeCell ref="I4:J4"/>
    <mergeCell ref="K4:K5"/>
    <mergeCell ref="L4:L5"/>
  </mergeCells>
  <pageMargins left="0.4" right="0.17" top="0.26" bottom="0.17" header="0.16" footer="0.17"/>
  <pageSetup paperSize="8" scale="8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8FC5-E742-49A6-B1F9-149B19D9EE31}">
  <dimension ref="B2:L20"/>
  <sheetViews>
    <sheetView topLeftCell="B1" zoomScale="115" zoomScaleNormal="115" workbookViewId="0">
      <selection activeCell="B2" sqref="B2:E20"/>
    </sheetView>
  </sheetViews>
  <sheetFormatPr defaultColWidth="9.140625" defaultRowHeight="15" x14ac:dyDescent="0.25"/>
  <cols>
    <col min="1" max="1" width="3.28515625" customWidth="1"/>
    <col min="2" max="2" width="16.85546875" bestFit="1" customWidth="1"/>
    <col min="3" max="5" width="10.85546875" customWidth="1"/>
    <col min="9" max="9" width="21.5703125" bestFit="1" customWidth="1"/>
    <col min="10" max="12" width="11.28515625" customWidth="1"/>
  </cols>
  <sheetData>
    <row r="2" spans="2:12" x14ac:dyDescent="0.25">
      <c r="B2" s="63" t="s">
        <v>76</v>
      </c>
      <c r="C2" s="63" t="str">
        <f>'MVP_Nov &amp; Dec Actual'!O10</f>
        <v>DEC</v>
      </c>
      <c r="D2" s="63" t="str">
        <f>'MVP_Nov &amp; Dec Actual'!O11</f>
        <v>JAN</v>
      </c>
      <c r="E2" s="63" t="s">
        <v>78</v>
      </c>
      <c r="I2" s="67" t="s">
        <v>35</v>
      </c>
      <c r="J2" s="67" t="s">
        <v>77</v>
      </c>
      <c r="K2" s="67" t="s">
        <v>80</v>
      </c>
      <c r="L2" s="67" t="s">
        <v>81</v>
      </c>
    </row>
    <row r="3" spans="2:12" x14ac:dyDescent="0.25">
      <c r="B3" s="69" t="s">
        <v>100</v>
      </c>
      <c r="C3" s="65">
        <f>Sheet1!D7</f>
        <v>0</v>
      </c>
      <c r="D3" s="65">
        <f>Sheet1!C7</f>
        <v>0</v>
      </c>
      <c r="E3" s="65">
        <f>D3-C3</f>
        <v>0</v>
      </c>
      <c r="I3" s="64" t="s">
        <v>82</v>
      </c>
      <c r="J3" s="68">
        <f>'MVP_Nov &amp; Dec Actual'!E9</f>
        <v>0</v>
      </c>
      <c r="K3" s="68">
        <f>'MVP_Nov &amp; Dec Actual'!G9</f>
        <v>0</v>
      </c>
      <c r="L3" s="68">
        <f t="shared" ref="L3:L9" si="0">+K3-J3</f>
        <v>0</v>
      </c>
    </row>
    <row r="4" spans="2:12" x14ac:dyDescent="0.25">
      <c r="B4" s="69" t="s">
        <v>101</v>
      </c>
      <c r="C4" s="65">
        <f>Sheet1!D8</f>
        <v>0</v>
      </c>
      <c r="D4" s="65">
        <f>Sheet1!C8</f>
        <v>0</v>
      </c>
      <c r="E4" s="65">
        <f t="shared" ref="E4:E19" si="1">D4-C4</f>
        <v>0</v>
      </c>
      <c r="I4" s="64" t="s">
        <v>83</v>
      </c>
      <c r="J4" s="68">
        <f>'MVP_Nov &amp; Dec Actual'!E10</f>
        <v>0</v>
      </c>
      <c r="K4" s="68">
        <f>'MVP_Nov &amp; Dec Actual'!G10</f>
        <v>0</v>
      </c>
      <c r="L4" s="68">
        <f t="shared" si="0"/>
        <v>0</v>
      </c>
    </row>
    <row r="5" spans="2:12" x14ac:dyDescent="0.25">
      <c r="B5" s="69" t="s">
        <v>102</v>
      </c>
      <c r="C5" s="65">
        <f>Sheet1!D9</f>
        <v>0</v>
      </c>
      <c r="D5" s="65">
        <f>Sheet1!C9</f>
        <v>0</v>
      </c>
      <c r="E5" s="65">
        <f t="shared" si="1"/>
        <v>0</v>
      </c>
      <c r="I5" s="64" t="s">
        <v>84</v>
      </c>
      <c r="J5" s="68">
        <f>'MVP_Nov &amp; Dec Actual'!E11</f>
        <v>0</v>
      </c>
      <c r="K5" s="68">
        <f>'MVP_Nov &amp; Dec Actual'!G11</f>
        <v>0</v>
      </c>
      <c r="L5" s="68">
        <f t="shared" si="0"/>
        <v>0</v>
      </c>
    </row>
    <row r="6" spans="2:12" x14ac:dyDescent="0.25">
      <c r="B6" s="69" t="s">
        <v>103</v>
      </c>
      <c r="C6" s="65">
        <f>Sheet1!D10</f>
        <v>0</v>
      </c>
      <c r="D6" s="65">
        <f>Sheet1!C10</f>
        <v>0</v>
      </c>
      <c r="E6" s="65">
        <f t="shared" si="1"/>
        <v>0</v>
      </c>
      <c r="I6" s="64" t="s">
        <v>85</v>
      </c>
      <c r="J6" s="68">
        <f>'MVP_Nov &amp; Dec Actual'!E12</f>
        <v>0</v>
      </c>
      <c r="K6" s="68">
        <f>'MVP_Nov &amp; Dec Actual'!G12</f>
        <v>0</v>
      </c>
      <c r="L6" s="68">
        <f t="shared" si="0"/>
        <v>0</v>
      </c>
    </row>
    <row r="7" spans="2:12" x14ac:dyDescent="0.25">
      <c r="B7" s="69" t="s">
        <v>104</v>
      </c>
      <c r="C7" s="65">
        <f>Sheet1!D11</f>
        <v>0</v>
      </c>
      <c r="D7" s="65">
        <f>Sheet1!C11</f>
        <v>0</v>
      </c>
      <c r="E7" s="65">
        <f t="shared" si="1"/>
        <v>0</v>
      </c>
      <c r="I7" s="64" t="s">
        <v>86</v>
      </c>
      <c r="J7" s="68">
        <f>'MVP_Nov &amp; Dec Actual'!E13</f>
        <v>0</v>
      </c>
      <c r="K7" s="68">
        <f>'MVP_Nov &amp; Dec Actual'!G13</f>
        <v>0</v>
      </c>
      <c r="L7" s="68">
        <f t="shared" si="0"/>
        <v>0</v>
      </c>
    </row>
    <row r="8" spans="2:12" x14ac:dyDescent="0.25">
      <c r="B8" s="69" t="s">
        <v>105</v>
      </c>
      <c r="C8" s="65">
        <f>Sheet1!D12</f>
        <v>0</v>
      </c>
      <c r="D8" s="65">
        <f>Sheet1!C12</f>
        <v>0</v>
      </c>
      <c r="E8" s="65">
        <f t="shared" si="1"/>
        <v>0</v>
      </c>
      <c r="I8" s="64" t="s">
        <v>87</v>
      </c>
      <c r="J8" s="68">
        <f>'MVP_Nov &amp; Dec Actual'!E14</f>
        <v>0</v>
      </c>
      <c r="K8" s="68">
        <f>'MVP_Nov &amp; Dec Actual'!G14</f>
        <v>0</v>
      </c>
      <c r="L8" s="68">
        <f t="shared" si="0"/>
        <v>0</v>
      </c>
    </row>
    <row r="9" spans="2:12" x14ac:dyDescent="0.25">
      <c r="B9" s="69" t="s">
        <v>106</v>
      </c>
      <c r="C9" s="65">
        <f>Sheet1!D13</f>
        <v>0</v>
      </c>
      <c r="D9" s="65">
        <f>Sheet1!C13</f>
        <v>0</v>
      </c>
      <c r="E9" s="65">
        <f t="shared" si="1"/>
        <v>0</v>
      </c>
      <c r="I9" s="64" t="s">
        <v>88</v>
      </c>
      <c r="J9" s="68">
        <f>'MVP_Nov &amp; Dec Actual'!E15</f>
        <v>0</v>
      </c>
      <c r="K9" s="68">
        <f>'MVP_Nov &amp; Dec Actual'!G15</f>
        <v>0</v>
      </c>
      <c r="L9" s="68">
        <f t="shared" si="0"/>
        <v>0</v>
      </c>
    </row>
    <row r="10" spans="2:12" x14ac:dyDescent="0.25">
      <c r="B10" s="69" t="s">
        <v>107</v>
      </c>
      <c r="C10" s="65">
        <f>Sheet1!D14</f>
        <v>0</v>
      </c>
      <c r="D10" s="65">
        <f>Sheet1!C14</f>
        <v>0</v>
      </c>
      <c r="E10" s="65">
        <f t="shared" si="1"/>
        <v>0</v>
      </c>
    </row>
    <row r="11" spans="2:12" x14ac:dyDescent="0.25">
      <c r="B11" s="69" t="s">
        <v>108</v>
      </c>
      <c r="C11" s="65">
        <f>Sheet1!D15</f>
        <v>0</v>
      </c>
      <c r="D11" s="65">
        <f>Sheet1!C15</f>
        <v>0</v>
      </c>
      <c r="E11" s="65">
        <f t="shared" si="1"/>
        <v>0</v>
      </c>
    </row>
    <row r="12" spans="2:12" x14ac:dyDescent="0.25">
      <c r="B12" s="69" t="s">
        <v>109</v>
      </c>
      <c r="C12" s="65">
        <f>Sheet1!D16</f>
        <v>0</v>
      </c>
      <c r="D12" s="65">
        <f>Sheet1!C16</f>
        <v>0</v>
      </c>
      <c r="E12" s="65">
        <f t="shared" si="1"/>
        <v>0</v>
      </c>
    </row>
    <row r="13" spans="2:12" x14ac:dyDescent="0.25">
      <c r="B13" s="69" t="s">
        <v>110</v>
      </c>
      <c r="C13" s="65">
        <f>Sheet1!D17</f>
        <v>0</v>
      </c>
      <c r="D13" s="65">
        <f>Sheet1!C17</f>
        <v>0</v>
      </c>
      <c r="E13" s="65">
        <f t="shared" si="1"/>
        <v>0</v>
      </c>
    </row>
    <row r="14" spans="2:12" x14ac:dyDescent="0.25">
      <c r="B14" s="69" t="s">
        <v>111</v>
      </c>
      <c r="C14" s="65">
        <f>Sheet1!D18</f>
        <v>0</v>
      </c>
      <c r="D14" s="65">
        <f>Sheet1!C18</f>
        <v>0</v>
      </c>
      <c r="E14" s="65">
        <f t="shared" si="1"/>
        <v>0</v>
      </c>
    </row>
    <row r="15" spans="2:12" x14ac:dyDescent="0.25">
      <c r="B15" s="69" t="s">
        <v>112</v>
      </c>
      <c r="C15" s="65">
        <f>Sheet1!D19</f>
        <v>0</v>
      </c>
      <c r="D15" s="65">
        <f>Sheet1!C19</f>
        <v>0</v>
      </c>
      <c r="E15" s="65">
        <f t="shared" si="1"/>
        <v>0</v>
      </c>
    </row>
    <row r="16" spans="2:12" x14ac:dyDescent="0.25">
      <c r="B16" s="69" t="s">
        <v>113</v>
      </c>
      <c r="C16" s="65">
        <f>Sheet1!D20</f>
        <v>0</v>
      </c>
      <c r="D16" s="65">
        <f>Sheet1!C20</f>
        <v>0</v>
      </c>
      <c r="E16" s="65">
        <f t="shared" si="1"/>
        <v>0</v>
      </c>
    </row>
    <row r="17" spans="2:5" x14ac:dyDescent="0.25">
      <c r="B17" s="69" t="s">
        <v>114</v>
      </c>
      <c r="C17" s="65">
        <f>Sheet1!D21</f>
        <v>0</v>
      </c>
      <c r="D17" s="65">
        <f>Sheet1!C21</f>
        <v>0</v>
      </c>
      <c r="E17" s="65">
        <f t="shared" si="1"/>
        <v>0</v>
      </c>
    </row>
    <row r="18" spans="2:5" x14ac:dyDescent="0.25">
      <c r="B18" s="69" t="s">
        <v>115</v>
      </c>
      <c r="C18" s="65">
        <f>Sheet1!D22</f>
        <v>0</v>
      </c>
      <c r="D18" s="65">
        <f>Sheet1!C22</f>
        <v>0</v>
      </c>
      <c r="E18" s="65">
        <f t="shared" si="1"/>
        <v>0</v>
      </c>
    </row>
    <row r="19" spans="2:5" x14ac:dyDescent="0.25">
      <c r="B19" s="69" t="s">
        <v>116</v>
      </c>
      <c r="C19" s="65">
        <f>Sheet1!D23</f>
        <v>0</v>
      </c>
      <c r="D19" s="65">
        <f>Sheet1!C23</f>
        <v>0</v>
      </c>
      <c r="E19" s="65">
        <f t="shared" si="1"/>
        <v>0</v>
      </c>
    </row>
    <row r="20" spans="2:5" x14ac:dyDescent="0.25">
      <c r="B20" s="63" t="s">
        <v>79</v>
      </c>
      <c r="C20" s="66">
        <f>SUM(C3:C19)</f>
        <v>0</v>
      </c>
      <c r="D20" s="66">
        <f>SUM(D3:D19)</f>
        <v>0</v>
      </c>
      <c r="E20" s="66">
        <f>D20-C20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MVP_Nov &amp; Dec Actual</vt:lpstr>
      <vt:lpstr>MP</vt:lpstr>
      <vt:lpstr>'MVP_Nov &amp; Dec Actual'!Insurance__Company_payment</vt:lpstr>
      <vt:lpstr>'MVP_Nov &amp; Dec Actual'!Print_Area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2023-02-17T11:13:54Z</dcterms:modified>
</cp:coreProperties>
</file>