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430"/>
  <workbookPr filterPrivacy="1" defaultThemeVersion="124226"/>
  <xr:revisionPtr revIDLastSave="0" documentId="13_ncr:1_{D06052BA-7A8C-48F1-84E7-95A01EA75713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Sheet1!$A$12:$CX$12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Q13" i="1" l="1"/>
  <c r="P13" i="1"/>
  <c r="BD9" i="1"/>
  <c r="G9" i="1"/>
  <c r="BA12" i="1" l="1"/>
  <c r="BB12" i="1" s="1"/>
  <c r="BC12" i="1" s="1"/>
  <c r="BD12" i="1" s="1"/>
  <c r="BE12" i="1" s="1"/>
  <c r="BF12" i="1" s="1"/>
  <c r="BG12" i="1" s="1"/>
  <c r="AB13" i="1"/>
  <c r="U13" i="1" l="1"/>
  <c r="S13" i="1"/>
  <c r="G13" i="1" l="1"/>
  <c r="BP13" i="1" l="1"/>
  <c r="FH13" i="1" l="1"/>
  <c r="FT13" i="1" l="1"/>
  <c r="EO13" i="1" l="1"/>
  <c r="EP13" i="1" l="1"/>
  <c r="GQ13" i="1" l="1"/>
  <c r="DW12" i="1" l="1"/>
  <c r="DW13" i="1" l="1"/>
  <c r="L13" i="1" l="1"/>
  <c r="O13" i="1" l="1"/>
  <c r="DZ13" i="1" l="1"/>
  <c r="DY13" i="1"/>
  <c r="C12" i="1" l="1"/>
  <c r="D12" i="1" s="1"/>
  <c r="E12" i="1" s="1"/>
  <c r="F12" i="1" s="1"/>
  <c r="G12" i="1" s="1"/>
  <c r="H12" i="1" s="1"/>
  <c r="I12" i="1" s="1"/>
  <c r="J12" i="1" s="1"/>
  <c r="K12" i="1" s="1"/>
  <c r="L12" i="1" s="1"/>
  <c r="M12" i="1" s="1"/>
  <c r="N12" i="1" s="1"/>
  <c r="O12" i="1" s="1"/>
  <c r="P12" i="1" s="1"/>
  <c r="Q12" i="1" s="1"/>
  <c r="R12" i="1" s="1"/>
  <c r="S12" i="1" s="1"/>
  <c r="T12" i="1" s="1"/>
  <c r="U12" i="1" s="1"/>
  <c r="V12" i="1" s="1"/>
  <c r="W12" i="1" s="1"/>
  <c r="X12" i="1" s="1"/>
  <c r="Y12" i="1" s="1"/>
  <c r="Z12" i="1" s="1"/>
  <c r="AB12" i="1" s="1"/>
  <c r="AC12" i="1" s="1"/>
  <c r="AD12" i="1" s="1"/>
  <c r="AE12" i="1" s="1"/>
  <c r="AF12" i="1" s="1"/>
  <c r="AG12" i="1" s="1"/>
  <c r="AH12" i="1" s="1"/>
  <c r="AI12" i="1" s="1"/>
  <c r="AJ12" i="1" s="1"/>
  <c r="AO12" i="1" s="1"/>
  <c r="AP12" i="1" s="1"/>
  <c r="AQ12" i="1" s="1"/>
  <c r="AR12" i="1" s="1"/>
  <c r="AS12" i="1" s="1"/>
  <c r="AK13" i="1" l="1"/>
  <c r="N13" i="1"/>
  <c r="AH13" i="1"/>
  <c r="AJ13" i="1" s="1"/>
  <c r="BG13" i="1" l="1"/>
  <c r="AL13" i="1"/>
  <c r="AU13" i="1" s="1"/>
  <c r="T13" i="1"/>
  <c r="EZ13" i="1"/>
  <c r="CJ13" i="1"/>
  <c r="ES13" i="1"/>
  <c r="FB13" i="1"/>
  <c r="ER13" i="1"/>
  <c r="FA13" i="1"/>
  <c r="EQ13" i="1"/>
  <c r="FJ13" i="1"/>
  <c r="V13" i="1"/>
  <c r="W13" i="1"/>
  <c r="EX13" i="1"/>
  <c r="EY13" i="1"/>
  <c r="EW13" i="1"/>
  <c r="Z13" i="1"/>
  <c r="ET13" i="1"/>
  <c r="EV13" i="1"/>
  <c r="EU13" i="1"/>
  <c r="AT13" i="1"/>
  <c r="AM13" i="1" l="1"/>
  <c r="AV13" i="1" s="1"/>
  <c r="GI13" i="1"/>
  <c r="GA13" i="1"/>
  <c r="FY13" i="1"/>
  <c r="FW13" i="1"/>
  <c r="GM13" i="1"/>
  <c r="FU13" i="1"/>
  <c r="GK13" i="1"/>
  <c r="FS13" i="1"/>
  <c r="GG13" i="1"/>
  <c r="FQ13" i="1"/>
  <c r="GE13" i="1"/>
  <c r="BE13" i="1" s="1"/>
  <c r="FM13" i="1"/>
  <c r="FO13" i="1"/>
  <c r="GC13" i="1"/>
  <c r="AN13" i="1" l="1"/>
  <c r="AW13" i="1" s="1"/>
  <c r="AX13" i="1" s="1"/>
  <c r="BI13" i="1"/>
  <c r="CE13" i="1"/>
  <c r="BO13" i="1"/>
  <c r="BW13" i="1"/>
  <c r="CA13" i="1"/>
  <c r="BQ13" i="1"/>
  <c r="CC13" i="1"/>
  <c r="BM13" i="1"/>
  <c r="CG13" i="1"/>
  <c r="BS13" i="1"/>
  <c r="BY13" i="1"/>
  <c r="CI13" i="1"/>
  <c r="BU13" i="1"/>
  <c r="BK13" i="1"/>
  <c r="R13" i="1" l="1"/>
  <c r="AC13" i="1"/>
  <c r="AO13" i="1" l="1"/>
  <c r="AD13" i="1"/>
  <c r="AF13" i="1"/>
  <c r="AG13" i="1" s="1"/>
  <c r="AR13" i="1" l="1"/>
  <c r="AS13" i="1" s="1"/>
  <c r="AP13" i="1"/>
</calcChain>
</file>

<file path=xl/sharedStrings.xml><?xml version="1.0" encoding="utf-8"?>
<sst xmlns="http://schemas.openxmlformats.org/spreadsheetml/2006/main" count="585" uniqueCount="372">
  <si>
    <t>STT</t>
  </si>
  <si>
    <t>No</t>
  </si>
  <si>
    <t>Employee_ID</t>
  </si>
  <si>
    <t>FullName</t>
  </si>
  <si>
    <t>CD2</t>
  </si>
  <si>
    <t>CD3</t>
  </si>
  <si>
    <t>CD5</t>
  </si>
  <si>
    <t>thc_wt3</t>
  </si>
  <si>
    <t>CD6</t>
  </si>
  <si>
    <t>s1</t>
  </si>
  <si>
    <t>s2</t>
  </si>
  <si>
    <t>s3</t>
  </si>
  <si>
    <t>s4</t>
  </si>
  <si>
    <t>s5</t>
  </si>
  <si>
    <t>s6</t>
  </si>
  <si>
    <t xml:space="preserve">Họ và tên </t>
  </si>
  <si>
    <t>Mã NV</t>
  </si>
  <si>
    <t>Phòng ban</t>
  </si>
  <si>
    <t>Mức lương</t>
  </si>
  <si>
    <t>Lương thời gian</t>
  </si>
  <si>
    <t>Productivity Incentive (Khuyến khích NSLĐ)</t>
  </si>
  <si>
    <t>Work performance allowance
Phụ cấp công việc</t>
  </si>
  <si>
    <t xml:space="preserve">Evaluation criteria </t>
  </si>
  <si>
    <t>Full name</t>
  </si>
  <si>
    <t>Organization</t>
  </si>
  <si>
    <t>Lương 
cơ bản( Basic Salary)</t>
  </si>
  <si>
    <t>Life Allowance (Đời sống)</t>
  </si>
  <si>
    <t>Position (Chức vụ)</t>
  </si>
  <si>
    <t>Long service (Thâm niên)</t>
  </si>
  <si>
    <t>Life allowance 2 OT</t>
  </si>
  <si>
    <t>Total</t>
  </si>
  <si>
    <t>BHTN (Unemployment In) 1%</t>
  </si>
  <si>
    <t>Thuế TNCN (PIT)</t>
  </si>
  <si>
    <t>Số tiền
(Net AMT)</t>
  </si>
  <si>
    <t>Giới tính</t>
  </si>
  <si>
    <t>Giờ công tiêu chuẩn/tháng
Standard working hours/month</t>
  </si>
  <si>
    <t>Đơn giá lương ngày thường đi làm đầy đủ
Workday unit price</t>
  </si>
  <si>
    <t>Chuyên cần
Bonus</t>
  </si>
  <si>
    <t xml:space="preserve">Phụ cấp khác
Other allowances
</t>
  </si>
  <si>
    <t>Mã NV
(Employee ID)</t>
  </si>
  <si>
    <t>Sex</t>
  </si>
  <si>
    <t>Giảm trừ 
gia cảnh
Deduction</t>
  </si>
  <si>
    <t>Các khoản trả thay</t>
  </si>
  <si>
    <t>Thu nhập tính thuế TNCN
Income Tax after đeuction</t>
  </si>
  <si>
    <t>BHXH
 (Social In.) 8%</t>
  </si>
  <si>
    <t>BHYT
 (Health In.) 1.5%</t>
  </si>
  <si>
    <t>Cộng
Total</t>
  </si>
  <si>
    <t>BHXH
 (Social In.) 17,5%</t>
  </si>
  <si>
    <t>BHYT
 (Health In.) 3%</t>
  </si>
  <si>
    <t>Kinh phí công đoàn 2%</t>
  </si>
  <si>
    <t>Hrs</t>
  </si>
  <si>
    <t>PositionNameEN</t>
  </si>
  <si>
    <t>BasicSalary</t>
  </si>
  <si>
    <t>CD7</t>
  </si>
  <si>
    <t>ThuongLamDu</t>
  </si>
  <si>
    <t>NgayCongTieuChuan</t>
  </si>
  <si>
    <t>thc_wt16</t>
  </si>
  <si>
    <t>ctv_wt3</t>
  </si>
  <si>
    <t>ctv_wt16</t>
  </si>
  <si>
    <t>thp_PhepHuongLuong</t>
  </si>
  <si>
    <t>ptv_PhepHuongLuong</t>
  </si>
  <si>
    <t>Gio85</t>
  </si>
  <si>
    <t>Phụ cấp cơ bản</t>
  </si>
  <si>
    <t>Thuế (PIT)</t>
  </si>
  <si>
    <t>Các khoản khấu trừ lương (Deduction)</t>
  </si>
  <si>
    <t>Các khoản trích theo lương Công ty (Company expenses)</t>
  </si>
  <si>
    <t>Over Time</t>
  </si>
  <si>
    <t>Night time - Normal day</t>
  </si>
  <si>
    <t>Over Time - Sunday</t>
  </si>
  <si>
    <t>Over Time - Holiday</t>
  </si>
  <si>
    <t>Công đoàn phí
Union Fee
(Worker pay)</t>
  </si>
  <si>
    <t>thp_PhepNam</t>
  </si>
  <si>
    <t>ptv_PhepNam</t>
  </si>
  <si>
    <t>Tiền Nữ ngày có kinh nghuyệt năm 2021
Female allowance</t>
  </si>
  <si>
    <t>Ngày công tiêu chuẩn</t>
  </si>
  <si>
    <t>Công  ngày 150% - CT</t>
  </si>
  <si>
    <t>Công  ngày 150% - TV</t>
  </si>
  <si>
    <t>Công trừ thứ 7 văn phòng (-150%) - TV</t>
  </si>
  <si>
    <t>Phép hưởng lương - CT</t>
  </si>
  <si>
    <t>Phép hưởng lương - TV</t>
  </si>
  <si>
    <t>Phép năm - CT</t>
  </si>
  <si>
    <t>Phép năm - TV</t>
  </si>
  <si>
    <t>SalaryKey</t>
  </si>
  <si>
    <t>Salary_Month</t>
  </si>
  <si>
    <t>Salary_Year</t>
  </si>
  <si>
    <t>HT1</t>
  </si>
  <si>
    <t>HT2</t>
  </si>
  <si>
    <t>Chính thức</t>
  </si>
  <si>
    <t>Thử việc</t>
  </si>
  <si>
    <t>Ca đêm 100%
Night shift 100%
20:00 -22:00
Chính thức</t>
  </si>
  <si>
    <t>Ca đêm 130%
Night shift 130%
22:00 - 4:00
Chính thức</t>
  </si>
  <si>
    <t>Ca đêm 200%
Night shift 200%
4:00 - 6:00
Chính thức</t>
  </si>
  <si>
    <t>Ca đêm 150%
Nightshift 150%
6:00 - 8:00
Chính thức</t>
  </si>
  <si>
    <t>Normal day
Chính thức</t>
  </si>
  <si>
    <t>Weekly day 200%
20:00 -22:00
Chính thức</t>
  </si>
  <si>
    <t>Weekly day 230% 
22:00 - 4:00
Chính thức</t>
  </si>
  <si>
    <t>Weekly day 270% 
4:00 - 6:00
Chính thức</t>
  </si>
  <si>
    <t>Weekly day 200% 
6:00 - 8:00
Chính thức</t>
  </si>
  <si>
    <t>Holiday 300%
 20:00 - 22:00
06:00 - 08:00
Chính thức</t>
  </si>
  <si>
    <t>Holiday 330%
22:00 - 4:00
Chính thức</t>
  </si>
  <si>
    <t>Holiday 390%
4:00 - 6:00
Chính thức</t>
  </si>
  <si>
    <t>Holiday 300%
8:00-22h
Chính thức</t>
  </si>
  <si>
    <t>CD10</t>
  </si>
  <si>
    <t>PC 
Khuyến khích 
NSLĐ</t>
  </si>
  <si>
    <t>PC
Công việc</t>
  </si>
  <si>
    <t>DependentPerson</t>
  </si>
  <si>
    <t>Người
phụ
thuộc</t>
  </si>
  <si>
    <t>Ngày nghỉ hưởng lương</t>
  </si>
  <si>
    <t>s69</t>
  </si>
  <si>
    <t>s70</t>
  </si>
  <si>
    <t>s80</t>
  </si>
  <si>
    <t>s83</t>
  </si>
  <si>
    <t>s89</t>
  </si>
  <si>
    <t>s92</t>
  </si>
  <si>
    <t>s93</t>
  </si>
  <si>
    <t>s94</t>
  </si>
  <si>
    <t>s95</t>
  </si>
  <si>
    <t>s96</t>
  </si>
  <si>
    <t>s97</t>
  </si>
  <si>
    <t>s98</t>
  </si>
  <si>
    <t>s101</t>
  </si>
  <si>
    <t>s102</t>
  </si>
  <si>
    <t>s103</t>
  </si>
  <si>
    <t>s105</t>
  </si>
  <si>
    <t>s107</t>
  </si>
  <si>
    <t>s108</t>
  </si>
  <si>
    <t>s109</t>
  </si>
  <si>
    <t>s110</t>
  </si>
  <si>
    <t>s111</t>
  </si>
  <si>
    <t>s112</t>
  </si>
  <si>
    <t>s113</t>
  </si>
  <si>
    <t>s114</t>
  </si>
  <si>
    <t>s115</t>
  </si>
  <si>
    <t>s116</t>
  </si>
  <si>
    <t>s117</t>
  </si>
  <si>
    <t>s118</t>
  </si>
  <si>
    <t>s119</t>
  </si>
  <si>
    <t>s120</t>
  </si>
  <si>
    <t>s121</t>
  </si>
  <si>
    <t>PcThamNien</t>
  </si>
  <si>
    <t>FactoryName</t>
  </si>
  <si>
    <t>Factory Name</t>
  </si>
  <si>
    <t>GS</t>
  </si>
  <si>
    <t>Giờ 100</t>
  </si>
  <si>
    <t>Giờ 85</t>
  </si>
  <si>
    <t>Cam kết 02</t>
  </si>
  <si>
    <t>HT3</t>
  </si>
  <si>
    <t>s125</t>
  </si>
  <si>
    <t>s126</t>
  </si>
  <si>
    <t>s127</t>
  </si>
  <si>
    <t>s128</t>
  </si>
  <si>
    <t>s129</t>
  </si>
  <si>
    <t>s130</t>
  </si>
  <si>
    <t>s131</t>
  </si>
  <si>
    <t>HT5</t>
  </si>
  <si>
    <t>Chuyên cần - Thưởng làm đủ</t>
  </si>
  <si>
    <t>Ngày ký HĐ chính thức</t>
  </si>
  <si>
    <t>NgayDauKyLuong</t>
  </si>
  <si>
    <t>Ngày đầu kỳ lương</t>
  </si>
  <si>
    <t>NgayCuoiKyLuong</t>
  </si>
  <si>
    <t>Ngày cuối kỳ lương</t>
  </si>
  <si>
    <t>CD12</t>
  </si>
  <si>
    <t>Lương
Deal 
Chính thức</t>
  </si>
  <si>
    <t>Lương Deal 
Thử việc</t>
  </si>
  <si>
    <t>Phụ cấp khác
Thử việc</t>
  </si>
  <si>
    <t>Phụ cấp 
khác
Chính thức</t>
  </si>
  <si>
    <t>s133</t>
  </si>
  <si>
    <t>s134</t>
  </si>
  <si>
    <t>key</t>
  </si>
  <si>
    <t>Nghỉ không công</t>
  </si>
  <si>
    <t>Ngày 15</t>
  </si>
  <si>
    <t>Tổng thu nhập chịu thuê</t>
  </si>
  <si>
    <t>Số giờ công + phép hưởng lương</t>
  </si>
  <si>
    <t>s141</t>
  </si>
  <si>
    <t>s142</t>
  </si>
  <si>
    <t>s143</t>
  </si>
  <si>
    <t>s144</t>
  </si>
  <si>
    <t>s145</t>
  </si>
  <si>
    <t>s146</t>
  </si>
  <si>
    <t>Điều chỉnh khác có TC tiền công, tiền lương
Other adjustments</t>
  </si>
  <si>
    <t>Điều chỉnh khác không có TC tiền công tiền lương
Other adjustments</t>
  </si>
  <si>
    <t>CÔNG TY TNHH YOUNG DIECASTING VINA</t>
  </si>
  <si>
    <t>Lot CN2, Diem thuy IDZ, Diem Thuy commune, Phú Bình District, Thai Nguyen Province, Viet Nam</t>
  </si>
  <si>
    <t>Học việc</t>
  </si>
  <si>
    <t>Ca đêm 100%
Night shift 100%
20:00 -22:00
Học việc</t>
  </si>
  <si>
    <t>Ca đêm 130%
Night shift 130%
22:00 - 4:00
Học việc</t>
  </si>
  <si>
    <t>Weekly day 200%
20:00 -22:00
Học việc</t>
  </si>
  <si>
    <t>Weekly day 230% 
22:00 - 4:00
Học việc</t>
  </si>
  <si>
    <t>Weekly day 270% 
4:00 - 6:00
Học việc</t>
  </si>
  <si>
    <t>Weekly day 200% 
6:00 - 8:00
Học việc</t>
  </si>
  <si>
    <t>Holiday 300%
 20:00 - 22:00
06:00 - 08:00
Học việc</t>
  </si>
  <si>
    <t>Holiday 330%
22:00 - 4:00
Học việc</t>
  </si>
  <si>
    <t>Holiday 390%
4:00 - 6:00
Học việc</t>
  </si>
  <si>
    <t>Holiday 300%
8:00-22h
Học việc</t>
  </si>
  <si>
    <t>Lương học việc</t>
  </si>
  <si>
    <t>Ca đêm 200%
Night shift 200%
4:00 - 6:00
Học việc</t>
  </si>
  <si>
    <t>Ca đêm 150%
Nightshift 150%
6:00 - 8:00
Học việc</t>
  </si>
  <si>
    <t>Normal day
Học việc</t>
  </si>
  <si>
    <t>chv_wt3</t>
  </si>
  <si>
    <t>chv_wt16</t>
  </si>
  <si>
    <t>phv_PhepHuongLuong</t>
  </si>
  <si>
    <t>phv_PhepNam</t>
  </si>
  <si>
    <t>GioHocViec</t>
  </si>
  <si>
    <t>NgayHetHanHDThuViec</t>
  </si>
  <si>
    <t>Phép hưởng lương - HV</t>
  </si>
  <si>
    <t>Phép năm - HV</t>
  </si>
  <si>
    <t>Giờ học việc</t>
  </si>
  <si>
    <t>chv_wt2</t>
  </si>
  <si>
    <t>chv_wt9</t>
  </si>
  <si>
    <t>chv_wt5</t>
  </si>
  <si>
    <t>Công  ngày 150% - HV</t>
  </si>
  <si>
    <t>Công trừ thứ 7 văn phòng (-150%)-CT</t>
  </si>
  <si>
    <t>Công trừ thứ 7 văn phòng (-150%) - HV</t>
  </si>
  <si>
    <t>chv_wt10</t>
  </si>
  <si>
    <t>chv_wt11</t>
  </si>
  <si>
    <t>chv_wt12</t>
  </si>
  <si>
    <t>chv_wt6</t>
  </si>
  <si>
    <t>chv_wt13</t>
  </si>
  <si>
    <t>chv_wt4</t>
  </si>
  <si>
    <t>chv_wt15</t>
  </si>
  <si>
    <t>chv_wt14</t>
  </si>
  <si>
    <t>chv_wt8</t>
  </si>
  <si>
    <t>chv_wt7</t>
  </si>
  <si>
    <t>Thu nhập chịu thuế TNCN
Income Tax
học việc</t>
  </si>
  <si>
    <t xml:space="preserve">Tổng thu nhập bao gồm chính thức - học việc - thử việc
Total income </t>
  </si>
  <si>
    <t>Thuế TNCN (PIT) 
học việc</t>
  </si>
  <si>
    <t>s147</t>
  </si>
  <si>
    <t>s148</t>
  </si>
  <si>
    <t>s149</t>
  </si>
  <si>
    <t>s150</t>
  </si>
  <si>
    <t>s151</t>
  </si>
  <si>
    <t>s152</t>
  </si>
  <si>
    <t>s153</t>
  </si>
  <si>
    <t>s154</t>
  </si>
  <si>
    <t>s155</t>
  </si>
  <si>
    <t>s156</t>
  </si>
  <si>
    <t>s157</t>
  </si>
  <si>
    <t>s158</t>
  </si>
  <si>
    <t>s159</t>
  </si>
  <si>
    <t>s160</t>
  </si>
  <si>
    <t>s161</t>
  </si>
  <si>
    <t>s162</t>
  </si>
  <si>
    <t>s163</t>
  </si>
  <si>
    <t>s164</t>
  </si>
  <si>
    <t>s165</t>
  </si>
  <si>
    <t>s166</t>
  </si>
  <si>
    <t>s167</t>
  </si>
  <si>
    <t>s168</t>
  </si>
  <si>
    <t>s169</t>
  </si>
  <si>
    <t>s170</t>
  </si>
  <si>
    <t>s171</t>
  </si>
  <si>
    <t>s172</t>
  </si>
  <si>
    <t>s173</t>
  </si>
  <si>
    <t>s174</t>
  </si>
  <si>
    <t>s175</t>
  </si>
  <si>
    <t>s176</t>
  </si>
  <si>
    <t>s177</t>
  </si>
  <si>
    <t>s178</t>
  </si>
  <si>
    <t>s179</t>
  </si>
  <si>
    <t>s180</t>
  </si>
  <si>
    <t>s181</t>
  </si>
  <si>
    <t>s182</t>
  </si>
  <si>
    <t>s183</t>
  </si>
  <si>
    <t>s184</t>
  </si>
  <si>
    <t>s185</t>
  </si>
  <si>
    <t>s186</t>
  </si>
  <si>
    <t>s187</t>
  </si>
  <si>
    <t>s188</t>
  </si>
  <si>
    <t>s189</t>
  </si>
  <si>
    <t>s190</t>
  </si>
  <si>
    <t>s191</t>
  </si>
  <si>
    <t>s192</t>
  </si>
  <si>
    <t>s193</t>
  </si>
  <si>
    <t>CD13</t>
  </si>
  <si>
    <t>Phụ cấp thâm niên - Phần mềm</t>
  </si>
  <si>
    <t>Phụ cấp thâm niên nhập</t>
  </si>
  <si>
    <t>Weekly day 200% 
8:00-20h
Chính thức</t>
  </si>
  <si>
    <t>Weekly day 200% 
8:00-20h
Học việc</t>
  </si>
  <si>
    <t>Chính thức - cũ</t>
  </si>
  <si>
    <t>Lương Combo
Chính thức</t>
  </si>
  <si>
    <t>Lương Combo Thử việc</t>
  </si>
  <si>
    <t>CD17</t>
  </si>
  <si>
    <t>Công  ngày 150% - CT cũ</t>
  </si>
  <si>
    <t>Công trừ thứ 7 văn phòng (-150%)-CT cũ</t>
  </si>
  <si>
    <t>cttc_wt3</t>
  </si>
  <si>
    <t>cttc_wt16</t>
  </si>
  <si>
    <t>pttc_PhepHuongLuong</t>
  </si>
  <si>
    <t>Phép hưởng lương - CT cũ</t>
  </si>
  <si>
    <t>pttc_PhepNam</t>
  </si>
  <si>
    <t>Phép năm - CT cũ</t>
  </si>
  <si>
    <t>NgayChuyenLuong</t>
  </si>
  <si>
    <t>Ngày chuyển lương</t>
  </si>
  <si>
    <t>Phụ cấp cơ bản - cũ</t>
  </si>
  <si>
    <t>Life Allowance (Đời sống) cũ</t>
  </si>
  <si>
    <t>Position (Chức vụ) cũ</t>
  </si>
  <si>
    <t>Long service (Thâm niên) cũ</t>
  </si>
  <si>
    <t>Life allowance 2 OT cũ</t>
  </si>
  <si>
    <t>CDDT2</t>
  </si>
  <si>
    <t>CDDT3</t>
  </si>
  <si>
    <t>CDDT5</t>
  </si>
  <si>
    <t>Giờ 100 cũ</t>
  </si>
  <si>
    <t>Gio100CT</t>
  </si>
  <si>
    <t>Gio100CTDT</t>
  </si>
  <si>
    <t>CDDT1</t>
  </si>
  <si>
    <t>Đơn giá lương ngày thường đi làm đầy đủ
CT - cũ</t>
  </si>
  <si>
    <t>Lương thời gian CT - cũ</t>
  </si>
  <si>
    <t>Over Time CT - cũ</t>
  </si>
  <si>
    <t>OT - Sunday - CT cũ</t>
  </si>
  <si>
    <t>OT - Holiday - CT cũ</t>
  </si>
  <si>
    <t>Khuyến khích NSLĐ
CT - cũ</t>
  </si>
  <si>
    <t>Phụ cấp công việc CT - cũ</t>
  </si>
  <si>
    <t>Phụ cấp khác
CT - cũ</t>
  </si>
  <si>
    <t xml:space="preserve">Night time - Normal day </t>
  </si>
  <si>
    <t>cttc_wt2</t>
  </si>
  <si>
    <t>cttc_wt9</t>
  </si>
  <si>
    <t>cttc_wt5</t>
  </si>
  <si>
    <t>cttc_wt10</t>
  </si>
  <si>
    <t>cttc_wt11</t>
  </si>
  <si>
    <t>cttc_wt12</t>
  </si>
  <si>
    <t>cttc_wt6</t>
  </si>
  <si>
    <t>cttc_wt13</t>
  </si>
  <si>
    <t>cttc_wt4</t>
  </si>
  <si>
    <t>cttc_wt15</t>
  </si>
  <si>
    <t>cttc_wt14</t>
  </si>
  <si>
    <t>cttc_wt8</t>
  </si>
  <si>
    <t>cttc_wt7</t>
  </si>
  <si>
    <t>Lương Combo
Chính thức
Cũ</t>
  </si>
  <si>
    <t>CDDT6</t>
  </si>
  <si>
    <t>CDDT7</t>
  </si>
  <si>
    <t>Lương deal
CT - cũ</t>
  </si>
  <si>
    <t>CDDT10</t>
  </si>
  <si>
    <t>NgayKyHDChinhThuc</t>
  </si>
  <si>
    <t>Ngày hết hạn hợp đồng thử việc</t>
  </si>
  <si>
    <t>Công trừ đêm thứ 7 công nhân CT</t>
  </si>
  <si>
    <t>Công trừ đêm thứ 7 công nhân CT cũ</t>
  </si>
  <si>
    <t>Công trừ đêm thứ 7 công nhân HV</t>
  </si>
  <si>
    <t>Công trừ đêm thứ 7 công nhân TV</t>
  </si>
  <si>
    <t>thc_wt17</t>
  </si>
  <si>
    <t>cttc_wt17</t>
  </si>
  <si>
    <t>chv_wt17</t>
  </si>
  <si>
    <t>ctv_wt17</t>
  </si>
  <si>
    <t>s194</t>
  </si>
  <si>
    <t>s195</t>
  </si>
  <si>
    <t>s196</t>
  </si>
  <si>
    <t>s197</t>
  </si>
  <si>
    <t>PhepNamConLaiDenHienTai</t>
  </si>
  <si>
    <t>Phép năm tồn còn lại đến hiện tại</t>
  </si>
  <si>
    <t>s198</t>
  </si>
  <si>
    <t>Tháng 5</t>
  </si>
  <si>
    <t>Covid</t>
  </si>
  <si>
    <t>Nghỉ covid theo công ty</t>
  </si>
  <si>
    <t>Nghỉ covid theo địa phương</t>
  </si>
  <si>
    <t>thp_NghiDichTheoCongTy</t>
  </si>
  <si>
    <t>thp_NghiDichTheoDiaPhuong</t>
  </si>
  <si>
    <t>ptv_NghiDichTheoCongTy</t>
  </si>
  <si>
    <t>ptv_NghiDichTheoDiaPhuong</t>
  </si>
  <si>
    <t>phv_NghiDichTheoCongTy</t>
  </si>
  <si>
    <t>phv_NghiDichTheoDiaPhuong</t>
  </si>
  <si>
    <t>LuongToiThieuVung</t>
  </si>
  <si>
    <t>Lương tối thiểu vùng</t>
  </si>
  <si>
    <t>s203</t>
  </si>
  <si>
    <t>pttc_NghiDichTheoCongTy</t>
  </si>
  <si>
    <t>pttc_NghiDichTheoDiaPhuong</t>
  </si>
  <si>
    <t>CD19</t>
  </si>
  <si>
    <t>Total OT</t>
  </si>
  <si>
    <t>Phép sử dụng</t>
  </si>
  <si>
    <t>CDDT17</t>
  </si>
  <si>
    <t>Bonus
Thưởng</t>
  </si>
  <si>
    <t>s199</t>
  </si>
  <si>
    <t>HT11</t>
  </si>
  <si>
    <t>NgayTinhLuongTangCa</t>
  </si>
  <si>
    <t>Ngày Tính Lương Tăng 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</si>
</sst>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#,##0.0"/>
  </numFmts>
  <fonts count="1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  <font>
      <b/>
      <sz val="20"/>
      <color theme="1"/>
      <name val="Times New Roman"/>
      <family val="1"/>
    </font>
    <font>
      <u/>
      <sz val="10"/>
      <color indexed="36"/>
      <name val="Arial"/>
      <family val="2"/>
    </font>
    <font>
      <b/>
      <sz val="8"/>
      <name val="Times New Roman"/>
      <family val="1"/>
    </font>
    <font>
      <sz val="8"/>
      <color theme="1"/>
      <name val="Times New Roman"/>
      <family val="1"/>
    </font>
    <font>
      <b/>
      <sz val="8"/>
      <color theme="1"/>
      <name val="Times New Roman"/>
      <family val="1"/>
    </font>
    <font>
      <b/>
      <sz val="10"/>
      <color theme="1"/>
      <name val="Times New Roman"/>
      <family val="1"/>
    </font>
    <font>
      <b/>
      <i/>
      <sz val="10"/>
      <name val="Times New Roman"/>
      <family val="1"/>
    </font>
    <font>
      <b/>
      <i/>
      <sz val="1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B2B2B2"/>
        <bgColor indexed="64"/>
      </patternFill>
    </fill>
    <fill>
      <patternFill patternType="solid">
        <fgColor theme="7" tint="0.79998168889431442"/>
        <bgColor indexed="64"/>
      </patternFill>
    </fill>
  </fills>
  <borders count="1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/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/>
      <top style="double">
        <color auto="1"/>
      </top>
      <bottom style="thin">
        <color auto="1"/>
      </bottom>
      <diagonal/>
    </border>
    <border>
      <left/>
      <right/>
      <top style="double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double">
        <color auto="1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/>
      <bottom/>
      <diagonal/>
    </border>
    <border>
      <left style="double">
        <color auto="1"/>
      </left>
      <right/>
      <top style="double">
        <color auto="1"/>
      </top>
      <bottom style="thin">
        <color auto="1"/>
      </bottom>
      <diagonal/>
    </border>
    <border>
      <left style="double">
        <color auto="1"/>
      </left>
      <right/>
      <top style="thin">
        <color auto="1"/>
      </top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/>
      <bottom style="double">
        <color auto="1"/>
      </bottom>
      <diagonal/>
    </border>
  </borders>
  <cellStyleXfs count="5">
    <xf numFmtId="0" fontId="0" fillId="0" borderId="0"/>
    <xf numFmtId="43" fontId="1" fillId="0" borderId="0" applyFont="0" applyFill="0" applyBorder="0" applyAlignment="0" applyProtection="0"/>
    <xf numFmtId="0" fontId="5" fillId="0" borderId="0" applyFont="0">
      <alignment vertical="top"/>
      <protection locked="0"/>
    </xf>
    <xf numFmtId="9" fontId="1" fillId="0" borderId="0" applyFont="0" applyFill="0" applyBorder="0" applyAlignment="0" applyProtection="0"/>
    <xf numFmtId="0" fontId="3" fillId="0" borderId="0"/>
  </cellStyleXfs>
  <cellXfs count="83">
    <xf numFmtId="0" fontId="0" fillId="0" borderId="0" xfId="0"/>
    <xf numFmtId="0" fontId="6" fillId="2" borderId="5" xfId="2" applyNumberFormat="1" applyFont="1" applyFill="1" applyBorder="1" applyAlignment="1" applyProtection="1">
      <alignment horizontal="center" vertical="center" wrapText="1"/>
    </xf>
    <xf numFmtId="0" fontId="6" fillId="2" borderId="2" xfId="2" applyNumberFormat="1" applyFont="1" applyFill="1" applyBorder="1" applyAlignment="1" applyProtection="1">
      <alignment horizontal="center" vertical="center" wrapText="1"/>
    </xf>
    <xf numFmtId="0" fontId="2" fillId="0" borderId="0" xfId="1" applyNumberFormat="1" applyFont="1" applyBorder="1" applyAlignment="1">
      <alignment vertical="center"/>
    </xf>
    <xf numFmtId="0" fontId="4" fillId="0" borderId="17" xfId="1" applyNumberFormat="1" applyFont="1" applyBorder="1" applyAlignment="1">
      <alignment vertical="center"/>
    </xf>
    <xf numFmtId="0" fontId="7" fillId="0" borderId="0" xfId="0" applyNumberFormat="1" applyFont="1" applyFill="1" applyBorder="1" applyProtection="1"/>
    <xf numFmtId="0" fontId="7" fillId="0" borderId="0" xfId="1" applyNumberFormat="1" applyFont="1" applyFill="1" applyBorder="1" applyAlignment="1" applyProtection="1">
      <alignment horizontal="center" vertical="center"/>
    </xf>
    <xf numFmtId="0" fontId="7" fillId="0" borderId="0" xfId="0" applyNumberFormat="1" applyFont="1" applyAlignment="1">
      <alignment horizontal="center"/>
    </xf>
    <xf numFmtId="0" fontId="7" fillId="0" borderId="0" xfId="1" applyNumberFormat="1" applyFont="1" applyFill="1" applyBorder="1" applyAlignment="1" applyProtection="1">
      <alignment horizontal="left" vertical="center"/>
    </xf>
    <xf numFmtId="0" fontId="7" fillId="0" borderId="0" xfId="0" applyFont="1"/>
    <xf numFmtId="0" fontId="8" fillId="0" borderId="0" xfId="1" applyNumberFormat="1" applyFont="1" applyAlignment="1">
      <alignment horizontal="center" vertical="center"/>
    </xf>
    <xf numFmtId="0" fontId="8" fillId="0" borderId="0" xfId="1" applyNumberFormat="1" applyFont="1" applyAlignment="1">
      <alignment horizontal="left" vertical="center"/>
    </xf>
    <xf numFmtId="0" fontId="7" fillId="0" borderId="0" xfId="1" applyNumberFormat="1" applyFont="1" applyAlignment="1">
      <alignment horizontal="center" vertical="center"/>
    </xf>
    <xf numFmtId="0" fontId="7" fillId="0" borderId="0" xfId="1" applyNumberFormat="1" applyFont="1" applyAlignment="1">
      <alignment vertical="center"/>
    </xf>
    <xf numFmtId="0" fontId="7" fillId="0" borderId="0" xfId="0" applyNumberFormat="1" applyFont="1"/>
    <xf numFmtId="0" fontId="7" fillId="0" borderId="0" xfId="0" applyNumberFormat="1" applyFont="1" applyFill="1" applyBorder="1" applyAlignment="1" applyProtection="1">
      <alignment horizontal="center"/>
    </xf>
    <xf numFmtId="0" fontId="7" fillId="0" borderId="0" xfId="1" applyNumberFormat="1" applyFont="1" applyFill="1" applyBorder="1" applyAlignment="1" applyProtection="1">
      <alignment vertical="center"/>
    </xf>
    <xf numFmtId="0" fontId="7" fillId="0" borderId="0" xfId="0" applyNumberFormat="1" applyFont="1" applyAlignment="1"/>
    <xf numFmtId="3" fontId="7" fillId="0" borderId="0" xfId="0" applyNumberFormat="1" applyFont="1" applyAlignment="1"/>
    <xf numFmtId="0" fontId="6" fillId="2" borderId="13" xfId="2" applyNumberFormat="1" applyFont="1" applyFill="1" applyBorder="1" applyAlignment="1" applyProtection="1">
      <alignment horizontal="center" vertical="center" wrapText="1"/>
    </xf>
    <xf numFmtId="0" fontId="6" fillId="2" borderId="6" xfId="2" applyNumberFormat="1" applyFont="1" applyFill="1" applyBorder="1" applyAlignment="1" applyProtection="1">
      <alignment horizontal="center" vertical="center" wrapText="1"/>
    </xf>
    <xf numFmtId="0" fontId="6" fillId="2" borderId="1" xfId="2" applyNumberFormat="1" applyFont="1" applyFill="1" applyBorder="1" applyAlignment="1" applyProtection="1">
      <alignment horizontal="center" vertical="center"/>
    </xf>
    <xf numFmtId="0" fontId="6" fillId="2" borderId="2" xfId="2" applyNumberFormat="1" applyFont="1" applyFill="1" applyBorder="1" applyAlignment="1" applyProtection="1">
      <alignment horizontal="center" vertical="center"/>
    </xf>
    <xf numFmtId="0" fontId="6" fillId="2" borderId="10" xfId="2" applyNumberFormat="1" applyFont="1" applyFill="1" applyBorder="1" applyAlignment="1" applyProtection="1">
      <alignment horizontal="center" vertical="center" wrapText="1"/>
    </xf>
    <xf numFmtId="0" fontId="6" fillId="3" borderId="2" xfId="2" applyNumberFormat="1" applyFont="1" applyFill="1" applyBorder="1" applyAlignment="1" applyProtection="1">
      <alignment horizontal="center" vertical="center" wrapText="1"/>
    </xf>
    <xf numFmtId="0" fontId="6" fillId="2" borderId="2" xfId="1" applyNumberFormat="1" applyFont="1" applyFill="1" applyBorder="1" applyAlignment="1" applyProtection="1">
      <alignment horizontal="center" vertical="center" wrapText="1"/>
    </xf>
    <xf numFmtId="0" fontId="6" fillId="2" borderId="1" xfId="2" applyNumberFormat="1" applyFont="1" applyFill="1" applyBorder="1" applyAlignment="1" applyProtection="1">
      <alignment horizontal="center" vertical="center" wrapText="1"/>
    </xf>
    <xf numFmtId="0" fontId="6" fillId="2" borderId="1" xfId="2" quotePrefix="1" applyNumberFormat="1" applyFont="1" applyFill="1" applyBorder="1" applyAlignment="1" applyProtection="1">
      <alignment horizontal="center" vertical="center"/>
    </xf>
    <xf numFmtId="9" fontId="6" fillId="2" borderId="1" xfId="2" quotePrefix="1" applyNumberFormat="1" applyFont="1" applyFill="1" applyBorder="1" applyAlignment="1" applyProtection="1">
      <alignment horizontal="center" vertical="center"/>
    </xf>
    <xf numFmtId="10" fontId="6" fillId="2" borderId="1" xfId="2" quotePrefix="1" applyNumberFormat="1" applyFont="1" applyFill="1" applyBorder="1" applyAlignment="1" applyProtection="1">
      <alignment horizontal="center" vertical="center"/>
    </xf>
    <xf numFmtId="0" fontId="6" fillId="2" borderId="1" xfId="3" applyNumberFormat="1" applyFont="1" applyFill="1" applyBorder="1" applyAlignment="1" applyProtection="1">
      <alignment horizontal="center" vertical="center" wrapText="1"/>
    </xf>
    <xf numFmtId="0" fontId="6" fillId="2" borderId="1" xfId="3" applyNumberFormat="1" applyFont="1" applyFill="1" applyBorder="1" applyAlignment="1" applyProtection="1">
      <alignment horizontal="center" vertical="center"/>
    </xf>
    <xf numFmtId="0" fontId="7" fillId="0" borderId="1" xfId="0" applyNumberFormat="1" applyFont="1" applyBorder="1" applyAlignment="1">
      <alignment horizontal="center"/>
    </xf>
    <xf numFmtId="0" fontId="7" fillId="0" borderId="1" xfId="0" applyNumberFormat="1" applyFont="1" applyBorder="1"/>
    <xf numFmtId="3" fontId="7" fillId="0" borderId="1" xfId="0" applyNumberFormat="1" applyFont="1" applyBorder="1" applyAlignment="1"/>
    <xf numFmtId="0" fontId="7" fillId="0" borderId="1" xfId="0" applyNumberFormat="1" applyFont="1" applyBorder="1" applyAlignment="1"/>
    <xf numFmtId="164" fontId="7" fillId="0" borderId="1" xfId="0" applyNumberFormat="1" applyFont="1" applyBorder="1" applyAlignment="1"/>
    <xf numFmtId="0" fontId="7" fillId="0" borderId="0" xfId="0" applyFont="1" applyAlignment="1">
      <alignment horizontal="center"/>
    </xf>
    <xf numFmtId="0" fontId="8" fillId="0" borderId="0" xfId="1" applyNumberFormat="1" applyFont="1" applyBorder="1" applyAlignment="1">
      <alignment vertical="center" wrapText="1"/>
    </xf>
    <xf numFmtId="0" fontId="7" fillId="0" borderId="0" xfId="1" applyNumberFormat="1" applyFont="1" applyBorder="1" applyAlignment="1">
      <alignment vertical="center" wrapText="1"/>
    </xf>
    <xf numFmtId="0" fontId="7" fillId="0" borderId="0" xfId="1" applyNumberFormat="1" applyFont="1" applyFill="1" applyBorder="1" applyAlignment="1">
      <alignment vertical="center" wrapText="1"/>
    </xf>
    <xf numFmtId="0" fontId="7" fillId="0" borderId="0" xfId="1" applyNumberFormat="1" applyFont="1" applyFill="1" applyAlignment="1">
      <alignment vertical="center"/>
    </xf>
    <xf numFmtId="0" fontId="8" fillId="0" borderId="0" xfId="1" applyNumberFormat="1" applyFont="1" applyFill="1" applyBorder="1" applyAlignment="1">
      <alignment vertical="center" wrapText="1"/>
    </xf>
    <xf numFmtId="0" fontId="8" fillId="0" borderId="0" xfId="1" applyNumberFormat="1" applyFont="1" applyAlignment="1">
      <alignment vertical="center"/>
    </xf>
    <xf numFmtId="0" fontId="8" fillId="0" borderId="17" xfId="1" applyNumberFormat="1" applyFont="1" applyBorder="1" applyAlignment="1">
      <alignment vertical="center"/>
    </xf>
    <xf numFmtId="0" fontId="7" fillId="0" borderId="0" xfId="0" applyFont="1" applyAlignment="1">
      <alignment horizontal="center" vertical="center" wrapText="1"/>
    </xf>
    <xf numFmtId="0" fontId="7" fillId="0" borderId="0" xfId="0" applyNumberFormat="1" applyFont="1" applyAlignment="1">
      <alignment horizontal="center" vertical="center" wrapText="1"/>
    </xf>
    <xf numFmtId="0" fontId="8" fillId="0" borderId="0" xfId="0" applyNumberFormat="1" applyFont="1" applyAlignment="1">
      <alignment horizontal="center" vertical="center" wrapText="1"/>
    </xf>
    <xf numFmtId="0" fontId="6" fillId="2" borderId="12" xfId="2" applyNumberFormat="1" applyFont="1" applyFill="1" applyBorder="1" applyAlignment="1" applyProtection="1">
      <alignment horizontal="center" vertical="center" wrapText="1"/>
    </xf>
    <xf numFmtId="0" fontId="6" fillId="2" borderId="0" xfId="2" applyNumberFormat="1" applyFont="1" applyFill="1" applyBorder="1" applyAlignment="1" applyProtection="1">
      <alignment horizontal="center" vertical="center" wrapText="1"/>
    </xf>
    <xf numFmtId="0" fontId="7" fillId="0" borderId="0" xfId="4" applyNumberFormat="1" applyFont="1" applyAlignment="1">
      <alignment horizontal="center" vertical="center" wrapText="1"/>
    </xf>
    <xf numFmtId="0" fontId="7" fillId="0" borderId="0" xfId="0" applyNumberFormat="1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7" fillId="0" borderId="0" xfId="0" applyNumberFormat="1" applyFont="1" applyAlignment="1">
      <alignment horizontal="center" wrapText="1"/>
    </xf>
    <xf numFmtId="14" fontId="7" fillId="0" borderId="0" xfId="0" applyNumberFormat="1" applyFont="1"/>
    <xf numFmtId="10" fontId="6" fillId="2" borderId="1" xfId="3" applyNumberFormat="1" applyFont="1" applyFill="1" applyBorder="1" applyAlignment="1" applyProtection="1">
      <alignment horizontal="center" vertical="center"/>
    </xf>
    <xf numFmtId="3" fontId="7" fillId="0" borderId="0" xfId="0" applyNumberFormat="1" applyFont="1"/>
    <xf numFmtId="3" fontId="7" fillId="0" borderId="0" xfId="0" applyNumberFormat="1" applyFont="1" applyAlignment="1">
      <alignment horizontal="center"/>
    </xf>
    <xf numFmtId="164" fontId="7" fillId="0" borderId="0" xfId="0" applyNumberFormat="1" applyFont="1" applyAlignment="1"/>
    <xf numFmtId="0" fontId="7" fillId="0" borderId="0" xfId="0" applyFont="1" applyAlignment="1"/>
    <xf numFmtId="0" fontId="9" fillId="0" borderId="0" xfId="1" applyNumberFormat="1" applyFont="1" applyBorder="1" applyAlignment="1">
      <alignment vertical="center"/>
    </xf>
    <xf numFmtId="0" fontId="10" fillId="0" borderId="0" xfId="0" applyNumberFormat="1" applyFont="1" applyAlignment="1">
      <alignment horizontal="left" vertical="center"/>
    </xf>
    <xf numFmtId="0" fontId="11" fillId="0" borderId="0" xfId="0" applyNumberFormat="1" applyFont="1" applyAlignment="1">
      <alignment horizontal="left" vertical="center"/>
    </xf>
    <xf numFmtId="0" fontId="6" fillId="2" borderId="14" xfId="2" applyNumberFormat="1" applyFont="1" applyFill="1" applyBorder="1" applyAlignment="1" applyProtection="1">
      <alignment horizontal="center" vertical="center" wrapText="1"/>
    </xf>
    <xf numFmtId="0" fontId="7" fillId="0" borderId="0" xfId="0" applyFont="1" applyAlignment="1">
      <alignment horizontal="center" vertical="center" wrapText="1"/>
    </xf>
    <xf numFmtId="0" fontId="6" fillId="2" borderId="9" xfId="2" applyNumberFormat="1" applyFont="1" applyFill="1" applyBorder="1" applyAlignment="1" applyProtection="1">
      <alignment horizontal="center" vertical="center" wrapText="1"/>
    </xf>
    <xf numFmtId="0" fontId="6" fillId="2" borderId="4" xfId="2" applyNumberFormat="1" applyFont="1" applyFill="1" applyBorder="1" applyAlignment="1" applyProtection="1">
      <alignment horizontal="center" vertical="center" wrapText="1"/>
    </xf>
    <xf numFmtId="0" fontId="6" fillId="2" borderId="7" xfId="2" applyNumberFormat="1" applyFont="1" applyFill="1" applyBorder="1" applyAlignment="1" applyProtection="1">
      <alignment horizontal="center" vertical="center" wrapText="1"/>
    </xf>
    <xf numFmtId="0" fontId="6" fillId="2" borderId="8" xfId="2" applyNumberFormat="1" applyFont="1" applyFill="1" applyBorder="1" applyAlignment="1" applyProtection="1">
      <alignment horizontal="center" vertical="center" wrapText="1"/>
    </xf>
    <xf numFmtId="0" fontId="6" fillId="2" borderId="6" xfId="2" applyNumberFormat="1" applyFont="1" applyFill="1" applyBorder="1" applyAlignment="1" applyProtection="1">
      <alignment horizontal="center" vertical="center" wrapText="1"/>
    </xf>
    <xf numFmtId="0" fontId="6" fillId="3" borderId="11" xfId="2" applyNumberFormat="1" applyFont="1" applyFill="1" applyBorder="1" applyAlignment="1" applyProtection="1">
      <alignment horizontal="center" vertical="center" wrapText="1"/>
    </xf>
    <xf numFmtId="0" fontId="6" fillId="3" borderId="3" xfId="2" applyNumberFormat="1" applyFont="1" applyFill="1" applyBorder="1" applyAlignment="1" applyProtection="1">
      <alignment horizontal="center" vertical="center" wrapText="1"/>
    </xf>
    <xf numFmtId="0" fontId="6" fillId="3" borderId="9" xfId="2" applyNumberFormat="1" applyFont="1" applyFill="1" applyBorder="1" applyAlignment="1" applyProtection="1">
      <alignment horizontal="center" vertical="center" wrapText="1"/>
    </xf>
    <xf numFmtId="0" fontId="6" fillId="3" borderId="4" xfId="2" applyNumberFormat="1" applyFont="1" applyFill="1" applyBorder="1" applyAlignment="1" applyProtection="1">
      <alignment horizontal="center" vertical="center" wrapText="1"/>
    </xf>
    <xf numFmtId="0" fontId="8" fillId="2" borderId="7" xfId="4" applyNumberFormat="1" applyFont="1" applyFill="1" applyBorder="1" applyAlignment="1">
      <alignment horizontal="center"/>
    </xf>
    <xf numFmtId="0" fontId="8" fillId="2" borderId="8" xfId="4" applyNumberFormat="1" applyFont="1" applyFill="1" applyBorder="1" applyAlignment="1">
      <alignment horizontal="center"/>
    </xf>
    <xf numFmtId="0" fontId="8" fillId="2" borderId="6" xfId="4" applyNumberFormat="1" applyFont="1" applyFill="1" applyBorder="1" applyAlignment="1">
      <alignment horizontal="center"/>
    </xf>
    <xf numFmtId="0" fontId="6" fillId="2" borderId="16" xfId="2" applyNumberFormat="1" applyFont="1" applyFill="1" applyBorder="1" applyAlignment="1" applyProtection="1">
      <alignment horizontal="center" vertical="center" wrapText="1"/>
    </xf>
    <xf numFmtId="0" fontId="7" fillId="0" borderId="12" xfId="0" applyFont="1" applyBorder="1" applyAlignment="1">
      <alignment horizontal="center" vertical="center" wrapText="1"/>
    </xf>
    <xf numFmtId="0" fontId="6" fillId="2" borderId="11" xfId="2" applyNumberFormat="1" applyFont="1" applyFill="1" applyBorder="1" applyAlignment="1" applyProtection="1">
      <alignment horizontal="center" vertical="center" wrapText="1"/>
    </xf>
    <xf numFmtId="0" fontId="6" fillId="2" borderId="3" xfId="2" applyNumberFormat="1" applyFont="1" applyFill="1" applyBorder="1" applyAlignment="1" applyProtection="1">
      <alignment horizontal="center" vertical="center" wrapText="1"/>
    </xf>
    <xf numFmtId="0" fontId="7" fillId="0" borderId="15" xfId="0" applyFont="1" applyBorder="1" applyAlignment="1">
      <alignment horizontal="center" vertical="center" wrapText="1"/>
    </xf>
    <xf numFmtId="0" fontId="7" fillId="0" borderId="0" xfId="0" applyNumberFormat="1" applyFont="1" applyAlignment="1">
      <alignment horizontal="center" vertical="center"/>
    </xf>
  </cellXfs>
  <cellStyles count="5">
    <cellStyle name="Comma" xfId="1" builtinId="3"/>
    <cellStyle name="Followed Hyperlink" xfId="2" builtinId="9"/>
    <cellStyle name="Normal" xfId="0" builtinId="0"/>
    <cellStyle name="Normal 3" xfId="4" xr:uid="{00000000-0005-0000-0000-000003000000}"/>
    <cellStyle name="Percent" xfId="3" builtinId="5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Medium9"/>
  <colors>
    <mruColors>
      <color rgb="FFB2B2B2"/>
      <color rgb="FFEAEAEA"/>
      <color rgb="FFC0C0C0"/>
      <color rgb="FF96969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212912</xdr:colOff>
      <xdr:row>0</xdr:row>
      <xdr:rowOff>79563</xdr:rowOff>
    </xdr:from>
    <xdr:to>
      <xdr:col>4</xdr:col>
      <xdr:colOff>778048</xdr:colOff>
      <xdr:row>8</xdr:row>
      <xdr:rowOff>19612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12912" y="79563"/>
          <a:ext cx="1618489" cy="780490"/>
        </a:xfrm>
        <a:prstGeom prst="rect">
          <a:avLst/>
        </a:prstGeom>
      </xdr:spPr>
    </xdr:pic>
    <xdr:clientData/>
  </xdr:twoCellAnchor>
  <xdr:oneCellAnchor>
    <xdr:from>
      <xdr:col>51</xdr:col>
      <xdr:colOff>264460</xdr:colOff>
      <xdr:row>0</xdr:row>
      <xdr:rowOff>180416</xdr:rowOff>
    </xdr:from>
    <xdr:ext cx="1611765" cy="780490"/>
    <xdr:pic>
      <xdr:nvPicPr>
        <xdr:cNvPr id="3" name="Picture 2">
          <a:extLst>
            <a:ext uri="{FF2B5EF4-FFF2-40B4-BE49-F238E27FC236}">
              <a16:creationId xmlns:a16="http://schemas.microsoft.com/office/drawing/2014/main" id="{66EE05F7-244D-49E6-9975-5DDB84D97E9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3202901" y="180416"/>
          <a:ext cx="1611765" cy="78049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R13"/>
  <sheetViews>
    <sheetView showZeros="0" tabSelected="1" topLeftCell="B1" zoomScale="85" zoomScaleNormal="85" workbookViewId="0">
      <selection activeCell="Q13" sqref="Q13"/>
    </sheetView>
  </sheetViews>
  <sheetFormatPr defaultRowHeight="11.25" x14ac:dyDescent="0.2"/>
  <cols>
    <col min="1" max="1" width="9.140625" style="9" hidden="1" customWidth="1"/>
    <col min="2" max="2" width="5" style="37" customWidth="1"/>
    <col min="3" max="3" width="3.5703125" style="37" customWidth="1"/>
    <col min="4" max="4" width="7.28515625" style="37" customWidth="1"/>
    <col min="5" max="5" width="15.28515625" style="9" customWidth="1"/>
    <col min="6" max="6" width="3.5703125" style="37" customWidth="1"/>
    <col min="7" max="7" width="3.140625" style="37" customWidth="1"/>
    <col min="8" max="8" width="14.7109375" style="57" customWidth="1"/>
    <col min="9" max="13" width="8.42578125" style="18" customWidth="1"/>
    <col min="14" max="14" width="3.28515625" style="58" customWidth="1"/>
    <col min="15" max="15" width="3.7109375" style="58" customWidth="1"/>
    <col min="16" max="16" width="8.28515625" style="58" customWidth="1"/>
    <col min="17" max="17" width="9.140625" style="18" customWidth="1"/>
    <col min="18" max="18" width="10.28515625" style="18" customWidth="1"/>
    <col min="19" max="19" width="2.85546875" style="18" customWidth="1"/>
    <col min="20" max="20" width="9.7109375" style="18" customWidth="1"/>
    <col min="21" max="21" width="3.28515625" style="17" customWidth="1"/>
    <col min="22" max="23" width="9" style="18" customWidth="1"/>
    <col min="24" max="24" width="8.7109375" style="59" hidden="1" customWidth="1"/>
    <col min="25" max="25" width="8.7109375" style="18" customWidth="1"/>
    <col min="26" max="27" width="9" style="18" customWidth="1"/>
    <col min="28" max="28" width="8.42578125" style="18" customWidth="1"/>
    <col min="29" max="29" width="10.28515625" style="18" customWidth="1"/>
    <col min="30" max="30" width="15.42578125" style="18" hidden="1" customWidth="1"/>
    <col min="31" max="31" width="9.42578125" style="18" customWidth="1"/>
    <col min="32" max="36" width="10.7109375" style="18" customWidth="1"/>
    <col min="37" max="37" width="14.28515625" style="18" hidden="1" customWidth="1"/>
    <col min="38" max="38" width="17.140625" style="18" hidden="1" customWidth="1"/>
    <col min="39" max="39" width="15.85546875" style="18" hidden="1" customWidth="1"/>
    <col min="40" max="40" width="18.7109375" style="18" hidden="1" customWidth="1"/>
    <col min="41" max="44" width="12" style="18" customWidth="1"/>
    <col min="45" max="45" width="15.7109375" style="18" customWidth="1"/>
    <col min="46" max="50" width="15.7109375" style="18" hidden="1" customWidth="1"/>
    <col min="51" max="51" width="17.42578125" style="9" customWidth="1"/>
    <col min="52" max="52" width="5" style="37" customWidth="1"/>
    <col min="53" max="53" width="3.5703125" style="37" customWidth="1"/>
    <col min="54" max="54" width="7.28515625" style="37" customWidth="1"/>
    <col min="55" max="55" width="15.28515625" style="9" customWidth="1"/>
    <col min="56" max="56" width="3.5703125" style="37" customWidth="1"/>
    <col min="57" max="57" width="3.140625" style="37" customWidth="1"/>
    <col min="58" max="58" width="14.7109375" style="57" customWidth="1"/>
    <col min="59" max="59" width="9.140625" style="18" customWidth="1"/>
    <col min="60" max="60" width="6.5703125" style="18" customWidth="1"/>
    <col min="61" max="61" width="9.5703125" style="18" customWidth="1"/>
    <col min="62" max="62" width="6.5703125" style="18" customWidth="1"/>
    <col min="63" max="63" width="9.5703125" style="18" customWidth="1"/>
    <col min="64" max="64" width="6.5703125" style="18" customWidth="1"/>
    <col min="65" max="65" width="10.140625" style="18" customWidth="1"/>
    <col min="66" max="66" width="6.5703125" style="18" customWidth="1"/>
    <col min="67" max="67" width="10.140625" style="18" customWidth="1"/>
    <col min="68" max="68" width="6.5703125" style="18" customWidth="1"/>
    <col min="69" max="69" width="10.140625" style="18" customWidth="1"/>
    <col min="70" max="70" width="6.5703125" style="18" customWidth="1"/>
    <col min="71" max="71" width="10.140625" style="18" customWidth="1"/>
    <col min="72" max="72" width="6.5703125" style="18" customWidth="1"/>
    <col min="73" max="73" width="10.140625" style="18" customWidth="1"/>
    <col min="74" max="74" width="6.5703125" style="18" customWidth="1"/>
    <col min="75" max="75" width="10.140625" style="18" customWidth="1"/>
    <col min="76" max="76" width="6.5703125" style="18" customWidth="1"/>
    <col min="77" max="77" width="10.140625" style="18" customWidth="1"/>
    <col min="78" max="78" width="6.5703125" style="18" customWidth="1"/>
    <col min="79" max="79" width="10.140625" style="18" customWidth="1"/>
    <col min="80" max="80" width="6.5703125" style="18" customWidth="1"/>
    <col min="81" max="81" width="10.140625" style="18" customWidth="1"/>
    <col min="82" max="82" width="6.5703125" style="18" customWidth="1"/>
    <col min="83" max="83" width="10.140625" style="18" customWidth="1"/>
    <col min="84" max="84" width="6.5703125" style="18" customWidth="1"/>
    <col min="85" max="85" width="10.140625" style="18" customWidth="1"/>
    <col min="86" max="86" width="6.5703125" style="18" customWidth="1"/>
    <col min="87" max="87" width="10.140625" style="18" customWidth="1"/>
    <col min="88" max="88" width="9.140625" style="9" hidden="1" customWidth="1"/>
    <col min="89" max="89" width="11.85546875" style="9" hidden="1" customWidth="1"/>
    <col min="90" max="97" width="10.42578125" style="9" hidden="1" customWidth="1"/>
    <col min="98" max="99" width="17.42578125" style="9" hidden="1" customWidth="1"/>
    <col min="100" max="100" width="17.85546875" style="9" hidden="1" customWidth="1"/>
    <col min="101" max="101" width="13" style="9" hidden="1" customWidth="1"/>
    <col min="102" max="103" width="9.140625" style="9" hidden="1" customWidth="1"/>
    <col min="104" max="104" width="13" style="9" hidden="1" customWidth="1"/>
    <col min="105" max="107" width="9.140625" style="9" hidden="1" customWidth="1"/>
    <col min="108" max="109" width="11.7109375" style="9" hidden="1" customWidth="1"/>
    <col min="110" max="112" width="9.140625" style="9" hidden="1" customWidth="1"/>
    <col min="113" max="115" width="21.42578125" style="9" hidden="1" customWidth="1"/>
    <col min="116" max="116" width="21.5703125" style="9" hidden="1" customWidth="1"/>
    <col min="117" max="119" width="14.140625" style="9" hidden="1" customWidth="1"/>
    <col min="120" max="123" width="9.140625" style="9" hidden="1" customWidth="1"/>
    <col min="124" max="124" width="10" style="9" hidden="1" customWidth="1"/>
    <col min="125" max="125" width="9.140625" style="9" hidden="1" customWidth="1"/>
    <col min="126" max="128" width="10.5703125" style="9" hidden="1" customWidth="1"/>
    <col min="129" max="129" width="10.42578125" style="9" hidden="1" customWidth="1"/>
    <col min="130" max="138" width="9.140625" style="9" hidden="1" customWidth="1"/>
    <col min="139" max="144" width="10.140625" style="54" hidden="1" customWidth="1"/>
    <col min="145" max="146" width="10.140625" style="9" hidden="1" customWidth="1"/>
    <col min="147" max="158" width="9.140625" style="9" hidden="1" customWidth="1"/>
    <col min="159" max="159" width="12.140625" style="9" hidden="1" customWidth="1"/>
    <col min="160" max="165" width="9.140625" style="9" hidden="1" customWidth="1"/>
    <col min="166" max="166" width="9.42578125" style="9" hidden="1" customWidth="1"/>
    <col min="167" max="195" width="9.140625" style="9" hidden="1" customWidth="1"/>
    <col min="196" max="196" width="11.5703125" style="9" hidden="1" customWidth="1"/>
    <col min="197" max="199" width="9.140625" style="9" hidden="1" customWidth="1"/>
    <col min="200" max="16384" width="9.140625" style="9"/>
  </cols>
  <sheetData>
    <row r="1" spans="1:200" ht="30" customHeight="1" x14ac:dyDescent="0.2">
      <c r="A1" s="9">
        <v>1</v>
      </c>
      <c r="B1" s="9"/>
      <c r="C1" s="7"/>
      <c r="E1" s="38"/>
      <c r="F1" s="38"/>
      <c r="G1" s="60" t="s">
        <v>181</v>
      </c>
      <c r="H1" s="38"/>
      <c r="I1" s="38"/>
      <c r="J1" s="38"/>
      <c r="K1" s="38"/>
      <c r="L1" s="38"/>
      <c r="M1" s="38"/>
      <c r="N1" s="38"/>
      <c r="O1" s="38"/>
      <c r="P1" s="38"/>
      <c r="Q1" s="38"/>
      <c r="R1" s="38"/>
      <c r="S1" s="38"/>
      <c r="T1" s="38"/>
      <c r="U1" s="38"/>
      <c r="V1" s="38"/>
      <c r="W1" s="38"/>
      <c r="X1" s="38"/>
      <c r="Y1" s="39"/>
      <c r="Z1" s="39"/>
      <c r="AA1" s="39"/>
      <c r="AB1" s="38"/>
      <c r="AC1" s="38"/>
      <c r="AD1" s="38"/>
      <c r="AE1" s="38"/>
      <c r="AF1" s="40"/>
      <c r="AG1" s="40"/>
      <c r="AH1" s="39"/>
      <c r="AI1" s="13"/>
      <c r="AJ1" s="38"/>
      <c r="AK1" s="41"/>
      <c r="AL1" s="13"/>
      <c r="AM1" s="13"/>
      <c r="AN1" s="13"/>
      <c r="AO1" s="13"/>
      <c r="AP1" s="41"/>
      <c r="AQ1" s="41"/>
      <c r="AR1" s="41"/>
      <c r="AS1" s="41"/>
      <c r="AT1" s="41"/>
      <c r="AU1" s="41"/>
      <c r="AV1" s="41"/>
      <c r="AW1" s="41"/>
      <c r="AX1" s="41"/>
      <c r="AY1" s="12"/>
      <c r="AZ1" s="9"/>
      <c r="BA1" s="7"/>
      <c r="BC1" s="38"/>
      <c r="BD1" s="3" t="s">
        <v>181</v>
      </c>
      <c r="BE1" s="38"/>
      <c r="BF1" s="38"/>
      <c r="BG1" s="38"/>
      <c r="BH1" s="38"/>
      <c r="BI1" s="38"/>
      <c r="BJ1" s="38"/>
      <c r="BK1" s="38"/>
      <c r="BL1" s="38"/>
      <c r="BM1" s="38"/>
      <c r="BN1" s="38"/>
      <c r="BO1" s="38"/>
      <c r="BP1" s="38"/>
      <c r="BQ1" s="38"/>
      <c r="BR1" s="38"/>
      <c r="BS1" s="38"/>
      <c r="BT1" s="38"/>
      <c r="BU1" s="38"/>
      <c r="BV1" s="38"/>
      <c r="BW1" s="38"/>
      <c r="BX1" s="38"/>
      <c r="BY1" s="38"/>
      <c r="BZ1" s="38"/>
      <c r="CA1" s="38"/>
      <c r="CB1" s="38"/>
      <c r="CC1" s="38"/>
      <c r="CD1" s="38"/>
      <c r="CE1" s="38"/>
      <c r="CF1" s="38"/>
      <c r="CG1" s="38"/>
      <c r="CH1" s="38"/>
      <c r="CI1" s="38"/>
      <c r="CK1" s="12"/>
      <c r="CL1" s="12"/>
      <c r="CM1" s="12"/>
      <c r="CN1" s="12"/>
      <c r="CO1" s="12"/>
      <c r="CP1" s="12"/>
      <c r="CQ1" s="12"/>
      <c r="CR1" s="12"/>
      <c r="CS1" s="12"/>
      <c r="CT1" s="12"/>
      <c r="CU1" s="12"/>
      <c r="CV1" s="12"/>
      <c r="CW1" s="12"/>
      <c r="CX1" s="14"/>
      <c r="CY1" s="14"/>
      <c r="CZ1" s="12"/>
      <c r="DA1" s="14"/>
      <c r="DB1" s="14"/>
      <c r="DC1" s="14"/>
      <c r="DD1" s="14"/>
      <c r="DE1" s="14"/>
      <c r="DF1" s="14"/>
      <c r="DG1" s="14"/>
      <c r="DH1" s="14"/>
      <c r="DI1" s="14"/>
      <c r="DJ1" s="14"/>
      <c r="DK1" s="14"/>
      <c r="DL1" s="14"/>
      <c r="DM1" s="14"/>
      <c r="DN1" s="14"/>
      <c r="DO1" s="14"/>
      <c r="DP1" s="14"/>
      <c r="DQ1" s="14"/>
      <c r="DR1" s="14"/>
      <c r="DS1" s="14"/>
      <c r="DT1" s="14"/>
      <c r="DU1" s="14"/>
      <c r="DV1" s="14"/>
      <c r="DW1" s="14"/>
      <c r="DX1" s="14"/>
      <c r="DY1" s="14"/>
      <c r="DZ1" s="14"/>
      <c r="EA1" s="14"/>
      <c r="EB1" s="14"/>
      <c r="EC1" s="14"/>
      <c r="ED1" s="14"/>
      <c r="EE1" s="14"/>
      <c r="EF1" s="14"/>
      <c r="EI1" s="14"/>
      <c r="EJ1" s="14"/>
      <c r="EK1" s="14"/>
      <c r="EL1" s="14"/>
      <c r="EM1" s="14"/>
      <c r="EN1" s="14"/>
      <c r="EO1" s="14"/>
    </row>
    <row r="2" spans="1:200" ht="24.75" customHeight="1" x14ac:dyDescent="0.2">
      <c r="A2" s="9">
        <v>2</v>
      </c>
      <c r="B2" s="38"/>
      <c r="C2" s="38"/>
      <c r="E2" s="38"/>
      <c r="F2" s="38"/>
      <c r="G2" s="61" t="s">
        <v>182</v>
      </c>
      <c r="H2" s="38"/>
      <c r="I2" s="9"/>
      <c r="J2" s="38"/>
      <c r="K2" s="38"/>
      <c r="L2" s="38"/>
      <c r="M2" s="38"/>
      <c r="N2" s="38"/>
      <c r="O2" s="38"/>
      <c r="P2" s="38"/>
      <c r="Q2" s="38"/>
      <c r="R2" s="38"/>
      <c r="S2" s="38"/>
      <c r="T2" s="39"/>
      <c r="U2" s="39"/>
      <c r="V2" s="39"/>
      <c r="W2" s="39"/>
      <c r="X2" s="39"/>
      <c r="Y2" s="39"/>
      <c r="Z2" s="39"/>
      <c r="AA2" s="39"/>
      <c r="AB2" s="39"/>
      <c r="AC2" s="39"/>
      <c r="AD2" s="39"/>
      <c r="AE2" s="39"/>
      <c r="AF2" s="42"/>
      <c r="AG2" s="42"/>
      <c r="AH2" s="39"/>
      <c r="AI2" s="39"/>
      <c r="AJ2" s="39"/>
      <c r="AK2" s="42"/>
      <c r="AL2" s="39"/>
      <c r="AM2" s="13"/>
      <c r="AN2" s="13"/>
      <c r="AO2" s="13"/>
      <c r="AP2" s="41"/>
      <c r="AQ2" s="41"/>
      <c r="AR2" s="41"/>
      <c r="AS2" s="41"/>
      <c r="AT2" s="41"/>
      <c r="AU2" s="41"/>
      <c r="AV2" s="41"/>
      <c r="AW2" s="41"/>
      <c r="AX2" s="41"/>
      <c r="AY2" s="12"/>
      <c r="AZ2" s="38"/>
      <c r="BA2" s="38"/>
      <c r="BC2" s="38"/>
      <c r="BD2" s="62" t="s">
        <v>182</v>
      </c>
      <c r="BE2" s="38"/>
      <c r="BF2" s="38"/>
      <c r="BG2" s="38"/>
      <c r="BH2" s="38"/>
      <c r="BI2" s="38"/>
      <c r="BJ2" s="38"/>
      <c r="BK2" s="38"/>
      <c r="BL2" s="38"/>
      <c r="BM2" s="38"/>
      <c r="BN2" s="38"/>
      <c r="BO2" s="38"/>
      <c r="BP2" s="38"/>
      <c r="BQ2" s="38"/>
      <c r="BR2" s="39"/>
      <c r="BS2" s="39"/>
      <c r="BT2" s="39"/>
      <c r="BU2" s="39"/>
      <c r="BV2" s="39"/>
      <c r="BW2" s="39"/>
      <c r="BX2" s="39"/>
      <c r="BY2" s="39"/>
      <c r="BZ2" s="39"/>
      <c r="CA2" s="39"/>
      <c r="CB2" s="39"/>
      <c r="CC2" s="39"/>
      <c r="CD2" s="39"/>
      <c r="CE2" s="39"/>
      <c r="CF2" s="39"/>
      <c r="CG2" s="39"/>
      <c r="CH2" s="39"/>
      <c r="CI2" s="39"/>
      <c r="CK2" s="12"/>
      <c r="CL2" s="12"/>
      <c r="CM2" s="12"/>
      <c r="CN2" s="12"/>
      <c r="CO2" s="12"/>
      <c r="CP2" s="12"/>
      <c r="CQ2" s="12"/>
      <c r="CR2" s="12"/>
      <c r="CS2" s="12"/>
      <c r="CT2" s="12"/>
      <c r="CU2" s="12"/>
      <c r="CV2" s="12"/>
      <c r="CW2" s="12"/>
      <c r="CX2" s="14"/>
      <c r="CY2" s="14"/>
      <c r="CZ2" s="12"/>
      <c r="DA2" s="14"/>
      <c r="DB2" s="14"/>
      <c r="DC2" s="14"/>
      <c r="DD2" s="14"/>
      <c r="DE2" s="14"/>
      <c r="DF2" s="14"/>
      <c r="DG2" s="14"/>
      <c r="DH2" s="14"/>
      <c r="DI2" s="14"/>
      <c r="DJ2" s="14"/>
      <c r="DK2" s="14"/>
      <c r="DL2" s="14"/>
      <c r="DM2" s="14"/>
      <c r="DN2" s="14"/>
      <c r="DO2" s="14"/>
      <c r="DP2" s="14"/>
      <c r="DQ2" s="14"/>
      <c r="DR2" s="14"/>
      <c r="DS2" s="14"/>
      <c r="DT2" s="14"/>
      <c r="DU2" s="14"/>
      <c r="DV2" s="14"/>
      <c r="DW2" s="14"/>
      <c r="DX2" s="14"/>
      <c r="DY2" s="14"/>
      <c r="DZ2" s="14"/>
      <c r="EA2" s="14"/>
      <c r="EB2" s="14"/>
      <c r="EC2" s="14"/>
      <c r="ED2" s="14"/>
      <c r="EE2" s="14"/>
      <c r="EF2" s="14"/>
      <c r="EI2" s="14"/>
      <c r="EJ2" s="14"/>
      <c r="EK2" s="14"/>
      <c r="EL2" s="14"/>
      <c r="EM2" s="14"/>
      <c r="EN2" s="14"/>
      <c r="EO2" s="14"/>
    </row>
    <row r="3" spans="1:200" x14ac:dyDescent="0.2">
      <c r="A3" s="9">
        <v>3</v>
      </c>
      <c r="B3" s="43"/>
      <c r="C3" s="43"/>
      <c r="D3" s="43"/>
      <c r="E3" s="43"/>
      <c r="F3" s="12"/>
      <c r="G3" s="12"/>
      <c r="H3" s="12"/>
      <c r="I3" s="17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  <c r="AA3" s="13"/>
      <c r="AB3" s="13"/>
      <c r="AC3" s="13"/>
      <c r="AD3" s="13"/>
      <c r="AE3" s="13"/>
      <c r="AF3" s="13"/>
      <c r="AG3" s="13"/>
      <c r="AH3" s="13"/>
      <c r="AI3" s="13"/>
      <c r="AJ3" s="13"/>
      <c r="AK3" s="41"/>
      <c r="AL3" s="13"/>
      <c r="AM3" s="13"/>
      <c r="AN3" s="13"/>
      <c r="AO3" s="13"/>
      <c r="AP3" s="41"/>
      <c r="AQ3" s="41"/>
      <c r="AR3" s="41"/>
      <c r="AS3" s="41"/>
      <c r="AT3" s="41"/>
      <c r="AU3" s="41"/>
      <c r="AV3" s="41"/>
      <c r="AW3" s="41"/>
      <c r="AX3" s="41"/>
      <c r="AY3" s="12"/>
      <c r="AZ3" s="43"/>
      <c r="BA3" s="43"/>
      <c r="BB3" s="43"/>
      <c r="BC3" s="43"/>
      <c r="BD3" s="12"/>
      <c r="BE3" s="12"/>
      <c r="BF3" s="12"/>
      <c r="BG3" s="13"/>
      <c r="BH3" s="13"/>
      <c r="BI3" s="13"/>
      <c r="BJ3" s="13"/>
      <c r="BK3" s="13"/>
      <c r="BL3" s="13"/>
      <c r="BM3" s="13"/>
      <c r="BN3" s="13"/>
      <c r="BO3" s="13"/>
      <c r="BP3" s="13"/>
      <c r="BQ3" s="13"/>
      <c r="BR3" s="13"/>
      <c r="BS3" s="13"/>
      <c r="BT3" s="13"/>
      <c r="BU3" s="13"/>
      <c r="BV3" s="13"/>
      <c r="BW3" s="13"/>
      <c r="BX3" s="13"/>
      <c r="BY3" s="13"/>
      <c r="BZ3" s="13"/>
      <c r="CA3" s="13"/>
      <c r="CB3" s="13"/>
      <c r="CC3" s="13"/>
      <c r="CD3" s="13"/>
      <c r="CE3" s="13"/>
      <c r="CF3" s="13"/>
      <c r="CG3" s="13"/>
      <c r="CH3" s="13"/>
      <c r="CI3" s="13"/>
      <c r="CK3" s="12"/>
      <c r="CL3" s="12"/>
      <c r="CM3" s="12"/>
      <c r="CN3" s="12"/>
      <c r="CO3" s="12"/>
      <c r="CP3" s="12"/>
      <c r="CQ3" s="12"/>
      <c r="CR3" s="12"/>
      <c r="CS3" s="12"/>
      <c r="CT3" s="12"/>
      <c r="CU3" s="12"/>
      <c r="CV3" s="12"/>
      <c r="CW3" s="12"/>
      <c r="CX3" s="14"/>
      <c r="CY3" s="14"/>
      <c r="CZ3" s="12"/>
      <c r="DA3" s="14"/>
      <c r="DB3" s="14"/>
      <c r="DC3" s="14"/>
      <c r="DD3" s="14"/>
      <c r="DE3" s="14"/>
      <c r="DF3" s="14"/>
      <c r="DG3" s="14"/>
      <c r="DH3" s="14"/>
      <c r="DI3" s="14"/>
      <c r="DJ3" s="14"/>
      <c r="DK3" s="14"/>
      <c r="DL3" s="14"/>
      <c r="DM3" s="14"/>
      <c r="DN3" s="14"/>
      <c r="DO3" s="14"/>
      <c r="DP3" s="14"/>
      <c r="DQ3" s="14"/>
      <c r="DR3" s="14"/>
      <c r="DS3" s="14"/>
      <c r="DT3" s="14"/>
      <c r="DU3" s="14"/>
      <c r="DV3" s="14"/>
      <c r="DW3" s="14"/>
      <c r="DX3" s="14"/>
      <c r="DY3" s="14"/>
      <c r="DZ3" s="14"/>
      <c r="EA3" s="14"/>
      <c r="EB3" s="14"/>
      <c r="EC3" s="14"/>
      <c r="ED3" s="14"/>
      <c r="EE3" s="14"/>
      <c r="EF3" s="14"/>
      <c r="EI3" s="14"/>
      <c r="EJ3" s="14"/>
      <c r="EK3" s="14"/>
      <c r="EL3" s="14"/>
      <c r="EM3" s="14"/>
      <c r="EN3" s="14"/>
      <c r="EO3" s="14"/>
    </row>
    <row r="4" spans="1:200" s="5" customFormat="1" ht="14.25" hidden="1" customHeight="1" x14ac:dyDescent="0.2">
      <c r="A4" s="5">
        <v>4</v>
      </c>
      <c r="B4" s="6" t="s">
        <v>140</v>
      </c>
      <c r="C4" s="7" t="s">
        <v>1</v>
      </c>
      <c r="D4" s="6" t="s">
        <v>2</v>
      </c>
      <c r="E4" s="8" t="s">
        <v>3</v>
      </c>
      <c r="F4" s="6" t="s">
        <v>40</v>
      </c>
      <c r="H4" s="6" t="s">
        <v>51</v>
      </c>
      <c r="I4" s="6" t="s">
        <v>9</v>
      </c>
      <c r="J4" s="6" t="s">
        <v>10</v>
      </c>
      <c r="K4" s="6" t="s">
        <v>11</v>
      </c>
      <c r="L4" s="6" t="s">
        <v>12</v>
      </c>
      <c r="M4" s="6" t="s">
        <v>13</v>
      </c>
      <c r="N4" s="6" t="s">
        <v>14</v>
      </c>
      <c r="O4" s="6" t="s">
        <v>229</v>
      </c>
      <c r="P4" s="6" t="s">
        <v>230</v>
      </c>
      <c r="Q4" s="6" t="s">
        <v>231</v>
      </c>
      <c r="R4" s="6"/>
      <c r="S4" s="6" t="s">
        <v>108</v>
      </c>
      <c r="T4" s="6" t="s">
        <v>360</v>
      </c>
      <c r="U4" s="6" t="s">
        <v>109</v>
      </c>
      <c r="V4" s="6" t="s">
        <v>260</v>
      </c>
      <c r="W4" s="6" t="s">
        <v>261</v>
      </c>
      <c r="X4" s="6"/>
      <c r="Y4" s="6" t="s">
        <v>262</v>
      </c>
      <c r="Z4" s="6" t="s">
        <v>263</v>
      </c>
      <c r="AA4" s="6"/>
      <c r="AB4" s="6" t="s">
        <v>110</v>
      </c>
      <c r="AC4" s="6" t="s">
        <v>264</v>
      </c>
      <c r="AD4" s="6" t="s">
        <v>111</v>
      </c>
      <c r="AE4" s="6" t="s">
        <v>112</v>
      </c>
      <c r="AF4" s="6" t="s">
        <v>265</v>
      </c>
      <c r="AG4" s="6" t="s">
        <v>266</v>
      </c>
      <c r="AH4" s="6" t="s">
        <v>113</v>
      </c>
      <c r="AI4" s="6" t="s">
        <v>114</v>
      </c>
      <c r="AJ4" s="6" t="s">
        <v>115</v>
      </c>
      <c r="AK4" s="6" t="s">
        <v>116</v>
      </c>
      <c r="AL4" s="6" t="s">
        <v>117</v>
      </c>
      <c r="AM4" s="6" t="s">
        <v>118</v>
      </c>
      <c r="AN4" s="6" t="s">
        <v>119</v>
      </c>
      <c r="AO4" s="6" t="s">
        <v>267</v>
      </c>
      <c r="AP4" s="6" t="s">
        <v>120</v>
      </c>
      <c r="AQ4" s="6" t="s">
        <v>121</v>
      </c>
      <c r="AR4" s="6" t="s">
        <v>122</v>
      </c>
      <c r="AS4" s="6" t="s">
        <v>123</v>
      </c>
      <c r="AT4" s="6" t="s">
        <v>124</v>
      </c>
      <c r="AU4" s="6" t="s">
        <v>125</v>
      </c>
      <c r="AV4" s="6" t="s">
        <v>126</v>
      </c>
      <c r="AW4" s="6" t="s">
        <v>127</v>
      </c>
      <c r="AX4" s="6" t="s">
        <v>128</v>
      </c>
      <c r="AY4" s="6"/>
      <c r="AZ4" s="6" t="s">
        <v>140</v>
      </c>
      <c r="BA4" s="7" t="s">
        <v>1</v>
      </c>
      <c r="BB4" s="6" t="s">
        <v>2</v>
      </c>
      <c r="BC4" s="8" t="s">
        <v>3</v>
      </c>
      <c r="BD4" s="6" t="s">
        <v>40</v>
      </c>
      <c r="BF4" s="6" t="s">
        <v>51</v>
      </c>
      <c r="BG4" s="6" t="s">
        <v>231</v>
      </c>
      <c r="BH4" s="6" t="s">
        <v>232</v>
      </c>
      <c r="BI4" s="6" t="s">
        <v>233</v>
      </c>
      <c r="BJ4" s="6" t="s">
        <v>234</v>
      </c>
      <c r="BK4" s="6" t="s">
        <v>235</v>
      </c>
      <c r="BL4" s="6" t="s">
        <v>236</v>
      </c>
      <c r="BM4" s="6" t="s">
        <v>237</v>
      </c>
      <c r="BN4" s="6" t="s">
        <v>238</v>
      </c>
      <c r="BO4" s="6" t="s">
        <v>239</v>
      </c>
      <c r="BP4" s="6" t="s">
        <v>240</v>
      </c>
      <c r="BQ4" s="6" t="s">
        <v>241</v>
      </c>
      <c r="BR4" s="6" t="s">
        <v>242</v>
      </c>
      <c r="BS4" s="6" t="s">
        <v>243</v>
      </c>
      <c r="BT4" s="6" t="s">
        <v>244</v>
      </c>
      <c r="BU4" s="6" t="s">
        <v>245</v>
      </c>
      <c r="BV4" s="6" t="s">
        <v>246</v>
      </c>
      <c r="BW4" s="6" t="s">
        <v>247</v>
      </c>
      <c r="BX4" s="6" t="s">
        <v>248</v>
      </c>
      <c r="BY4" s="6" t="s">
        <v>249</v>
      </c>
      <c r="BZ4" s="6" t="s">
        <v>250</v>
      </c>
      <c r="CA4" s="6" t="s">
        <v>251</v>
      </c>
      <c r="CB4" s="6" t="s">
        <v>252</v>
      </c>
      <c r="CC4" s="6" t="s">
        <v>253</v>
      </c>
      <c r="CD4" s="6" t="s">
        <v>254</v>
      </c>
      <c r="CE4" s="6" t="s">
        <v>255</v>
      </c>
      <c r="CF4" s="6" t="s">
        <v>256</v>
      </c>
      <c r="CG4" s="6" t="s">
        <v>257</v>
      </c>
      <c r="CH4" s="6" t="s">
        <v>258</v>
      </c>
      <c r="CI4" s="6" t="s">
        <v>259</v>
      </c>
      <c r="CJ4" s="5" t="s">
        <v>344</v>
      </c>
      <c r="CK4" s="6"/>
      <c r="CL4" s="6"/>
      <c r="CM4" s="6"/>
      <c r="CN4" s="6"/>
      <c r="CO4" s="6"/>
      <c r="CP4" s="6"/>
      <c r="CQ4" s="6"/>
      <c r="CR4" s="6"/>
      <c r="CS4" s="6"/>
      <c r="CT4" s="6"/>
      <c r="CU4" s="6" t="s">
        <v>347</v>
      </c>
      <c r="CV4" s="6" t="s">
        <v>130</v>
      </c>
      <c r="CW4" s="6" t="s">
        <v>131</v>
      </c>
      <c r="CX4" s="6" t="s">
        <v>132</v>
      </c>
      <c r="CY4" s="6"/>
      <c r="CZ4" s="6"/>
      <c r="DA4" s="6"/>
      <c r="DB4" s="6"/>
      <c r="DC4" s="6" t="s">
        <v>268</v>
      </c>
      <c r="DD4" s="6" t="s">
        <v>269</v>
      </c>
      <c r="DE4" s="6"/>
      <c r="DF4" s="6" t="s">
        <v>133</v>
      </c>
      <c r="DG4" s="6" t="s">
        <v>134</v>
      </c>
      <c r="DH4" s="6"/>
      <c r="DI4" s="6" t="s">
        <v>135</v>
      </c>
      <c r="DJ4" s="6"/>
      <c r="DK4" s="6" t="s">
        <v>129</v>
      </c>
      <c r="DL4" s="6" t="s">
        <v>136</v>
      </c>
      <c r="DM4" s="6" t="s">
        <v>137</v>
      </c>
      <c r="DN4" s="6"/>
      <c r="DO4" s="6" t="s">
        <v>270</v>
      </c>
      <c r="DP4" s="6" t="s">
        <v>138</v>
      </c>
      <c r="DQ4" s="6" t="s">
        <v>168</v>
      </c>
      <c r="DR4" s="5" t="s">
        <v>83</v>
      </c>
      <c r="DS4" s="5" t="s">
        <v>84</v>
      </c>
      <c r="DT4" s="6" t="s">
        <v>147</v>
      </c>
      <c r="DU4" s="6" t="s">
        <v>148</v>
      </c>
      <c r="DV4" s="6"/>
      <c r="DW4" s="6"/>
      <c r="DX4" s="6"/>
      <c r="DY4" s="6" t="s">
        <v>149</v>
      </c>
      <c r="DZ4" s="6" t="s">
        <v>150</v>
      </c>
      <c r="EA4" s="6" t="s">
        <v>151</v>
      </c>
      <c r="EB4" s="6" t="s">
        <v>152</v>
      </c>
      <c r="EC4" s="6" t="s">
        <v>153</v>
      </c>
      <c r="ED4" s="6" t="s">
        <v>271</v>
      </c>
      <c r="EE4" s="6"/>
      <c r="EF4" s="6" t="s">
        <v>272</v>
      </c>
      <c r="EG4" s="6" t="s">
        <v>166</v>
      </c>
      <c r="EH4" s="6" t="s">
        <v>167</v>
      </c>
      <c r="EI4" s="6"/>
      <c r="EJ4" s="6"/>
      <c r="EK4" s="6"/>
      <c r="EL4" s="6"/>
      <c r="EM4" s="6"/>
      <c r="EN4" s="6"/>
      <c r="EO4" s="6"/>
      <c r="EP4" s="6"/>
      <c r="EQ4" s="6" t="s">
        <v>173</v>
      </c>
      <c r="ER4" s="6" t="s">
        <v>174</v>
      </c>
      <c r="ES4" s="6" t="s">
        <v>175</v>
      </c>
      <c r="ET4" s="6" t="s">
        <v>176</v>
      </c>
      <c r="EU4" s="6" t="s">
        <v>177</v>
      </c>
      <c r="EV4" s="6" t="s">
        <v>178</v>
      </c>
      <c r="EW4" s="6" t="s">
        <v>226</v>
      </c>
      <c r="EX4" s="6" t="s">
        <v>227</v>
      </c>
      <c r="EY4" s="6" t="s">
        <v>228</v>
      </c>
      <c r="EZ4" s="6" t="s">
        <v>341</v>
      </c>
      <c r="FA4" s="6" t="s">
        <v>342</v>
      </c>
      <c r="FB4" s="6" t="s">
        <v>343</v>
      </c>
    </row>
    <row r="5" spans="1:200" ht="14.25" hidden="1" customHeight="1" x14ac:dyDescent="0.2">
      <c r="A5" s="9">
        <v>5</v>
      </c>
      <c r="B5" s="10" t="s">
        <v>142</v>
      </c>
      <c r="C5" s="10"/>
      <c r="D5" s="10">
        <v>2</v>
      </c>
      <c r="E5" s="11">
        <v>2</v>
      </c>
      <c r="F5" s="12">
        <v>2</v>
      </c>
      <c r="G5" s="12"/>
      <c r="H5" s="12">
        <v>2</v>
      </c>
      <c r="I5" s="13">
        <v>1</v>
      </c>
      <c r="J5" s="13">
        <v>1</v>
      </c>
      <c r="K5" s="13">
        <v>1</v>
      </c>
      <c r="L5" s="13">
        <v>1</v>
      </c>
      <c r="M5" s="13">
        <v>1</v>
      </c>
      <c r="N5" s="13"/>
      <c r="O5" s="13"/>
      <c r="P5" s="13"/>
      <c r="Q5" s="10"/>
      <c r="R5" s="10"/>
      <c r="S5" s="10">
        <v>1</v>
      </c>
      <c r="T5" s="12">
        <v>1</v>
      </c>
      <c r="U5" s="13">
        <v>1</v>
      </c>
      <c r="V5" s="12">
        <v>1</v>
      </c>
      <c r="W5" s="12">
        <v>1</v>
      </c>
      <c r="X5" s="12">
        <v>1</v>
      </c>
      <c r="Y5" s="13">
        <v>1</v>
      </c>
      <c r="Z5" s="13">
        <v>1</v>
      </c>
      <c r="AA5" s="13"/>
      <c r="AB5" s="12">
        <v>1</v>
      </c>
      <c r="AC5" s="12">
        <v>1</v>
      </c>
      <c r="AD5" s="13">
        <v>1</v>
      </c>
      <c r="AE5" s="13">
        <v>1</v>
      </c>
      <c r="AF5" s="12">
        <v>1</v>
      </c>
      <c r="AG5" s="12">
        <v>1</v>
      </c>
      <c r="AH5" s="12">
        <v>1</v>
      </c>
      <c r="AI5" s="13">
        <v>1</v>
      </c>
      <c r="AJ5" s="12">
        <v>1</v>
      </c>
      <c r="AK5" s="12">
        <v>1</v>
      </c>
      <c r="AL5" s="13">
        <v>1</v>
      </c>
      <c r="AM5" s="12">
        <v>1</v>
      </c>
      <c r="AN5" s="12">
        <v>1</v>
      </c>
      <c r="AO5" s="12">
        <v>1</v>
      </c>
      <c r="AP5" s="13">
        <v>1</v>
      </c>
      <c r="AQ5" s="12">
        <v>1</v>
      </c>
      <c r="AR5" s="12">
        <v>1</v>
      </c>
      <c r="AS5" s="13">
        <v>1</v>
      </c>
      <c r="AT5" s="12">
        <v>1</v>
      </c>
      <c r="AU5" s="13">
        <v>1</v>
      </c>
      <c r="AV5" s="12">
        <v>1</v>
      </c>
      <c r="AW5" s="12">
        <v>1</v>
      </c>
      <c r="AX5" s="13">
        <v>1</v>
      </c>
      <c r="AY5" s="12"/>
      <c r="AZ5" s="10" t="s">
        <v>142</v>
      </c>
      <c r="BA5" s="10"/>
      <c r="BB5" s="10">
        <v>2</v>
      </c>
      <c r="BC5" s="11">
        <v>2</v>
      </c>
      <c r="BD5" s="12">
        <v>2</v>
      </c>
      <c r="BE5" s="12"/>
      <c r="BF5" s="12">
        <v>2</v>
      </c>
      <c r="BG5" s="10"/>
      <c r="BH5" s="12">
        <v>1</v>
      </c>
      <c r="BI5" s="12">
        <v>1</v>
      </c>
      <c r="BJ5" s="12">
        <v>1</v>
      </c>
      <c r="BK5" s="12">
        <v>1</v>
      </c>
      <c r="BL5" s="12">
        <v>1</v>
      </c>
      <c r="BM5" s="12">
        <v>1</v>
      </c>
      <c r="BN5" s="12">
        <v>1</v>
      </c>
      <c r="BO5" s="12">
        <v>1</v>
      </c>
      <c r="BP5" s="12">
        <v>1</v>
      </c>
      <c r="BQ5" s="12">
        <v>1</v>
      </c>
      <c r="BR5" s="12">
        <v>1</v>
      </c>
      <c r="BS5" s="12">
        <v>1</v>
      </c>
      <c r="BT5" s="12">
        <v>1</v>
      </c>
      <c r="BU5" s="12">
        <v>1</v>
      </c>
      <c r="BV5" s="12">
        <v>1</v>
      </c>
      <c r="BW5" s="12">
        <v>1</v>
      </c>
      <c r="BX5" s="12">
        <v>1</v>
      </c>
      <c r="BY5" s="12">
        <v>1</v>
      </c>
      <c r="BZ5" s="12">
        <v>1</v>
      </c>
      <c r="CA5" s="12">
        <v>1</v>
      </c>
      <c r="CB5" s="12">
        <v>1</v>
      </c>
      <c r="CC5" s="12">
        <v>1</v>
      </c>
      <c r="CD5" s="12">
        <v>1</v>
      </c>
      <c r="CE5" s="12">
        <v>1</v>
      </c>
      <c r="CF5" s="12">
        <v>1</v>
      </c>
      <c r="CG5" s="12">
        <v>1</v>
      </c>
      <c r="CH5" s="12">
        <v>1</v>
      </c>
      <c r="CI5" s="12">
        <v>1</v>
      </c>
      <c r="CK5" s="12"/>
      <c r="CL5" s="12"/>
      <c r="CM5" s="12"/>
      <c r="CN5" s="12"/>
      <c r="CO5" s="12"/>
      <c r="CP5" s="12"/>
      <c r="CQ5" s="12"/>
      <c r="CR5" s="12"/>
      <c r="CS5" s="12"/>
      <c r="CT5" s="12"/>
      <c r="CU5" s="12"/>
      <c r="CV5" s="12"/>
      <c r="CW5" s="12"/>
      <c r="CX5" s="12"/>
      <c r="CY5" s="12"/>
      <c r="CZ5" s="12"/>
      <c r="DA5" s="12"/>
      <c r="DB5" s="12"/>
      <c r="DC5" s="12"/>
      <c r="DD5" s="12"/>
      <c r="DE5" s="12"/>
      <c r="DF5" s="12"/>
      <c r="DG5" s="12"/>
      <c r="DH5" s="12"/>
      <c r="DI5" s="14"/>
      <c r="DJ5" s="14"/>
      <c r="DK5" s="14"/>
      <c r="DL5" s="14"/>
      <c r="DM5" s="14"/>
      <c r="DN5" s="14"/>
      <c r="DO5" s="14"/>
      <c r="DP5" s="14"/>
      <c r="DQ5" s="14"/>
      <c r="DR5" s="14"/>
      <c r="DS5" s="14"/>
      <c r="DT5" s="14"/>
      <c r="DU5" s="14"/>
      <c r="DV5" s="14"/>
      <c r="DW5" s="14"/>
      <c r="DX5" s="14"/>
      <c r="DY5" s="14"/>
      <c r="DZ5" s="14"/>
      <c r="EA5" s="14"/>
      <c r="EB5" s="14"/>
      <c r="EC5" s="14"/>
      <c r="ED5" s="14"/>
      <c r="EE5" s="14"/>
      <c r="EF5" s="14"/>
      <c r="EI5" s="14"/>
      <c r="EJ5" s="14"/>
      <c r="EK5" s="14"/>
      <c r="EL5" s="14"/>
      <c r="EM5" s="14"/>
      <c r="EN5" s="14"/>
      <c r="EO5" s="14"/>
    </row>
    <row r="6" spans="1:200" s="5" customFormat="1" ht="14.25" hidden="1" customHeight="1" x14ac:dyDescent="0.2">
      <c r="B6" s="15"/>
      <c r="C6" s="15"/>
      <c r="D6" s="15" t="s">
        <v>2</v>
      </c>
      <c r="F6" s="15"/>
      <c r="G6" s="15"/>
      <c r="H6" s="15"/>
      <c r="AZ6" s="15"/>
      <c r="BA6" s="15"/>
      <c r="BB6" s="15" t="s">
        <v>2</v>
      </c>
      <c r="BD6" s="15"/>
      <c r="BE6" s="15"/>
      <c r="BF6" s="15"/>
      <c r="DQ6" s="6" t="s">
        <v>168</v>
      </c>
      <c r="DR6" s="5" t="s">
        <v>83</v>
      </c>
      <c r="DS6" s="5" t="s">
        <v>84</v>
      </c>
    </row>
    <row r="7" spans="1:200" ht="14.25" hidden="1" customHeight="1" x14ac:dyDescent="0.2">
      <c r="B7" s="6" t="s">
        <v>140</v>
      </c>
      <c r="C7" s="7" t="s">
        <v>1</v>
      </c>
      <c r="D7" s="6" t="s">
        <v>2</v>
      </c>
      <c r="E7" s="8" t="s">
        <v>3</v>
      </c>
      <c r="F7" s="6" t="s">
        <v>40</v>
      </c>
      <c r="G7" s="6"/>
      <c r="H7" s="6" t="s">
        <v>51</v>
      </c>
      <c r="I7" s="16" t="s">
        <v>52</v>
      </c>
      <c r="J7" s="16" t="s">
        <v>4</v>
      </c>
      <c r="K7" s="16" t="s">
        <v>5</v>
      </c>
      <c r="L7" s="17"/>
      <c r="M7" s="16" t="s">
        <v>6</v>
      </c>
      <c r="N7" s="16"/>
      <c r="O7" s="16"/>
      <c r="P7" s="16"/>
      <c r="Q7" s="16"/>
      <c r="R7" s="16"/>
      <c r="S7" s="16"/>
      <c r="T7" s="16"/>
      <c r="U7" s="16"/>
      <c r="V7" s="16"/>
      <c r="W7" s="5"/>
      <c r="X7" s="16"/>
      <c r="Y7" s="17"/>
      <c r="Z7" s="16"/>
      <c r="AA7" s="16" t="s">
        <v>369</v>
      </c>
      <c r="AB7" s="16"/>
      <c r="AC7" s="16"/>
      <c r="AD7" s="16"/>
      <c r="AE7" s="16" t="s">
        <v>86</v>
      </c>
      <c r="AF7" s="16"/>
      <c r="AG7" s="16"/>
      <c r="AH7" s="16"/>
      <c r="AI7" s="16" t="s">
        <v>154</v>
      </c>
      <c r="AJ7" s="16"/>
      <c r="AK7" s="16"/>
      <c r="AL7" s="16"/>
      <c r="AM7" s="16"/>
      <c r="AN7" s="16"/>
      <c r="AO7" s="16"/>
      <c r="AP7" s="16"/>
      <c r="AQ7" s="16" t="s">
        <v>85</v>
      </c>
      <c r="AR7" s="16"/>
      <c r="AS7" s="16"/>
      <c r="AT7" s="16"/>
      <c r="AU7" s="16"/>
      <c r="AV7" s="16"/>
      <c r="AW7" s="16"/>
      <c r="AX7" s="16"/>
      <c r="AY7" s="6"/>
      <c r="AZ7" s="6" t="s">
        <v>140</v>
      </c>
      <c r="BA7" s="7" t="s">
        <v>1</v>
      </c>
      <c r="BB7" s="6" t="s">
        <v>2</v>
      </c>
      <c r="BC7" s="8" t="s">
        <v>3</v>
      </c>
      <c r="BD7" s="6" t="s">
        <v>40</v>
      </c>
      <c r="BE7" s="6"/>
      <c r="BF7" s="6" t="s">
        <v>51</v>
      </c>
      <c r="BG7" s="16"/>
      <c r="BH7" s="16" t="s">
        <v>207</v>
      </c>
      <c r="BI7" s="16"/>
      <c r="BJ7" s="16" t="s">
        <v>208</v>
      </c>
      <c r="BK7" s="16"/>
      <c r="BL7" s="16" t="s">
        <v>209</v>
      </c>
      <c r="BM7" s="16"/>
      <c r="BN7" s="16" t="s">
        <v>213</v>
      </c>
      <c r="BO7" s="16"/>
      <c r="BP7" s="16"/>
      <c r="BQ7" s="16"/>
      <c r="BR7" s="6" t="s">
        <v>214</v>
      </c>
      <c r="BS7" s="16"/>
      <c r="BT7" s="6" t="s">
        <v>215</v>
      </c>
      <c r="BU7" s="16"/>
      <c r="BV7" s="6" t="s">
        <v>216</v>
      </c>
      <c r="BW7" s="16"/>
      <c r="BX7" s="6" t="s">
        <v>217</v>
      </c>
      <c r="BY7" s="16"/>
      <c r="BZ7" s="6" t="s">
        <v>218</v>
      </c>
      <c r="CA7" s="16"/>
      <c r="CB7" s="16" t="s">
        <v>219</v>
      </c>
      <c r="CC7" s="16"/>
      <c r="CD7" s="16" t="s">
        <v>220</v>
      </c>
      <c r="CE7" s="16"/>
      <c r="CF7" s="16" t="s">
        <v>221</v>
      </c>
      <c r="CG7" s="16"/>
      <c r="CH7" s="16" t="s">
        <v>222</v>
      </c>
      <c r="CI7" s="16"/>
      <c r="CK7" s="6" t="s">
        <v>358</v>
      </c>
      <c r="CL7" s="6" t="s">
        <v>352</v>
      </c>
      <c r="CM7" s="6" t="s">
        <v>353</v>
      </c>
      <c r="CN7" s="6" t="s">
        <v>361</v>
      </c>
      <c r="CO7" s="6" t="s">
        <v>362</v>
      </c>
      <c r="CP7" s="6" t="s">
        <v>356</v>
      </c>
      <c r="CQ7" s="6" t="s">
        <v>357</v>
      </c>
      <c r="CR7" s="6" t="s">
        <v>354</v>
      </c>
      <c r="CS7" s="6" t="s">
        <v>355</v>
      </c>
      <c r="CT7" s="6"/>
      <c r="CU7" s="6" t="s">
        <v>345</v>
      </c>
      <c r="CV7" s="6" t="s">
        <v>55</v>
      </c>
      <c r="CW7" s="6" t="s">
        <v>7</v>
      </c>
      <c r="CX7" s="5" t="s">
        <v>56</v>
      </c>
      <c r="CY7" s="5" t="s">
        <v>337</v>
      </c>
      <c r="CZ7" s="6" t="s">
        <v>284</v>
      </c>
      <c r="DA7" s="5" t="s">
        <v>285</v>
      </c>
      <c r="DB7" s="5" t="s">
        <v>338</v>
      </c>
      <c r="DC7" s="6" t="s">
        <v>198</v>
      </c>
      <c r="DD7" s="5" t="s">
        <v>199</v>
      </c>
      <c r="DE7" s="5" t="s">
        <v>339</v>
      </c>
      <c r="DF7" s="5" t="s">
        <v>57</v>
      </c>
      <c r="DG7" s="5" t="s">
        <v>58</v>
      </c>
      <c r="DH7" s="5" t="s">
        <v>340</v>
      </c>
      <c r="DI7" s="5" t="s">
        <v>59</v>
      </c>
      <c r="DJ7" s="5" t="s">
        <v>286</v>
      </c>
      <c r="DK7" s="5" t="s">
        <v>200</v>
      </c>
      <c r="DL7" s="5" t="s">
        <v>60</v>
      </c>
      <c r="DM7" s="5" t="s">
        <v>71</v>
      </c>
      <c r="DN7" s="5" t="s">
        <v>288</v>
      </c>
      <c r="DO7" s="5" t="s">
        <v>201</v>
      </c>
      <c r="DP7" s="5" t="s">
        <v>72</v>
      </c>
      <c r="DQ7" s="5" t="s">
        <v>82</v>
      </c>
      <c r="DR7" s="5" t="s">
        <v>83</v>
      </c>
      <c r="DS7" s="5" t="s">
        <v>84</v>
      </c>
      <c r="DT7" s="5" t="s">
        <v>102</v>
      </c>
      <c r="DU7" s="5" t="s">
        <v>161</v>
      </c>
      <c r="DV7" s="5" t="s">
        <v>281</v>
      </c>
      <c r="DW7" s="5" t="s">
        <v>363</v>
      </c>
      <c r="DX7" s="5" t="s">
        <v>366</v>
      </c>
      <c r="DY7" s="5"/>
      <c r="DZ7" s="5"/>
      <c r="EA7" s="6" t="s">
        <v>8</v>
      </c>
      <c r="EB7" s="6" t="s">
        <v>53</v>
      </c>
      <c r="EC7" s="5" t="s">
        <v>105</v>
      </c>
      <c r="ED7" s="5" t="s">
        <v>301</v>
      </c>
      <c r="EE7" s="5" t="s">
        <v>302</v>
      </c>
      <c r="EF7" s="5" t="s">
        <v>202</v>
      </c>
      <c r="EG7" s="9" t="s">
        <v>61</v>
      </c>
      <c r="EH7" s="9" t="s">
        <v>146</v>
      </c>
      <c r="EI7" s="16" t="s">
        <v>54</v>
      </c>
      <c r="EJ7" s="16" t="s">
        <v>203</v>
      </c>
      <c r="EK7" s="14" t="s">
        <v>331</v>
      </c>
      <c r="EL7" s="14" t="s">
        <v>290</v>
      </c>
      <c r="EM7" s="14" t="s">
        <v>157</v>
      </c>
      <c r="EN7" s="14" t="s">
        <v>159</v>
      </c>
      <c r="EO7" s="14"/>
      <c r="FC7" s="16" t="s">
        <v>139</v>
      </c>
      <c r="FD7" s="9" t="s">
        <v>273</v>
      </c>
      <c r="FE7" s="9" t="s">
        <v>303</v>
      </c>
      <c r="FF7" s="16" t="s">
        <v>297</v>
      </c>
      <c r="FG7" s="16" t="s">
        <v>298</v>
      </c>
      <c r="FH7" s="18"/>
      <c r="FI7" s="16" t="s">
        <v>299</v>
      </c>
      <c r="FL7" s="6" t="s">
        <v>313</v>
      </c>
      <c r="FM7" s="16"/>
      <c r="FN7" s="6" t="s">
        <v>314</v>
      </c>
      <c r="FP7" s="6" t="s">
        <v>315</v>
      </c>
      <c r="FQ7" s="16"/>
      <c r="FR7" s="6" t="s">
        <v>316</v>
      </c>
      <c r="FS7" s="16"/>
      <c r="FT7" s="6"/>
      <c r="FU7" s="16"/>
      <c r="FV7" s="6" t="s">
        <v>317</v>
      </c>
      <c r="FW7" s="16"/>
      <c r="FX7" s="6" t="s">
        <v>318</v>
      </c>
      <c r="FY7" s="16"/>
      <c r="FZ7" s="6" t="s">
        <v>319</v>
      </c>
      <c r="GA7" s="16"/>
      <c r="GB7" s="6" t="s">
        <v>320</v>
      </c>
      <c r="GC7" s="16"/>
      <c r="GD7" s="6" t="s">
        <v>321</v>
      </c>
      <c r="GF7" s="6" t="s">
        <v>322</v>
      </c>
      <c r="GG7" s="16"/>
      <c r="GH7" s="6" t="s">
        <v>323</v>
      </c>
      <c r="GI7" s="16"/>
      <c r="GJ7" s="6" t="s">
        <v>324</v>
      </c>
      <c r="GK7" s="16"/>
      <c r="GL7" s="6" t="s">
        <v>325</v>
      </c>
      <c r="GM7" s="16"/>
      <c r="GN7" s="6" t="s">
        <v>327</v>
      </c>
      <c r="GO7" s="6" t="s">
        <v>328</v>
      </c>
      <c r="GP7" s="6" t="s">
        <v>330</v>
      </c>
      <c r="GR7" s="9" t="s">
        <v>370</v>
      </c>
    </row>
    <row r="8" spans="1:200" s="5" customFormat="1" ht="14.25" hidden="1" customHeight="1" x14ac:dyDescent="0.2">
      <c r="B8" s="6"/>
      <c r="C8" s="6"/>
      <c r="D8" s="6" t="s">
        <v>2</v>
      </c>
      <c r="E8" s="8"/>
      <c r="I8" s="6" t="s">
        <v>9</v>
      </c>
      <c r="J8" s="6" t="s">
        <v>10</v>
      </c>
      <c r="K8" s="6" t="s">
        <v>11</v>
      </c>
      <c r="L8" s="6" t="s">
        <v>12</v>
      </c>
      <c r="M8" s="6" t="s">
        <v>13</v>
      </c>
      <c r="N8" s="6" t="s">
        <v>14</v>
      </c>
      <c r="O8" s="6" t="s">
        <v>229</v>
      </c>
      <c r="P8" s="6" t="s">
        <v>230</v>
      </c>
      <c r="Q8" s="6" t="s">
        <v>231</v>
      </c>
      <c r="R8" s="6"/>
      <c r="S8" s="6" t="s">
        <v>108</v>
      </c>
      <c r="T8" s="6" t="s">
        <v>360</v>
      </c>
      <c r="U8" s="6" t="s">
        <v>109</v>
      </c>
      <c r="V8" s="6" t="s">
        <v>260</v>
      </c>
      <c r="W8" s="6" t="s">
        <v>261</v>
      </c>
      <c r="X8" s="6"/>
      <c r="Y8" s="6" t="s">
        <v>262</v>
      </c>
      <c r="Z8" s="6" t="s">
        <v>263</v>
      </c>
      <c r="AA8" s="6" t="s">
        <v>368</v>
      </c>
      <c r="AB8" s="6" t="s">
        <v>110</v>
      </c>
      <c r="AC8" s="6" t="s">
        <v>264</v>
      </c>
      <c r="AD8" s="6" t="s">
        <v>111</v>
      </c>
      <c r="AE8" s="6" t="s">
        <v>112</v>
      </c>
      <c r="AF8" s="6" t="s">
        <v>265</v>
      </c>
      <c r="AG8" s="6" t="s">
        <v>266</v>
      </c>
      <c r="AH8" s="6" t="s">
        <v>113</v>
      </c>
      <c r="AI8" s="6" t="s">
        <v>114</v>
      </c>
      <c r="AJ8" s="6" t="s">
        <v>115</v>
      </c>
      <c r="AK8" s="6" t="s">
        <v>116</v>
      </c>
      <c r="AL8" s="6" t="s">
        <v>117</v>
      </c>
      <c r="AM8" s="6" t="s">
        <v>118</v>
      </c>
      <c r="AN8" s="6" t="s">
        <v>119</v>
      </c>
      <c r="AO8" s="6" t="s">
        <v>267</v>
      </c>
      <c r="AP8" s="6" t="s">
        <v>120</v>
      </c>
      <c r="AQ8" s="6" t="s">
        <v>121</v>
      </c>
      <c r="AR8" s="6" t="s">
        <v>122</v>
      </c>
      <c r="AS8" s="6" t="s">
        <v>123</v>
      </c>
      <c r="AT8" s="6" t="s">
        <v>124</v>
      </c>
      <c r="AU8" s="6" t="s">
        <v>125</v>
      </c>
      <c r="AV8" s="6" t="s">
        <v>126</v>
      </c>
      <c r="AW8" s="6" t="s">
        <v>127</v>
      </c>
      <c r="AX8" s="6" t="s">
        <v>128</v>
      </c>
      <c r="AY8" s="6"/>
      <c r="AZ8" s="6"/>
      <c r="BA8" s="6"/>
      <c r="BB8" s="6" t="s">
        <v>2</v>
      </c>
      <c r="BC8" s="8"/>
      <c r="BG8" s="6" t="s">
        <v>231</v>
      </c>
      <c r="BH8" s="6" t="s">
        <v>232</v>
      </c>
      <c r="BI8" s="6" t="s">
        <v>233</v>
      </c>
      <c r="BJ8" s="6" t="s">
        <v>234</v>
      </c>
      <c r="BK8" s="6" t="s">
        <v>235</v>
      </c>
      <c r="BL8" s="6" t="s">
        <v>236</v>
      </c>
      <c r="BM8" s="6" t="s">
        <v>237</v>
      </c>
      <c r="BN8" s="6" t="s">
        <v>238</v>
      </c>
      <c r="BO8" s="6" t="s">
        <v>239</v>
      </c>
      <c r="BP8" s="6" t="s">
        <v>240</v>
      </c>
      <c r="BQ8" s="6" t="s">
        <v>241</v>
      </c>
      <c r="BR8" s="6" t="s">
        <v>242</v>
      </c>
      <c r="BS8" s="6" t="s">
        <v>243</v>
      </c>
      <c r="BT8" s="6" t="s">
        <v>244</v>
      </c>
      <c r="BU8" s="6" t="s">
        <v>245</v>
      </c>
      <c r="BV8" s="6" t="s">
        <v>246</v>
      </c>
      <c r="BW8" s="6" t="s">
        <v>247</v>
      </c>
      <c r="BX8" s="6" t="s">
        <v>248</v>
      </c>
      <c r="BY8" s="6" t="s">
        <v>249</v>
      </c>
      <c r="BZ8" s="6" t="s">
        <v>250</v>
      </c>
      <c r="CA8" s="6" t="s">
        <v>251</v>
      </c>
      <c r="CB8" s="6" t="s">
        <v>252</v>
      </c>
      <c r="CC8" s="6" t="s">
        <v>253</v>
      </c>
      <c r="CD8" s="6" t="s">
        <v>254</v>
      </c>
      <c r="CE8" s="6" t="s">
        <v>255</v>
      </c>
      <c r="CF8" s="6" t="s">
        <v>256</v>
      </c>
      <c r="CG8" s="6" t="s">
        <v>257</v>
      </c>
      <c r="CH8" s="6" t="s">
        <v>258</v>
      </c>
      <c r="CI8" s="6" t="s">
        <v>259</v>
      </c>
      <c r="CJ8" s="5" t="s">
        <v>344</v>
      </c>
      <c r="CK8" s="6"/>
      <c r="CL8" s="6"/>
      <c r="CM8" s="6"/>
      <c r="CN8" s="6"/>
      <c r="CO8" s="6"/>
      <c r="CP8" s="6"/>
      <c r="CQ8" s="6"/>
      <c r="CR8" s="6"/>
      <c r="CS8" s="6"/>
      <c r="CT8" s="6"/>
      <c r="CU8" s="6" t="s">
        <v>347</v>
      </c>
      <c r="CV8" s="6" t="s">
        <v>130</v>
      </c>
      <c r="CW8" s="6" t="s">
        <v>131</v>
      </c>
      <c r="CX8" s="6" t="s">
        <v>132</v>
      </c>
      <c r="CY8" s="6"/>
      <c r="CZ8" s="6"/>
      <c r="DA8" s="6"/>
      <c r="DB8" s="6"/>
      <c r="DC8" s="6" t="s">
        <v>268</v>
      </c>
      <c r="DD8" s="6" t="s">
        <v>269</v>
      </c>
      <c r="DE8" s="6"/>
      <c r="DF8" s="6" t="s">
        <v>133</v>
      </c>
      <c r="DG8" s="6" t="s">
        <v>134</v>
      </c>
      <c r="DH8" s="6"/>
      <c r="DI8" s="6" t="s">
        <v>135</v>
      </c>
      <c r="DJ8" s="6"/>
      <c r="DK8" s="6" t="s">
        <v>129</v>
      </c>
      <c r="DL8" s="6" t="s">
        <v>136</v>
      </c>
      <c r="DM8" s="6" t="s">
        <v>137</v>
      </c>
      <c r="DN8" s="6"/>
      <c r="DO8" s="6" t="s">
        <v>270</v>
      </c>
      <c r="DP8" s="6" t="s">
        <v>138</v>
      </c>
      <c r="DQ8" s="6" t="s">
        <v>168</v>
      </c>
      <c r="DR8" s="5" t="s">
        <v>83</v>
      </c>
      <c r="DS8" s="5" t="s">
        <v>84</v>
      </c>
      <c r="DT8" s="6" t="s">
        <v>147</v>
      </c>
      <c r="DU8" s="6" t="s">
        <v>148</v>
      </c>
      <c r="DV8" s="6"/>
      <c r="DW8" s="6"/>
      <c r="DX8" s="6"/>
      <c r="DY8" s="6" t="s">
        <v>149</v>
      </c>
      <c r="DZ8" s="6" t="s">
        <v>150</v>
      </c>
      <c r="EA8" s="6" t="s">
        <v>151</v>
      </c>
      <c r="EB8" s="6" t="s">
        <v>152</v>
      </c>
      <c r="EC8" s="6" t="s">
        <v>153</v>
      </c>
      <c r="ED8" s="6" t="s">
        <v>271</v>
      </c>
      <c r="EE8" s="6"/>
      <c r="EF8" s="6" t="s">
        <v>272</v>
      </c>
      <c r="EG8" s="6" t="s">
        <v>166</v>
      </c>
      <c r="EH8" s="6" t="s">
        <v>167</v>
      </c>
      <c r="EI8" s="6"/>
      <c r="EJ8" s="6"/>
      <c r="EK8" s="6"/>
      <c r="EL8" s="6"/>
      <c r="EM8" s="6"/>
      <c r="EN8" s="6"/>
      <c r="EO8" s="6"/>
      <c r="EP8" s="6"/>
      <c r="EQ8" s="6" t="s">
        <v>173</v>
      </c>
      <c r="ER8" s="6" t="s">
        <v>174</v>
      </c>
      <c r="ES8" s="6" t="s">
        <v>175</v>
      </c>
      <c r="ET8" s="6" t="s">
        <v>176</v>
      </c>
      <c r="EU8" s="6" t="s">
        <v>177</v>
      </c>
      <c r="EV8" s="6" t="s">
        <v>178</v>
      </c>
      <c r="EW8" s="6" t="s">
        <v>226</v>
      </c>
      <c r="EX8" s="6" t="s">
        <v>227</v>
      </c>
      <c r="EY8" s="6" t="s">
        <v>228</v>
      </c>
      <c r="EZ8" s="6" t="s">
        <v>341</v>
      </c>
      <c r="FA8" s="6" t="s">
        <v>342</v>
      </c>
      <c r="FB8" s="6" t="s">
        <v>343</v>
      </c>
    </row>
    <row r="9" spans="1:200" ht="26.25" thickBot="1" x14ac:dyDescent="0.25">
      <c r="C9" s="44"/>
      <c r="D9" s="44"/>
      <c r="E9" s="44"/>
      <c r="G9" s="4" t="str">
        <f>"BẢNG LƯƠNG HỌC VIỆC THÁNG " &amp; A4 &amp; "." &amp; A5</f>
        <v>BẢNG LƯƠNG HỌC VIỆC THÁNG 4.5</v>
      </c>
      <c r="H9" s="44"/>
      <c r="I9" s="44"/>
      <c r="J9" s="44"/>
      <c r="K9" s="44"/>
      <c r="L9" s="44"/>
      <c r="M9" s="44"/>
      <c r="N9" s="44"/>
      <c r="O9" s="44"/>
      <c r="P9" s="44"/>
      <c r="Q9" s="44"/>
      <c r="R9" s="44"/>
      <c r="S9" s="44"/>
      <c r="T9" s="44"/>
      <c r="U9" s="44"/>
      <c r="V9" s="44"/>
      <c r="W9" s="44"/>
      <c r="X9" s="44"/>
      <c r="Y9" s="44"/>
      <c r="Z9" s="44"/>
      <c r="AA9" s="44"/>
      <c r="AB9" s="44"/>
      <c r="AC9" s="44"/>
      <c r="AD9" s="44"/>
      <c r="AE9" s="44"/>
      <c r="AF9" s="44"/>
      <c r="AG9" s="44"/>
      <c r="AH9" s="44"/>
      <c r="AI9" s="44"/>
      <c r="AJ9" s="44"/>
      <c r="AK9" s="44"/>
      <c r="AL9" s="44"/>
      <c r="AM9" s="44"/>
      <c r="AN9" s="44"/>
      <c r="AO9" s="44"/>
      <c r="AP9" s="44"/>
      <c r="AQ9" s="44"/>
      <c r="AR9" s="44"/>
      <c r="AS9" s="44"/>
      <c r="AT9" s="44"/>
      <c r="AU9" s="44"/>
      <c r="AV9" s="44"/>
      <c r="AW9" s="44"/>
      <c r="AX9" s="44"/>
      <c r="AY9" s="43"/>
      <c r="BA9" s="44"/>
      <c r="BB9" s="44"/>
      <c r="BC9" s="44"/>
      <c r="BD9" s="4" t="str">
        <f>"BẢNG LƯƠNG OT HỌC VIỆC THÁNG " &amp; A4 &amp; "." &amp; A5</f>
        <v>BẢNG LƯƠNG OT HỌC VIỆC THÁNG 4.5</v>
      </c>
      <c r="BE9" s="44"/>
      <c r="BF9" s="44"/>
      <c r="BG9" s="44"/>
      <c r="BH9" s="44"/>
      <c r="BI9" s="44"/>
      <c r="BJ9" s="44"/>
      <c r="BK9" s="44"/>
      <c r="BL9" s="44"/>
      <c r="BM9" s="44"/>
      <c r="BN9" s="44"/>
      <c r="BO9" s="44"/>
      <c r="BP9" s="44"/>
      <c r="BQ9" s="44"/>
      <c r="BR9" s="44"/>
      <c r="BS9" s="44"/>
      <c r="BT9" s="44"/>
      <c r="BU9" s="44"/>
      <c r="BV9" s="44"/>
      <c r="BW9" s="44"/>
      <c r="BX9" s="44"/>
      <c r="BY9" s="44"/>
      <c r="BZ9" s="44"/>
      <c r="CA9" s="44"/>
      <c r="CB9" s="44"/>
      <c r="CC9" s="44"/>
      <c r="CD9" s="44"/>
      <c r="CE9" s="44"/>
      <c r="CF9" s="44"/>
      <c r="CG9" s="44"/>
      <c r="CH9" s="44"/>
      <c r="CI9" s="44"/>
      <c r="CK9" s="43"/>
      <c r="CL9" s="43"/>
      <c r="CM9" s="43"/>
      <c r="CN9" s="43"/>
      <c r="CO9" s="43"/>
      <c r="CP9" s="43"/>
      <c r="CQ9" s="43"/>
      <c r="CR9" s="43"/>
      <c r="CS9" s="43"/>
      <c r="CT9" s="43"/>
      <c r="CU9" s="43"/>
      <c r="CV9" s="43"/>
      <c r="CW9" s="43"/>
      <c r="CX9" s="14"/>
      <c r="CY9" s="14"/>
      <c r="CZ9" s="14"/>
      <c r="DA9" s="14"/>
      <c r="DB9" s="14"/>
      <c r="DC9" s="14"/>
      <c r="DD9" s="14"/>
      <c r="DE9" s="14"/>
      <c r="DF9" s="14"/>
      <c r="DG9" s="14"/>
      <c r="DH9" s="14"/>
      <c r="DI9" s="14"/>
      <c r="DJ9" s="14"/>
      <c r="DK9" s="14"/>
      <c r="DL9" s="14"/>
      <c r="DM9" s="14"/>
      <c r="DN9" s="14"/>
      <c r="DO9" s="14"/>
      <c r="DP9" s="14"/>
      <c r="DQ9" s="14"/>
      <c r="DR9" s="14"/>
      <c r="DS9" s="14"/>
      <c r="DT9" s="14"/>
      <c r="DU9" s="14"/>
      <c r="DV9" s="14"/>
      <c r="DW9" s="14"/>
      <c r="DX9" s="14"/>
      <c r="DY9" s="14"/>
      <c r="DZ9" s="14"/>
      <c r="EA9" s="14"/>
      <c r="EB9" s="14"/>
      <c r="EC9" s="14"/>
      <c r="ED9" s="14"/>
      <c r="EE9" s="14"/>
      <c r="EF9" s="14"/>
      <c r="EI9" s="14"/>
      <c r="EJ9" s="14"/>
      <c r="EK9" s="14"/>
      <c r="EL9" s="14"/>
      <c r="EM9" s="14"/>
      <c r="EN9" s="14"/>
      <c r="EO9" s="14"/>
    </row>
    <row r="10" spans="1:200" s="45" customFormat="1" ht="62.25" customHeight="1" thickTop="1" x14ac:dyDescent="0.2">
      <c r="B10" s="1" t="s">
        <v>17</v>
      </c>
      <c r="C10" s="1" t="s">
        <v>0</v>
      </c>
      <c r="D10" s="1" t="s">
        <v>16</v>
      </c>
      <c r="E10" s="1" t="s">
        <v>15</v>
      </c>
      <c r="F10" s="20" t="s">
        <v>34</v>
      </c>
      <c r="G10" s="65" t="s">
        <v>145</v>
      </c>
      <c r="H10" s="1" t="s">
        <v>17</v>
      </c>
      <c r="I10" s="1" t="s">
        <v>18</v>
      </c>
      <c r="J10" s="67" t="s">
        <v>62</v>
      </c>
      <c r="K10" s="68"/>
      <c r="L10" s="68"/>
      <c r="M10" s="69"/>
      <c r="N10" s="65" t="s">
        <v>35</v>
      </c>
      <c r="O10" s="65" t="s">
        <v>172</v>
      </c>
      <c r="P10" s="65" t="s">
        <v>36</v>
      </c>
      <c r="Q10" s="65" t="s">
        <v>19</v>
      </c>
      <c r="R10" s="65" t="s">
        <v>364</v>
      </c>
      <c r="S10" s="65" t="s">
        <v>365</v>
      </c>
      <c r="T10" s="65" t="s">
        <v>349</v>
      </c>
      <c r="U10" s="65" t="s">
        <v>107</v>
      </c>
      <c r="V10" s="65" t="s">
        <v>20</v>
      </c>
      <c r="W10" s="65" t="s">
        <v>21</v>
      </c>
      <c r="X10" s="65" t="s">
        <v>22</v>
      </c>
      <c r="Y10" s="65" t="s">
        <v>37</v>
      </c>
      <c r="Z10" s="65" t="s">
        <v>38</v>
      </c>
      <c r="AA10" s="65" t="s">
        <v>367</v>
      </c>
      <c r="AB10" s="65" t="s">
        <v>73</v>
      </c>
      <c r="AC10" s="72" t="s">
        <v>194</v>
      </c>
      <c r="AD10" s="65" t="s">
        <v>224</v>
      </c>
      <c r="AE10" s="65" t="s">
        <v>179</v>
      </c>
      <c r="AF10" s="67" t="s">
        <v>63</v>
      </c>
      <c r="AG10" s="68"/>
      <c r="AH10" s="68"/>
      <c r="AI10" s="68"/>
      <c r="AJ10" s="69"/>
      <c r="AK10" s="67" t="s">
        <v>64</v>
      </c>
      <c r="AL10" s="68"/>
      <c r="AM10" s="68"/>
      <c r="AN10" s="69"/>
      <c r="AO10" s="67" t="s">
        <v>64</v>
      </c>
      <c r="AP10" s="68"/>
      <c r="AQ10" s="68"/>
      <c r="AR10" s="69"/>
      <c r="AS10" s="65" t="s">
        <v>33</v>
      </c>
      <c r="AT10" s="74" t="s">
        <v>65</v>
      </c>
      <c r="AU10" s="75"/>
      <c r="AV10" s="75"/>
      <c r="AW10" s="75"/>
      <c r="AX10" s="76"/>
      <c r="AY10" s="14"/>
      <c r="AZ10" s="19" t="s">
        <v>17</v>
      </c>
      <c r="BA10" s="1" t="s">
        <v>0</v>
      </c>
      <c r="BB10" s="1" t="s">
        <v>16</v>
      </c>
      <c r="BC10" s="1" t="s">
        <v>15</v>
      </c>
      <c r="BD10" s="20" t="s">
        <v>34</v>
      </c>
      <c r="BE10" s="65" t="s">
        <v>145</v>
      </c>
      <c r="BF10" s="1" t="s">
        <v>17</v>
      </c>
      <c r="BG10" s="65" t="s">
        <v>19</v>
      </c>
      <c r="BH10" s="67" t="s">
        <v>67</v>
      </c>
      <c r="BI10" s="68"/>
      <c r="BJ10" s="68"/>
      <c r="BK10" s="69"/>
      <c r="BL10" s="67" t="s">
        <v>66</v>
      </c>
      <c r="BM10" s="68"/>
      <c r="BN10" s="68"/>
      <c r="BO10" s="68"/>
      <c r="BP10" s="68"/>
      <c r="BQ10" s="69"/>
      <c r="BR10" s="67" t="s">
        <v>68</v>
      </c>
      <c r="BS10" s="68"/>
      <c r="BT10" s="68"/>
      <c r="BU10" s="68"/>
      <c r="BV10" s="68"/>
      <c r="BW10" s="68"/>
      <c r="BX10" s="68"/>
      <c r="BY10" s="68"/>
      <c r="BZ10" s="68"/>
      <c r="CA10" s="69"/>
      <c r="CB10" s="67" t="s">
        <v>69</v>
      </c>
      <c r="CC10" s="68"/>
      <c r="CD10" s="68"/>
      <c r="CE10" s="68"/>
      <c r="CF10" s="68"/>
      <c r="CG10" s="68"/>
      <c r="CH10" s="68"/>
      <c r="CI10" s="69"/>
      <c r="CJ10" s="64" t="s">
        <v>305</v>
      </c>
      <c r="CK10" s="14"/>
      <c r="CL10" s="82" t="s">
        <v>87</v>
      </c>
      <c r="CM10" s="82"/>
      <c r="CN10" s="82" t="s">
        <v>278</v>
      </c>
      <c r="CO10" s="82"/>
      <c r="CP10" s="82" t="s">
        <v>183</v>
      </c>
      <c r="CQ10" s="82"/>
      <c r="CR10" s="82" t="s">
        <v>88</v>
      </c>
      <c r="CS10" s="82"/>
      <c r="CT10" s="14"/>
      <c r="CU10" s="14"/>
      <c r="CV10" s="14"/>
      <c r="CW10" s="14"/>
      <c r="CX10" s="14"/>
      <c r="CY10" s="14"/>
      <c r="CZ10" s="14"/>
      <c r="DA10" s="14"/>
      <c r="DB10" s="14"/>
      <c r="DC10" s="14"/>
      <c r="DD10" s="14"/>
      <c r="DE10" s="14"/>
      <c r="DF10" s="14"/>
      <c r="DG10" s="46"/>
      <c r="DH10" s="46"/>
      <c r="DI10" s="46"/>
      <c r="DJ10" s="46"/>
      <c r="DK10" s="46"/>
      <c r="DL10" s="46"/>
      <c r="DM10" s="46"/>
      <c r="DN10" s="46"/>
      <c r="DO10" s="46"/>
      <c r="DP10" s="46"/>
      <c r="DQ10" s="46"/>
      <c r="DR10" s="46"/>
      <c r="DS10" s="46"/>
      <c r="DT10" s="46"/>
      <c r="DU10" s="46"/>
      <c r="DV10" s="46"/>
      <c r="DW10" s="46"/>
      <c r="DX10" s="46"/>
      <c r="DY10" s="46"/>
      <c r="DZ10" s="46"/>
      <c r="EA10" s="46"/>
      <c r="EB10" s="46"/>
      <c r="EC10" s="46"/>
      <c r="ED10" s="46"/>
      <c r="EE10" s="46"/>
      <c r="EF10" s="46"/>
      <c r="EI10" s="46"/>
      <c r="EJ10" s="46"/>
      <c r="EK10" s="46"/>
      <c r="EL10" s="46"/>
      <c r="EM10" s="46"/>
      <c r="EN10" s="46"/>
      <c r="EO10" s="46"/>
      <c r="EQ10" s="81" t="s">
        <v>87</v>
      </c>
      <c r="ER10" s="81"/>
      <c r="ES10" s="81"/>
      <c r="ET10" s="81" t="s">
        <v>88</v>
      </c>
      <c r="EU10" s="81"/>
      <c r="EV10" s="81"/>
      <c r="EW10" s="81" t="s">
        <v>183</v>
      </c>
      <c r="EX10" s="81"/>
      <c r="EY10" s="81"/>
      <c r="EZ10" s="81" t="s">
        <v>278</v>
      </c>
      <c r="FA10" s="81"/>
      <c r="FB10" s="81"/>
      <c r="FE10" s="77" t="s">
        <v>25</v>
      </c>
      <c r="FF10" s="67" t="s">
        <v>292</v>
      </c>
      <c r="FG10" s="68"/>
      <c r="FH10" s="68"/>
      <c r="FI10" s="69"/>
      <c r="FJ10" s="78" t="s">
        <v>304</v>
      </c>
      <c r="FL10" s="81" t="s">
        <v>312</v>
      </c>
      <c r="FM10" s="81"/>
      <c r="FN10" s="81"/>
      <c r="FO10" s="81"/>
      <c r="FP10" s="81" t="s">
        <v>306</v>
      </c>
      <c r="FQ10" s="81"/>
      <c r="FR10" s="81"/>
      <c r="FS10" s="81"/>
      <c r="FT10" s="81"/>
      <c r="FU10" s="81"/>
      <c r="FV10" s="81" t="s">
        <v>307</v>
      </c>
      <c r="FW10" s="81"/>
      <c r="FX10" s="81"/>
      <c r="FY10" s="81"/>
      <c r="FZ10" s="81"/>
      <c r="GA10" s="81"/>
      <c r="GB10" s="81"/>
      <c r="GC10" s="81"/>
      <c r="GD10" s="81"/>
      <c r="GE10" s="81"/>
      <c r="GF10" s="81" t="s">
        <v>308</v>
      </c>
      <c r="GG10" s="81"/>
      <c r="GH10" s="81"/>
      <c r="GI10" s="81"/>
      <c r="GJ10" s="81"/>
      <c r="GK10" s="81"/>
      <c r="GL10" s="81"/>
      <c r="GM10" s="81"/>
      <c r="GN10" s="64" t="s">
        <v>309</v>
      </c>
      <c r="GO10" s="64" t="s">
        <v>310</v>
      </c>
      <c r="GP10" s="64" t="s">
        <v>329</v>
      </c>
      <c r="GQ10" s="64" t="s">
        <v>311</v>
      </c>
      <c r="GR10" s="64" t="s">
        <v>371</v>
      </c>
    </row>
    <row r="11" spans="1:200" s="37" customFormat="1" ht="64.5" customHeight="1" x14ac:dyDescent="0.2">
      <c r="B11" s="21" t="s">
        <v>141</v>
      </c>
      <c r="C11" s="21" t="s">
        <v>1</v>
      </c>
      <c r="D11" s="2" t="s">
        <v>39</v>
      </c>
      <c r="E11" s="22" t="s">
        <v>23</v>
      </c>
      <c r="F11" s="23" t="s">
        <v>40</v>
      </c>
      <c r="G11" s="66"/>
      <c r="H11" s="2" t="s">
        <v>24</v>
      </c>
      <c r="I11" s="2" t="s">
        <v>25</v>
      </c>
      <c r="J11" s="2" t="s">
        <v>26</v>
      </c>
      <c r="K11" s="2" t="s">
        <v>27</v>
      </c>
      <c r="L11" s="2" t="s">
        <v>28</v>
      </c>
      <c r="M11" s="2" t="s">
        <v>29</v>
      </c>
      <c r="N11" s="66"/>
      <c r="O11" s="66"/>
      <c r="P11" s="66"/>
      <c r="Q11" s="66"/>
      <c r="R11" s="66"/>
      <c r="S11" s="66"/>
      <c r="T11" s="66"/>
      <c r="U11" s="66"/>
      <c r="V11" s="66"/>
      <c r="W11" s="66"/>
      <c r="X11" s="66"/>
      <c r="Y11" s="66"/>
      <c r="Z11" s="66"/>
      <c r="AA11" s="66"/>
      <c r="AB11" s="66"/>
      <c r="AC11" s="73"/>
      <c r="AD11" s="66"/>
      <c r="AE11" s="66"/>
      <c r="AF11" s="24" t="s">
        <v>223</v>
      </c>
      <c r="AG11" s="2" t="s">
        <v>171</v>
      </c>
      <c r="AH11" s="2" t="s">
        <v>41</v>
      </c>
      <c r="AI11" s="2" t="s">
        <v>42</v>
      </c>
      <c r="AJ11" s="2" t="s">
        <v>43</v>
      </c>
      <c r="AK11" s="2" t="s">
        <v>44</v>
      </c>
      <c r="AL11" s="2" t="s">
        <v>45</v>
      </c>
      <c r="AM11" s="2" t="s">
        <v>31</v>
      </c>
      <c r="AN11" s="2" t="s">
        <v>70</v>
      </c>
      <c r="AO11" s="24" t="s">
        <v>225</v>
      </c>
      <c r="AP11" s="25" t="s">
        <v>32</v>
      </c>
      <c r="AQ11" s="25" t="s">
        <v>180</v>
      </c>
      <c r="AR11" s="2" t="s">
        <v>46</v>
      </c>
      <c r="AS11" s="66"/>
      <c r="AT11" s="2" t="s">
        <v>47</v>
      </c>
      <c r="AU11" s="2" t="s">
        <v>48</v>
      </c>
      <c r="AV11" s="2" t="s">
        <v>31</v>
      </c>
      <c r="AW11" s="2" t="s">
        <v>49</v>
      </c>
      <c r="AX11" s="26" t="s">
        <v>30</v>
      </c>
      <c r="AY11" s="7"/>
      <c r="AZ11" s="63" t="s">
        <v>141</v>
      </c>
      <c r="BA11" s="21" t="s">
        <v>1</v>
      </c>
      <c r="BB11" s="2" t="s">
        <v>39</v>
      </c>
      <c r="BC11" s="22" t="s">
        <v>23</v>
      </c>
      <c r="BD11" s="23" t="s">
        <v>40</v>
      </c>
      <c r="BE11" s="66"/>
      <c r="BF11" s="2" t="s">
        <v>24</v>
      </c>
      <c r="BG11" s="66"/>
      <c r="BH11" s="70" t="s">
        <v>184</v>
      </c>
      <c r="BI11" s="71"/>
      <c r="BJ11" s="70" t="s">
        <v>185</v>
      </c>
      <c r="BK11" s="71"/>
      <c r="BL11" s="70" t="s">
        <v>195</v>
      </c>
      <c r="BM11" s="71"/>
      <c r="BN11" s="70" t="s">
        <v>196</v>
      </c>
      <c r="BO11" s="71"/>
      <c r="BP11" s="70" t="s">
        <v>197</v>
      </c>
      <c r="BQ11" s="71"/>
      <c r="BR11" s="70" t="s">
        <v>186</v>
      </c>
      <c r="BS11" s="71"/>
      <c r="BT11" s="70" t="s">
        <v>187</v>
      </c>
      <c r="BU11" s="71"/>
      <c r="BV11" s="70" t="s">
        <v>188</v>
      </c>
      <c r="BW11" s="71"/>
      <c r="BX11" s="70" t="s">
        <v>189</v>
      </c>
      <c r="BY11" s="71"/>
      <c r="BZ11" s="70" t="s">
        <v>277</v>
      </c>
      <c r="CA11" s="71"/>
      <c r="CB11" s="70" t="s">
        <v>190</v>
      </c>
      <c r="CC11" s="71"/>
      <c r="CD11" s="70" t="s">
        <v>191</v>
      </c>
      <c r="CE11" s="71"/>
      <c r="CF11" s="70" t="s">
        <v>192</v>
      </c>
      <c r="CG11" s="71"/>
      <c r="CH11" s="70" t="s">
        <v>193</v>
      </c>
      <c r="CI11" s="71"/>
      <c r="CJ11" s="64"/>
      <c r="CK11" s="46" t="s">
        <v>359</v>
      </c>
      <c r="CL11" s="46" t="s">
        <v>350</v>
      </c>
      <c r="CM11" s="46" t="s">
        <v>351</v>
      </c>
      <c r="CN11" s="46" t="s">
        <v>350</v>
      </c>
      <c r="CO11" s="46" t="s">
        <v>351</v>
      </c>
      <c r="CP11" s="46" t="s">
        <v>350</v>
      </c>
      <c r="CQ11" s="46" t="s">
        <v>351</v>
      </c>
      <c r="CR11" s="46" t="s">
        <v>350</v>
      </c>
      <c r="CS11" s="46" t="s">
        <v>351</v>
      </c>
      <c r="CT11" s="7" t="s">
        <v>348</v>
      </c>
      <c r="CU11" s="47" t="s">
        <v>346</v>
      </c>
      <c r="CV11" s="48" t="s">
        <v>74</v>
      </c>
      <c r="CW11" s="48" t="s">
        <v>75</v>
      </c>
      <c r="CX11" s="48" t="s">
        <v>211</v>
      </c>
      <c r="CY11" s="48" t="s">
        <v>333</v>
      </c>
      <c r="CZ11" s="48" t="s">
        <v>282</v>
      </c>
      <c r="DA11" s="48" t="s">
        <v>283</v>
      </c>
      <c r="DB11" s="48" t="s">
        <v>334</v>
      </c>
      <c r="DC11" s="48" t="s">
        <v>210</v>
      </c>
      <c r="DD11" s="48" t="s">
        <v>212</v>
      </c>
      <c r="DE11" s="48" t="s">
        <v>335</v>
      </c>
      <c r="DF11" s="48" t="s">
        <v>76</v>
      </c>
      <c r="DG11" s="48" t="s">
        <v>77</v>
      </c>
      <c r="DH11" s="49" t="s">
        <v>336</v>
      </c>
      <c r="DI11" s="50" t="s">
        <v>78</v>
      </c>
      <c r="DJ11" s="50" t="s">
        <v>287</v>
      </c>
      <c r="DK11" s="50" t="s">
        <v>204</v>
      </c>
      <c r="DL11" s="50" t="s">
        <v>79</v>
      </c>
      <c r="DM11" s="50" t="s">
        <v>80</v>
      </c>
      <c r="DN11" s="50" t="s">
        <v>289</v>
      </c>
      <c r="DO11" s="50" t="s">
        <v>205</v>
      </c>
      <c r="DP11" s="50" t="s">
        <v>81</v>
      </c>
      <c r="DQ11" s="50" t="s">
        <v>82</v>
      </c>
      <c r="DR11" s="50" t="s">
        <v>83</v>
      </c>
      <c r="DS11" s="50" t="s">
        <v>84</v>
      </c>
      <c r="DT11" s="46" t="s">
        <v>162</v>
      </c>
      <c r="DU11" s="46" t="s">
        <v>163</v>
      </c>
      <c r="DV11" s="46" t="s">
        <v>279</v>
      </c>
      <c r="DW11" s="46" t="s">
        <v>280</v>
      </c>
      <c r="DX11" s="46" t="s">
        <v>326</v>
      </c>
      <c r="DY11" s="46" t="s">
        <v>165</v>
      </c>
      <c r="DZ11" s="46" t="s">
        <v>164</v>
      </c>
      <c r="EA11" s="46" t="s">
        <v>103</v>
      </c>
      <c r="EB11" s="46" t="s">
        <v>104</v>
      </c>
      <c r="EC11" s="46" t="s">
        <v>106</v>
      </c>
      <c r="ED11" s="51" t="s">
        <v>143</v>
      </c>
      <c r="EE11" s="46" t="s">
        <v>300</v>
      </c>
      <c r="EF11" s="46" t="s">
        <v>206</v>
      </c>
      <c r="EG11" s="52" t="s">
        <v>144</v>
      </c>
      <c r="EH11" s="45" t="s">
        <v>145</v>
      </c>
      <c r="EI11" s="53" t="s">
        <v>155</v>
      </c>
      <c r="EJ11" s="46" t="s">
        <v>332</v>
      </c>
      <c r="EK11" s="46" t="s">
        <v>156</v>
      </c>
      <c r="EL11" s="46" t="s">
        <v>291</v>
      </c>
      <c r="EM11" s="46" t="s">
        <v>158</v>
      </c>
      <c r="EN11" s="46" t="s">
        <v>160</v>
      </c>
      <c r="EO11" s="46" t="s">
        <v>169</v>
      </c>
      <c r="EP11" s="52" t="s">
        <v>170</v>
      </c>
      <c r="EQ11" s="2" t="s">
        <v>26</v>
      </c>
      <c r="ER11" s="2" t="s">
        <v>27</v>
      </c>
      <c r="ES11" s="2" t="s">
        <v>29</v>
      </c>
      <c r="ET11" s="2" t="s">
        <v>26</v>
      </c>
      <c r="EU11" s="2" t="s">
        <v>27</v>
      </c>
      <c r="EV11" s="2" t="s">
        <v>29</v>
      </c>
      <c r="EW11" s="2" t="s">
        <v>26</v>
      </c>
      <c r="EX11" s="2" t="s">
        <v>27</v>
      </c>
      <c r="EY11" s="2" t="s">
        <v>29</v>
      </c>
      <c r="EZ11" s="2" t="s">
        <v>26</v>
      </c>
      <c r="FA11" s="2" t="s">
        <v>27</v>
      </c>
      <c r="FB11" s="2" t="s">
        <v>29</v>
      </c>
      <c r="FC11" s="45" t="s">
        <v>274</v>
      </c>
      <c r="FD11" s="45" t="s">
        <v>275</v>
      </c>
      <c r="FE11" s="77"/>
      <c r="FF11" s="2" t="s">
        <v>293</v>
      </c>
      <c r="FG11" s="2" t="s">
        <v>294</v>
      </c>
      <c r="FH11" s="2" t="s">
        <v>295</v>
      </c>
      <c r="FI11" s="2" t="s">
        <v>296</v>
      </c>
      <c r="FJ11" s="78"/>
      <c r="FL11" s="79" t="s">
        <v>89</v>
      </c>
      <c r="FM11" s="80"/>
      <c r="FN11" s="79" t="s">
        <v>90</v>
      </c>
      <c r="FO11" s="80"/>
      <c r="FP11" s="79" t="s">
        <v>91</v>
      </c>
      <c r="FQ11" s="80"/>
      <c r="FR11" s="79" t="s">
        <v>92</v>
      </c>
      <c r="FS11" s="80"/>
      <c r="FT11" s="79" t="s">
        <v>93</v>
      </c>
      <c r="FU11" s="80"/>
      <c r="FV11" s="79" t="s">
        <v>94</v>
      </c>
      <c r="FW11" s="80"/>
      <c r="FX11" s="79" t="s">
        <v>95</v>
      </c>
      <c r="FY11" s="80"/>
      <c r="FZ11" s="79" t="s">
        <v>96</v>
      </c>
      <c r="GA11" s="80"/>
      <c r="GB11" s="79" t="s">
        <v>97</v>
      </c>
      <c r="GC11" s="80"/>
      <c r="GD11" s="79" t="s">
        <v>276</v>
      </c>
      <c r="GE11" s="80"/>
      <c r="GF11" s="79" t="s">
        <v>98</v>
      </c>
      <c r="GG11" s="80"/>
      <c r="GH11" s="79" t="s">
        <v>99</v>
      </c>
      <c r="GI11" s="80"/>
      <c r="GJ11" s="79" t="s">
        <v>100</v>
      </c>
      <c r="GK11" s="80"/>
      <c r="GL11" s="79" t="s">
        <v>101</v>
      </c>
      <c r="GM11" s="80"/>
      <c r="GN11" s="64"/>
      <c r="GO11" s="64"/>
      <c r="GP11" s="64"/>
      <c r="GQ11" s="64"/>
      <c r="GR11" s="64"/>
    </row>
    <row r="12" spans="1:200" x14ac:dyDescent="0.2">
      <c r="B12" s="21">
        <v>1</v>
      </c>
      <c r="C12" s="27">
        <f>B12+1</f>
        <v>2</v>
      </c>
      <c r="D12" s="27">
        <f t="shared" ref="D12:E12" si="0">C12+1</f>
        <v>3</v>
      </c>
      <c r="E12" s="27">
        <f t="shared" si="0"/>
        <v>4</v>
      </c>
      <c r="F12" s="27">
        <f t="shared" ref="F12" si="1">E12+1</f>
        <v>5</v>
      </c>
      <c r="G12" s="27">
        <f t="shared" ref="G12" si="2">F12+1</f>
        <v>6</v>
      </c>
      <c r="H12" s="27">
        <f t="shared" ref="H12" si="3">G12+1</f>
        <v>7</v>
      </c>
      <c r="I12" s="27">
        <f t="shared" ref="I12" si="4">H12+1</f>
        <v>8</v>
      </c>
      <c r="J12" s="27">
        <f t="shared" ref="J12" si="5">I12+1</f>
        <v>9</v>
      </c>
      <c r="K12" s="27">
        <f t="shared" ref="K12" si="6">J12+1</f>
        <v>10</v>
      </c>
      <c r="L12" s="27">
        <f t="shared" ref="L12" si="7">K12+1</f>
        <v>11</v>
      </c>
      <c r="M12" s="27">
        <f t="shared" ref="M12" si="8">L12+1</f>
        <v>12</v>
      </c>
      <c r="N12" s="27">
        <f t="shared" ref="N12" si="9">M12+1</f>
        <v>13</v>
      </c>
      <c r="O12" s="27">
        <f t="shared" ref="O12" si="10">N12+1</f>
        <v>14</v>
      </c>
      <c r="P12" s="27">
        <f t="shared" ref="P12" si="11">O12+1</f>
        <v>15</v>
      </c>
      <c r="Q12" s="27">
        <f t="shared" ref="Q12" si="12">P12+1</f>
        <v>16</v>
      </c>
      <c r="R12" s="27">
        <f t="shared" ref="R12" si="13">Q12+1</f>
        <v>17</v>
      </c>
      <c r="S12" s="27">
        <f t="shared" ref="S12" si="14">R12+1</f>
        <v>18</v>
      </c>
      <c r="T12" s="27">
        <f t="shared" ref="T12" si="15">S12+1</f>
        <v>19</v>
      </c>
      <c r="U12" s="27">
        <f t="shared" ref="U12" si="16">T12+1</f>
        <v>20</v>
      </c>
      <c r="V12" s="27">
        <f t="shared" ref="V12" si="17">U12+1</f>
        <v>21</v>
      </c>
      <c r="W12" s="27">
        <f t="shared" ref="W12" si="18">V12+1</f>
        <v>22</v>
      </c>
      <c r="X12" s="27">
        <f t="shared" ref="X12" si="19">W12+1</f>
        <v>23</v>
      </c>
      <c r="Y12" s="27">
        <f t="shared" ref="Y12" si="20">X12+1</f>
        <v>24</v>
      </c>
      <c r="Z12" s="27">
        <f t="shared" ref="Z12" si="21">Y12+1</f>
        <v>25</v>
      </c>
      <c r="AA12" s="27"/>
      <c r="AB12" s="27">
        <f t="shared" ref="AB12" si="22">Z12+1</f>
        <v>26</v>
      </c>
      <c r="AC12" s="27">
        <f t="shared" ref="AC12" si="23">AB12+1</f>
        <v>27</v>
      </c>
      <c r="AD12" s="27">
        <f t="shared" ref="AD12" si="24">AC12+1</f>
        <v>28</v>
      </c>
      <c r="AE12" s="27">
        <f t="shared" ref="AE12" si="25">AD12+1</f>
        <v>29</v>
      </c>
      <c r="AF12" s="27">
        <f t="shared" ref="AF12" si="26">AE12+1</f>
        <v>30</v>
      </c>
      <c r="AG12" s="27">
        <f t="shared" ref="AG12" si="27">AF12+1</f>
        <v>31</v>
      </c>
      <c r="AH12" s="27">
        <f t="shared" ref="AH12" si="28">AG12+1</f>
        <v>32</v>
      </c>
      <c r="AI12" s="27">
        <f t="shared" ref="AI12" si="29">AH12+1</f>
        <v>33</v>
      </c>
      <c r="AJ12" s="27">
        <f t="shared" ref="AJ12" si="30">AI12+1</f>
        <v>34</v>
      </c>
      <c r="AK12" s="28">
        <v>0.08</v>
      </c>
      <c r="AL12" s="29">
        <v>1.4999999999999999E-2</v>
      </c>
      <c r="AM12" s="28">
        <v>0.01</v>
      </c>
      <c r="AN12" s="28">
        <v>0.01</v>
      </c>
      <c r="AO12" s="27">
        <f>AJ12+1</f>
        <v>35</v>
      </c>
      <c r="AP12" s="27">
        <f t="shared" ref="AP12" si="31">AO12+1</f>
        <v>36</v>
      </c>
      <c r="AQ12" s="27">
        <f t="shared" ref="AQ12" si="32">AP12+1</f>
        <v>37</v>
      </c>
      <c r="AR12" s="27">
        <f t="shared" ref="AR12" si="33">AQ12+1</f>
        <v>38</v>
      </c>
      <c r="AS12" s="27">
        <f t="shared" ref="AS12" si="34">AR12+1</f>
        <v>39</v>
      </c>
      <c r="AT12" s="30">
        <v>0.17499999999999999</v>
      </c>
      <c r="AU12" s="30">
        <v>0.03</v>
      </c>
      <c r="AV12" s="30">
        <v>0.01</v>
      </c>
      <c r="AW12" s="30">
        <v>0.02</v>
      </c>
      <c r="AX12" s="26">
        <v>114</v>
      </c>
      <c r="AY12" s="14"/>
      <c r="AZ12" s="21">
        <v>1</v>
      </c>
      <c r="BA12" s="27">
        <f>AZ12+1</f>
        <v>2</v>
      </c>
      <c r="BB12" s="27">
        <f t="shared" ref="BB12" si="35">BA12+1</f>
        <v>3</v>
      </c>
      <c r="BC12" s="27">
        <f t="shared" ref="BC12" si="36">BB12+1</f>
        <v>4</v>
      </c>
      <c r="BD12" s="27">
        <f t="shared" ref="BD12" si="37">BC12+1</f>
        <v>5</v>
      </c>
      <c r="BE12" s="27">
        <f t="shared" ref="BE12" si="38">BD12+1</f>
        <v>6</v>
      </c>
      <c r="BF12" s="27">
        <f t="shared" ref="BF12:BG12" si="39">BE12+1</f>
        <v>7</v>
      </c>
      <c r="BG12" s="27">
        <f t="shared" si="39"/>
        <v>8</v>
      </c>
      <c r="BH12" s="21" t="s">
        <v>50</v>
      </c>
      <c r="BI12" s="31">
        <v>1</v>
      </c>
      <c r="BJ12" s="21" t="s">
        <v>50</v>
      </c>
      <c r="BK12" s="31">
        <v>1.3</v>
      </c>
      <c r="BL12" s="21" t="s">
        <v>50</v>
      </c>
      <c r="BM12" s="31">
        <v>2</v>
      </c>
      <c r="BN12" s="21" t="s">
        <v>50</v>
      </c>
      <c r="BO12" s="31">
        <v>1.5</v>
      </c>
      <c r="BP12" s="21" t="s">
        <v>50</v>
      </c>
      <c r="BQ12" s="31">
        <v>1.5</v>
      </c>
      <c r="BR12" s="21" t="s">
        <v>50</v>
      </c>
      <c r="BS12" s="31">
        <v>2</v>
      </c>
      <c r="BT12" s="21" t="s">
        <v>50</v>
      </c>
      <c r="BU12" s="31">
        <v>2.2999999999999998</v>
      </c>
      <c r="BV12" s="31" t="s">
        <v>50</v>
      </c>
      <c r="BW12" s="31">
        <v>2.7</v>
      </c>
      <c r="BX12" s="21" t="s">
        <v>50</v>
      </c>
      <c r="BY12" s="31">
        <v>2</v>
      </c>
      <c r="BZ12" s="21" t="s">
        <v>50</v>
      </c>
      <c r="CA12" s="31">
        <v>2</v>
      </c>
      <c r="CB12" s="31" t="s">
        <v>50</v>
      </c>
      <c r="CC12" s="31">
        <v>3</v>
      </c>
      <c r="CD12" s="31" t="s">
        <v>50</v>
      </c>
      <c r="CE12" s="31">
        <v>3.3</v>
      </c>
      <c r="CF12" s="31" t="s">
        <v>50</v>
      </c>
      <c r="CG12" s="31">
        <v>3.9</v>
      </c>
      <c r="CH12" s="31" t="s">
        <v>50</v>
      </c>
      <c r="CI12" s="31">
        <v>3</v>
      </c>
      <c r="CK12" s="14"/>
      <c r="CL12" s="14"/>
      <c r="CM12" s="14"/>
      <c r="CN12" s="14"/>
      <c r="CO12" s="14"/>
      <c r="CP12" s="14"/>
      <c r="CQ12" s="14"/>
      <c r="CR12" s="14"/>
      <c r="CS12" s="14"/>
      <c r="CT12" s="14"/>
      <c r="CU12" s="14"/>
      <c r="CV12" s="14"/>
      <c r="CW12" s="14"/>
      <c r="CX12" s="14"/>
      <c r="CY12" s="14"/>
      <c r="CZ12" s="14"/>
      <c r="DA12" s="14"/>
      <c r="DB12" s="14"/>
      <c r="DC12" s="14"/>
      <c r="DD12" s="14"/>
      <c r="DE12" s="14"/>
      <c r="DF12" s="14"/>
      <c r="DG12" s="14"/>
      <c r="DH12" s="14"/>
      <c r="DI12" s="14"/>
      <c r="DJ12" s="14"/>
      <c r="DK12" s="14"/>
      <c r="DL12" s="14"/>
      <c r="DM12" s="14"/>
      <c r="DN12" s="14"/>
      <c r="DO12" s="14"/>
      <c r="DP12" s="14"/>
      <c r="DQ12" s="14"/>
      <c r="DR12" s="14"/>
      <c r="DS12" s="14"/>
      <c r="DT12" s="14"/>
      <c r="DU12" s="14"/>
      <c r="DV12" s="14"/>
      <c r="DW12" s="14">
        <f>DV12*85%</f>
        <v>0</v>
      </c>
      <c r="DX12" s="14"/>
      <c r="DY12" s="14"/>
      <c r="DZ12" s="14"/>
      <c r="EA12" s="14"/>
      <c r="EB12" s="14"/>
      <c r="EC12" s="14"/>
      <c r="ED12" s="14"/>
      <c r="EE12" s="14"/>
      <c r="EF12" s="14"/>
      <c r="FL12" s="21" t="s">
        <v>50</v>
      </c>
      <c r="FM12" s="55">
        <v>1</v>
      </c>
      <c r="FN12" s="21" t="s">
        <v>50</v>
      </c>
      <c r="FO12" s="55">
        <v>1.3</v>
      </c>
      <c r="FP12" s="21" t="s">
        <v>50</v>
      </c>
      <c r="FQ12" s="55">
        <v>2</v>
      </c>
      <c r="FR12" s="21" t="s">
        <v>50</v>
      </c>
      <c r="FS12" s="55">
        <v>1.5</v>
      </c>
      <c r="FT12" s="21" t="s">
        <v>50</v>
      </c>
      <c r="FU12" s="55">
        <v>1.5</v>
      </c>
      <c r="FV12" s="21" t="s">
        <v>50</v>
      </c>
      <c r="FW12" s="55">
        <v>2</v>
      </c>
      <c r="FX12" s="21" t="s">
        <v>50</v>
      </c>
      <c r="FY12" s="55">
        <v>2.2999999999999998</v>
      </c>
      <c r="FZ12" s="31" t="s">
        <v>50</v>
      </c>
      <c r="GA12" s="55">
        <v>2.7</v>
      </c>
      <c r="GB12" s="21" t="s">
        <v>50</v>
      </c>
      <c r="GC12" s="55">
        <v>2</v>
      </c>
      <c r="GD12" s="21" t="s">
        <v>50</v>
      </c>
      <c r="GE12" s="55">
        <v>2</v>
      </c>
      <c r="GF12" s="31" t="s">
        <v>50</v>
      </c>
      <c r="GG12" s="55">
        <v>3</v>
      </c>
      <c r="GH12" s="31" t="s">
        <v>50</v>
      </c>
      <c r="GI12" s="55">
        <v>3.3</v>
      </c>
      <c r="GJ12" s="31" t="s">
        <v>50</v>
      </c>
      <c r="GK12" s="55">
        <v>3.9</v>
      </c>
      <c r="GL12" s="31" t="s">
        <v>50</v>
      </c>
      <c r="GM12" s="55">
        <v>3</v>
      </c>
    </row>
    <row r="13" spans="1:200" x14ac:dyDescent="0.2">
      <c r="B13" s="32"/>
      <c r="C13" s="32"/>
      <c r="D13" s="32"/>
      <c r="E13" s="33"/>
      <c r="F13" s="32"/>
      <c r="G13" s="32" t="str">
        <f>IF(EH13 &gt; 0,"Ký","")</f>
        <v/>
      </c>
      <c r="H13" s="32"/>
      <c r="I13" s="34">
        <v>0</v>
      </c>
      <c r="J13" s="34">
        <v>0</v>
      </c>
      <c r="K13" s="34">
        <v>0</v>
      </c>
      <c r="L13" s="34">
        <f>IF(FD13 = "",FC13,FD13)</f>
        <v>0</v>
      </c>
      <c r="M13" s="34">
        <v>0</v>
      </c>
      <c r="N13" s="35">
        <f>CV13*8</f>
        <v>0</v>
      </c>
      <c r="O13" s="35">
        <f>EF13+DK13</f>
        <v>0</v>
      </c>
      <c r="P13" s="36" t="e">
        <f>SUM(I13:M13)/(GR13*8)</f>
        <v>#DIV/0!</v>
      </c>
      <c r="Q13" s="34" t="e">
        <f>I13/N13*O13</f>
        <v>#DIV/0!</v>
      </c>
      <c r="R13" s="34" t="e">
        <f>BK13+BM13+BO13+BQ13+BS13+BU13+BW13+BY13+CA13+CC13+CE13+CG13+CI13</f>
        <v>#DIV/0!</v>
      </c>
      <c r="S13" s="34">
        <f>DK13</f>
        <v>0</v>
      </c>
      <c r="T13" s="34" t="e">
        <f>IF(AND(DV13&gt;0,EP13&gt;CT13),P13*(CP13+CQ13),I13*(CQ13 + CP13)/N13)</f>
        <v>#DIV/0!</v>
      </c>
      <c r="U13" s="35">
        <f>DK13/8</f>
        <v>0</v>
      </c>
      <c r="V13" s="34" t="e">
        <f>EA13/N13*O13</f>
        <v>#DIV/0!</v>
      </c>
      <c r="W13" s="34" t="e">
        <f>EB13/N13*O13</f>
        <v>#DIV/0!</v>
      </c>
      <c r="X13" s="35"/>
      <c r="Y13" s="34">
        <v>0</v>
      </c>
      <c r="Z13" s="34" t="e">
        <f>DY13/N13*O13</f>
        <v>#DIV/0!</v>
      </c>
      <c r="AA13" s="34"/>
      <c r="AB13" s="34">
        <f>IF(AND(F13 = "Nữ",AND(ED13="",EE13="",EG13="")),I13/N13*1.5,0)</f>
        <v>0</v>
      </c>
      <c r="AC13" s="34" t="e">
        <f>IF(DV13&gt;0,DV13/N13*O13+Y13+T13,Q13+EW13+EX13+EY13+BK13+BM13+BO13+BQ13+BS13+BU13+BW13+BY13+CA13+CC13+CE13+CG13+CI13+V13+W13+Y13+Z13+T13)</f>
        <v>#DIV/0!</v>
      </c>
      <c r="AD13" s="34" t="e">
        <f>AC13</f>
        <v>#DIV/0!</v>
      </c>
      <c r="AE13" s="34"/>
      <c r="AF13" s="34" t="e">
        <f>AC13</f>
        <v>#DIV/0!</v>
      </c>
      <c r="AG13" s="34" t="e">
        <f>AF13</f>
        <v>#DIV/0!</v>
      </c>
      <c r="AH13" s="34">
        <f>11000000 + EC13 * 4400000</f>
        <v>11000000</v>
      </c>
      <c r="AI13" s="34"/>
      <c r="AJ13" s="34">
        <f>MAX(-AH13,0)</f>
        <v>0</v>
      </c>
      <c r="AK13" s="34">
        <f>IF(AND(EK13&lt;EP13,EO13-(CL13+CM13+CN13+CO13)&lt;=14),IF(EL13&lt;EP13,ROUND((SUM(I13:L13)*$AK$12),0),ROUND(SUM(FE13:FH13)*$AK$12,0)),0)</f>
        <v>0</v>
      </c>
      <c r="AL13" s="34">
        <f>IF(AND(EK13&lt;EP13,EO13-(CL13+CM13+CN13+CO13)&lt;=14),IF(EL13&lt;EP13,ROUND((SUM(I13:L13)*$AL$12),0),ROUND(SUM(FE13:FH13)*$AL$12,0)),0)</f>
        <v>0</v>
      </c>
      <c r="AM13" s="34">
        <f>IF(AND(EK13&lt;EP13,EO13-(CL13+CM13+CN13+CO13)&lt;=14),IF(EL13&lt;EP13,ROUND((SUM(I13:L13)*$AM$12),0),ROUND(SUM(FE13:FH13)*$AM$12,0)),0)</f>
        <v>0</v>
      </c>
      <c r="AN13" s="34">
        <f>IF(AND(EK13&lt;EP13,EO13-(CL13+CM13+CN13+CO13)&lt;=14),IF(EL13&lt;EP13,ROUND((SUM(I13:L13)*$AN$12),0),ROUND(SUM(FE13:FH13)*$AN$12,0)),0)</f>
        <v>0</v>
      </c>
      <c r="AO13" s="34" t="e">
        <f>IF(G13 = "Ký",0,AC13*10%)</f>
        <v>#DIV/0!</v>
      </c>
      <c r="AP13" s="34" t="e">
        <f>#REF! +#REF!+AO13</f>
        <v>#REF!</v>
      </c>
      <c r="AQ13" s="34"/>
      <c r="AR13" s="34" t="e">
        <f>SUM(AK13:AO13) + AQ13</f>
        <v>#DIV/0!</v>
      </c>
      <c r="AS13" s="34" t="e">
        <f>ROUND(AD13-AR13,0)</f>
        <v>#DIV/0!</v>
      </c>
      <c r="AT13" s="34">
        <f>AK13*$AT$12/$AK$12</f>
        <v>0</v>
      </c>
      <c r="AU13" s="34">
        <f>AL13*$AU$12/$AL$12</f>
        <v>0</v>
      </c>
      <c r="AV13" s="34">
        <f>AM13*$AV$12/$AM$12</f>
        <v>0</v>
      </c>
      <c r="AW13" s="34">
        <f>AN13*$AW$12/$AN$12</f>
        <v>0</v>
      </c>
      <c r="AX13" s="34">
        <f>SUM(AT13:AW13)</f>
        <v>0</v>
      </c>
      <c r="AY13" s="14"/>
      <c r="AZ13" s="32"/>
      <c r="BA13" s="32"/>
      <c r="BB13" s="32"/>
      <c r="BC13" s="33"/>
      <c r="BD13" s="32"/>
      <c r="BE13" s="32" t="e">
        <f>IF(GE13 &gt; 0,"Ký","")</f>
        <v>#DIV/0!</v>
      </c>
      <c r="BF13" s="32"/>
      <c r="BG13" s="34" t="e">
        <f>I13/N13*O13</f>
        <v>#DIV/0!</v>
      </c>
      <c r="BH13" s="35">
        <v>0</v>
      </c>
      <c r="BI13" s="34" t="e">
        <f>P13*$BI$12*BH13</f>
        <v>#DIV/0!</v>
      </c>
      <c r="BJ13" s="35">
        <v>0</v>
      </c>
      <c r="BK13" s="34" t="e">
        <f>P13*($BK$12-1)*BJ13</f>
        <v>#DIV/0!</v>
      </c>
      <c r="BL13" s="35">
        <v>0</v>
      </c>
      <c r="BM13" s="34" t="e">
        <f>IF(AND(DV13&gt;0,EP13&gt;CT13),0,P13*$BM$12*BL13)</f>
        <v>#DIV/0!</v>
      </c>
      <c r="BN13" s="35">
        <v>0</v>
      </c>
      <c r="BO13" s="34" t="e">
        <f>IF(AND(DV13&gt;0,EP13&gt;CT13),0,P13*$BO$12*BN13)</f>
        <v>#DIV/0!</v>
      </c>
      <c r="BP13" s="35">
        <f>DC13-DD13/1.5-DE13/1.5</f>
        <v>0</v>
      </c>
      <c r="BQ13" s="34" t="e">
        <f>IF(AND(DV13&gt;0,EP13&gt;CT13),0,P13*$BQ$12*BP13)</f>
        <v>#DIV/0!</v>
      </c>
      <c r="BR13" s="35">
        <v>0</v>
      </c>
      <c r="BS13" s="34" t="e">
        <f>IF(AND(DV13&gt;0,EP13&gt;CT13),0,P13*$BS$12*BR13)</f>
        <v>#DIV/0!</v>
      </c>
      <c r="BT13" s="35">
        <v>0</v>
      </c>
      <c r="BU13" s="34" t="e">
        <f>IF(AND(DV13&gt;0,EP13&gt;CT13),0,P13*$BU$12*BT13)</f>
        <v>#DIV/0!</v>
      </c>
      <c r="BV13" s="35">
        <v>0</v>
      </c>
      <c r="BW13" s="34" t="e">
        <f>IF(AND(DV13&gt;0,EP13&gt;CT13),0,P13*$BW$12*BV13)</f>
        <v>#DIV/0!</v>
      </c>
      <c r="BX13" s="35">
        <v>0</v>
      </c>
      <c r="BY13" s="34" t="e">
        <f>IF(AND(DV13&gt;0,EP13&gt;CT13),0,P13*$BY$12*BX13)</f>
        <v>#DIV/0!</v>
      </c>
      <c r="BZ13" s="35">
        <v>0</v>
      </c>
      <c r="CA13" s="34" t="e">
        <f>IF(AND(DV13&gt;0,EP13&gt;CT13),0,P13*$CA$12*BZ13)</f>
        <v>#DIV/0!</v>
      </c>
      <c r="CB13" s="35">
        <v>0</v>
      </c>
      <c r="CC13" s="34" t="e">
        <f>IF(AND(DV13&gt;0,EP13&gt;CT13),0,P13*$CC$12*CB13)</f>
        <v>#DIV/0!</v>
      </c>
      <c r="CD13" s="35">
        <v>0</v>
      </c>
      <c r="CE13" s="34" t="e">
        <f>IF(AND(DV13&gt;0,EP13&gt;CT13),0,P13*($CE$12-130%)*CD13)</f>
        <v>#DIV/0!</v>
      </c>
      <c r="CF13" s="35">
        <v>0</v>
      </c>
      <c r="CG13" s="34" t="e">
        <f>IF(AND(DV13&gt;0,EP13&gt;CT13),0,P13*$CG$12*CF13)</f>
        <v>#DIV/0!</v>
      </c>
      <c r="CH13" s="35">
        <v>0</v>
      </c>
      <c r="CI13" s="34" t="e">
        <f>IF(AND(DV13&gt;0,EP13&gt;CT13),0,P13*$CI$12*CH13)</f>
        <v>#DIV/0!</v>
      </c>
      <c r="CJ13" s="9" t="e">
        <f>FE13/N13*(DJ13+EE13)</f>
        <v>#DIV/0!</v>
      </c>
      <c r="CK13" s="14"/>
      <c r="CL13" s="14"/>
      <c r="CM13" s="14"/>
      <c r="CN13" s="14"/>
      <c r="CO13" s="14"/>
      <c r="CP13" s="14"/>
      <c r="CQ13" s="14"/>
      <c r="CR13" s="14"/>
      <c r="CS13" s="14"/>
      <c r="CT13" s="54">
        <v>44317</v>
      </c>
      <c r="CU13" s="14"/>
      <c r="CV13" s="14"/>
      <c r="CW13" s="14"/>
      <c r="DW13" s="9">
        <f>DV13*85%</f>
        <v>0</v>
      </c>
      <c r="DY13" s="56">
        <f>DT13-I13-J13-K13-M13-EA13-EB13</f>
        <v>0</v>
      </c>
      <c r="DZ13" s="56">
        <f>DU13-(I13+J13+K13+M13+EA13+EB13)*85%</f>
        <v>0</v>
      </c>
      <c r="EO13" s="9">
        <f>(CV13*8-DI13-DJ13-ED13-EE13)/8</f>
        <v>0</v>
      </c>
      <c r="EP13" s="54">
        <f>DATE($A$5,$A$4,15)</f>
        <v>1932</v>
      </c>
      <c r="EQ13" s="9" t="e">
        <f>(DI13+ED13)/N13*J13</f>
        <v>#DIV/0!</v>
      </c>
      <c r="ER13" s="9" t="e">
        <f>(DI13+ED13)/N13*K13</f>
        <v>#DIV/0!</v>
      </c>
      <c r="ES13" s="9" t="e">
        <f>(DI13+ED13)/N13*M13</f>
        <v>#DIV/0!</v>
      </c>
      <c r="ET13" s="9" t="e">
        <f>85%*#REF!/N13*J13</f>
        <v>#REF!</v>
      </c>
      <c r="EU13" s="9" t="e">
        <f>85%*#REF!/N13*K13</f>
        <v>#REF!</v>
      </c>
      <c r="EV13" s="9" t="e">
        <f>85%*#REF!/N13*M13</f>
        <v>#REF!</v>
      </c>
      <c r="EW13" s="9" t="e">
        <f>O13/N13*J13</f>
        <v>#DIV/0!</v>
      </c>
      <c r="EX13" s="9" t="e">
        <f>O13/N13*K13</f>
        <v>#DIV/0!</v>
      </c>
      <c r="EY13" s="9" t="e">
        <f>O13/N13*M13</f>
        <v>#DIV/0!</v>
      </c>
      <c r="EZ13" s="9" t="e">
        <f>(DJ13+EE13)/N13*FF13</f>
        <v>#DIV/0!</v>
      </c>
      <c r="FA13" s="9" t="e">
        <f>(DJ13+EE13)/N13*FG13</f>
        <v>#DIV/0!</v>
      </c>
      <c r="FB13" s="9" t="e">
        <f>(DJ13+EE13)/N13*FI13</f>
        <v>#DIV/0!</v>
      </c>
      <c r="FE13" s="9">
        <v>0</v>
      </c>
      <c r="FF13" s="9">
        <v>0</v>
      </c>
      <c r="FG13" s="9">
        <v>0</v>
      </c>
      <c r="FH13" s="9">
        <f>IF(FD13 = "",FC13,FD13)</f>
        <v>0</v>
      </c>
      <c r="FI13" s="9">
        <v>0</v>
      </c>
      <c r="FJ13" s="9" t="e">
        <f>SUM(FE13:FI13)/N13</f>
        <v>#DIV/0!</v>
      </c>
      <c r="FL13" s="9">
        <v>0</v>
      </c>
      <c r="FM13" s="9" t="e">
        <f>FL13*$FM$12*FJ13</f>
        <v>#DIV/0!</v>
      </c>
      <c r="FN13" s="9">
        <v>0</v>
      </c>
      <c r="FO13" s="9" t="e">
        <f>FJ13*FN13*($FO$12-1)</f>
        <v>#DIV/0!</v>
      </c>
      <c r="FP13" s="9">
        <v>0</v>
      </c>
      <c r="FQ13" s="9" t="e">
        <f>FJ13*FP13*$FQ$12</f>
        <v>#DIV/0!</v>
      </c>
      <c r="FR13" s="9">
        <v>0</v>
      </c>
      <c r="FS13" s="9" t="e">
        <f>FJ13*FR13*$FS$12</f>
        <v>#DIV/0!</v>
      </c>
      <c r="FT13" s="9">
        <f>CZ13-DA13/1.5-DB13/1.5</f>
        <v>0</v>
      </c>
      <c r="FU13" s="9" t="e">
        <f>FJ13*FT13*$FU$12</f>
        <v>#DIV/0!</v>
      </c>
      <c r="FV13" s="9">
        <v>0</v>
      </c>
      <c r="FW13" s="9" t="e">
        <f>FJ13*FV13*$FW$12</f>
        <v>#DIV/0!</v>
      </c>
      <c r="FX13" s="9">
        <v>0</v>
      </c>
      <c r="FY13" s="9" t="e">
        <f>FJ13*FX13*$FY$12</f>
        <v>#DIV/0!</v>
      </c>
      <c r="FZ13" s="9">
        <v>0</v>
      </c>
      <c r="GA13" s="9" t="e">
        <f>FJ13*FZ13*$GA$12</f>
        <v>#DIV/0!</v>
      </c>
      <c r="GB13" s="9">
        <v>0</v>
      </c>
      <c r="GC13" s="9" t="e">
        <f>FJ13*GB13*$GC$12</f>
        <v>#DIV/0!</v>
      </c>
      <c r="GD13" s="9">
        <v>0</v>
      </c>
      <c r="GE13" s="9" t="e">
        <f>FJ13*GD13*$GE$12</f>
        <v>#DIV/0!</v>
      </c>
      <c r="GF13" s="9">
        <v>0</v>
      </c>
      <c r="GG13" s="9" t="e">
        <f>FJ13*GF13*$GG$12</f>
        <v>#DIV/0!</v>
      </c>
      <c r="GH13" s="9">
        <v>0</v>
      </c>
      <c r="GI13" s="9" t="e">
        <f>FJ13*GH13*($GI$12-130%)</f>
        <v>#DIV/0!</v>
      </c>
      <c r="GJ13" s="9">
        <v>0</v>
      </c>
      <c r="GK13" s="9" t="e">
        <f>FJ13*GJ13*$GK$12</f>
        <v>#DIV/0!</v>
      </c>
      <c r="GL13" s="9">
        <v>0</v>
      </c>
      <c r="GM13" s="9" t="e">
        <f>FJ13*GL13*$GM$12</f>
        <v>#DIV/0!</v>
      </c>
      <c r="GN13" s="9">
        <v>0</v>
      </c>
      <c r="GO13" s="9">
        <v>0</v>
      </c>
      <c r="GP13" s="9">
        <v>0</v>
      </c>
      <c r="GQ13" s="9">
        <f>GP13-FE13-FF13-FG13-FI13-GO13-GN13</f>
        <v>0</v>
      </c>
    </row>
  </sheetData>
  <autoFilter ref="A12:CX12" xr:uid="{00000000-0009-0000-0000-000000000000}"/>
  <mergeCells count="80">
    <mergeCell ref="GP10:GP11"/>
    <mergeCell ref="GO10:GO11"/>
    <mergeCell ref="GQ10:GQ11"/>
    <mergeCell ref="GL11:GM11"/>
    <mergeCell ref="GN10:GN11"/>
    <mergeCell ref="FL10:FO10"/>
    <mergeCell ref="GH11:GI11"/>
    <mergeCell ref="GJ11:GK11"/>
    <mergeCell ref="GF10:GM10"/>
    <mergeCell ref="FZ11:GA11"/>
    <mergeCell ref="GB11:GC11"/>
    <mergeCell ref="GD11:GE11"/>
    <mergeCell ref="FV10:GE10"/>
    <mergeCell ref="GF11:GG11"/>
    <mergeCell ref="FR11:FS11"/>
    <mergeCell ref="FT11:FU11"/>
    <mergeCell ref="FV11:FW11"/>
    <mergeCell ref="FX11:FY11"/>
    <mergeCell ref="FE10:FE11"/>
    <mergeCell ref="FJ10:FJ11"/>
    <mergeCell ref="CJ10:CJ11"/>
    <mergeCell ref="FP11:FQ11"/>
    <mergeCell ref="EZ10:FB10"/>
    <mergeCell ref="EW10:EY10"/>
    <mergeCell ref="EQ10:ES10"/>
    <mergeCell ref="ET10:EV10"/>
    <mergeCell ref="FF10:FI10"/>
    <mergeCell ref="CL10:CM10"/>
    <mergeCell ref="CP10:CQ10"/>
    <mergeCell ref="CR10:CS10"/>
    <mergeCell ref="CN10:CO10"/>
    <mergeCell ref="FP10:FU10"/>
    <mergeCell ref="FL11:FM11"/>
    <mergeCell ref="FN11:FO11"/>
    <mergeCell ref="G10:G11"/>
    <mergeCell ref="J10:M10"/>
    <mergeCell ref="N10:N11"/>
    <mergeCell ref="BZ11:CA11"/>
    <mergeCell ref="BH11:BI11"/>
    <mergeCell ref="BJ11:BK11"/>
    <mergeCell ref="O10:O11"/>
    <mergeCell ref="P10:P11"/>
    <mergeCell ref="Q10:Q11"/>
    <mergeCell ref="X10:X11"/>
    <mergeCell ref="AD10:AD11"/>
    <mergeCell ref="AT10:AX10"/>
    <mergeCell ref="BL11:BM11"/>
    <mergeCell ref="BN11:BO11"/>
    <mergeCell ref="BR11:BS11"/>
    <mergeCell ref="U10:U11"/>
    <mergeCell ref="CF11:CG11"/>
    <mergeCell ref="CH11:CI11"/>
    <mergeCell ref="AC10:AC11"/>
    <mergeCell ref="BH10:BK10"/>
    <mergeCell ref="BL10:BQ10"/>
    <mergeCell ref="BR10:CA10"/>
    <mergeCell ref="CB10:CI10"/>
    <mergeCell ref="BE10:BE11"/>
    <mergeCell ref="BG10:BG11"/>
    <mergeCell ref="AS10:AS11"/>
    <mergeCell ref="BT11:BU11"/>
    <mergeCell ref="BP11:BQ11"/>
    <mergeCell ref="BV11:BW11"/>
    <mergeCell ref="BX11:BY11"/>
    <mergeCell ref="GR10:GR11"/>
    <mergeCell ref="T10:T11"/>
    <mergeCell ref="R10:R11"/>
    <mergeCell ref="S10:S11"/>
    <mergeCell ref="AF10:AJ10"/>
    <mergeCell ref="AO10:AR10"/>
    <mergeCell ref="V10:V11"/>
    <mergeCell ref="W10:W11"/>
    <mergeCell ref="Y10:Y11"/>
    <mergeCell ref="AE10:AE11"/>
    <mergeCell ref="AK10:AN10"/>
    <mergeCell ref="Z10:Z11"/>
    <mergeCell ref="AB10:AB11"/>
    <mergeCell ref="AA10:AA11"/>
    <mergeCell ref="CB11:CC11"/>
    <mergeCell ref="CD11:CE11"/>
  </mergeCells>
  <conditionalFormatting sqref="AF13:AG2871">
    <cfRule type="cellIs" dxfId="0" priority="1" operator="greaterThan">
      <formula>11000000</formula>
    </cfRule>
  </conditionalFormatting>
  <pageMargins left="0.19685039370078741" right="0.19685039370078741" top="0.11811023622047245" bottom="0.11811023622047245" header="0" footer="0"/>
  <pageSetup paperSize="8" scale="60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2021-10-07T08:57:25Z</dcterms:modified>
</cp:coreProperties>
</file>