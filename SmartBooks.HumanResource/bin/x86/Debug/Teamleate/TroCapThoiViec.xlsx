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SSAUDIT\GitHub\ISVietNam\SmartBooks.HumanResource\bin\x86\Debug\Teamleate\"/>
    </mc:Choice>
  </mc:AlternateContent>
  <xr:revisionPtr revIDLastSave="0" documentId="13_ncr:1_{32F36C41-36A6-49B3-A075-686A162DEA17}" xr6:coauthVersionLast="45" xr6:coauthVersionMax="45" xr10:uidLastSave="{00000000-0000-0000-0000-000000000000}"/>
  <bookViews>
    <workbookView xWindow="20370" yWindow="-120" windowWidth="29040" windowHeight="1644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5" i="1" l="1"/>
  <c r="AD15" i="1" l="1"/>
  <c r="X38" i="1" l="1"/>
  <c r="AG15" i="1" l="1"/>
  <c r="AE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L11" authorId="0" shapeId="0" xr:uid="{00000000-0006-0000-0000-000001000000}">
      <text>
        <r>
          <rPr>
            <b/>
            <sz val="8"/>
            <color indexed="81"/>
            <rFont val="Tahoma"/>
            <family val="2"/>
          </rPr>
          <t>Tinh tro cap thoi viec gom LCB + Phu cap luong - (Xang +Dien thoai)</t>
        </r>
      </text>
    </comment>
  </commentList>
</comments>
</file>

<file path=xl/sharedStrings.xml><?xml version="1.0" encoding="utf-8"?>
<sst xmlns="http://schemas.openxmlformats.org/spreadsheetml/2006/main" count="107" uniqueCount="93">
  <si>
    <t>No</t>
  </si>
  <si>
    <t>Employee_ID</t>
  </si>
  <si>
    <t>FullName</t>
  </si>
  <si>
    <t>StartedDate</t>
  </si>
  <si>
    <t>TienLuong1</t>
  </si>
  <si>
    <t>TienLuong2</t>
  </si>
  <si>
    <t>TienLuong3</t>
  </si>
  <si>
    <t>TienLuong4</t>
  </si>
  <si>
    <t>TienLuong5</t>
  </si>
  <si>
    <t>TienLuong6</t>
  </si>
  <si>
    <t>LuongBQ</t>
  </si>
  <si>
    <t>SoThangTruoc2009</t>
  </si>
  <si>
    <t>SoThangNghiBH</t>
  </si>
  <si>
    <t>TongSoNam</t>
  </si>
  <si>
    <t>TongSoThang</t>
  </si>
  <si>
    <t>TroCapTV</t>
  </si>
  <si>
    <t>ATM</t>
  </si>
  <si>
    <t>Thời gian làm việc để tính trợ cấp thôi việc</t>
  </si>
  <si>
    <t>Tiền lương (1)</t>
  </si>
  <si>
    <t>Tiền lương (2)</t>
  </si>
  <si>
    <t>Tiền lương (3)</t>
  </si>
  <si>
    <t>Tiền lương (4)</t>
  </si>
  <si>
    <t>Tiền lương (5)</t>
  </si>
  <si>
    <t>Tiền lương (6)</t>
  </si>
  <si>
    <t>Từ ngày 
from date</t>
  </si>
  <si>
    <t>Đến ngày to date</t>
  </si>
  <si>
    <t>Năm
Year</t>
  </si>
  <si>
    <t>Tháng Month</t>
  </si>
  <si>
    <t>Số tháng
 Month number</t>
  </si>
  <si>
    <t>Lô số A2-6 KCN Tây Bắc Củ Chi, huyện Củ Chi, TP.HCM</t>
  </si>
  <si>
    <t>CÔNG TY TNHH I.S Việt Nam</t>
  </si>
  <si>
    <r>
      <t xml:space="preserve">STT
</t>
    </r>
    <r>
      <rPr>
        <i/>
        <sz val="10"/>
        <rFont val="Times New Roman"/>
        <family val="1"/>
      </rPr>
      <t>No</t>
    </r>
  </si>
  <si>
    <r>
      <t xml:space="preserve">MSNV
</t>
    </r>
    <r>
      <rPr>
        <i/>
        <sz val="10"/>
        <rFont val="Times New Roman"/>
        <family val="1"/>
      </rPr>
      <t>Code</t>
    </r>
  </si>
  <si>
    <r>
      <t xml:space="preserve">Vị trí
</t>
    </r>
    <r>
      <rPr>
        <i/>
        <sz val="10"/>
        <rFont val="Times New Roman"/>
        <family val="1"/>
      </rPr>
      <t>Position</t>
    </r>
  </si>
  <si>
    <r>
      <t xml:space="preserve">Họ và Tên
</t>
    </r>
    <r>
      <rPr>
        <i/>
        <sz val="10"/>
        <rFont val="Times New Roman"/>
        <family val="1"/>
      </rPr>
      <t>Full name</t>
    </r>
  </si>
  <si>
    <r>
      <t>Ngày vào
S</t>
    </r>
    <r>
      <rPr>
        <i/>
        <sz val="10"/>
        <rFont val="Times New Roman"/>
        <family val="1"/>
      </rPr>
      <t>tarting date</t>
    </r>
  </si>
  <si>
    <r>
      <t xml:space="preserve">LCB &amp; Phụ cấp lương 06 tháng liền kề 
</t>
    </r>
    <r>
      <rPr>
        <i/>
        <sz val="10"/>
        <rFont val="Times New Roman"/>
        <family val="1"/>
      </rPr>
      <t>Basic salary and salary allowance of Average 06 months</t>
    </r>
  </si>
  <si>
    <r>
      <t xml:space="preserve">Trung bình lương của 06 tháng </t>
    </r>
    <r>
      <rPr>
        <i/>
        <sz val="10"/>
        <rFont val="Times New Roman"/>
        <family val="1"/>
      </rPr>
      <t>Average salary of 06 month</t>
    </r>
  </si>
  <si>
    <r>
      <t xml:space="preserve">Thời gian không tham gia BHTN
</t>
    </r>
    <r>
      <rPr>
        <i/>
        <sz val="10"/>
        <rFont val="Times New Roman"/>
        <family val="1"/>
        <charset val="163"/>
      </rPr>
      <t>(time not attend unemployment insurance)</t>
    </r>
  </si>
  <si>
    <r>
      <t xml:space="preserve">Tổng cộng thời gian làm việc tại Cty để tính trợ cấp thôi việc
</t>
    </r>
    <r>
      <rPr>
        <i/>
        <sz val="10"/>
        <rFont val="Times New Roman"/>
        <family val="1"/>
      </rPr>
      <t>Actual total working time  for calculating severance allowance</t>
    </r>
  </si>
  <si>
    <r>
      <t xml:space="preserve">Số tiền thực tế
</t>
    </r>
    <r>
      <rPr>
        <i/>
        <sz val="10"/>
        <rFont val="Times New Roman"/>
        <family val="1"/>
      </rPr>
      <t>Real Amount</t>
    </r>
  </si>
  <si>
    <r>
      <t xml:space="preserve">Số tiền truy thu
</t>
    </r>
    <r>
      <rPr>
        <i/>
        <sz val="10"/>
        <rFont val="Times New Roman"/>
        <family val="1"/>
      </rPr>
      <t>Retrospective amount</t>
    </r>
  </si>
  <si>
    <r>
      <t xml:space="preserve">Số tiền thành toán
</t>
    </r>
    <r>
      <rPr>
        <i/>
        <sz val="10"/>
        <rFont val="Times New Roman"/>
        <family val="1"/>
      </rPr>
      <t>Payment amount</t>
    </r>
  </si>
  <si>
    <r>
      <t xml:space="preserve">Số tiền thanh toán làm tròn </t>
    </r>
    <r>
      <rPr>
        <i/>
        <sz val="10"/>
        <rFont val="Times New Roman"/>
        <family val="1"/>
      </rPr>
      <t>Amount rounded</t>
    </r>
  </si>
  <si>
    <r>
      <t xml:space="preserve">Ký nhận
</t>
    </r>
    <r>
      <rPr>
        <i/>
        <sz val="10"/>
        <rFont val="Times New Roman"/>
        <family val="1"/>
      </rPr>
      <t>Signature</t>
    </r>
  </si>
  <si>
    <r>
      <t xml:space="preserve">Trước năm 2008
</t>
    </r>
    <r>
      <rPr>
        <i/>
        <sz val="10"/>
        <rFont val="Times New Roman"/>
        <family val="1"/>
        <charset val="163"/>
      </rPr>
      <t>Before 2008</t>
    </r>
  </si>
  <si>
    <r>
      <t xml:space="preserve">Sau 2008-After 2008
(nghỉ BH, nghỉ TS..)
</t>
    </r>
    <r>
      <rPr>
        <i/>
        <sz val="10"/>
        <rFont val="Times New Roman"/>
        <family val="1"/>
        <charset val="163"/>
      </rPr>
      <t>(sick leave, maternity leave)</t>
    </r>
  </si>
  <si>
    <r>
      <t xml:space="preserve">Sau 2008
</t>
    </r>
    <r>
      <rPr>
        <i/>
        <sz val="10"/>
        <rFont val="Times New Roman"/>
        <family val="1"/>
        <charset val="163"/>
      </rPr>
      <t>After 2008</t>
    </r>
  </si>
  <si>
    <t>BẢNG LƯƠNG TRỢ CẤP THÔI VIỆC</t>
  </si>
  <si>
    <t>THE PAYROLL OF SEVERANCE ALLOWANCE</t>
  </si>
  <si>
    <t xml:space="preserve">Ghi chú : </t>
  </si>
  <si>
    <t xml:space="preserve"> Áp dụng chi trả trợ cấp thôi việc tại điều 14 của nghị định 05/2015/NĐ-CP ngày 12/01/2015,  điều 01 của nghị định 148/2018/NĐ-CP ngày 24/10/2018 và Điều 48 của  Luật lao động ngày 18/06/2012.</t>
  </si>
  <si>
    <t>Quy tắc ;  - Người lao động làm việc thường xuyên cho người sử dụng lao động đủ 12 tháng trở lên.</t>
  </si>
  <si>
    <t>- Tổng thời gian làm việc để tính trợ cấp thôi việc là thời gian người lao động làm việc thực tế trừ đi thời gian người lao động tham gia bảo hiểm thất nghiệp.</t>
  </si>
  <si>
    <t>- Thời gian làm việc thực tế để tính trợ cấp thôi việc bao gồm: thời gian nghỉ hưởng chế độ theo quy định của luật BH, ngừng việc, nghỉ việc không do lỗi của người lao động…v.v</t>
  </si>
  <si>
    <t>- Thời gian làm việc để tính trợ cấp thôi việc : =1 tháng đến dưới &lt; 6 tháng  bằng :1/2 năm làm việc ; = 6 tháng  trở lên được tính bằng 01 năm làm việc.</t>
  </si>
  <si>
    <t>- Mỗi năm làm việc được tính trợ cấp  = 1/2 tháng  tiền lương</t>
  </si>
  <si>
    <t>- Tiền lương để tính trợ cấp thôi việc là tiền lương bình quân theo HĐLĐ của 06 tháng liền kề trước khi người lao động thôi việc.</t>
  </si>
  <si>
    <t>Thời gian  không tham gia bảo hiểm thất nghiệp được  tính trợ cấp thôi việc:</t>
  </si>
  <si>
    <t>Remark :</t>
  </si>
  <si>
    <t xml:space="preserve"> Apply paying severance allowances in Article 14 of Decree 05/2015 / ND-CP dated 12.1.2015, Article 1 of Decree 148/2018 / ND-CP dated 24.10.2018 and Article 48 of the Labour Law dated 18.06.2012.</t>
  </si>
  <si>
    <t>-Working time to calculate severance allowances: = 1 month to &lt;6 months: 1/2 years of work; = 6 months or more is calculated by 01 years of work.</t>
  </si>
  <si>
    <t>- Every year work are subsidies = 1/2 months' salary</t>
  </si>
  <si>
    <t>- Calculation: 1 month to &lt; 6 months = 1/4 months' salary
                     6 months or more           = 1/2 months' salary</t>
  </si>
  <si>
    <t xml:space="preserve">- Salaries for calculating severance allowance is the average salary of 06 months </t>
  </si>
  <si>
    <t xml:space="preserve">- Working time didn't pay unemployment insurance  to be  calculatee for severance allowance: </t>
  </si>
  <si>
    <t>Người lập biểu</t>
  </si>
  <si>
    <t>Kế Toán Trưởng</t>
  </si>
  <si>
    <t>BAN GIÁM ĐỐC</t>
  </si>
  <si>
    <t>Reporter</t>
  </si>
  <si>
    <t>Chief Accountant</t>
  </si>
  <si>
    <t>ACCOUNTANT MANAGER</t>
  </si>
  <si>
    <t>BOARD OF DIRECTORS</t>
  </si>
  <si>
    <t>Nguyễn Thị Tuyết Mai</t>
  </si>
  <si>
    <t>Nguyễn Thị Kim Hạnh</t>
  </si>
  <si>
    <t>KWAK JUNSUN</t>
  </si>
  <si>
    <t>CHOI KYUNG SHIK</t>
  </si>
  <si>
    <t>Ghi chú nghỉ BH</t>
  </si>
  <si>
    <t>GhiChuNghiBH</t>
  </si>
  <si>
    <t>BankAccount</t>
  </si>
  <si>
    <t>sectionname</t>
  </si>
  <si>
    <t>key</t>
  </si>
  <si>
    <t>Salary_Month</t>
  </si>
  <si>
    <t>Salary_Year</t>
  </si>
  <si>
    <t>PayDate</t>
  </si>
  <si>
    <t>SalaryKey</t>
  </si>
  <si>
    <t>s54</t>
  </si>
  <si>
    <t>s55</t>
  </si>
  <si>
    <t>s45</t>
  </si>
  <si>
    <t>Key</t>
  </si>
  <si>
    <t>Month</t>
  </si>
  <si>
    <t>Year</t>
  </si>
  <si>
    <t>Remark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</si>
</sst>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T&quot;00&quot;.2019&quot;"/>
    <numFmt numFmtId="165" formatCode="_-* #,##0_-;\-* #,##0_-;_-* &quot;-&quot;??_-;_-@_-"/>
    <numFmt numFmtId="166" formatCode="0.0"/>
    <numFmt numFmtId="167" formatCode="&quot;T&quot;00\ &quot;.2016&quot;"/>
    <numFmt numFmtId="168" formatCode="&quot;Tp.HCM,&quot;&quot;Ngaøy&quot;\ dd\ &quot;thaùng&quot;\ mm\ &quot;naêm&quot;\ yyyy"/>
    <numFmt numFmtId="169" formatCode="&quot;TP.HCM,&quot;&quot;Ngày&quot;\ dd\ &quot;tháng&quot;\ mm\ &quot;năm&quot;\ yyyy"/>
  </numFmts>
  <fonts count="22" x14ac:knownFonts="1">
    <font>
      <sz val="11"/>
      <color theme="1"/>
      <name val="Calibri"/>
      <family val="2"/>
      <scheme val="minor"/>
    </font>
    <font>
      <sz val="11"/>
      <color theme="1"/>
      <name val="Calibri"/>
      <family val="2"/>
      <scheme val="minor"/>
    </font>
    <font>
      <sz val="10"/>
      <name val="VNI-Times"/>
    </font>
    <font>
      <b/>
      <sz val="10"/>
      <name val="Times New Roman"/>
      <family val="1"/>
    </font>
    <font>
      <sz val="11"/>
      <name val="Times New Roman"/>
      <family val="1"/>
    </font>
    <font>
      <i/>
      <sz val="10"/>
      <name val="Times New Roman"/>
      <family val="1"/>
    </font>
    <font>
      <i/>
      <sz val="10"/>
      <name val="Times New Roman"/>
      <family val="1"/>
      <charset val="163"/>
    </font>
    <font>
      <b/>
      <sz val="8"/>
      <color indexed="81"/>
      <name val="Tahoma"/>
      <family val="2"/>
    </font>
    <font>
      <b/>
      <sz val="16"/>
      <name val="Times New Roman"/>
      <family val="1"/>
    </font>
    <font>
      <b/>
      <sz val="11"/>
      <name val="Times New Roman"/>
      <family val="1"/>
    </font>
    <font>
      <sz val="10"/>
      <name val="Times New Roman"/>
      <family val="1"/>
    </font>
    <font>
      <sz val="10"/>
      <color indexed="14"/>
      <name val="Times New Roman"/>
      <family val="1"/>
    </font>
    <font>
      <i/>
      <sz val="12"/>
      <name val="Times New Roman"/>
      <family val="1"/>
    </font>
    <font>
      <b/>
      <i/>
      <sz val="10"/>
      <name val="Times New Roman"/>
      <family val="1"/>
    </font>
    <font>
      <b/>
      <i/>
      <sz val="12"/>
      <name val="Times New Roman"/>
      <family val="1"/>
    </font>
    <font>
      <i/>
      <sz val="11"/>
      <color indexed="12"/>
      <name val="Times New Roman"/>
      <family val="1"/>
    </font>
    <font>
      <sz val="10"/>
      <name val="Arial"/>
      <family val="2"/>
    </font>
    <font>
      <b/>
      <sz val="9"/>
      <name val="Times New Roman"/>
      <family val="1"/>
    </font>
    <font>
      <b/>
      <i/>
      <sz val="11"/>
      <name val="Times New Roman"/>
      <family val="1"/>
    </font>
    <font>
      <b/>
      <i/>
      <sz val="9"/>
      <name val="Times New Roman"/>
      <family val="1"/>
    </font>
    <font>
      <sz val="10"/>
      <color indexed="12"/>
      <name val="Times New Roman"/>
      <family val="1"/>
    </font>
    <font>
      <b/>
      <sz val="11"/>
      <color indexed="12"/>
      <name val="Times New Roman"/>
      <family val="1"/>
    </font>
  </fonts>
  <fills count="3">
    <fill>
      <patternFill patternType="none"/>
    </fill>
    <fill>
      <patternFill patternType="gray125"/>
    </fill>
    <fill>
      <patternFill patternType="solid">
        <fgColor indexed="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5">
    <xf numFmtId="0" fontId="0" fillId="0" borderId="0"/>
    <xf numFmtId="43" fontId="1" fillId="0" borderId="0" applyFont="0" applyFill="0" applyBorder="0" applyAlignment="0" applyProtection="0"/>
    <xf numFmtId="0" fontId="2" fillId="0" borderId="0"/>
    <xf numFmtId="0" fontId="2" fillId="0" borderId="0"/>
    <xf numFmtId="0" fontId="16" fillId="0" borderId="0"/>
  </cellStyleXfs>
  <cellXfs count="70">
    <xf numFmtId="0" fontId="0" fillId="0" borderId="0" xfId="0"/>
    <xf numFmtId="0" fontId="3" fillId="2" borderId="8" xfId="3" applyFont="1" applyFill="1" applyBorder="1" applyAlignment="1">
      <alignment horizontal="center" vertical="center" wrapText="1"/>
    </xf>
    <xf numFmtId="164" fontId="3" fillId="2" borderId="1" xfId="3" applyNumberFormat="1" applyFont="1" applyFill="1" applyBorder="1" applyAlignment="1">
      <alignment horizontal="center" vertical="center" wrapText="1"/>
    </xf>
    <xf numFmtId="0" fontId="3" fillId="2" borderId="13" xfId="3" applyFont="1" applyFill="1" applyBorder="1" applyAlignment="1">
      <alignment horizontal="center" vertical="center" wrapText="1"/>
    </xf>
    <xf numFmtId="0" fontId="3" fillId="2" borderId="1" xfId="3" applyFont="1" applyFill="1" applyBorder="1" applyAlignment="1">
      <alignment horizontal="center" vertical="center" wrapText="1"/>
    </xf>
    <xf numFmtId="0" fontId="10" fillId="0" borderId="0" xfId="3" applyFont="1"/>
    <xf numFmtId="0" fontId="11" fillId="0" borderId="0" xfId="3" applyFont="1" applyAlignment="1">
      <alignment horizontal="center"/>
    </xf>
    <xf numFmtId="0" fontId="0" fillId="0" borderId="1" xfId="0" applyBorder="1"/>
    <xf numFmtId="14" fontId="0" fillId="0" borderId="1" xfId="0" applyNumberFormat="1" applyBorder="1"/>
    <xf numFmtId="165" fontId="0" fillId="0" borderId="1" xfId="1" applyNumberFormat="1" applyFont="1" applyBorder="1"/>
    <xf numFmtId="16" fontId="10" fillId="0" borderId="0" xfId="3" applyNumberFormat="1" applyFont="1"/>
    <xf numFmtId="0" fontId="10" fillId="0" borderId="0" xfId="3" quotePrefix="1" applyFont="1"/>
    <xf numFmtId="166" fontId="10" fillId="0" borderId="0" xfId="3" applyNumberFormat="1" applyFont="1"/>
    <xf numFmtId="167" fontId="10" fillId="0" borderId="0" xfId="3" applyNumberFormat="1" applyFont="1"/>
    <xf numFmtId="0" fontId="5" fillId="0" borderId="0" xfId="3" applyFont="1"/>
    <xf numFmtId="0" fontId="12" fillId="0" borderId="0" xfId="3" applyFont="1"/>
    <xf numFmtId="0" fontId="5" fillId="0" borderId="0" xfId="3" quotePrefix="1" applyFont="1"/>
    <xf numFmtId="0" fontId="13" fillId="0" borderId="0" xfId="3" quotePrefix="1" applyFont="1"/>
    <xf numFmtId="0" fontId="14" fillId="0" borderId="0" xfId="3" applyFont="1"/>
    <xf numFmtId="4" fontId="13" fillId="0" borderId="0" xfId="3" quotePrefix="1" applyNumberFormat="1" applyFont="1" applyAlignment="1">
      <alignment horizontal="left"/>
    </xf>
    <xf numFmtId="0" fontId="4" fillId="0" borderId="0" xfId="3" applyFont="1"/>
    <xf numFmtId="0" fontId="13" fillId="0" borderId="0" xfId="3" quotePrefix="1" applyFont="1" applyAlignment="1">
      <alignment horizontal="left"/>
    </xf>
    <xf numFmtId="16" fontId="4" fillId="0" borderId="0" xfId="3" applyNumberFormat="1" applyFont="1"/>
    <xf numFmtId="168" fontId="15" fillId="0" borderId="0" xfId="3" applyNumberFormat="1" applyFont="1" applyAlignment="1"/>
    <xf numFmtId="0" fontId="9" fillId="0" borderId="0" xfId="3" applyFont="1" applyAlignment="1"/>
    <xf numFmtId="0" fontId="17" fillId="0" borderId="0" xfId="4" applyFont="1" applyAlignment="1"/>
    <xf numFmtId="0" fontId="18" fillId="0" borderId="0" xfId="3" applyFont="1" applyAlignment="1"/>
    <xf numFmtId="0" fontId="19" fillId="0" borderId="0" xfId="0" applyFont="1" applyAlignment="1"/>
    <xf numFmtId="0" fontId="4" fillId="0" borderId="0" xfId="3" applyFont="1" applyAlignment="1">
      <alignment horizontal="center"/>
    </xf>
    <xf numFmtId="0" fontId="10" fillId="0" borderId="0" xfId="0" applyFont="1"/>
    <xf numFmtId="0" fontId="20" fillId="0" borderId="0" xfId="0" applyFont="1"/>
    <xf numFmtId="0" fontId="21" fillId="0" borderId="0" xfId="0" applyFont="1" applyAlignment="1"/>
    <xf numFmtId="0" fontId="21" fillId="0" borderId="0" xfId="3" applyFont="1" applyAlignment="1"/>
    <xf numFmtId="0" fontId="21" fillId="0" borderId="0" xfId="3" quotePrefix="1" applyFont="1" applyAlignment="1"/>
    <xf numFmtId="165" fontId="0" fillId="0" borderId="0" xfId="1" applyNumberFormat="1" applyFont="1"/>
    <xf numFmtId="0" fontId="3" fillId="0" borderId="0" xfId="3" applyFont="1" applyBorder="1" applyAlignment="1">
      <alignment horizontal="center"/>
    </xf>
    <xf numFmtId="0" fontId="0" fillId="0" borderId="0" xfId="0" applyNumberFormat="1"/>
    <xf numFmtId="0" fontId="0" fillId="0" borderId="0" xfId="0" applyNumberFormat="1" applyFill="1"/>
    <xf numFmtId="14" fontId="0" fillId="0" borderId="0" xfId="0" applyNumberFormat="1"/>
    <xf numFmtId="14" fontId="0" fillId="0" borderId="0" xfId="0" applyNumberFormat="1" applyFill="1"/>
    <xf numFmtId="0" fontId="10" fillId="0" borderId="0" xfId="3" applyNumberFormat="1" applyFont="1"/>
    <xf numFmtId="0" fontId="3" fillId="0" borderId="0" xfId="3" applyNumberFormat="1" applyFont="1" applyBorder="1" applyAlignment="1">
      <alignment horizontal="center"/>
    </xf>
    <xf numFmtId="0" fontId="11" fillId="0" borderId="0" xfId="3" applyNumberFormat="1" applyFont="1" applyAlignment="1">
      <alignment horizontal="center"/>
    </xf>
    <xf numFmtId="0" fontId="21" fillId="0" borderId="0" xfId="3" applyFont="1" applyAlignment="1">
      <alignment horizontal="center"/>
    </xf>
    <xf numFmtId="0" fontId="21" fillId="0" borderId="0" xfId="0" applyFont="1" applyAlignment="1">
      <alignment horizontal="center"/>
    </xf>
    <xf numFmtId="0" fontId="18" fillId="0" borderId="0" xfId="3" applyFont="1" applyAlignment="1">
      <alignment horizontal="center"/>
    </xf>
    <xf numFmtId="169" fontId="15" fillId="0" borderId="0" xfId="3" applyNumberFormat="1" applyFont="1" applyAlignment="1">
      <alignment horizontal="center"/>
    </xf>
    <xf numFmtId="0" fontId="9" fillId="0" borderId="0" xfId="3" applyFont="1" applyAlignment="1">
      <alignment horizontal="center"/>
    </xf>
    <xf numFmtId="0" fontId="17" fillId="0" borderId="0" xfId="4" applyFont="1" applyAlignment="1">
      <alignment horizontal="center"/>
    </xf>
    <xf numFmtId="0" fontId="19" fillId="0" borderId="0" xfId="0" applyFont="1" applyAlignment="1">
      <alignment horizontal="center"/>
    </xf>
    <xf numFmtId="0" fontId="8" fillId="0" borderId="0" xfId="3" applyFont="1" applyAlignment="1">
      <alignment horizontal="center"/>
    </xf>
    <xf numFmtId="0" fontId="9" fillId="0" borderId="0" xfId="3" applyFont="1" applyAlignment="1">
      <alignment horizontal="center" vertical="top"/>
    </xf>
    <xf numFmtId="0" fontId="3" fillId="0" borderId="0" xfId="3" applyFont="1" applyBorder="1" applyAlignment="1">
      <alignment horizontal="center"/>
    </xf>
    <xf numFmtId="0" fontId="10" fillId="0" borderId="0" xfId="3" applyFont="1" applyAlignment="1">
      <alignment horizontal="center"/>
    </xf>
    <xf numFmtId="0" fontId="3" fillId="2" borderId="2" xfId="3" applyFont="1" applyFill="1" applyBorder="1" applyAlignment="1">
      <alignment horizontal="center" vertical="center" wrapText="1"/>
    </xf>
    <xf numFmtId="0" fontId="3" fillId="2" borderId="9" xfId="3" applyFont="1" applyFill="1" applyBorder="1" applyAlignment="1">
      <alignment horizontal="center" vertical="center" wrapText="1"/>
    </xf>
    <xf numFmtId="0" fontId="3" fillId="2" borderId="13" xfId="3" applyFont="1" applyFill="1" applyBorder="1" applyAlignment="1">
      <alignment horizontal="center" vertical="center" wrapText="1"/>
    </xf>
    <xf numFmtId="0" fontId="3" fillId="2" borderId="6" xfId="3" applyFont="1" applyFill="1" applyBorder="1" applyAlignment="1">
      <alignment horizontal="center" vertical="center" wrapText="1"/>
    </xf>
    <xf numFmtId="0" fontId="3" fillId="2" borderId="7" xfId="3" applyFont="1" applyFill="1" applyBorder="1" applyAlignment="1">
      <alignment horizontal="center" vertical="center" wrapText="1"/>
    </xf>
    <xf numFmtId="0" fontId="3" fillId="2" borderId="8" xfId="3" applyFont="1" applyFill="1" applyBorder="1" applyAlignment="1">
      <alignment horizontal="center" vertical="center" wrapText="1"/>
    </xf>
    <xf numFmtId="0" fontId="3" fillId="2" borderId="3" xfId="3" applyFont="1" applyFill="1" applyBorder="1" applyAlignment="1">
      <alignment horizontal="center" vertical="center" wrapText="1"/>
    </xf>
    <xf numFmtId="0" fontId="3" fillId="2" borderId="5" xfId="3" applyFont="1" applyFill="1" applyBorder="1" applyAlignment="1">
      <alignment horizontal="center" vertical="center" wrapText="1"/>
    </xf>
    <xf numFmtId="0" fontId="3" fillId="2" borderId="10" xfId="3" applyFont="1" applyFill="1" applyBorder="1" applyAlignment="1">
      <alignment horizontal="center" vertical="center" wrapText="1"/>
    </xf>
    <xf numFmtId="0" fontId="3" fillId="2" borderId="12" xfId="3" applyFont="1" applyFill="1" applyBorder="1" applyAlignment="1">
      <alignment horizontal="center" vertical="center" wrapText="1"/>
    </xf>
    <xf numFmtId="0" fontId="3" fillId="2" borderId="1" xfId="3" applyFont="1" applyFill="1" applyBorder="1" applyAlignment="1">
      <alignment horizontal="center" vertical="center" wrapText="1"/>
    </xf>
    <xf numFmtId="0" fontId="0" fillId="0" borderId="0" xfId="0" applyAlignment="1">
      <alignment horizontal="center" vertical="center"/>
    </xf>
    <xf numFmtId="14" fontId="0" fillId="0" borderId="14" xfId="0" applyNumberFormat="1" applyBorder="1" applyAlignment="1">
      <alignment horizontal="center" vertical="center"/>
    </xf>
    <xf numFmtId="0" fontId="5" fillId="0" borderId="0" xfId="3" quotePrefix="1" applyFont="1" applyAlignment="1">
      <alignment horizontal="left" wrapText="1"/>
    </xf>
    <xf numFmtId="0" fontId="3" fillId="2" borderId="4" xfId="3" applyFont="1" applyFill="1" applyBorder="1" applyAlignment="1">
      <alignment horizontal="center" vertical="center" wrapText="1"/>
    </xf>
    <xf numFmtId="0" fontId="3" fillId="2" borderId="11" xfId="3" applyFont="1" applyFill="1" applyBorder="1" applyAlignment="1">
      <alignment horizontal="center" vertical="center" wrapText="1"/>
    </xf>
  </cellXfs>
  <cellStyles count="5">
    <cellStyle name="Comma" xfId="1" builtinId="3"/>
    <cellStyle name="Normal" xfId="0" builtinId="0"/>
    <cellStyle name="Normal 2 3" xfId="2" xr:uid="{00000000-0005-0000-0000-000002000000}"/>
    <cellStyle name="Normal 3" xfId="4" xr:uid="{00000000-0005-0000-0000-000003000000}"/>
    <cellStyle name="Normal_THANH TOAN CAC CHE DO LUONG"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5"/>
  <sheetViews>
    <sheetView tabSelected="1" topLeftCell="F1" workbookViewId="0">
      <selection activeCell="F15" sqref="F15"/>
    </sheetView>
  </sheetViews>
  <sheetFormatPr defaultRowHeight="15" x14ac:dyDescent="0.25"/>
  <cols>
    <col min="1" max="4" width="9.140625" hidden="1" customWidth="1"/>
    <col min="5" max="5" width="9.140625" style="38" hidden="1" customWidth="1"/>
    <col min="6" max="6" width="5.85546875" customWidth="1"/>
    <col min="7" max="7" width="10.85546875" customWidth="1"/>
    <col min="8" max="8" width="12.28515625" customWidth="1"/>
    <col min="9" max="9" width="22.42578125" customWidth="1"/>
    <col min="11" max="11" width="11.140625" customWidth="1"/>
    <col min="12" max="17" width="11.28515625" customWidth="1"/>
    <col min="18" max="18" width="11.5703125" customWidth="1"/>
    <col min="19" max="23" width="0" hidden="1" customWidth="1"/>
    <col min="28" max="31" width="12.5703125" customWidth="1"/>
    <col min="32" max="32" width="21.85546875" customWidth="1"/>
    <col min="34" max="34" width="9.5703125" bestFit="1" customWidth="1"/>
  </cols>
  <sheetData>
    <row r="1" spans="1:34" x14ac:dyDescent="0.25">
      <c r="A1">
        <v>1</v>
      </c>
      <c r="F1" t="s">
        <v>30</v>
      </c>
    </row>
    <row r="2" spans="1:34" x14ac:dyDescent="0.25">
      <c r="A2">
        <v>2</v>
      </c>
      <c r="F2" t="s">
        <v>29</v>
      </c>
    </row>
    <row r="3" spans="1:34" ht="20.25" x14ac:dyDescent="0.3">
      <c r="F3" s="50" t="s">
        <v>48</v>
      </c>
      <c r="G3" s="50"/>
      <c r="H3" s="50"/>
      <c r="I3" s="50"/>
      <c r="J3" s="50"/>
      <c r="K3" s="50"/>
      <c r="L3" s="50"/>
      <c r="M3" s="50"/>
      <c r="N3" s="50"/>
      <c r="O3" s="50"/>
      <c r="P3" s="50"/>
      <c r="Q3" s="50"/>
      <c r="R3" s="50"/>
      <c r="S3" s="50"/>
      <c r="T3" s="50"/>
      <c r="U3" s="50"/>
      <c r="V3" s="50"/>
      <c r="W3" s="50"/>
      <c r="X3" s="50"/>
      <c r="Y3" s="50"/>
      <c r="Z3" s="50"/>
      <c r="AA3" s="50"/>
      <c r="AB3" s="50"/>
      <c r="AC3" s="50"/>
      <c r="AD3" s="50"/>
      <c r="AE3" s="50"/>
      <c r="AF3" s="50"/>
      <c r="AG3" s="50"/>
    </row>
    <row r="4" spans="1:34" x14ac:dyDescent="0.25">
      <c r="F4" s="51" t="s">
        <v>49</v>
      </c>
      <c r="G4" s="51"/>
      <c r="H4" s="51"/>
      <c r="I4" s="51"/>
      <c r="J4" s="51"/>
      <c r="K4" s="51"/>
      <c r="L4" s="51"/>
      <c r="M4" s="51"/>
      <c r="N4" s="51"/>
      <c r="O4" s="51"/>
      <c r="P4" s="51"/>
      <c r="Q4" s="51"/>
      <c r="R4" s="51"/>
      <c r="S4" s="51"/>
      <c r="T4" s="51"/>
      <c r="U4" s="51"/>
      <c r="V4" s="51"/>
      <c r="W4" s="51"/>
      <c r="X4" s="51"/>
      <c r="Y4" s="51"/>
      <c r="Z4" s="51"/>
      <c r="AA4" s="51"/>
      <c r="AB4" s="51"/>
      <c r="AC4" s="51"/>
      <c r="AD4" s="51"/>
      <c r="AE4" s="51"/>
      <c r="AF4" s="51"/>
      <c r="AG4" s="51"/>
    </row>
    <row r="5" spans="1:34" x14ac:dyDescent="0.25">
      <c r="F5" s="5"/>
      <c r="G5" s="5"/>
      <c r="H5" s="5"/>
      <c r="I5" s="5"/>
      <c r="J5" s="5"/>
      <c r="K5" s="5"/>
      <c r="L5" s="5"/>
      <c r="M5" s="5"/>
      <c r="N5" s="52" t="str">
        <f>"THÁNG "&amp;MONTH(A1)&amp;"/"&amp;YEAR(A2)</f>
        <v>THÁNG 1/1900</v>
      </c>
      <c r="O5" s="52"/>
      <c r="P5" s="52"/>
      <c r="Q5" s="52"/>
      <c r="R5" s="52"/>
      <c r="S5" s="52"/>
      <c r="T5" s="52"/>
      <c r="U5" s="52"/>
      <c r="V5" s="52"/>
      <c r="W5" s="52"/>
      <c r="X5" s="52"/>
      <c r="Y5" s="52"/>
      <c r="Z5" s="5"/>
      <c r="AA5" s="5"/>
      <c r="AB5" s="6"/>
      <c r="AC5" s="6"/>
      <c r="AD5" s="6"/>
      <c r="AE5" s="6"/>
      <c r="AF5" s="6"/>
      <c r="AG5" s="5"/>
    </row>
    <row r="6" spans="1:34" x14ac:dyDescent="0.25">
      <c r="F6" s="5"/>
      <c r="G6" s="5"/>
      <c r="H6" s="5"/>
      <c r="I6" s="5"/>
      <c r="J6" s="5"/>
      <c r="K6" s="5"/>
      <c r="L6" s="5"/>
      <c r="M6" s="5"/>
      <c r="N6" s="35"/>
      <c r="O6" s="35"/>
      <c r="P6" s="35"/>
      <c r="Q6" s="35"/>
      <c r="R6" s="35"/>
      <c r="S6" s="35"/>
      <c r="T6" s="35"/>
      <c r="U6" s="35"/>
      <c r="V6" s="35"/>
      <c r="W6" s="35"/>
      <c r="X6" s="35"/>
      <c r="Y6" s="35"/>
      <c r="Z6" s="5"/>
      <c r="AA6" s="5"/>
      <c r="AB6" s="6"/>
      <c r="AC6" s="6"/>
      <c r="AD6" s="6"/>
      <c r="AE6" s="6"/>
      <c r="AF6" s="6"/>
      <c r="AG6" s="5"/>
    </row>
    <row r="7" spans="1:34" s="36" customFormat="1" hidden="1" x14ac:dyDescent="0.25">
      <c r="B7" s="36">
        <v>2</v>
      </c>
      <c r="C7" s="36">
        <v>2</v>
      </c>
      <c r="D7" s="36">
        <v>2</v>
      </c>
      <c r="E7" s="36">
        <v>2</v>
      </c>
      <c r="F7" s="40">
        <v>2</v>
      </c>
      <c r="G7" s="40">
        <v>2</v>
      </c>
      <c r="H7" s="40">
        <v>2</v>
      </c>
      <c r="I7" s="40">
        <v>2</v>
      </c>
      <c r="J7" s="40">
        <v>2</v>
      </c>
      <c r="K7" s="40">
        <v>2</v>
      </c>
      <c r="L7" s="40">
        <v>2</v>
      </c>
      <c r="M7" s="40">
        <v>2</v>
      </c>
      <c r="N7" s="41">
        <v>2</v>
      </c>
      <c r="O7" s="41">
        <v>2</v>
      </c>
      <c r="P7" s="41">
        <v>2</v>
      </c>
      <c r="Q7" s="41">
        <v>2</v>
      </c>
      <c r="R7" s="41">
        <v>2</v>
      </c>
      <c r="S7" s="41"/>
      <c r="T7" s="41"/>
      <c r="U7" s="41"/>
      <c r="V7" s="41"/>
      <c r="W7" s="41"/>
      <c r="X7" s="41">
        <v>2</v>
      </c>
      <c r="Y7" s="41">
        <v>2</v>
      </c>
      <c r="Z7" s="40">
        <v>2</v>
      </c>
      <c r="AA7" s="40">
        <v>2</v>
      </c>
      <c r="AB7" s="42">
        <v>1</v>
      </c>
      <c r="AC7" s="42">
        <v>1</v>
      </c>
      <c r="AD7" s="42">
        <v>1</v>
      </c>
      <c r="AE7" s="42">
        <v>1</v>
      </c>
      <c r="AF7" s="42">
        <v>2</v>
      </c>
      <c r="AG7" s="40">
        <v>2</v>
      </c>
    </row>
    <row r="8" spans="1:34" hidden="1" x14ac:dyDescent="0.25">
      <c r="B8" s="36" t="s">
        <v>81</v>
      </c>
      <c r="C8" t="s">
        <v>82</v>
      </c>
      <c r="D8" t="s">
        <v>83</v>
      </c>
      <c r="F8" s="5"/>
      <c r="G8" t="s">
        <v>1</v>
      </c>
      <c r="H8" s="5"/>
      <c r="I8" s="5"/>
      <c r="J8" s="5"/>
      <c r="K8" s="5"/>
      <c r="L8" s="5"/>
      <c r="M8" s="5"/>
      <c r="N8" s="35"/>
      <c r="O8" s="35"/>
      <c r="P8" s="35"/>
      <c r="Q8" s="35"/>
      <c r="R8" s="35"/>
      <c r="S8" s="35"/>
      <c r="T8" s="35"/>
      <c r="U8" s="35"/>
      <c r="V8" s="35"/>
      <c r="W8" s="35"/>
      <c r="X8" s="35"/>
      <c r="Y8" s="35"/>
      <c r="Z8" s="5"/>
      <c r="AA8" s="5"/>
      <c r="AB8" s="6"/>
      <c r="AC8" s="6"/>
      <c r="AD8" s="6"/>
      <c r="AE8" s="6"/>
      <c r="AF8" s="6"/>
      <c r="AG8" s="5"/>
    </row>
    <row r="9" spans="1:34" hidden="1" x14ac:dyDescent="0.25">
      <c r="B9" s="37" t="s">
        <v>81</v>
      </c>
      <c r="C9" s="37" t="s">
        <v>82</v>
      </c>
      <c r="D9" s="37" t="s">
        <v>83</v>
      </c>
      <c r="E9" s="39" t="s">
        <v>84</v>
      </c>
      <c r="G9" t="s">
        <v>1</v>
      </c>
      <c r="AB9" t="s">
        <v>88</v>
      </c>
      <c r="AD9" t="s">
        <v>86</v>
      </c>
      <c r="AE9" t="s">
        <v>87</v>
      </c>
      <c r="AF9" t="s">
        <v>92</v>
      </c>
    </row>
    <row r="10" spans="1:34" hidden="1" x14ac:dyDescent="0.25">
      <c r="B10" t="s">
        <v>85</v>
      </c>
      <c r="C10" s="37" t="s">
        <v>82</v>
      </c>
      <c r="D10" t="s">
        <v>83</v>
      </c>
      <c r="E10" s="39" t="s">
        <v>84</v>
      </c>
      <c r="F10" t="s">
        <v>0</v>
      </c>
      <c r="G10" t="s">
        <v>1</v>
      </c>
      <c r="H10" t="s">
        <v>80</v>
      </c>
      <c r="I10" t="s">
        <v>2</v>
      </c>
      <c r="J10" t="s">
        <v>79</v>
      </c>
      <c r="K10" t="s">
        <v>3</v>
      </c>
      <c r="L10" t="s">
        <v>4</v>
      </c>
      <c r="M10" t="s">
        <v>5</v>
      </c>
      <c r="N10" t="s">
        <v>6</v>
      </c>
      <c r="O10" t="s">
        <v>7</v>
      </c>
      <c r="P10" t="s">
        <v>8</v>
      </c>
      <c r="Q10" t="s">
        <v>9</v>
      </c>
      <c r="R10" t="s">
        <v>10</v>
      </c>
      <c r="X10" t="s">
        <v>11</v>
      </c>
      <c r="Y10" t="s">
        <v>12</v>
      </c>
      <c r="Z10" t="s">
        <v>13</v>
      </c>
      <c r="AA10" t="s">
        <v>14</v>
      </c>
      <c r="AB10" t="s">
        <v>15</v>
      </c>
      <c r="AF10" t="s">
        <v>78</v>
      </c>
    </row>
    <row r="11" spans="1:34" ht="38.25" customHeight="1" x14ac:dyDescent="0.25">
      <c r="B11" s="65" t="s">
        <v>89</v>
      </c>
      <c r="C11" s="65" t="s">
        <v>90</v>
      </c>
      <c r="D11" s="65" t="s">
        <v>91</v>
      </c>
      <c r="E11" s="66" t="s">
        <v>84</v>
      </c>
      <c r="F11" s="54" t="s">
        <v>31</v>
      </c>
      <c r="G11" s="54" t="s">
        <v>32</v>
      </c>
      <c r="H11" s="54" t="s">
        <v>33</v>
      </c>
      <c r="I11" s="54" t="s">
        <v>34</v>
      </c>
      <c r="J11" s="54" t="s">
        <v>16</v>
      </c>
      <c r="K11" s="54" t="s">
        <v>35</v>
      </c>
      <c r="L11" s="60" t="s">
        <v>36</v>
      </c>
      <c r="M11" s="68"/>
      <c r="N11" s="68"/>
      <c r="O11" s="68"/>
      <c r="P11" s="68"/>
      <c r="Q11" s="61"/>
      <c r="R11" s="54" t="s">
        <v>37</v>
      </c>
      <c r="S11" s="57" t="s">
        <v>38</v>
      </c>
      <c r="T11" s="58"/>
      <c r="U11" s="58"/>
      <c r="V11" s="59"/>
      <c r="W11" s="57" t="s">
        <v>17</v>
      </c>
      <c r="X11" s="58"/>
      <c r="Y11" s="59"/>
      <c r="Z11" s="60" t="s">
        <v>39</v>
      </c>
      <c r="AA11" s="61"/>
      <c r="AB11" s="54" t="s">
        <v>40</v>
      </c>
      <c r="AC11" s="54" t="s">
        <v>41</v>
      </c>
      <c r="AD11" s="54" t="s">
        <v>42</v>
      </c>
      <c r="AE11" s="54" t="s">
        <v>43</v>
      </c>
      <c r="AF11" s="54" t="s">
        <v>77</v>
      </c>
      <c r="AG11" s="54" t="s">
        <v>44</v>
      </c>
    </row>
    <row r="12" spans="1:34" ht="38.25" customHeight="1" x14ac:dyDescent="0.25">
      <c r="B12" s="65"/>
      <c r="C12" s="65"/>
      <c r="D12" s="65"/>
      <c r="E12" s="66"/>
      <c r="F12" s="55"/>
      <c r="G12" s="55"/>
      <c r="H12" s="55"/>
      <c r="I12" s="55"/>
      <c r="J12" s="55"/>
      <c r="K12" s="55"/>
      <c r="L12" s="62"/>
      <c r="M12" s="69"/>
      <c r="N12" s="69"/>
      <c r="O12" s="69"/>
      <c r="P12" s="69"/>
      <c r="Q12" s="63"/>
      <c r="R12" s="55"/>
      <c r="S12" s="57" t="s">
        <v>45</v>
      </c>
      <c r="T12" s="59"/>
      <c r="U12" s="57" t="s">
        <v>46</v>
      </c>
      <c r="V12" s="59"/>
      <c r="W12" s="64" t="s">
        <v>45</v>
      </c>
      <c r="X12" s="64"/>
      <c r="Y12" s="1" t="s">
        <v>47</v>
      </c>
      <c r="Z12" s="62"/>
      <c r="AA12" s="63"/>
      <c r="AB12" s="55"/>
      <c r="AC12" s="55"/>
      <c r="AD12" s="55"/>
      <c r="AE12" s="55"/>
      <c r="AF12" s="55"/>
      <c r="AG12" s="55"/>
    </row>
    <row r="13" spans="1:34" ht="38.25" x14ac:dyDescent="0.25">
      <c r="B13" s="65"/>
      <c r="C13" s="65"/>
      <c r="D13" s="65"/>
      <c r="E13" s="66"/>
      <c r="F13" s="56"/>
      <c r="G13" s="56"/>
      <c r="H13" s="56"/>
      <c r="I13" s="56"/>
      <c r="J13" s="56"/>
      <c r="K13" s="56"/>
      <c r="L13" s="2" t="s">
        <v>18</v>
      </c>
      <c r="M13" s="2" t="s">
        <v>19</v>
      </c>
      <c r="N13" s="2" t="s">
        <v>20</v>
      </c>
      <c r="O13" s="2" t="s">
        <v>21</v>
      </c>
      <c r="P13" s="2" t="s">
        <v>22</v>
      </c>
      <c r="Q13" s="2" t="s">
        <v>23</v>
      </c>
      <c r="R13" s="56"/>
      <c r="S13" s="3" t="s">
        <v>24</v>
      </c>
      <c r="T13" s="3" t="s">
        <v>25</v>
      </c>
      <c r="U13" s="3" t="s">
        <v>24</v>
      </c>
      <c r="V13" s="3" t="s">
        <v>25</v>
      </c>
      <c r="W13" s="4" t="s">
        <v>26</v>
      </c>
      <c r="X13" s="4" t="s">
        <v>27</v>
      </c>
      <c r="Y13" s="4" t="s">
        <v>28</v>
      </c>
      <c r="Z13" s="4" t="s">
        <v>26</v>
      </c>
      <c r="AA13" s="4" t="s">
        <v>27</v>
      </c>
      <c r="AB13" s="56"/>
      <c r="AC13" s="56"/>
      <c r="AD13" s="56"/>
      <c r="AE13" s="56"/>
      <c r="AF13" s="56"/>
      <c r="AG13" s="56"/>
    </row>
    <row r="14" spans="1:34" hidden="1" x14ac:dyDescent="0.25">
      <c r="G14">
        <v>1</v>
      </c>
      <c r="H14">
        <v>2</v>
      </c>
      <c r="I14">
        <v>3</v>
      </c>
      <c r="J14">
        <v>4</v>
      </c>
      <c r="K14">
        <v>5</v>
      </c>
      <c r="L14">
        <v>6</v>
      </c>
      <c r="M14">
        <v>7</v>
      </c>
      <c r="N14">
        <v>8</v>
      </c>
      <c r="O14">
        <v>9</v>
      </c>
      <c r="P14">
        <v>10</v>
      </c>
      <c r="Q14">
        <v>11</v>
      </c>
      <c r="R14">
        <v>12</v>
      </c>
      <c r="S14">
        <v>13</v>
      </c>
      <c r="T14">
        <v>14</v>
      </c>
      <c r="U14">
        <v>15</v>
      </c>
      <c r="V14">
        <v>16</v>
      </c>
      <c r="W14">
        <v>17</v>
      </c>
      <c r="X14">
        <v>18</v>
      </c>
      <c r="Y14">
        <v>19</v>
      </c>
      <c r="Z14">
        <v>20</v>
      </c>
      <c r="AA14">
        <v>21</v>
      </c>
      <c r="AB14">
        <v>22</v>
      </c>
      <c r="AC14">
        <v>24</v>
      </c>
      <c r="AD14">
        <v>23</v>
      </c>
      <c r="AE14">
        <v>25</v>
      </c>
      <c r="AG14">
        <v>26</v>
      </c>
    </row>
    <row r="15" spans="1:34" x14ac:dyDescent="0.25">
      <c r="F15" s="7"/>
      <c r="G15" s="7"/>
      <c r="H15" s="7"/>
      <c r="I15" s="7"/>
      <c r="J15" s="7"/>
      <c r="K15" s="8"/>
      <c r="L15" s="9"/>
      <c r="M15" s="9"/>
      <c r="N15" s="9"/>
      <c r="O15" s="9"/>
      <c r="P15" s="9"/>
      <c r="Q15" s="9"/>
      <c r="R15" s="9"/>
      <c r="S15" s="9"/>
      <c r="T15" s="9"/>
      <c r="U15" s="9"/>
      <c r="V15" s="9"/>
      <c r="W15" s="9"/>
      <c r="X15" s="9"/>
      <c r="Y15" s="9"/>
      <c r="Z15" s="9"/>
      <c r="AA15" s="9"/>
      <c r="AB15" s="9"/>
      <c r="AC15" s="9"/>
      <c r="AD15" s="9">
        <f>AB15-AC15</f>
        <v>0</v>
      </c>
      <c r="AE15" s="9">
        <f>ROUND(IF(AG15="ATM",AD15,CEILING(AD15,0.5)),3)</f>
        <v>0</v>
      </c>
      <c r="AF15" s="9"/>
      <c r="AG15" s="7" t="str">
        <f t="shared" ref="AG15" si="0">IF(J15&gt;=1,"ATM","")</f>
        <v/>
      </c>
      <c r="AH15" s="34"/>
    </row>
    <row r="21" spans="6:33" x14ac:dyDescent="0.25">
      <c r="F21" s="53" t="s">
        <v>50</v>
      </c>
      <c r="G21" s="53"/>
      <c r="H21" s="5" t="s">
        <v>51</v>
      </c>
      <c r="I21" s="5"/>
      <c r="J21" s="5"/>
      <c r="K21" s="5"/>
      <c r="L21" s="5"/>
      <c r="M21" s="5"/>
      <c r="N21" s="5"/>
      <c r="O21" s="5"/>
      <c r="P21" s="5"/>
      <c r="Q21" s="5"/>
      <c r="R21" s="5"/>
      <c r="S21" s="5"/>
      <c r="T21" s="5"/>
      <c r="U21" s="5"/>
      <c r="V21" s="5"/>
      <c r="W21" s="5"/>
      <c r="X21" s="10"/>
      <c r="Y21" s="10"/>
      <c r="Z21" s="5"/>
      <c r="AA21" s="5"/>
      <c r="AB21" s="5"/>
      <c r="AC21" s="5"/>
      <c r="AD21" s="5"/>
      <c r="AE21" s="5"/>
      <c r="AF21" s="5"/>
      <c r="AG21" s="5"/>
    </row>
    <row r="22" spans="6:33" x14ac:dyDescent="0.25">
      <c r="F22" s="5"/>
      <c r="G22" s="5"/>
      <c r="H22" s="11" t="s">
        <v>52</v>
      </c>
      <c r="I22" s="5"/>
      <c r="J22" s="5"/>
      <c r="K22" s="5"/>
      <c r="L22" s="5"/>
      <c r="M22" s="5"/>
      <c r="N22" s="5"/>
      <c r="O22" s="5"/>
      <c r="P22" s="5"/>
      <c r="Q22" s="5"/>
      <c r="R22" s="5"/>
      <c r="S22" s="5"/>
      <c r="T22" s="5"/>
      <c r="U22" s="5"/>
      <c r="V22" s="5"/>
      <c r="W22" s="5"/>
      <c r="X22" s="5"/>
      <c r="Y22" s="5"/>
      <c r="Z22" s="12"/>
      <c r="AA22" s="5"/>
      <c r="AB22" s="5"/>
      <c r="AC22" s="5"/>
      <c r="AD22" s="5"/>
      <c r="AE22" s="5"/>
      <c r="AF22" s="5"/>
      <c r="AG22" s="5"/>
    </row>
    <row r="23" spans="6:33" x14ac:dyDescent="0.25">
      <c r="F23" s="5"/>
      <c r="G23" s="5"/>
      <c r="H23" s="11"/>
      <c r="I23" s="11" t="s">
        <v>53</v>
      </c>
      <c r="J23" s="5"/>
      <c r="K23" s="5"/>
      <c r="L23" s="5"/>
      <c r="M23" s="5"/>
      <c r="N23" s="5"/>
      <c r="O23" s="5"/>
      <c r="P23" s="5"/>
      <c r="Q23" s="5"/>
      <c r="R23" s="5"/>
      <c r="S23" s="5"/>
      <c r="T23" s="5"/>
      <c r="U23" s="5"/>
      <c r="V23" s="5"/>
      <c r="W23" s="5"/>
      <c r="X23" s="5"/>
      <c r="Y23" s="5"/>
      <c r="Z23" s="5"/>
      <c r="AA23" s="5"/>
      <c r="AB23" s="5"/>
      <c r="AC23" s="5"/>
      <c r="AD23" s="5"/>
      <c r="AE23" s="5"/>
      <c r="AF23" s="5"/>
      <c r="AG23" s="5"/>
    </row>
    <row r="24" spans="6:33" x14ac:dyDescent="0.25">
      <c r="F24" s="5"/>
      <c r="G24" s="5"/>
      <c r="H24" s="11"/>
      <c r="I24" s="11" t="s">
        <v>54</v>
      </c>
      <c r="J24" s="5"/>
      <c r="K24" s="5"/>
      <c r="L24" s="5"/>
      <c r="M24" s="5"/>
      <c r="N24" s="5"/>
      <c r="O24" s="5"/>
      <c r="P24" s="5"/>
      <c r="Q24" s="5"/>
      <c r="R24" s="5"/>
      <c r="S24" s="5"/>
      <c r="T24" s="5"/>
      <c r="U24" s="5"/>
      <c r="V24" s="5"/>
      <c r="W24" s="5"/>
      <c r="X24" s="5"/>
      <c r="Y24" s="5"/>
      <c r="Z24" s="5"/>
      <c r="AA24" s="5"/>
      <c r="AB24" s="5"/>
      <c r="AC24" s="5"/>
      <c r="AD24" s="5"/>
      <c r="AE24" s="5"/>
      <c r="AF24" s="5"/>
      <c r="AG24" s="5"/>
    </row>
    <row r="25" spans="6:33" x14ac:dyDescent="0.25">
      <c r="F25" s="5"/>
      <c r="G25" s="5"/>
      <c r="H25" s="11"/>
      <c r="I25" s="11" t="s">
        <v>55</v>
      </c>
      <c r="J25" s="5"/>
      <c r="K25" s="5"/>
      <c r="L25" s="5"/>
      <c r="M25" s="5"/>
      <c r="N25" s="5"/>
      <c r="O25" s="5"/>
      <c r="P25" s="5"/>
      <c r="Q25" s="5"/>
      <c r="R25" s="5"/>
      <c r="S25" s="5"/>
      <c r="T25" s="5"/>
      <c r="U25" s="5"/>
      <c r="V25" s="5"/>
      <c r="W25" s="5"/>
      <c r="X25" s="5"/>
      <c r="Y25" s="5"/>
      <c r="Z25" s="5"/>
      <c r="AA25" s="5"/>
      <c r="AB25" s="5"/>
      <c r="AC25" s="5"/>
      <c r="AD25" s="5"/>
      <c r="AE25" s="5"/>
      <c r="AF25" s="5"/>
      <c r="AG25" s="5"/>
    </row>
    <row r="26" spans="6:33" x14ac:dyDescent="0.25">
      <c r="F26" s="5"/>
      <c r="G26" s="5"/>
      <c r="H26" s="11"/>
      <c r="I26" s="11" t="s">
        <v>56</v>
      </c>
      <c r="J26" s="5"/>
      <c r="K26" s="5"/>
      <c r="L26" s="5"/>
      <c r="M26" s="5"/>
      <c r="N26" s="5"/>
      <c r="O26" s="5"/>
      <c r="P26" s="5"/>
      <c r="Q26" s="5"/>
      <c r="R26" s="5"/>
      <c r="S26" s="5"/>
      <c r="T26" s="5"/>
      <c r="U26" s="5"/>
      <c r="V26" s="5"/>
      <c r="W26" s="5"/>
      <c r="X26" s="13"/>
      <c r="Y26" s="5"/>
      <c r="Z26" s="5"/>
      <c r="AA26" s="5"/>
      <c r="AB26" s="5"/>
      <c r="AC26" s="5"/>
      <c r="AD26" s="5"/>
      <c r="AE26" s="5"/>
      <c r="AF26" s="5"/>
      <c r="AG26" s="5"/>
    </row>
    <row r="27" spans="6:33" x14ac:dyDescent="0.25">
      <c r="F27" s="5"/>
      <c r="G27" s="5"/>
      <c r="H27" s="11"/>
      <c r="I27" s="11" t="s">
        <v>57</v>
      </c>
      <c r="J27" s="5"/>
      <c r="K27" s="5"/>
      <c r="L27" s="5"/>
      <c r="M27" s="5"/>
      <c r="N27" s="5"/>
      <c r="O27" s="5"/>
      <c r="P27" s="5"/>
      <c r="Q27" s="5"/>
      <c r="R27" s="5"/>
      <c r="S27" s="5"/>
      <c r="T27" s="5"/>
      <c r="U27" s="5"/>
      <c r="V27" s="5"/>
      <c r="W27" s="5"/>
      <c r="X27" s="5"/>
      <c r="Y27" s="5"/>
      <c r="Z27" s="5"/>
      <c r="AA27" s="5"/>
      <c r="AB27" s="5"/>
      <c r="AC27" s="5"/>
      <c r="AD27" s="5"/>
      <c r="AE27" s="5"/>
      <c r="AF27" s="5"/>
      <c r="AG27" s="5"/>
    </row>
    <row r="28" spans="6:33" x14ac:dyDescent="0.25">
      <c r="F28" s="5"/>
      <c r="G28" s="5"/>
      <c r="H28" s="5"/>
      <c r="I28" s="5" t="s">
        <v>58</v>
      </c>
      <c r="J28" s="5"/>
      <c r="K28" s="5"/>
      <c r="L28" s="5"/>
      <c r="M28" s="5"/>
      <c r="N28" s="5"/>
      <c r="O28" s="5"/>
      <c r="P28" s="5"/>
      <c r="Q28" s="5"/>
      <c r="R28" s="5"/>
      <c r="S28" s="5"/>
      <c r="T28" s="5"/>
      <c r="U28" s="5"/>
      <c r="V28" s="5"/>
      <c r="W28" s="5"/>
      <c r="X28" s="5"/>
      <c r="Y28" s="5"/>
      <c r="Z28" s="5"/>
      <c r="AA28" s="5"/>
      <c r="AB28" s="5"/>
      <c r="AC28" s="5"/>
      <c r="AD28" s="5"/>
      <c r="AE28" s="5"/>
      <c r="AF28" s="5"/>
      <c r="AG28" s="5"/>
    </row>
    <row r="29" spans="6:33" ht="15.75" x14ac:dyDescent="0.25">
      <c r="F29" s="53" t="s">
        <v>59</v>
      </c>
      <c r="G29" s="53"/>
      <c r="H29" s="14" t="s">
        <v>60</v>
      </c>
      <c r="I29" s="15"/>
      <c r="J29" s="15"/>
      <c r="K29" s="15"/>
      <c r="L29" s="15"/>
      <c r="M29" s="15"/>
      <c r="N29" s="15"/>
      <c r="O29" s="15"/>
      <c r="P29" s="15"/>
      <c r="Q29" s="15"/>
      <c r="R29" s="15"/>
      <c r="S29" s="15"/>
      <c r="T29" s="15"/>
      <c r="U29" s="15"/>
      <c r="V29" s="15"/>
      <c r="W29" s="15"/>
      <c r="X29" s="5"/>
      <c r="Y29" s="5"/>
      <c r="Z29" s="5"/>
      <c r="AA29" s="5"/>
      <c r="AB29" s="5"/>
      <c r="AC29" s="5"/>
      <c r="AD29" s="5"/>
      <c r="AE29" s="5"/>
      <c r="AF29" s="5"/>
      <c r="AG29" s="5"/>
    </row>
    <row r="30" spans="6:33" ht="15.75" x14ac:dyDescent="0.25">
      <c r="F30" s="5"/>
      <c r="G30" s="5"/>
      <c r="H30" s="16" t="s">
        <v>61</v>
      </c>
      <c r="I30" s="15"/>
      <c r="J30" s="15"/>
      <c r="K30" s="15"/>
      <c r="L30" s="15"/>
      <c r="M30" s="15"/>
      <c r="N30" s="15"/>
      <c r="O30" s="15"/>
      <c r="P30" s="15"/>
      <c r="Q30" s="15"/>
      <c r="R30" s="15"/>
      <c r="S30" s="15"/>
      <c r="T30" s="15"/>
      <c r="U30" s="15"/>
      <c r="V30" s="15"/>
      <c r="W30" s="15"/>
      <c r="X30" s="5"/>
      <c r="Y30" s="5"/>
      <c r="Z30" s="5"/>
      <c r="AA30" s="5"/>
      <c r="AB30" s="5"/>
      <c r="AC30" s="5"/>
      <c r="AD30" s="5"/>
      <c r="AE30" s="5"/>
      <c r="AF30" s="5"/>
      <c r="AG30" s="5"/>
    </row>
    <row r="31" spans="6:33" ht="15.75" x14ac:dyDescent="0.25">
      <c r="F31" s="5"/>
      <c r="G31" s="5"/>
      <c r="H31" s="16" t="s">
        <v>62</v>
      </c>
      <c r="I31" s="15"/>
      <c r="J31" s="15"/>
      <c r="K31" s="15"/>
      <c r="L31" s="15"/>
      <c r="M31" s="15"/>
      <c r="N31" s="15"/>
      <c r="O31" s="15"/>
      <c r="P31" s="15"/>
      <c r="Q31" s="15"/>
      <c r="R31" s="15"/>
      <c r="S31" s="15"/>
      <c r="T31" s="15"/>
      <c r="U31" s="15"/>
      <c r="V31" s="15"/>
      <c r="W31" s="15"/>
      <c r="X31" s="5"/>
      <c r="Y31" s="5"/>
      <c r="Z31" s="5"/>
      <c r="AA31" s="5"/>
      <c r="AB31" s="5"/>
      <c r="AC31" s="5"/>
      <c r="AD31" s="5"/>
      <c r="AE31" s="5"/>
      <c r="AF31" s="5"/>
      <c r="AG31" s="5"/>
    </row>
    <row r="32" spans="6:33" ht="15.75" x14ac:dyDescent="0.25">
      <c r="F32" s="5"/>
      <c r="G32" s="5"/>
      <c r="H32" s="67" t="s">
        <v>63</v>
      </c>
      <c r="I32" s="67"/>
      <c r="J32" s="67"/>
      <c r="K32" s="67"/>
      <c r="L32" s="67"/>
      <c r="M32" s="67"/>
      <c r="N32" s="67"/>
      <c r="O32" s="67"/>
      <c r="P32" s="67"/>
      <c r="Q32" s="67"/>
      <c r="R32" s="67"/>
      <c r="S32" s="67"/>
      <c r="T32" s="15"/>
      <c r="U32" s="15"/>
      <c r="V32" s="15"/>
      <c r="W32" s="15"/>
      <c r="X32" s="5"/>
      <c r="Y32" s="5"/>
      <c r="Z32" s="5"/>
      <c r="AA32" s="5"/>
      <c r="AB32" s="5"/>
      <c r="AC32" s="5"/>
      <c r="AD32" s="5"/>
      <c r="AE32" s="5"/>
      <c r="AF32" s="5"/>
      <c r="AG32" s="5"/>
    </row>
    <row r="33" spans="6:33" ht="15.75" x14ac:dyDescent="0.25">
      <c r="F33" s="5"/>
      <c r="G33" s="5"/>
      <c r="H33" s="14" t="s">
        <v>64</v>
      </c>
      <c r="I33" s="15"/>
      <c r="J33" s="15"/>
      <c r="K33" s="15"/>
      <c r="L33" s="15"/>
      <c r="M33" s="15"/>
      <c r="N33" s="15"/>
      <c r="O33" s="15"/>
      <c r="P33" s="15"/>
      <c r="Q33" s="15"/>
      <c r="R33" s="15"/>
      <c r="S33" s="15"/>
      <c r="T33" s="15"/>
      <c r="U33" s="15"/>
      <c r="V33" s="15"/>
      <c r="W33" s="15"/>
      <c r="X33" s="5"/>
      <c r="Y33" s="5"/>
      <c r="Z33" s="5"/>
      <c r="AA33" s="5"/>
      <c r="AB33" s="5"/>
      <c r="AC33" s="5"/>
      <c r="AD33" s="5"/>
      <c r="AE33" s="5"/>
      <c r="AF33" s="5"/>
      <c r="AG33" s="5"/>
    </row>
    <row r="34" spans="6:33" ht="15.75" x14ac:dyDescent="0.25">
      <c r="F34" s="5"/>
      <c r="G34" s="5"/>
      <c r="H34" s="17" t="s">
        <v>65</v>
      </c>
      <c r="I34" s="18"/>
      <c r="J34" s="18"/>
      <c r="K34" s="18"/>
      <c r="L34" s="18"/>
      <c r="M34" s="18"/>
      <c r="N34" s="18"/>
      <c r="O34" s="18"/>
      <c r="P34" s="18"/>
      <c r="Q34" s="18"/>
      <c r="R34" s="18"/>
      <c r="S34" s="18"/>
      <c r="T34" s="18"/>
      <c r="U34" s="18"/>
      <c r="V34" s="18"/>
      <c r="W34" s="18"/>
      <c r="X34" s="5"/>
      <c r="Y34" s="5"/>
      <c r="Z34" s="5"/>
      <c r="AA34" s="5"/>
      <c r="AB34" s="5"/>
      <c r="AC34" s="5"/>
      <c r="AD34" s="5"/>
      <c r="AE34" s="5"/>
      <c r="AF34" s="5"/>
      <c r="AG34" s="5"/>
    </row>
    <row r="35" spans="6:33" ht="15.75" x14ac:dyDescent="0.25">
      <c r="F35" s="5"/>
      <c r="G35" s="5"/>
      <c r="H35" s="19"/>
      <c r="I35" s="18"/>
      <c r="J35" s="18"/>
      <c r="K35" s="18"/>
      <c r="L35" s="18"/>
      <c r="M35" s="18"/>
      <c r="N35" s="18"/>
      <c r="O35" s="18"/>
      <c r="P35" s="18"/>
      <c r="Q35" s="18"/>
      <c r="R35" s="18"/>
      <c r="S35" s="18"/>
      <c r="T35" s="18"/>
      <c r="U35" s="18"/>
      <c r="V35" s="18"/>
      <c r="W35" s="18"/>
      <c r="X35" s="5"/>
      <c r="Y35" s="5"/>
      <c r="Z35" s="5"/>
      <c r="AA35" s="5"/>
      <c r="AB35" s="5"/>
      <c r="AC35" s="5"/>
      <c r="AD35" s="5"/>
      <c r="AE35" s="5"/>
      <c r="AF35" s="5"/>
      <c r="AG35" s="5"/>
    </row>
    <row r="36" spans="6:33" x14ac:dyDescent="0.25">
      <c r="F36" s="20"/>
      <c r="G36" s="20"/>
      <c r="H36" s="21"/>
      <c r="I36" s="22"/>
      <c r="J36" s="22"/>
      <c r="K36" s="22"/>
      <c r="L36" s="20"/>
      <c r="M36" s="20"/>
      <c r="N36" s="20"/>
      <c r="O36" s="20"/>
      <c r="P36" s="20"/>
      <c r="Q36" s="20"/>
      <c r="R36" s="20"/>
      <c r="S36" s="20"/>
      <c r="T36" s="20"/>
      <c r="U36" s="20"/>
      <c r="V36" s="20"/>
      <c r="W36" s="20"/>
      <c r="X36" s="23"/>
      <c r="Y36" s="23"/>
      <c r="Z36" s="23"/>
      <c r="AA36" s="23"/>
      <c r="AB36" s="20"/>
      <c r="AC36" s="20"/>
      <c r="AD36" s="20"/>
      <c r="AE36" s="20"/>
      <c r="AF36" s="20"/>
      <c r="AG36" s="20"/>
    </row>
    <row r="37" spans="6:33" x14ac:dyDescent="0.25">
      <c r="F37" s="20"/>
      <c r="G37" s="20"/>
      <c r="H37" s="21"/>
      <c r="I37" s="22"/>
      <c r="J37" s="22"/>
      <c r="K37" s="22"/>
      <c r="L37" s="20"/>
      <c r="M37" s="20"/>
      <c r="N37" s="20"/>
      <c r="O37" s="20"/>
      <c r="P37" s="20"/>
      <c r="Q37" s="20"/>
      <c r="R37" s="20"/>
      <c r="S37" s="20"/>
      <c r="T37" s="20"/>
      <c r="U37" s="20"/>
      <c r="V37" s="20"/>
      <c r="W37" s="20"/>
      <c r="X37" s="23"/>
      <c r="Y37" s="23"/>
      <c r="Z37" s="23"/>
      <c r="AA37" s="23"/>
      <c r="AB37" s="20"/>
      <c r="AC37" s="20"/>
      <c r="AD37" s="20"/>
      <c r="AE37" s="20"/>
      <c r="AF37" s="20"/>
      <c r="AG37" s="20"/>
    </row>
    <row r="38" spans="6:33" x14ac:dyDescent="0.25">
      <c r="F38" s="20"/>
      <c r="G38" s="20"/>
      <c r="H38" s="21"/>
      <c r="I38" s="22"/>
      <c r="J38" s="22"/>
      <c r="K38" s="22"/>
      <c r="L38" s="20"/>
      <c r="M38" s="20"/>
      <c r="N38" s="20"/>
      <c r="O38" s="20"/>
      <c r="P38" s="20"/>
      <c r="Q38" s="20"/>
      <c r="R38" s="20"/>
      <c r="S38" s="20"/>
      <c r="T38" s="20"/>
      <c r="U38" s="20"/>
      <c r="V38" s="20"/>
      <c r="W38" s="20"/>
      <c r="X38" s="46">
        <f ca="1">TODAY()</f>
        <v>43969</v>
      </c>
      <c r="Y38" s="46"/>
      <c r="Z38" s="46"/>
      <c r="AA38" s="46"/>
      <c r="AB38" s="46"/>
      <c r="AC38" s="46"/>
      <c r="AD38" s="46"/>
      <c r="AE38" s="46"/>
      <c r="AF38" s="46"/>
      <c r="AG38" s="46"/>
    </row>
    <row r="39" spans="6:33" x14ac:dyDescent="0.25">
      <c r="F39" s="47" t="s">
        <v>66</v>
      </c>
      <c r="G39" s="47"/>
      <c r="H39" s="47"/>
      <c r="I39" s="47"/>
      <c r="J39" s="24"/>
      <c r="K39" s="24"/>
      <c r="L39" s="24"/>
      <c r="M39" s="24"/>
      <c r="N39" s="24"/>
      <c r="O39" s="47" t="s">
        <v>67</v>
      </c>
      <c r="P39" s="47"/>
      <c r="Q39" s="47"/>
      <c r="R39" s="47"/>
      <c r="S39" s="47"/>
      <c r="T39" s="47"/>
      <c r="U39" s="24"/>
      <c r="V39" s="24"/>
      <c r="W39" s="24"/>
      <c r="X39" s="25"/>
      <c r="Y39" s="25"/>
      <c r="Z39" s="25"/>
      <c r="AA39" s="25"/>
      <c r="AB39" s="48" t="s">
        <v>68</v>
      </c>
      <c r="AC39" s="48"/>
      <c r="AD39" s="48"/>
      <c r="AE39" s="48"/>
      <c r="AF39" s="48"/>
      <c r="AG39" s="48"/>
    </row>
    <row r="40" spans="6:33" x14ac:dyDescent="0.25">
      <c r="F40" s="45" t="s">
        <v>69</v>
      </c>
      <c r="G40" s="45"/>
      <c r="H40" s="45"/>
      <c r="I40" s="45"/>
      <c r="J40" s="26"/>
      <c r="K40" s="26"/>
      <c r="L40" s="26"/>
      <c r="M40" s="26"/>
      <c r="N40" s="26"/>
      <c r="O40" s="45" t="s">
        <v>70</v>
      </c>
      <c r="P40" s="45"/>
      <c r="Q40" s="45"/>
      <c r="R40" s="45"/>
      <c r="S40" s="45"/>
      <c r="T40" s="45"/>
      <c r="U40" s="26"/>
      <c r="V40" s="45" t="s">
        <v>71</v>
      </c>
      <c r="W40" s="45"/>
      <c r="X40" s="45"/>
      <c r="Y40" s="45"/>
      <c r="Z40" s="45"/>
      <c r="AA40" s="27"/>
      <c r="AB40" s="49" t="s">
        <v>72</v>
      </c>
      <c r="AC40" s="49"/>
      <c r="AD40" s="49"/>
      <c r="AE40" s="49"/>
      <c r="AF40" s="49"/>
      <c r="AG40" s="49"/>
    </row>
    <row r="41" spans="6:33" x14ac:dyDescent="0.25">
      <c r="F41" s="20"/>
      <c r="G41" s="20"/>
      <c r="H41" s="20"/>
      <c r="I41" s="28"/>
      <c r="J41" s="28"/>
      <c r="K41" s="28"/>
      <c r="L41" s="28"/>
      <c r="M41" s="28"/>
      <c r="N41" s="28"/>
      <c r="O41" s="28"/>
      <c r="P41" s="28"/>
      <c r="Q41" s="28"/>
      <c r="R41" s="28"/>
      <c r="S41" s="28"/>
      <c r="T41" s="28"/>
      <c r="U41" s="28"/>
      <c r="V41" s="28"/>
      <c r="W41" s="28"/>
      <c r="X41" s="20"/>
      <c r="Y41" s="29"/>
      <c r="Z41" s="29"/>
      <c r="AA41" s="29"/>
      <c r="AB41" s="29"/>
      <c r="AC41" s="29"/>
      <c r="AD41" s="29"/>
      <c r="AE41" s="29"/>
      <c r="AF41" s="29"/>
      <c r="AG41" s="29"/>
    </row>
    <row r="42" spans="6:33" x14ac:dyDescent="0.25">
      <c r="F42" s="20"/>
      <c r="G42" s="20"/>
      <c r="H42" s="20"/>
      <c r="I42" s="28"/>
      <c r="J42" s="28"/>
      <c r="K42" s="28"/>
      <c r="L42" s="28"/>
      <c r="M42" s="28"/>
      <c r="N42" s="28"/>
      <c r="O42" s="28"/>
      <c r="P42" s="28"/>
      <c r="Q42" s="28"/>
      <c r="R42" s="28"/>
      <c r="S42" s="28"/>
      <c r="T42" s="28"/>
      <c r="U42" s="28"/>
      <c r="V42" s="28"/>
      <c r="W42" s="28"/>
      <c r="X42" s="20"/>
      <c r="Y42" s="30"/>
      <c r="Z42" s="30"/>
      <c r="AA42" s="29"/>
      <c r="AB42" s="29"/>
      <c r="AC42" s="31"/>
      <c r="AD42" s="29"/>
      <c r="AE42" s="31"/>
      <c r="AF42" s="31"/>
      <c r="AG42" s="31"/>
    </row>
    <row r="43" spans="6:33" x14ac:dyDescent="0.25">
      <c r="F43" s="20"/>
      <c r="G43" s="20"/>
      <c r="H43" s="20"/>
      <c r="I43" s="28"/>
      <c r="J43" s="28"/>
      <c r="K43" s="28"/>
      <c r="L43" s="28"/>
      <c r="M43" s="28"/>
      <c r="N43" s="28"/>
      <c r="O43" s="28"/>
      <c r="P43" s="28"/>
      <c r="Q43" s="28"/>
      <c r="R43" s="28"/>
      <c r="S43" s="28"/>
      <c r="T43" s="28"/>
      <c r="U43" s="28"/>
      <c r="V43" s="28"/>
      <c r="W43" s="28"/>
      <c r="X43" s="20"/>
      <c r="Y43" s="29"/>
      <c r="Z43" s="29"/>
      <c r="AA43" s="29"/>
      <c r="AB43" s="29"/>
      <c r="AC43" s="29"/>
      <c r="AD43" s="29"/>
      <c r="AE43" s="29"/>
      <c r="AF43" s="29"/>
      <c r="AG43" s="29"/>
    </row>
    <row r="44" spans="6:33" x14ac:dyDescent="0.25">
      <c r="F44" s="32"/>
      <c r="G44" s="32"/>
      <c r="H44" s="32"/>
      <c r="I44" s="32"/>
      <c r="J44" s="33"/>
      <c r="K44" s="32"/>
      <c r="L44" s="32"/>
      <c r="M44" s="32"/>
      <c r="N44" s="32"/>
      <c r="O44" s="32"/>
      <c r="P44" s="32"/>
      <c r="Q44" s="32"/>
      <c r="R44" s="32"/>
      <c r="S44" s="32"/>
      <c r="T44" s="32"/>
      <c r="U44" s="32"/>
      <c r="V44" s="32"/>
      <c r="W44" s="32"/>
      <c r="X44" s="32"/>
      <c r="Y44" s="31"/>
      <c r="Z44" s="31"/>
      <c r="AA44" s="31"/>
      <c r="AB44" s="31"/>
      <c r="AC44" s="31"/>
      <c r="AD44" s="31"/>
      <c r="AE44" s="31"/>
      <c r="AF44" s="31"/>
      <c r="AG44" s="31"/>
    </row>
    <row r="45" spans="6:33" x14ac:dyDescent="0.25">
      <c r="F45" s="43" t="s">
        <v>73</v>
      </c>
      <c r="G45" s="43"/>
      <c r="H45" s="43"/>
      <c r="I45" s="43"/>
      <c r="J45" s="33"/>
      <c r="K45" s="32"/>
      <c r="L45" s="32"/>
      <c r="M45" s="32"/>
      <c r="N45" s="32"/>
      <c r="O45" s="43" t="s">
        <v>74</v>
      </c>
      <c r="P45" s="43"/>
      <c r="Q45" s="43"/>
      <c r="R45" s="43"/>
      <c r="S45" s="43"/>
      <c r="T45" s="43"/>
      <c r="U45" s="5"/>
      <c r="V45" s="44" t="s">
        <v>75</v>
      </c>
      <c r="W45" s="44"/>
      <c r="X45" s="44"/>
      <c r="Y45" s="44"/>
      <c r="Z45" s="44"/>
      <c r="AA45" s="31"/>
      <c r="AB45" s="44" t="s">
        <v>76</v>
      </c>
      <c r="AC45" s="44"/>
      <c r="AD45" s="44"/>
      <c r="AE45" s="44"/>
      <c r="AF45" s="44"/>
      <c r="AG45" s="44"/>
    </row>
  </sheetData>
  <mergeCells count="42">
    <mergeCell ref="B11:B13"/>
    <mergeCell ref="C11:C13"/>
    <mergeCell ref="D11:D13"/>
    <mergeCell ref="E11:E13"/>
    <mergeCell ref="H32:S32"/>
    <mergeCell ref="F11:F13"/>
    <mergeCell ref="S11:V11"/>
    <mergeCell ref="R11:R13"/>
    <mergeCell ref="G11:G13"/>
    <mergeCell ref="H11:H13"/>
    <mergeCell ref="I11:I13"/>
    <mergeCell ref="J11:J13"/>
    <mergeCell ref="K11:K13"/>
    <mergeCell ref="L11:Q12"/>
    <mergeCell ref="F3:AG3"/>
    <mergeCell ref="F4:AG4"/>
    <mergeCell ref="N5:Y5"/>
    <mergeCell ref="F21:G21"/>
    <mergeCell ref="F29:G29"/>
    <mergeCell ref="AB11:AB13"/>
    <mergeCell ref="AC11:AC13"/>
    <mergeCell ref="AD11:AD13"/>
    <mergeCell ref="AE11:AE13"/>
    <mergeCell ref="AG11:AG13"/>
    <mergeCell ref="AF11:AF13"/>
    <mergeCell ref="W11:Y11"/>
    <mergeCell ref="Z11:AA12"/>
    <mergeCell ref="S12:T12"/>
    <mergeCell ref="U12:V12"/>
    <mergeCell ref="W12:X12"/>
    <mergeCell ref="X38:AG38"/>
    <mergeCell ref="F39:I39"/>
    <mergeCell ref="O39:T39"/>
    <mergeCell ref="AB39:AG39"/>
    <mergeCell ref="F40:I40"/>
    <mergeCell ref="O40:T40"/>
    <mergeCell ref="AB40:AG40"/>
    <mergeCell ref="F45:I45"/>
    <mergeCell ref="O45:T45"/>
    <mergeCell ref="AB45:AG45"/>
    <mergeCell ref="V40:Z40"/>
    <mergeCell ref="V45:Z4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2020-02-13T18:24:24Z</dcterms:created>
  <dcterms:modified xsi:type="dcterms:W3CDTF">2020-05-18T08:02:54Z</dcterms:modified>
</cp:coreProperties>
</file>