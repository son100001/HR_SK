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SourceCodeHR\Shinsung\SmartBooks.HumanResource\bin\x86\Debug\Teamleate\"/>
    </mc:Choice>
  </mc:AlternateContent>
  <xr:revisionPtr revIDLastSave="0" documentId="13_ncr:1_{1A6AFB55-B260-457E-ACF5-F4396BB7C51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Mr. Shin" sheetId="2" r:id="rId2"/>
    <sheet name="Mr. Lim" sheetId="17" r:id="rId3"/>
    <sheet name="Mr. Moon" sheetId="16" r:id="rId4"/>
    <sheet name="Mr. Yang" sheetId="15" r:id="rId5"/>
    <sheet name="Mr. Choi" sheetId="14" r:id="rId6"/>
    <sheet name="Mr. Hwang" sheetId="13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12" i="17" l="1"/>
  <c r="AR12" i="17"/>
  <c r="AQ12" i="17"/>
  <c r="AP12" i="17"/>
  <c r="AL12" i="17"/>
  <c r="AM12" i="17" s="1"/>
  <c r="AH12" i="17"/>
  <c r="AG12" i="17"/>
  <c r="AJ12" i="17" s="1"/>
  <c r="AF12" i="17"/>
  <c r="AD12" i="17"/>
  <c r="AC12" i="17"/>
  <c r="AB12" i="17"/>
  <c r="Q12" i="17"/>
  <c r="P12" i="17"/>
  <c r="O12" i="17"/>
  <c r="N12" i="17"/>
  <c r="M12" i="17"/>
  <c r="L12" i="17"/>
  <c r="J12" i="17"/>
  <c r="K12" i="17" s="1"/>
  <c r="S12" i="17" s="1"/>
  <c r="T12" i="17" s="1"/>
  <c r="I12" i="17"/>
  <c r="H12" i="17"/>
  <c r="G12" i="17"/>
  <c r="F12" i="17"/>
  <c r="E12" i="17"/>
  <c r="AN11" i="17"/>
  <c r="AM11" i="17"/>
  <c r="AH11" i="17"/>
  <c r="AJ11" i="17" s="1"/>
  <c r="AF11" i="17"/>
  <c r="AD11" i="17"/>
  <c r="AC11" i="17"/>
  <c r="R11" i="17"/>
  <c r="K11" i="17"/>
  <c r="S11" i="17" s="1"/>
  <c r="T11" i="17" s="1"/>
  <c r="E6" i="17"/>
  <c r="D6" i="17"/>
  <c r="A6" i="17"/>
  <c r="A4" i="17"/>
  <c r="A3" i="17"/>
  <c r="AY12" i="16"/>
  <c r="AR12" i="16"/>
  <c r="AQ12" i="16"/>
  <c r="AP12" i="16"/>
  <c r="AL12" i="16"/>
  <c r="AM12" i="16" s="1"/>
  <c r="AH12" i="16"/>
  <c r="AG12" i="16"/>
  <c r="AJ12" i="16" s="1"/>
  <c r="AD12" i="16"/>
  <c r="AC12" i="16"/>
  <c r="AB12" i="16"/>
  <c r="Q12" i="16"/>
  <c r="P12" i="16"/>
  <c r="O12" i="16"/>
  <c r="N12" i="16"/>
  <c r="M12" i="16"/>
  <c r="L12" i="16"/>
  <c r="J12" i="16"/>
  <c r="K12" i="16" s="1"/>
  <c r="S12" i="16" s="1"/>
  <c r="I12" i="16"/>
  <c r="H12" i="16"/>
  <c r="G12" i="16"/>
  <c r="F12" i="16"/>
  <c r="E12" i="16"/>
  <c r="AN11" i="16"/>
  <c r="AM11" i="16"/>
  <c r="AH11" i="16"/>
  <c r="AJ11" i="16" s="1"/>
  <c r="AD11" i="16"/>
  <c r="AF11" i="16" s="1"/>
  <c r="AC11" i="16"/>
  <c r="R11" i="16"/>
  <c r="E6" i="16"/>
  <c r="K11" i="16" s="1"/>
  <c r="S11" i="16" s="1"/>
  <c r="T11" i="16" s="1"/>
  <c r="D6" i="16"/>
  <c r="A6" i="16"/>
  <c r="A4" i="16"/>
  <c r="A3" i="16"/>
  <c r="AY12" i="15"/>
  <c r="AR12" i="15"/>
  <c r="AQ12" i="15"/>
  <c r="AP12" i="15"/>
  <c r="AL12" i="15"/>
  <c r="AM12" i="15" s="1"/>
  <c r="AH12" i="15"/>
  <c r="AG12" i="15"/>
  <c r="AJ12" i="15" s="1"/>
  <c r="AD12" i="15"/>
  <c r="AC12" i="15"/>
  <c r="AF12" i="15" s="1"/>
  <c r="AB12" i="15"/>
  <c r="Q12" i="15"/>
  <c r="P12" i="15"/>
  <c r="O12" i="15"/>
  <c r="N12" i="15"/>
  <c r="R12" i="15" s="1"/>
  <c r="M12" i="15"/>
  <c r="L12" i="15"/>
  <c r="J12" i="15"/>
  <c r="K12" i="15" s="1"/>
  <c r="S12" i="15" s="1"/>
  <c r="T12" i="15" s="1"/>
  <c r="I12" i="15"/>
  <c r="H12" i="15"/>
  <c r="G12" i="15"/>
  <c r="F12" i="15"/>
  <c r="E12" i="15"/>
  <c r="AN11" i="15"/>
  <c r="AM11" i="15"/>
  <c r="AH11" i="15"/>
  <c r="AJ11" i="15" s="1"/>
  <c r="AF11" i="15"/>
  <c r="AD11" i="15"/>
  <c r="AC11" i="15"/>
  <c r="R11" i="15"/>
  <c r="K11" i="15"/>
  <c r="S11" i="15" s="1"/>
  <c r="T11" i="15" s="1"/>
  <c r="E6" i="15"/>
  <c r="D6" i="15"/>
  <c r="A6" i="15"/>
  <c r="A4" i="15"/>
  <c r="A3" i="15"/>
  <c r="AY12" i="14"/>
  <c r="AR12" i="14"/>
  <c r="AQ12" i="14"/>
  <c r="AP12" i="14"/>
  <c r="AL12" i="14"/>
  <c r="AM12" i="14" s="1"/>
  <c r="AH12" i="14"/>
  <c r="AG12" i="14"/>
  <c r="AJ12" i="14" s="1"/>
  <c r="AF12" i="14"/>
  <c r="AD12" i="14"/>
  <c r="AC12" i="14"/>
  <c r="AB12" i="14"/>
  <c r="Q12" i="14"/>
  <c r="P12" i="14"/>
  <c r="O12" i="14"/>
  <c r="N12" i="14"/>
  <c r="M12" i="14"/>
  <c r="L12" i="14"/>
  <c r="J12" i="14"/>
  <c r="K12" i="14" s="1"/>
  <c r="S12" i="14" s="1"/>
  <c r="T12" i="14" s="1"/>
  <c r="I12" i="14"/>
  <c r="H12" i="14"/>
  <c r="G12" i="14"/>
  <c r="F12" i="14"/>
  <c r="E12" i="14"/>
  <c r="AN11" i="14"/>
  <c r="AM11" i="14"/>
  <c r="AH11" i="14"/>
  <c r="AJ11" i="14" s="1"/>
  <c r="AF11" i="14"/>
  <c r="AD11" i="14"/>
  <c r="AC11" i="14"/>
  <c r="R11" i="14"/>
  <c r="K11" i="14"/>
  <c r="S11" i="14" s="1"/>
  <c r="T11" i="14" s="1"/>
  <c r="E6" i="14"/>
  <c r="D6" i="14"/>
  <c r="A6" i="14"/>
  <c r="A4" i="14"/>
  <c r="A3" i="14"/>
  <c r="AY12" i="13"/>
  <c r="AR12" i="13"/>
  <c r="AQ12" i="13"/>
  <c r="AP12" i="13"/>
  <c r="AL12" i="13"/>
  <c r="AM12" i="13" s="1"/>
  <c r="AH12" i="13"/>
  <c r="AG12" i="13"/>
  <c r="AJ12" i="13" s="1"/>
  <c r="AD12" i="13"/>
  <c r="AC12" i="13"/>
  <c r="AF12" i="13" s="1"/>
  <c r="AB12" i="13"/>
  <c r="Q12" i="13"/>
  <c r="P12" i="13"/>
  <c r="O12" i="13"/>
  <c r="N12" i="13"/>
  <c r="R12" i="13" s="1"/>
  <c r="M12" i="13"/>
  <c r="L12" i="13"/>
  <c r="J12" i="13"/>
  <c r="K12" i="13" s="1"/>
  <c r="S12" i="13" s="1"/>
  <c r="T12" i="13" s="1"/>
  <c r="I12" i="13"/>
  <c r="H12" i="13"/>
  <c r="G12" i="13"/>
  <c r="F12" i="13"/>
  <c r="E12" i="13"/>
  <c r="AN11" i="13"/>
  <c r="AM11" i="13"/>
  <c r="AH11" i="13"/>
  <c r="AJ11" i="13" s="1"/>
  <c r="AF11" i="13"/>
  <c r="AD11" i="13"/>
  <c r="AC11" i="13"/>
  <c r="R11" i="13"/>
  <c r="K11" i="13"/>
  <c r="S11" i="13" s="1"/>
  <c r="T11" i="13" s="1"/>
  <c r="E6" i="13"/>
  <c r="D6" i="13"/>
  <c r="A6" i="13"/>
  <c r="A4" i="13"/>
  <c r="A3" i="13"/>
  <c r="AS12" i="2"/>
  <c r="AQ12" i="2"/>
  <c r="AR12" i="2"/>
  <c r="AP12" i="2"/>
  <c r="AY12" i="2"/>
  <c r="AT13" i="1"/>
  <c r="AQ13" i="1"/>
  <c r="R12" i="14" l="1"/>
  <c r="R12" i="16"/>
  <c r="T12" i="16"/>
  <c r="AF12" i="16"/>
  <c r="R12" i="17"/>
  <c r="Y11" i="17"/>
  <c r="V11" i="17"/>
  <c r="U11" i="17"/>
  <c r="X11" i="17"/>
  <c r="V12" i="17"/>
  <c r="Z12" i="17" s="1"/>
  <c r="X12" i="17"/>
  <c r="Y12" i="17"/>
  <c r="U12" i="17"/>
  <c r="AA12" i="17" s="1"/>
  <c r="W12" i="17"/>
  <c r="X11" i="16"/>
  <c r="V11" i="16"/>
  <c r="Z11" i="16" s="1"/>
  <c r="U11" i="16"/>
  <c r="AA11" i="16" s="1"/>
  <c r="Y11" i="16"/>
  <c r="Y12" i="16"/>
  <c r="U12" i="16"/>
  <c r="X12" i="16"/>
  <c r="W12" i="16"/>
  <c r="V12" i="16"/>
  <c r="Z12" i="16" s="1"/>
  <c r="Y11" i="15"/>
  <c r="V11" i="15"/>
  <c r="U11" i="15"/>
  <c r="X11" i="15"/>
  <c r="V12" i="15"/>
  <c r="Z12" i="15" s="1"/>
  <c r="W12" i="15"/>
  <c r="Y12" i="15"/>
  <c r="U12" i="15"/>
  <c r="X12" i="15"/>
  <c r="AA12" i="15"/>
  <c r="Y11" i="14"/>
  <c r="V11" i="14"/>
  <c r="X11" i="14"/>
  <c r="U11" i="14"/>
  <c r="V12" i="14"/>
  <c r="Z12" i="14" s="1"/>
  <c r="W12" i="14"/>
  <c r="Y12" i="14"/>
  <c r="U12" i="14"/>
  <c r="X12" i="14"/>
  <c r="AA12" i="14"/>
  <c r="V12" i="13"/>
  <c r="Z12" i="13" s="1"/>
  <c r="W12" i="13"/>
  <c r="Y12" i="13"/>
  <c r="U12" i="13"/>
  <c r="X12" i="13"/>
  <c r="Y11" i="13"/>
  <c r="U11" i="13"/>
  <c r="X11" i="13"/>
  <c r="V11" i="13"/>
  <c r="AA12" i="13" l="1"/>
  <c r="AA12" i="16"/>
  <c r="AO12" i="17"/>
  <c r="AS12" i="17" s="1"/>
  <c r="AT12" i="17" s="1"/>
  <c r="AU12" i="17" s="1"/>
  <c r="AW12" i="17" s="1"/>
  <c r="AX12" i="17" s="1"/>
  <c r="Z11" i="17"/>
  <c r="AA11" i="17" s="1"/>
  <c r="AO12" i="16"/>
  <c r="AS12" i="16" s="1"/>
  <c r="AT12" i="16" s="1"/>
  <c r="AU12" i="16" s="1"/>
  <c r="AW12" i="16" s="1"/>
  <c r="AX12" i="16" s="1"/>
  <c r="AT11" i="16"/>
  <c r="AU11" i="16" s="1"/>
  <c r="AW11" i="16" s="1"/>
  <c r="AX11" i="16" s="1"/>
  <c r="AO11" i="16"/>
  <c r="AO12" i="15"/>
  <c r="AS12" i="15" s="1"/>
  <c r="AT12" i="15" s="1"/>
  <c r="AU12" i="15" s="1"/>
  <c r="AW12" i="15" s="1"/>
  <c r="AX12" i="15" s="1"/>
  <c r="Z11" i="15"/>
  <c r="AA11" i="15" s="1"/>
  <c r="Z11" i="14"/>
  <c r="AA11" i="14" s="1"/>
  <c r="AO12" i="14"/>
  <c r="AS12" i="14" s="1"/>
  <c r="AT12" i="14" s="1"/>
  <c r="AU12" i="14" s="1"/>
  <c r="AW12" i="14" s="1"/>
  <c r="AX12" i="14" s="1"/>
  <c r="AO12" i="13"/>
  <c r="AS12" i="13" s="1"/>
  <c r="AT12" i="13" s="1"/>
  <c r="AU12" i="13" s="1"/>
  <c r="AW12" i="13" s="1"/>
  <c r="AX12" i="13" s="1"/>
  <c r="Z11" i="13"/>
  <c r="AA11" i="13" s="1"/>
  <c r="AO11" i="17" l="1"/>
  <c r="AT11" i="17"/>
  <c r="AU11" i="17" s="1"/>
  <c r="AW11" i="17" s="1"/>
  <c r="AX11" i="17" s="1"/>
  <c r="AO11" i="15"/>
  <c r="AT11" i="15"/>
  <c r="AU11" i="15" s="1"/>
  <c r="AW11" i="15" s="1"/>
  <c r="AX11" i="15" s="1"/>
  <c r="AT11" i="14"/>
  <c r="AU11" i="14" s="1"/>
  <c r="AW11" i="14" s="1"/>
  <c r="AX11" i="14" s="1"/>
  <c r="AO11" i="14"/>
  <c r="AT11" i="13"/>
  <c r="AU11" i="13" s="1"/>
  <c r="AW11" i="13" s="1"/>
  <c r="AX11" i="13" s="1"/>
  <c r="AO11" i="13"/>
  <c r="F5" i="1" l="1"/>
  <c r="L13" i="1" s="1"/>
  <c r="T13" i="1" s="1"/>
  <c r="AC13" i="1" s="1"/>
  <c r="AL12" i="2"/>
  <c r="AH12" i="2"/>
  <c r="AG12" i="2"/>
  <c r="AD12" i="2"/>
  <c r="AC12" i="2"/>
  <c r="AB12" i="2"/>
  <c r="Q12" i="2"/>
  <c r="P12" i="2"/>
  <c r="O12" i="2"/>
  <c r="N12" i="2"/>
  <c r="M12" i="2"/>
  <c r="L12" i="2"/>
  <c r="J12" i="2"/>
  <c r="I12" i="2"/>
  <c r="H12" i="2"/>
  <c r="G12" i="2"/>
  <c r="F12" i="2"/>
  <c r="E12" i="2"/>
  <c r="B4" i="1"/>
  <c r="A4" i="2" s="1"/>
  <c r="AM12" i="2"/>
  <c r="E6" i="2"/>
  <c r="K11" i="2" s="1"/>
  <c r="S11" i="2" s="1"/>
  <c r="T11" i="2" s="1"/>
  <c r="D6" i="2"/>
  <c r="AN11" i="2"/>
  <c r="AM11" i="2"/>
  <c r="AH11" i="2"/>
  <c r="AJ11" i="2" s="1"/>
  <c r="AD11" i="2"/>
  <c r="AC11" i="2"/>
  <c r="R11" i="2"/>
  <c r="B5" i="1"/>
  <c r="A6" i="2" s="1"/>
  <c r="B3" i="1"/>
  <c r="A3" i="2" s="1"/>
  <c r="AE13" i="1"/>
  <c r="AI13" i="1" s="1"/>
  <c r="AD13" i="1"/>
  <c r="AH13" i="1" s="1"/>
  <c r="J13" i="1"/>
  <c r="I13" i="1"/>
  <c r="H13" i="1"/>
  <c r="G13" i="1"/>
  <c r="F13" i="1"/>
  <c r="AN13" i="1"/>
  <c r="S13" i="1"/>
  <c r="AF12" i="2" l="1"/>
  <c r="R12" i="2"/>
  <c r="K12" i="2"/>
  <c r="S12" i="2" s="1"/>
  <c r="T12" i="2" s="1"/>
  <c r="AF11" i="2"/>
  <c r="V11" i="2"/>
  <c r="U11" i="2"/>
  <c r="X11" i="2"/>
  <c r="Y11" i="2"/>
  <c r="AG13" i="1"/>
  <c r="U13" i="1"/>
  <c r="V13" i="1" s="1"/>
  <c r="AK13" i="1"/>
  <c r="Y12" i="2" l="1"/>
  <c r="W12" i="2"/>
  <c r="AJ12" i="2"/>
  <c r="X12" i="2"/>
  <c r="U12" i="2"/>
  <c r="V12" i="2"/>
  <c r="Z12" i="2" s="1"/>
  <c r="Z11" i="2"/>
  <c r="AA11" i="2" s="1"/>
  <c r="Y13" i="1"/>
  <c r="W13" i="1"/>
  <c r="X13" i="1"/>
  <c r="Z13" i="1"/>
  <c r="AA12" i="2" l="1"/>
  <c r="AO12" i="2" s="1"/>
  <c r="AO11" i="2"/>
  <c r="AT11" i="2"/>
  <c r="AU11" i="2" s="1"/>
  <c r="AW11" i="2" s="1"/>
  <c r="AX11" i="2" s="1"/>
  <c r="AA13" i="1"/>
  <c r="AB13" i="1" s="1"/>
  <c r="AP13" i="1" s="1"/>
  <c r="AU13" i="1" s="1"/>
  <c r="AV13" i="1" s="1"/>
  <c r="AX13" i="1" s="1"/>
  <c r="AY13" i="1" s="1"/>
  <c r="AT12" i="2" l="1"/>
  <c r="AU12" i="2" s="1"/>
  <c r="AW12" i="2" s="1"/>
  <c r="AX12" i="2" s="1"/>
</calcChain>
</file>

<file path=xl/sharedStrings.xml><?xml version="1.0" encoding="utf-8"?>
<sst xmlns="http://schemas.openxmlformats.org/spreadsheetml/2006/main" count="733" uniqueCount="194">
  <si>
    <t>CÔNG TY TNHH SHINSUNG VINA</t>
  </si>
  <si>
    <t>Lô CN04, khu công nghiệp Cẩm Khê, TT.Cẩm Khê, H.Cẩm Khê, T.Phú Thọ</t>
  </si>
  <si>
    <t>STT
(No)</t>
  </si>
  <si>
    <t>Họ và tên
(First and last name)</t>
  </si>
  <si>
    <t>Vị trí
(Location)</t>
  </si>
  <si>
    <t>Giờ công cơ bản thực tế (The actual basic hourly)</t>
  </si>
  <si>
    <t xml:space="preserve">       Giờ công làm thêm      (Hours of overtime)</t>
  </si>
  <si>
    <t>Lương cơ bản  (Basic salary)
USD</t>
  </si>
  <si>
    <t xml:space="preserve">Lương cơ bản  (Basic salary)
</t>
  </si>
  <si>
    <t>Các khoản phụ cấp (Allowances)</t>
  </si>
  <si>
    <t>Tổng các khoản phụ cấp (Total allowances)</t>
  </si>
  <si>
    <t>Lương đóng bảo hiểm</t>
  </si>
  <si>
    <t xml:space="preserve">Lương giờ công </t>
  </si>
  <si>
    <t xml:space="preserve">Tổng lương giờ công cơ bản
</t>
  </si>
  <si>
    <t>Lương giờ công làm thêm</t>
  </si>
  <si>
    <t xml:space="preserve">Tổng lương 
</t>
  </si>
  <si>
    <t xml:space="preserve">BH tính vào chi phí / Isuarance payable by company </t>
  </si>
  <si>
    <t xml:space="preserve">BH khấu trừ lương  / Isuarance deductions from salary </t>
  </si>
  <si>
    <t>Thuế TNCN /Personal income tax</t>
  </si>
  <si>
    <t xml:space="preserve">Thực nhận </t>
  </si>
  <si>
    <t>Số tài khoản</t>
  </si>
  <si>
    <t>Ký nhận</t>
  </si>
  <si>
    <t>Tăng ca ngày</t>
  </si>
  <si>
    <t>Tăng ca đêm</t>
  </si>
  <si>
    <t>Tăng ca CN 200%</t>
  </si>
  <si>
    <t>Tăng ca ngày lễ 300%</t>
  </si>
  <si>
    <t>Phụ cấp  trách nhiệm</t>
  </si>
  <si>
    <t>Phụ cấp điện thoại</t>
  </si>
  <si>
    <t>Phụ cấp xăng xe</t>
  </si>
  <si>
    <t>Phụ cấp nhà ở</t>
  </si>
  <si>
    <t>Phụ cấp đi lại</t>
  </si>
  <si>
    <t>Chuyên cần (Diligence)</t>
  </si>
  <si>
    <t>Tăng ca ngày 150%</t>
  </si>
  <si>
    <t>Tổng lương làm thêm</t>
  </si>
  <si>
    <t>Lương đóng bảo hiểm/Salary base for insurance</t>
  </si>
  <si>
    <t>BHXH / Social Insurance 17.5%</t>
  </si>
  <si>
    <t>BHYT / Health Insurance 3%건강보험
(회사분)</t>
  </si>
  <si>
    <t>BHTN / Unemployment Insurance 1%</t>
  </si>
  <si>
    <t xml:space="preserve">Cộng /Amount Isurance </t>
  </si>
  <si>
    <t>BHXH / Social Insurance 8%</t>
  </si>
  <si>
    <t xml:space="preserve">BHYT / Health Insurance 1,5% 건강보험
(개인분) </t>
  </si>
  <si>
    <t xml:space="preserve">Cộng 10.5%/Amount Isurance </t>
  </si>
  <si>
    <r>
      <t>Giảm trừ bản thân (</t>
    </r>
    <r>
      <rPr>
        <b/>
        <sz val="9"/>
        <rFont val="바탕"/>
        <family val="1"/>
        <charset val="129"/>
      </rPr>
      <t>기본공제금</t>
    </r>
    <r>
      <rPr>
        <b/>
        <sz val="9"/>
        <rFont val="Times New Roman"/>
        <family val="1"/>
      </rPr>
      <t xml:space="preserve"> )
(VND)</t>
    </r>
  </si>
  <si>
    <t>Số người phụ thuộc /Number Deduction family</t>
  </si>
  <si>
    <t xml:space="preserve"> Giảm trừ người phụ thuộc /deduction-family 4400000/1person </t>
  </si>
  <si>
    <t>Tax excemption</t>
  </si>
  <si>
    <t>Thu nhập chịu thuế</t>
  </si>
  <si>
    <t>Tiền BHSK tính thuế TNCN</t>
  </si>
  <si>
    <r>
      <t>Thu nhập tính thuế
(</t>
    </r>
    <r>
      <rPr>
        <b/>
        <sz val="9"/>
        <rFont val="바탕"/>
        <family val="1"/>
        <charset val="129"/>
      </rPr>
      <t>과세</t>
    </r>
    <r>
      <rPr>
        <b/>
        <sz val="9"/>
        <rFont val="Times New Roman"/>
        <family val="1"/>
      </rPr>
      <t xml:space="preserve"> </t>
    </r>
    <r>
      <rPr>
        <b/>
        <sz val="9"/>
        <rFont val="바탕"/>
        <family val="1"/>
        <charset val="129"/>
      </rPr>
      <t>대상</t>
    </r>
    <r>
      <rPr>
        <b/>
        <sz val="9"/>
        <rFont val="Times New Roman"/>
        <family val="1"/>
      </rPr>
      <t xml:space="preserve"> </t>
    </r>
    <r>
      <rPr>
        <b/>
        <sz val="9"/>
        <rFont val="바탕"/>
        <family val="1"/>
        <charset val="129"/>
      </rPr>
      <t>금액</t>
    </r>
    <r>
      <rPr>
        <b/>
        <sz val="9"/>
        <rFont val="Times New Roman"/>
        <family val="1"/>
      </rPr>
      <t>) (VND)</t>
    </r>
  </si>
  <si>
    <r>
      <t>Thuế TNCN
(</t>
    </r>
    <r>
      <rPr>
        <b/>
        <sz val="9"/>
        <rFont val="바탕"/>
        <family val="1"/>
        <charset val="129"/>
      </rPr>
      <t>개인소득세</t>
    </r>
    <r>
      <rPr>
        <b/>
        <sz val="9"/>
        <rFont val="Times New Roman"/>
        <family val="1"/>
      </rPr>
      <t>)
( VND)</t>
    </r>
  </si>
  <si>
    <t xml:space="preserve">Truy thu Thuế TNCN </t>
  </si>
  <si>
    <t>VND</t>
  </si>
  <si>
    <t>USD 
(Quy đổi)</t>
  </si>
  <si>
    <t>(5a)</t>
  </si>
  <si>
    <t>(11 a)</t>
  </si>
  <si>
    <t>(11b)</t>
  </si>
  <si>
    <t>(13)=10+11+11a+11b+ 12</t>
  </si>
  <si>
    <t>(14)=(8)+(9)</t>
  </si>
  <si>
    <t>(15)=(14)/4</t>
  </si>
  <si>
    <t>(16)=(15)*(4)</t>
  </si>
  <si>
    <t>(17)=(5)* (15)*150%</t>
  </si>
  <si>
    <t>(17a)</t>
  </si>
  <si>
    <t>(18)=(6)* (15)*200%</t>
  </si>
  <si>
    <t>(19)=(7)* (15)*300%</t>
  </si>
  <si>
    <t>(20)= (17)+(18)+(19)</t>
  </si>
  <si>
    <t>(21)=(13)+(16)+ (20)</t>
  </si>
  <si>
    <t>(22)=(8)+ (10)</t>
  </si>
  <si>
    <t>(23)=(22)x17%</t>
  </si>
  <si>
    <t>(24)=(22)x3%</t>
  </si>
  <si>
    <t>(26)=(23)+(24)</t>
  </si>
  <si>
    <t>(28)=(22)x1.5%</t>
  </si>
  <si>
    <t>(30)=(27)+(28)+(29)</t>
  </si>
  <si>
    <t>(31a)</t>
  </si>
  <si>
    <t>(32)= (31a)x4400000</t>
  </si>
  <si>
    <t>(34)=(21)-(33)</t>
  </si>
  <si>
    <t>(35)=(21)-(31)-(32)-(33)</t>
  </si>
  <si>
    <t>Shin Chun Ki</t>
  </si>
  <si>
    <t>Nhà quản lý</t>
  </si>
  <si>
    <t>No</t>
  </si>
  <si>
    <t>Employee_ID</t>
  </si>
  <si>
    <t>FullName</t>
  </si>
  <si>
    <t>Mã nhân viên</t>
  </si>
  <si>
    <t>cct_wt1</t>
  </si>
  <si>
    <t>cct_wt9</t>
  </si>
  <si>
    <t>ctv_wt1</t>
  </si>
  <si>
    <t>ctv_wt9</t>
  </si>
  <si>
    <t>pct_PhepHuongLuong</t>
  </si>
  <si>
    <t>ptv_Phephuongluong</t>
  </si>
  <si>
    <t>cct_wt3</t>
  </si>
  <si>
    <t>cct_wt5</t>
  </si>
  <si>
    <t>cct_wt4</t>
  </si>
  <si>
    <t>cct_wt7</t>
  </si>
  <si>
    <t>ctv_wt3</t>
  </si>
  <si>
    <t>ctv_wt5</t>
  </si>
  <si>
    <t>ctv_wt4</t>
  </si>
  <si>
    <t>ctv_wt7</t>
  </si>
  <si>
    <t>CD1</t>
  </si>
  <si>
    <t>CD2</t>
  </si>
  <si>
    <t>CD14</t>
  </si>
  <si>
    <t>CD16</t>
  </si>
  <si>
    <t>CD11</t>
  </si>
  <si>
    <t>SocialInsurance</t>
  </si>
  <si>
    <t>HealthInsurance</t>
  </si>
  <si>
    <t>NgayCongTieuChuan</t>
  </si>
  <si>
    <t>NguoiPhuThuoc</t>
  </si>
  <si>
    <t>HT17</t>
  </si>
  <si>
    <t>BankAccount</t>
  </si>
  <si>
    <t>NgayApDungTyGia</t>
  </si>
  <si>
    <t>TyGiaUSD</t>
  </si>
  <si>
    <t>Công chính thức</t>
  </si>
  <si>
    <t>Công thử việc</t>
  </si>
  <si>
    <t>Giờ 100%</t>
  </si>
  <si>
    <t>Giờ 130%</t>
  </si>
  <si>
    <t>Giờ 150</t>
  </si>
  <si>
    <t>Giờ 200%</t>
  </si>
  <si>
    <t>Giờ 200% CN</t>
  </si>
  <si>
    <t>Giờ 300% Lễ</t>
  </si>
  <si>
    <t>Phép hưởng lương CT</t>
  </si>
  <si>
    <t>Phép hưởng lương TV</t>
  </si>
  <si>
    <t>BHXH</t>
  </si>
  <si>
    <t>BHYT</t>
  </si>
  <si>
    <t>Ngày công tiêu chuẩn</t>
  </si>
  <si>
    <t>Tỷ giá USD</t>
  </si>
  <si>
    <t>Ngày áp dụng tỷ giá</t>
  </si>
  <si>
    <t>Key</t>
  </si>
  <si>
    <t>Salary_Month</t>
  </si>
  <si>
    <t>Salary_Year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</si>
  <si>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</si>
  <si>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</si>
  <si>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</si>
  <si>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</si>
  <si>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</si>
  <si>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</si>
  <si>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</si>
  <si>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</si>
  <si>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</si>
  <si>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</si>
  <si>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</si>
  <si>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</si>
  <si>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</si>
  <si>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</si>
  <si>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</si>
  <si>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</si>
  <si>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</si>
  <si>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</si>
  <si>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</si>
  <si>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</si>
  <si>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</si>
  <si>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</si>
  <si>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</si>
  <si>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</si>
  <si>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</si>
  <si>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</si>
  <si>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</si>
  <si>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</si>
  <si>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</si>
  <si>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</si>
  <si>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</si>
  <si>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</si>
  <si>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</si>
  <si>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</si>
  <si>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</si>
  <si>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</si>
  <si>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</si>
  <si>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</si>
  <si>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</si>
  <si>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</si>
  <si>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</si>
  <si>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</si>
  <si>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</si>
  <si>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</si>
  <si>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TGĐ</t>
  </si>
  <si>
    <t>Mã nhân viên
(Employee ID)</t>
  </si>
  <si>
    <t>Lim Heungsub</t>
  </si>
  <si>
    <t>Moon Han Soo</t>
  </si>
  <si>
    <t>Yang Dao Jun</t>
  </si>
  <si>
    <t>Choi Jin Sun</t>
  </si>
  <si>
    <t>Hwang Seungyun</t>
  </si>
  <si>
    <t>SS-TGĐ</t>
  </si>
  <si>
    <t>SS-QLKD</t>
  </si>
  <si>
    <t>SS-GĐĐH</t>
  </si>
  <si>
    <t>SS-TPSX</t>
  </si>
  <si>
    <t>SS-KTSX</t>
  </si>
  <si>
    <t>SS-QLSX</t>
  </si>
  <si>
    <t>LuongTinhBH</t>
  </si>
  <si>
    <t>Lương tính BH</t>
  </si>
  <si>
    <t>Tiền thuê nhà thực tế</t>
  </si>
  <si>
    <t>CD6</t>
  </si>
  <si>
    <t>CD7</t>
  </si>
  <si>
    <t>Tiền BHSK</t>
  </si>
  <si>
    <t>Vé máy bay</t>
  </si>
  <si>
    <t>HT18</t>
  </si>
  <si>
    <t>Thu nhập chịu thuế bảo gồm tiền BHSK + vé máy bay</t>
  </si>
  <si>
    <t>Tiền thuê nhà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</si>
</sst>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#,##0.0"/>
    <numFmt numFmtId="165" formatCode="_-* #,##0\ _₫_-;\-* #,##0\ _₫_-;_-* &quot;-&quot;??\ _₫_-;_-@_-"/>
    <numFmt numFmtId="166" formatCode="0_);[Red]\(0\)"/>
    <numFmt numFmtId="167" formatCode="_-* #,##0_-;\-* #,##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8"/>
      <name val="돋움"/>
      <family val="3"/>
      <charset val="129"/>
    </font>
    <font>
      <b/>
      <sz val="8"/>
      <name val="돋움"/>
      <family val="3"/>
      <charset val="129"/>
    </font>
    <font>
      <sz val="7"/>
      <name val="돋움"/>
      <family val="3"/>
      <charset val="129"/>
    </font>
    <font>
      <b/>
      <sz val="18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b/>
      <sz val="9"/>
      <name val="바탕"/>
      <family val="1"/>
      <charset val="129"/>
    </font>
    <font>
      <b/>
      <sz val="9"/>
      <color theme="1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b/>
      <i/>
      <sz val="10"/>
      <name val="Times New Roman"/>
      <family val="1"/>
    </font>
    <font>
      <sz val="10"/>
      <name val="Times New Roman"/>
      <family val="1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1"/>
      <name val="Times New Roman"/>
      <family val="1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sz val="9"/>
      <name val="돋움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0" borderId="0" xfId="0" applyFont="1"/>
    <xf numFmtId="0" fontId="3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38" fontId="5" fillId="0" borderId="0" xfId="0" applyNumberFormat="1" applyFont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9" fontId="7" fillId="3" borderId="6" xfId="0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41" fontId="8" fillId="3" borderId="1" xfId="2" applyFont="1" applyFill="1" applyBorder="1" applyAlignment="1">
      <alignment horizontal="center" vertical="center" wrapText="1"/>
    </xf>
    <xf numFmtId="38" fontId="7" fillId="3" borderId="1" xfId="0" applyNumberFormat="1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8" fontId="10" fillId="0" borderId="1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 wrapText="1"/>
    </xf>
    <xf numFmtId="3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7" fillId="0" borderId="1" xfId="1" applyNumberFormat="1" applyFont="1" applyFill="1" applyBorder="1" applyAlignment="1">
      <alignment horizontal="center" vertical="center"/>
    </xf>
    <xf numFmtId="4" fontId="2" fillId="0" borderId="1" xfId="1" applyNumberFormat="1" applyFont="1" applyFill="1" applyBorder="1" applyAlignment="1">
      <alignment horizontal="center" vertical="center"/>
    </xf>
    <xf numFmtId="167" fontId="11" fillId="0" borderId="0" xfId="1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0" fillId="0" borderId="1" xfId="0" applyBorder="1"/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1" xfId="1" quotePrefix="1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5" fontId="13" fillId="0" borderId="0" xfId="1" applyNumberFormat="1" applyFont="1" applyAlignment="1">
      <alignment horizontal="center" vertical="center"/>
    </xf>
    <xf numFmtId="165" fontId="14" fillId="0" borderId="0" xfId="1" applyNumberFormat="1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16" fillId="0" borderId="0" xfId="0" applyFont="1"/>
    <xf numFmtId="0" fontId="15" fillId="0" borderId="0" xfId="0" applyFont="1" applyAlignment="1">
      <alignment vertical="center"/>
    </xf>
    <xf numFmtId="0" fontId="15" fillId="2" borderId="0" xfId="0" applyFont="1" applyFill="1" applyAlignment="1">
      <alignment vertical="center"/>
    </xf>
    <xf numFmtId="38" fontId="15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19" fillId="0" borderId="0" xfId="0" applyFont="1"/>
    <xf numFmtId="0" fontId="18" fillId="2" borderId="0" xfId="0" applyFont="1" applyFill="1" applyAlignment="1">
      <alignment vertical="center"/>
    </xf>
    <xf numFmtId="38" fontId="18" fillId="0" borderId="0" xfId="0" applyNumberFormat="1" applyFont="1" applyAlignment="1">
      <alignment vertical="center"/>
    </xf>
    <xf numFmtId="38" fontId="20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165" fontId="13" fillId="0" borderId="0" xfId="1" applyNumberFormat="1" applyFont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13" fillId="0" borderId="0" xfId="1" applyNumberFormat="1" applyFont="1" applyAlignment="1">
      <alignment horizontal="center" vertical="center"/>
    </xf>
    <xf numFmtId="41" fontId="7" fillId="3" borderId="1" xfId="2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 wrapText="1"/>
    </xf>
    <xf numFmtId="164" fontId="7" fillId="3" borderId="6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0" xfId="0" applyNumberFormat="1" applyFont="1" applyAlignment="1">
      <alignment vertical="center"/>
    </xf>
    <xf numFmtId="0" fontId="13" fillId="0" borderId="0" xfId="1" applyNumberFormat="1" applyFont="1" applyAlignment="1">
      <alignment horizontal="center" vertical="center"/>
    </xf>
    <xf numFmtId="0" fontId="17" fillId="0" borderId="0" xfId="0" applyNumberFormat="1" applyFont="1" applyAlignment="1">
      <alignment vertical="center"/>
    </xf>
    <xf numFmtId="0" fontId="20" fillId="0" borderId="0" xfId="0" applyNumberFormat="1" applyFont="1" applyAlignment="1">
      <alignment vertical="center"/>
    </xf>
    <xf numFmtId="0" fontId="7" fillId="3" borderId="2" xfId="0" applyNumberFormat="1" applyFont="1" applyFill="1" applyBorder="1" applyAlignment="1">
      <alignment horizontal="center" vertical="center" wrapText="1"/>
    </xf>
    <xf numFmtId="0" fontId="7" fillId="3" borderId="6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horizontal="center" vertical="center"/>
    </xf>
    <xf numFmtId="0" fontId="0" fillId="0" borderId="0" xfId="0" applyNumberForma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"/>
  <sheetViews>
    <sheetView topLeftCell="AB1" workbookViewId="0">
      <selection activeCell="AS11" sqref="AS11"/>
    </sheetView>
  </sheetViews>
  <sheetFormatPr defaultRowHeight="15"/>
  <cols>
    <col min="4" max="4" width="11.7109375" bestFit="1" customWidth="1"/>
    <col min="12" max="12" width="15.28515625" customWidth="1"/>
    <col min="20" max="20" width="16" customWidth="1"/>
    <col min="22" max="22" width="12.5703125" customWidth="1"/>
    <col min="28" max="28" width="12.85546875" customWidth="1"/>
    <col min="29" max="29" width="11.7109375" customWidth="1"/>
    <col min="37" max="37" width="10.7109375" customWidth="1"/>
    <col min="38" max="38" width="12" customWidth="1"/>
    <col min="42" max="42" width="12.28515625" customWidth="1"/>
    <col min="43" max="45" width="12.85546875" customWidth="1"/>
    <col min="46" max="46" width="13.140625" customWidth="1"/>
    <col min="47" max="47" width="13.5703125" customWidth="1"/>
    <col min="50" max="50" width="13.140625" customWidth="1"/>
  </cols>
  <sheetData>
    <row r="1" spans="1:78">
      <c r="A1">
        <v>1</v>
      </c>
      <c r="B1" s="1" t="s">
        <v>0</v>
      </c>
      <c r="C1" s="1"/>
      <c r="D1" s="2"/>
      <c r="E1" s="2"/>
      <c r="F1" s="3"/>
      <c r="G1" s="3"/>
      <c r="H1" s="3"/>
      <c r="I1" s="3"/>
      <c r="J1" s="3"/>
      <c r="K1" s="3"/>
      <c r="L1" s="4"/>
      <c r="M1" s="2"/>
      <c r="N1" s="2"/>
      <c r="O1" s="2"/>
      <c r="P1" s="2"/>
      <c r="Q1" s="2"/>
      <c r="R1" s="2"/>
      <c r="S1" s="2"/>
      <c r="T1" s="2"/>
      <c r="U1" s="2"/>
      <c r="V1" s="5"/>
      <c r="W1" s="5"/>
      <c r="X1" s="5"/>
      <c r="Y1" s="5"/>
      <c r="Z1" s="5"/>
      <c r="AA1" s="5"/>
      <c r="AB1" s="5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6"/>
      <c r="AO1" s="6"/>
      <c r="AP1" s="7"/>
      <c r="AQ1" s="7"/>
      <c r="AR1" s="7"/>
      <c r="AS1" s="7"/>
      <c r="AT1" s="7"/>
      <c r="AU1" s="2"/>
      <c r="AV1" s="2"/>
      <c r="AW1" s="2"/>
      <c r="AX1" s="2"/>
      <c r="AY1" s="2"/>
      <c r="AZ1" s="2"/>
      <c r="BA1" s="2"/>
    </row>
    <row r="2" spans="1:78">
      <c r="A2">
        <v>2</v>
      </c>
      <c r="B2" s="1" t="s">
        <v>1</v>
      </c>
      <c r="C2" s="1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5"/>
      <c r="W2" s="5"/>
      <c r="X2" s="5"/>
      <c r="Y2" s="5"/>
      <c r="Z2" s="5"/>
      <c r="AA2" s="5"/>
      <c r="AB2" s="5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6"/>
      <c r="AO2" s="6"/>
      <c r="AP2" s="7"/>
      <c r="AQ2" s="7"/>
      <c r="AR2" s="7"/>
      <c r="AS2" s="7"/>
      <c r="AT2" s="7"/>
      <c r="AU2" s="2"/>
      <c r="AV2" s="2"/>
      <c r="AW2" s="2"/>
      <c r="AX2" s="2"/>
      <c r="AY2" s="2"/>
      <c r="AZ2" s="2"/>
      <c r="BA2" s="2"/>
    </row>
    <row r="3" spans="1:78" ht="22.5">
      <c r="A3">
        <v>3</v>
      </c>
      <c r="B3" s="62" t="str">
        <f>"PAYROLL " &amp; UPPER(TEXT(A1*29,"MMMMMM")) &amp; " " &amp; A2</f>
        <v>PAYROLL JANUARY 2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</row>
    <row r="4" spans="1:78">
      <c r="A4">
        <v>4</v>
      </c>
      <c r="B4" s="56" t="str">
        <f>"From 1st - " &amp; DAY(EOMONTH(DATE(A2,A1,1),0)) &amp; " " &amp; TEXT(A1*29,"MMMMMM") &amp; " " &amp; A2</f>
        <v>From 1st - 31 January 2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0"/>
      <c r="BC4" s="50"/>
    </row>
    <row r="5" spans="1:78">
      <c r="A5">
        <v>5</v>
      </c>
      <c r="B5" s="34" t="str">
        <f>"Tỷ giá Vietinbank: " &amp; TEXT(BY13,"dd/MM/yyyy")</f>
        <v>Tỷ giá Vietinbank: 00/01/1900</v>
      </c>
      <c r="C5" s="34"/>
      <c r="D5" s="28"/>
      <c r="E5" s="28">
        <v>25160</v>
      </c>
      <c r="F5" s="29">
        <f>$BX$13</f>
        <v>0</v>
      </c>
    </row>
    <row r="6" spans="1:78">
      <c r="A6">
        <v>6</v>
      </c>
      <c r="B6" t="s">
        <v>78</v>
      </c>
      <c r="C6" t="s">
        <v>79</v>
      </c>
      <c r="D6" t="s">
        <v>80</v>
      </c>
      <c r="K6" t="s">
        <v>96</v>
      </c>
      <c r="M6" t="s">
        <v>97</v>
      </c>
      <c r="N6" t="s">
        <v>98</v>
      </c>
      <c r="O6" t="s">
        <v>99</v>
      </c>
      <c r="P6" t="s">
        <v>100</v>
      </c>
      <c r="AM6" t="s">
        <v>104</v>
      </c>
      <c r="AR6" t="s">
        <v>187</v>
      </c>
      <c r="AS6" t="s">
        <v>191</v>
      </c>
      <c r="AW6" t="s">
        <v>105</v>
      </c>
      <c r="AZ6" t="s">
        <v>106</v>
      </c>
      <c r="BC6" t="s">
        <v>124</v>
      </c>
      <c r="BD6" t="s">
        <v>125</v>
      </c>
      <c r="BE6" t="s">
        <v>126</v>
      </c>
      <c r="BF6" t="s">
        <v>82</v>
      </c>
      <c r="BG6" t="s">
        <v>83</v>
      </c>
      <c r="BH6" t="s">
        <v>88</v>
      </c>
      <c r="BI6" t="s">
        <v>89</v>
      </c>
      <c r="BJ6" t="s">
        <v>90</v>
      </c>
      <c r="BK6" t="s">
        <v>91</v>
      </c>
      <c r="BL6" t="s">
        <v>84</v>
      </c>
      <c r="BM6" t="s">
        <v>85</v>
      </c>
      <c r="BN6" t="s">
        <v>92</v>
      </c>
      <c r="BO6" t="s">
        <v>93</v>
      </c>
      <c r="BP6" t="s">
        <v>94</v>
      </c>
      <c r="BQ6" t="s">
        <v>95</v>
      </c>
      <c r="BR6" t="s">
        <v>86</v>
      </c>
      <c r="BS6" t="s">
        <v>87</v>
      </c>
      <c r="BT6" t="s">
        <v>184</v>
      </c>
      <c r="BU6" t="s">
        <v>101</v>
      </c>
      <c r="BV6" t="s">
        <v>102</v>
      </c>
      <c r="BW6" t="s">
        <v>103</v>
      </c>
      <c r="BX6" t="s">
        <v>108</v>
      </c>
      <c r="BY6" t="s">
        <v>107</v>
      </c>
      <c r="BZ6" t="s">
        <v>188</v>
      </c>
    </row>
    <row r="7" spans="1:78">
      <c r="B7">
        <v>2</v>
      </c>
      <c r="C7">
        <v>2</v>
      </c>
      <c r="D7">
        <v>2</v>
      </c>
      <c r="E7">
        <v>2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BC7" t="s">
        <v>124</v>
      </c>
      <c r="BD7" t="s">
        <v>125</v>
      </c>
      <c r="BE7" t="s">
        <v>126</v>
      </c>
    </row>
    <row r="8" spans="1:78">
      <c r="C8" t="s">
        <v>79</v>
      </c>
      <c r="F8" t="s">
        <v>128</v>
      </c>
      <c r="G8" t="s">
        <v>129</v>
      </c>
      <c r="H8" t="s">
        <v>130</v>
      </c>
      <c r="I8" t="s">
        <v>131</v>
      </c>
      <c r="J8" t="s">
        <v>132</v>
      </c>
      <c r="K8" t="s">
        <v>133</v>
      </c>
      <c r="L8" t="s">
        <v>127</v>
      </c>
      <c r="M8" t="s">
        <v>134</v>
      </c>
      <c r="N8" t="s">
        <v>135</v>
      </c>
      <c r="O8" t="s">
        <v>136</v>
      </c>
      <c r="P8" t="s">
        <v>137</v>
      </c>
      <c r="Q8" t="s">
        <v>138</v>
      </c>
      <c r="R8" t="s">
        <v>139</v>
      </c>
      <c r="S8" t="s">
        <v>140</v>
      </c>
      <c r="T8" t="s">
        <v>141</v>
      </c>
      <c r="U8" t="s">
        <v>142</v>
      </c>
      <c r="V8" t="s">
        <v>143</v>
      </c>
      <c r="W8" t="s">
        <v>144</v>
      </c>
      <c r="X8" t="s">
        <v>145</v>
      </c>
      <c r="Y8" t="s">
        <v>146</v>
      </c>
      <c r="Z8" t="s">
        <v>147</v>
      </c>
      <c r="AA8" t="s">
        <v>148</v>
      </c>
      <c r="AB8" t="s">
        <v>149</v>
      </c>
      <c r="AC8" t="s">
        <v>150</v>
      </c>
      <c r="AD8" t="s">
        <v>151</v>
      </c>
      <c r="AE8" t="s">
        <v>152</v>
      </c>
      <c r="AF8" t="s">
        <v>153</v>
      </c>
      <c r="AG8" t="s">
        <v>154</v>
      </c>
      <c r="AH8" t="s">
        <v>155</v>
      </c>
      <c r="AI8" t="s">
        <v>156</v>
      </c>
      <c r="AJ8" t="s">
        <v>157</v>
      </c>
      <c r="AK8" t="s">
        <v>158</v>
      </c>
      <c r="AL8" t="s">
        <v>159</v>
      </c>
      <c r="AM8" t="s">
        <v>160</v>
      </c>
      <c r="AN8" t="s">
        <v>161</v>
      </c>
      <c r="AO8" t="s">
        <v>162</v>
      </c>
      <c r="AP8" t="s">
        <v>163</v>
      </c>
      <c r="AQ8" t="s">
        <v>164</v>
      </c>
      <c r="AT8" t="s">
        <v>165</v>
      </c>
      <c r="AU8" t="s">
        <v>166</v>
      </c>
      <c r="AV8" t="s">
        <v>167</v>
      </c>
      <c r="AW8" t="s">
        <v>168</v>
      </c>
      <c r="AX8" t="s">
        <v>169</v>
      </c>
      <c r="AY8" t="s">
        <v>170</v>
      </c>
      <c r="BC8" t="s">
        <v>124</v>
      </c>
      <c r="BD8" t="s">
        <v>125</v>
      </c>
      <c r="BE8" t="s">
        <v>126</v>
      </c>
    </row>
    <row r="9" spans="1:78">
      <c r="C9" t="s">
        <v>79</v>
      </c>
      <c r="BC9" t="s">
        <v>124</v>
      </c>
      <c r="BD9" t="s">
        <v>125</v>
      </c>
      <c r="BE9" t="s">
        <v>126</v>
      </c>
    </row>
    <row r="10" spans="1:78">
      <c r="B10" s="61" t="s">
        <v>2</v>
      </c>
      <c r="C10" s="51" t="s">
        <v>81</v>
      </c>
      <c r="D10" s="61" t="s">
        <v>3</v>
      </c>
      <c r="E10" s="61" t="s">
        <v>4</v>
      </c>
      <c r="F10" s="63" t="s">
        <v>5</v>
      </c>
      <c r="G10" s="65" t="s">
        <v>6</v>
      </c>
      <c r="H10" s="65"/>
      <c r="I10" s="65"/>
      <c r="J10" s="65"/>
      <c r="K10" s="51" t="s">
        <v>7</v>
      </c>
      <c r="L10" s="51" t="s">
        <v>8</v>
      </c>
      <c r="M10" s="58" t="s">
        <v>9</v>
      </c>
      <c r="N10" s="59"/>
      <c r="O10" s="59"/>
      <c r="P10" s="59"/>
      <c r="Q10" s="59"/>
      <c r="R10" s="60"/>
      <c r="S10" s="51" t="s">
        <v>10</v>
      </c>
      <c r="T10" s="61" t="s">
        <v>11</v>
      </c>
      <c r="U10" s="51" t="s">
        <v>12</v>
      </c>
      <c r="V10" s="61" t="s">
        <v>13</v>
      </c>
      <c r="W10" s="58" t="s">
        <v>14</v>
      </c>
      <c r="X10" s="59"/>
      <c r="Y10" s="59"/>
      <c r="Z10" s="59"/>
      <c r="AA10" s="60"/>
      <c r="AB10" s="61" t="s">
        <v>15</v>
      </c>
      <c r="AC10" s="57" t="s">
        <v>16</v>
      </c>
      <c r="AD10" s="57"/>
      <c r="AE10" s="57"/>
      <c r="AF10" s="57"/>
      <c r="AG10" s="57"/>
      <c r="AH10" s="57" t="s">
        <v>17</v>
      </c>
      <c r="AI10" s="57"/>
      <c r="AJ10" s="57"/>
      <c r="AK10" s="57"/>
      <c r="AL10" s="58" t="s">
        <v>18</v>
      </c>
      <c r="AM10" s="59"/>
      <c r="AN10" s="59"/>
      <c r="AO10" s="59"/>
      <c r="AP10" s="59"/>
      <c r="AQ10" s="59"/>
      <c r="AR10" s="59"/>
      <c r="AS10" s="59"/>
      <c r="AT10" s="59"/>
      <c r="AU10" s="59"/>
      <c r="AV10" s="60"/>
      <c r="AW10" s="10"/>
      <c r="AX10" s="58" t="s">
        <v>19</v>
      </c>
      <c r="AY10" s="60"/>
      <c r="AZ10" s="51" t="s">
        <v>20</v>
      </c>
      <c r="BA10" s="61" t="s">
        <v>21</v>
      </c>
      <c r="BF10" s="53" t="s">
        <v>109</v>
      </c>
      <c r="BG10" s="54"/>
      <c r="BH10" s="54"/>
      <c r="BI10" s="54"/>
      <c r="BJ10" s="54"/>
      <c r="BK10" s="55"/>
      <c r="BL10" s="53" t="s">
        <v>110</v>
      </c>
      <c r="BM10" s="54"/>
      <c r="BN10" s="54"/>
      <c r="BO10" s="54"/>
      <c r="BP10" s="54"/>
      <c r="BQ10" s="55"/>
      <c r="BR10" s="30"/>
      <c r="BS10" s="30"/>
      <c r="BT10" s="30"/>
      <c r="BU10" s="30"/>
      <c r="BV10" s="30"/>
      <c r="BW10" s="30"/>
      <c r="BX10" s="30"/>
      <c r="BY10" s="30"/>
      <c r="BZ10" s="30"/>
    </row>
    <row r="11" spans="1:78" ht="84">
      <c r="B11" s="61"/>
      <c r="C11" s="52"/>
      <c r="D11" s="61"/>
      <c r="E11" s="61"/>
      <c r="F11" s="64"/>
      <c r="G11" s="11" t="s">
        <v>22</v>
      </c>
      <c r="H11" s="11" t="s">
        <v>23</v>
      </c>
      <c r="I11" s="11" t="s">
        <v>24</v>
      </c>
      <c r="J11" s="11" t="s">
        <v>25</v>
      </c>
      <c r="K11" s="52"/>
      <c r="L11" s="52"/>
      <c r="M11" s="8" t="s">
        <v>26</v>
      </c>
      <c r="N11" s="8" t="s">
        <v>27</v>
      </c>
      <c r="O11" s="8" t="s">
        <v>28</v>
      </c>
      <c r="P11" s="8" t="s">
        <v>29</v>
      </c>
      <c r="Q11" s="8" t="s">
        <v>30</v>
      </c>
      <c r="R11" s="8" t="s">
        <v>31</v>
      </c>
      <c r="S11" s="52"/>
      <c r="T11" s="61"/>
      <c r="U11" s="52"/>
      <c r="V11" s="61"/>
      <c r="W11" s="12" t="s">
        <v>32</v>
      </c>
      <c r="X11" s="12" t="s">
        <v>23</v>
      </c>
      <c r="Y11" s="12" t="s">
        <v>24</v>
      </c>
      <c r="Z11" s="12" t="s">
        <v>25</v>
      </c>
      <c r="AA11" s="8" t="s">
        <v>33</v>
      </c>
      <c r="AB11" s="61"/>
      <c r="AC11" s="8" t="s">
        <v>34</v>
      </c>
      <c r="AD11" s="8" t="s">
        <v>35</v>
      </c>
      <c r="AE11" s="8" t="s">
        <v>36</v>
      </c>
      <c r="AF11" s="8" t="s">
        <v>37</v>
      </c>
      <c r="AG11" s="13" t="s">
        <v>38</v>
      </c>
      <c r="AH11" s="13" t="s">
        <v>39</v>
      </c>
      <c r="AI11" s="13" t="s">
        <v>40</v>
      </c>
      <c r="AJ11" s="13" t="s">
        <v>37</v>
      </c>
      <c r="AK11" s="13" t="s">
        <v>41</v>
      </c>
      <c r="AL11" s="8" t="s">
        <v>42</v>
      </c>
      <c r="AM11" s="8" t="s">
        <v>43</v>
      </c>
      <c r="AN11" s="8" t="s">
        <v>44</v>
      </c>
      <c r="AO11" s="8" t="s">
        <v>45</v>
      </c>
      <c r="AP11" s="9" t="s">
        <v>46</v>
      </c>
      <c r="AQ11" s="9" t="s">
        <v>47</v>
      </c>
      <c r="AR11" s="9" t="s">
        <v>186</v>
      </c>
      <c r="AS11" s="9" t="s">
        <v>190</v>
      </c>
      <c r="AT11" s="9" t="s">
        <v>192</v>
      </c>
      <c r="AU11" s="14" t="s">
        <v>48</v>
      </c>
      <c r="AV11" s="8" t="s">
        <v>49</v>
      </c>
      <c r="AW11" s="19" t="s">
        <v>50</v>
      </c>
      <c r="AX11" s="8" t="s">
        <v>51</v>
      </c>
      <c r="AY11" s="8" t="s">
        <v>52</v>
      </c>
      <c r="AZ11" s="52"/>
      <c r="BA11" s="61"/>
      <c r="BF11" s="31" t="s">
        <v>111</v>
      </c>
      <c r="BG11" s="32" t="s">
        <v>112</v>
      </c>
      <c r="BH11" s="32" t="s">
        <v>113</v>
      </c>
      <c r="BI11" s="32" t="s">
        <v>114</v>
      </c>
      <c r="BJ11" s="32" t="s">
        <v>115</v>
      </c>
      <c r="BK11" s="32" t="s">
        <v>116</v>
      </c>
      <c r="BL11" s="31" t="s">
        <v>111</v>
      </c>
      <c r="BM11" s="32" t="s">
        <v>112</v>
      </c>
      <c r="BN11" s="32" t="s">
        <v>113</v>
      </c>
      <c r="BO11" s="32" t="s">
        <v>114</v>
      </c>
      <c r="BP11" s="32" t="s">
        <v>115</v>
      </c>
      <c r="BQ11" s="32" t="s">
        <v>116</v>
      </c>
      <c r="BR11" s="32" t="s">
        <v>117</v>
      </c>
      <c r="BS11" s="32" t="s">
        <v>118</v>
      </c>
      <c r="BT11" s="32" t="s">
        <v>185</v>
      </c>
      <c r="BU11" s="32" t="s">
        <v>119</v>
      </c>
      <c r="BV11" s="32" t="s">
        <v>120</v>
      </c>
      <c r="BW11" s="32" t="s">
        <v>121</v>
      </c>
      <c r="BX11" s="32" t="s">
        <v>122</v>
      </c>
      <c r="BY11" s="32" t="s">
        <v>123</v>
      </c>
      <c r="BZ11" s="67" t="s">
        <v>189</v>
      </c>
    </row>
    <row r="12" spans="1:78" ht="36">
      <c r="B12" s="15">
        <v>-1</v>
      </c>
      <c r="C12" s="15"/>
      <c r="D12" s="15">
        <v>-2</v>
      </c>
      <c r="E12" s="15">
        <v>-3</v>
      </c>
      <c r="F12" s="15">
        <v>-4</v>
      </c>
      <c r="G12" s="15">
        <v>-5</v>
      </c>
      <c r="H12" s="15" t="s">
        <v>53</v>
      </c>
      <c r="I12" s="15">
        <v>-6</v>
      </c>
      <c r="J12" s="15">
        <v>-7</v>
      </c>
      <c r="K12" s="15"/>
      <c r="L12" s="15">
        <v>-8</v>
      </c>
      <c r="M12" s="15">
        <v>-9</v>
      </c>
      <c r="N12" s="15">
        <v>-10</v>
      </c>
      <c r="O12" s="15">
        <v>-11</v>
      </c>
      <c r="P12" s="15" t="s">
        <v>54</v>
      </c>
      <c r="Q12" s="15" t="s">
        <v>55</v>
      </c>
      <c r="R12" s="15">
        <v>-12</v>
      </c>
      <c r="S12" s="15" t="s">
        <v>56</v>
      </c>
      <c r="T12" s="15" t="s">
        <v>57</v>
      </c>
      <c r="U12" s="15" t="s">
        <v>58</v>
      </c>
      <c r="V12" s="16" t="s">
        <v>59</v>
      </c>
      <c r="W12" s="16" t="s">
        <v>60</v>
      </c>
      <c r="X12" s="16" t="s">
        <v>61</v>
      </c>
      <c r="Y12" s="16" t="s">
        <v>62</v>
      </c>
      <c r="Z12" s="16" t="s">
        <v>63</v>
      </c>
      <c r="AA12" s="16" t="s">
        <v>64</v>
      </c>
      <c r="AB12" s="16" t="s">
        <v>65</v>
      </c>
      <c r="AC12" s="15" t="s">
        <v>66</v>
      </c>
      <c r="AD12" s="15" t="s">
        <v>67</v>
      </c>
      <c r="AE12" s="15" t="s">
        <v>68</v>
      </c>
      <c r="AF12" s="15">
        <v>25</v>
      </c>
      <c r="AG12" s="17" t="s">
        <v>69</v>
      </c>
      <c r="AH12" s="17">
        <v>27</v>
      </c>
      <c r="AI12" s="17" t="s">
        <v>70</v>
      </c>
      <c r="AJ12" s="17">
        <v>29</v>
      </c>
      <c r="AK12" s="17" t="s">
        <v>71</v>
      </c>
      <c r="AL12" s="15">
        <v>-31</v>
      </c>
      <c r="AM12" s="15" t="s">
        <v>72</v>
      </c>
      <c r="AN12" s="15" t="s">
        <v>73</v>
      </c>
      <c r="AO12" s="15">
        <v>-33</v>
      </c>
      <c r="AP12" s="15" t="s">
        <v>74</v>
      </c>
      <c r="AQ12" s="15"/>
      <c r="AR12" s="15"/>
      <c r="AS12" s="15"/>
      <c r="AT12" s="15"/>
      <c r="AU12" s="18" t="s">
        <v>75</v>
      </c>
      <c r="AV12" s="15">
        <v>-36</v>
      </c>
      <c r="AW12" s="15"/>
      <c r="AX12" s="15">
        <v>-37</v>
      </c>
      <c r="AY12" s="15">
        <v>-38</v>
      </c>
      <c r="AZ12" s="15">
        <v>-39</v>
      </c>
      <c r="BA12" s="15">
        <v>-40</v>
      </c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</row>
    <row r="13" spans="1:78">
      <c r="B13" s="20">
        <v>1</v>
      </c>
      <c r="C13" s="20"/>
      <c r="D13" s="21"/>
      <c r="E13" s="22"/>
      <c r="F13" s="23">
        <f>BF13+BG13+BL13+BM13+BR13+BS13</f>
        <v>0</v>
      </c>
      <c r="G13" s="24">
        <f>BH13+BN13</f>
        <v>0</v>
      </c>
      <c r="H13" s="24">
        <f>BI13+BO13</f>
        <v>0</v>
      </c>
      <c r="I13" s="23">
        <f>BJ13+BP13</f>
        <v>0</v>
      </c>
      <c r="J13" s="23">
        <f>BK13+BQ13</f>
        <v>0</v>
      </c>
      <c r="K13" s="23">
        <v>0</v>
      </c>
      <c r="L13" s="23">
        <f>IF(K13&gt;1000000,K13,K13*$F$5)</f>
        <v>0</v>
      </c>
      <c r="M13" s="23"/>
      <c r="N13" s="23"/>
      <c r="O13" s="23"/>
      <c r="P13" s="23"/>
      <c r="Q13" s="23"/>
      <c r="R13" s="23"/>
      <c r="S13" s="23">
        <f>SUM(N13:R13)</f>
        <v>0</v>
      </c>
      <c r="T13" s="23">
        <f>L13+M13</f>
        <v>0</v>
      </c>
      <c r="U13" s="23" t="e">
        <f>T13/F13</f>
        <v>#DIV/0!</v>
      </c>
      <c r="V13" s="25" t="e">
        <f>U13*F13</f>
        <v>#DIV/0!</v>
      </c>
      <c r="W13" s="25" t="e">
        <f>U13*G13*150%</f>
        <v>#DIV/0!</v>
      </c>
      <c r="X13" s="25" t="e">
        <f>U13*H13*195%</f>
        <v>#DIV/0!</v>
      </c>
      <c r="Y13" s="25" t="e">
        <f>U13*I13*200%</f>
        <v>#DIV/0!</v>
      </c>
      <c r="Z13" s="25" t="e">
        <f>U13*J13*300%</f>
        <v>#DIV/0!</v>
      </c>
      <c r="AA13" s="25" t="e">
        <f>SUM(W13:Z13)</f>
        <v>#DIV/0!</v>
      </c>
      <c r="AB13" s="25" t="e">
        <f>S13+V13+AA13</f>
        <v>#DIV/0!</v>
      </c>
      <c r="AC13" s="25">
        <f>MIN(T13,BT13*20)</f>
        <v>0</v>
      </c>
      <c r="AD13" s="23">
        <f>IF(BU13=0,0,IF(AND(BU13=2,(BF13+BR13)/8&lt;BW13-14),0,AC13*17.5%))</f>
        <v>0</v>
      </c>
      <c r="AE13" s="23">
        <f>IF(BV13=0,0,IF(AND(BV13=2,(BF13+BR13)/8&lt;BW13-14),0,AC13*3%))</f>
        <v>0</v>
      </c>
      <c r="AF13" s="23"/>
      <c r="AG13" s="23">
        <f>AD13+AE13+AF13</f>
        <v>0</v>
      </c>
      <c r="AH13" s="23">
        <f>IF(AD13&gt;0,AC13*8%,0)</f>
        <v>0</v>
      </c>
      <c r="AI13" s="23">
        <f>IF(AE13&gt;0,AC13*1.5%,0)</f>
        <v>0</v>
      </c>
      <c r="AJ13" s="23"/>
      <c r="AK13" s="23">
        <f>AH13+AI13+AJ13</f>
        <v>0</v>
      </c>
      <c r="AL13" s="23">
        <v>11000000</v>
      </c>
      <c r="AM13" s="23">
        <v>0</v>
      </c>
      <c r="AN13" s="23">
        <f>+AM13*4400000</f>
        <v>0</v>
      </c>
      <c r="AO13" s="23"/>
      <c r="AP13" s="23" t="e">
        <f>AB13-AO13</f>
        <v>#DIV/0!</v>
      </c>
      <c r="AQ13" s="23">
        <f>BZ13/12</f>
        <v>0</v>
      </c>
      <c r="AR13" s="23">
        <v>0</v>
      </c>
      <c r="AS13" s="23">
        <v>0</v>
      </c>
      <c r="AT13" s="23" t="e">
        <f>AP13+AQ13+AR13+AS13</f>
        <v>#DIV/0!</v>
      </c>
      <c r="AU13" s="23" t="e">
        <f>(AT13-AL13-AN13-AK13)</f>
        <v>#DIV/0!</v>
      </c>
      <c r="AV13" s="26" t="e">
        <f>ROUND(IF(AU13&lt;=5000000,AU13*5%,IF(AND(AU13&gt;5000000,AU13&lt;=10000000),AU13*10%-250000,IF(AND(AU13&gt;10000000,AU13&lt;=18000000),AU13*15%-750000,IF(AND(AU13&gt;18000000,AU13&lt;=32000000),AU13*20%-1650000,IF(AND(AU13&gt;32000000,AU13&lt;=52000000),AU13*25%-3250000,IF(AND(AU13&gt;52000000,AU13&lt;80000000),AU13*30%-5850000,IF(AU13&gt;80000000,AU13*35%-9850000))))))),0)</f>
        <v>#DIV/0!</v>
      </c>
      <c r="AW13" s="26">
        <v>0</v>
      </c>
      <c r="AX13" s="23" t="e">
        <f>AB13-AK13-AV13-AW13</f>
        <v>#DIV/0!</v>
      </c>
      <c r="AY13" s="27" t="e">
        <f>AX13/F5</f>
        <v>#DIV/0!</v>
      </c>
      <c r="AZ13" s="33">
        <v>0</v>
      </c>
      <c r="BA13" s="27"/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</row>
  </sheetData>
  <mergeCells count="25">
    <mergeCell ref="B3:BA3"/>
    <mergeCell ref="B10:B11"/>
    <mergeCell ref="D10:D11"/>
    <mergeCell ref="E10:E11"/>
    <mergeCell ref="F10:F11"/>
    <mergeCell ref="G10:J10"/>
    <mergeCell ref="K10:K11"/>
    <mergeCell ref="L10:L11"/>
    <mergeCell ref="M10:R10"/>
    <mergeCell ref="S10:S11"/>
    <mergeCell ref="C10:C11"/>
    <mergeCell ref="BF10:BK10"/>
    <mergeCell ref="BL10:BQ10"/>
    <mergeCell ref="B4:BA4"/>
    <mergeCell ref="AH10:AK10"/>
    <mergeCell ref="AL10:AV10"/>
    <mergeCell ref="AX10:AY10"/>
    <mergeCell ref="AZ10:AZ11"/>
    <mergeCell ref="BA10:BA11"/>
    <mergeCell ref="T10:T11"/>
    <mergeCell ref="U10:U11"/>
    <mergeCell ref="V10:V11"/>
    <mergeCell ref="W10:AA10"/>
    <mergeCell ref="AB10:AB11"/>
    <mergeCell ref="AC10:AG10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7441-AF34-4A45-80B2-095AD3681301}">
  <dimension ref="A1:AZ13"/>
  <sheetViews>
    <sheetView tabSelected="1" workbookViewId="0">
      <selection activeCell="B12" sqref="B12"/>
    </sheetView>
  </sheetViews>
  <sheetFormatPr defaultRowHeight="15"/>
  <cols>
    <col min="3" max="3" width="17.85546875" customWidth="1"/>
    <col min="4" max="4" width="11.85546875" customWidth="1"/>
    <col min="5" max="5" width="10.5703125" customWidth="1"/>
    <col min="6" max="9" width="9.140625" hidden="1" customWidth="1"/>
    <col min="10" max="11" width="10.5703125" customWidth="1"/>
    <col min="12" max="19" width="9.140625" hidden="1" customWidth="1"/>
    <col min="20" max="20" width="10.5703125" customWidth="1"/>
    <col min="21" max="26" width="9.140625" hidden="1" customWidth="1"/>
    <col min="27" max="50" width="10.5703125" customWidth="1"/>
    <col min="51" max="51" width="10.5703125" style="77" customWidth="1"/>
  </cols>
  <sheetData>
    <row r="1" spans="1:52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5"/>
      <c r="V1" s="5"/>
      <c r="W1" s="5"/>
      <c r="X1" s="5"/>
      <c r="Y1" s="5"/>
      <c r="Z1" s="5"/>
      <c r="AA1" s="5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6"/>
      <c r="AN1" s="6"/>
      <c r="AO1" s="7"/>
      <c r="AP1" s="7"/>
      <c r="AQ1" s="7"/>
      <c r="AR1" s="7"/>
      <c r="AS1" s="7"/>
      <c r="AT1" s="2"/>
      <c r="AU1" s="2"/>
      <c r="AV1" s="2"/>
      <c r="AW1" s="2"/>
      <c r="AX1" s="2"/>
      <c r="AY1" s="68"/>
      <c r="AZ1" s="2"/>
    </row>
    <row r="2" spans="1:52">
      <c r="A2" s="1" t="s">
        <v>1</v>
      </c>
      <c r="B2" s="1"/>
      <c r="C2" s="2"/>
      <c r="D2" s="2"/>
      <c r="E2" s="3"/>
      <c r="F2" s="3"/>
      <c r="G2" s="3"/>
      <c r="H2" s="3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5"/>
      <c r="V2" s="5"/>
      <c r="W2" s="5"/>
      <c r="X2" s="5"/>
      <c r="Y2" s="5"/>
      <c r="Z2" s="5"/>
      <c r="AA2" s="5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6"/>
      <c r="AN2" s="6"/>
      <c r="AO2" s="7"/>
      <c r="AP2" s="7"/>
      <c r="AQ2" s="7"/>
      <c r="AR2" s="7"/>
      <c r="AS2" s="7"/>
      <c r="AT2" s="2"/>
      <c r="AU2" s="2"/>
      <c r="AV2" s="2"/>
      <c r="AW2" s="2"/>
      <c r="AX2" s="2"/>
      <c r="AY2" s="68"/>
      <c r="AZ2" s="2"/>
    </row>
    <row r="3" spans="1:52" ht="22.5">
      <c r="A3" s="62" t="str">
        <f>Sheet1!B3</f>
        <v>PAYROLL JANUARY 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</row>
    <row r="4" spans="1:52">
      <c r="A4" s="56" t="str">
        <f>Sheet1!B4</f>
        <v>From 1st - 31 January 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</row>
    <row r="5" spans="1:52">
      <c r="A5" s="35"/>
      <c r="B5" s="35"/>
      <c r="C5" s="36"/>
      <c r="D5" s="36"/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69"/>
      <c r="AZ5" s="35"/>
    </row>
    <row r="6" spans="1:52">
      <c r="A6" s="66" t="str">
        <f>Sheet1!B5</f>
        <v>Tỷ giá Vietinbank: 00/01/1900</v>
      </c>
      <c r="B6" s="66"/>
      <c r="C6" s="66"/>
      <c r="D6" s="28">
        <f>Sheet1!E5</f>
        <v>25160</v>
      </c>
      <c r="E6" s="29">
        <f>Sheet1!F5</f>
        <v>0</v>
      </c>
      <c r="F6" s="37"/>
      <c r="G6" s="37"/>
      <c r="H6" s="37"/>
      <c r="I6" s="37"/>
      <c r="J6" s="37"/>
      <c r="K6" s="38"/>
      <c r="L6" s="39"/>
      <c r="M6" s="39"/>
      <c r="N6" s="39"/>
      <c r="O6" s="39"/>
      <c r="P6" s="39"/>
      <c r="Q6" s="39"/>
      <c r="R6" s="39"/>
      <c r="S6" s="39"/>
      <c r="T6" s="39"/>
      <c r="U6" s="40"/>
      <c r="V6" s="40"/>
      <c r="W6" s="40"/>
      <c r="X6" s="40"/>
      <c r="Y6" s="40"/>
      <c r="Z6" s="40"/>
      <c r="AA6" s="40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41"/>
      <c r="AP6" s="41"/>
      <c r="AQ6" s="41"/>
      <c r="AR6" s="41"/>
      <c r="AS6" s="41"/>
      <c r="AT6" s="39"/>
      <c r="AU6" s="39"/>
      <c r="AV6" s="39"/>
      <c r="AW6" s="39"/>
      <c r="AX6" s="42"/>
      <c r="AY6" s="70"/>
      <c r="AZ6" s="39"/>
    </row>
    <row r="7" spans="1:52">
      <c r="A7" s="43"/>
      <c r="B7" s="43"/>
      <c r="C7" s="43"/>
      <c r="D7" s="43"/>
      <c r="E7" s="44"/>
      <c r="F7" s="44"/>
      <c r="G7" s="44"/>
      <c r="H7" s="44"/>
      <c r="I7" s="44"/>
      <c r="J7" s="44"/>
      <c r="K7" s="45"/>
      <c r="L7" s="43"/>
      <c r="M7" s="43"/>
      <c r="N7" s="43"/>
      <c r="O7" s="43"/>
      <c r="P7" s="43"/>
      <c r="Q7" s="43"/>
      <c r="R7" s="43"/>
      <c r="S7" s="43"/>
      <c r="T7" s="43"/>
      <c r="U7" s="46"/>
      <c r="V7" s="46"/>
      <c r="W7" s="46"/>
      <c r="X7" s="46"/>
      <c r="Y7" s="46"/>
      <c r="Z7" s="46"/>
      <c r="AA7" s="46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7"/>
      <c r="AP7" s="47"/>
      <c r="AQ7" s="47"/>
      <c r="AR7" s="47"/>
      <c r="AS7" s="47"/>
      <c r="AT7" s="43"/>
      <c r="AU7" s="43"/>
      <c r="AV7" s="43"/>
      <c r="AW7" s="48"/>
      <c r="AX7" s="48"/>
      <c r="AY7" s="71"/>
      <c r="AZ7" s="48"/>
    </row>
    <row r="8" spans="1:52">
      <c r="A8" s="61" t="s">
        <v>2</v>
      </c>
      <c r="B8" s="51" t="s">
        <v>172</v>
      </c>
      <c r="C8" s="61" t="s">
        <v>3</v>
      </c>
      <c r="D8" s="61" t="s">
        <v>4</v>
      </c>
      <c r="E8" s="63" t="s">
        <v>5</v>
      </c>
      <c r="F8" s="65" t="s">
        <v>6</v>
      </c>
      <c r="G8" s="65"/>
      <c r="H8" s="65"/>
      <c r="I8" s="65"/>
      <c r="J8" s="51" t="s">
        <v>7</v>
      </c>
      <c r="K8" s="51" t="s">
        <v>8</v>
      </c>
      <c r="L8" s="58" t="s">
        <v>9</v>
      </c>
      <c r="M8" s="59"/>
      <c r="N8" s="59"/>
      <c r="O8" s="59"/>
      <c r="P8" s="59"/>
      <c r="Q8" s="60"/>
      <c r="R8" s="51" t="s">
        <v>10</v>
      </c>
      <c r="S8" s="61" t="s">
        <v>11</v>
      </c>
      <c r="T8" s="51" t="s">
        <v>12</v>
      </c>
      <c r="U8" s="61" t="s">
        <v>13</v>
      </c>
      <c r="V8" s="58" t="s">
        <v>14</v>
      </c>
      <c r="W8" s="59"/>
      <c r="X8" s="59"/>
      <c r="Y8" s="59"/>
      <c r="Z8" s="60"/>
      <c r="AA8" s="61" t="s">
        <v>15</v>
      </c>
      <c r="AB8" s="57" t="s">
        <v>16</v>
      </c>
      <c r="AC8" s="57"/>
      <c r="AD8" s="57"/>
      <c r="AE8" s="57"/>
      <c r="AF8" s="57"/>
      <c r="AG8" s="57" t="s">
        <v>17</v>
      </c>
      <c r="AH8" s="57"/>
      <c r="AI8" s="57"/>
      <c r="AJ8" s="57"/>
      <c r="AK8" s="58" t="s">
        <v>18</v>
      </c>
      <c r="AL8" s="59"/>
      <c r="AM8" s="59"/>
      <c r="AN8" s="59"/>
      <c r="AO8" s="59"/>
      <c r="AP8" s="59"/>
      <c r="AQ8" s="59"/>
      <c r="AR8" s="59"/>
      <c r="AS8" s="59"/>
      <c r="AT8" s="59"/>
      <c r="AU8" s="60"/>
      <c r="AV8" s="10"/>
      <c r="AW8" s="58" t="s">
        <v>19</v>
      </c>
      <c r="AX8" s="60"/>
      <c r="AY8" s="72" t="s">
        <v>20</v>
      </c>
      <c r="AZ8" s="61" t="s">
        <v>21</v>
      </c>
    </row>
    <row r="9" spans="1:52" ht="84">
      <c r="A9" s="61"/>
      <c r="B9" s="52"/>
      <c r="C9" s="61"/>
      <c r="D9" s="61"/>
      <c r="E9" s="64"/>
      <c r="F9" s="11" t="s">
        <v>22</v>
      </c>
      <c r="G9" s="11" t="s">
        <v>23</v>
      </c>
      <c r="H9" s="11" t="s">
        <v>24</v>
      </c>
      <c r="I9" s="11" t="s">
        <v>25</v>
      </c>
      <c r="J9" s="52"/>
      <c r="K9" s="52"/>
      <c r="L9" s="8" t="s">
        <v>26</v>
      </c>
      <c r="M9" s="8" t="s">
        <v>27</v>
      </c>
      <c r="N9" s="8" t="s">
        <v>28</v>
      </c>
      <c r="O9" s="8" t="s">
        <v>29</v>
      </c>
      <c r="P9" s="8" t="s">
        <v>30</v>
      </c>
      <c r="Q9" s="8" t="s">
        <v>31</v>
      </c>
      <c r="R9" s="52"/>
      <c r="S9" s="61"/>
      <c r="T9" s="52"/>
      <c r="U9" s="61"/>
      <c r="V9" s="12" t="s">
        <v>32</v>
      </c>
      <c r="W9" s="12" t="s">
        <v>23</v>
      </c>
      <c r="X9" s="12" t="s">
        <v>24</v>
      </c>
      <c r="Y9" s="12" t="s">
        <v>25</v>
      </c>
      <c r="Z9" s="8" t="s">
        <v>33</v>
      </c>
      <c r="AA9" s="61"/>
      <c r="AB9" s="8" t="s">
        <v>34</v>
      </c>
      <c r="AC9" s="8" t="s">
        <v>35</v>
      </c>
      <c r="AD9" s="8" t="s">
        <v>36</v>
      </c>
      <c r="AE9" s="8" t="s">
        <v>37</v>
      </c>
      <c r="AF9" s="13" t="s">
        <v>38</v>
      </c>
      <c r="AG9" s="13" t="s">
        <v>39</v>
      </c>
      <c r="AH9" s="13" t="s">
        <v>40</v>
      </c>
      <c r="AI9" s="13" t="s">
        <v>37</v>
      </c>
      <c r="AJ9" s="13" t="s">
        <v>41</v>
      </c>
      <c r="AK9" s="8" t="s">
        <v>42</v>
      </c>
      <c r="AL9" s="8" t="s">
        <v>43</v>
      </c>
      <c r="AM9" s="8" t="s">
        <v>44</v>
      </c>
      <c r="AN9" s="8" t="s">
        <v>45</v>
      </c>
      <c r="AO9" s="9" t="s">
        <v>46</v>
      </c>
      <c r="AP9" s="9" t="s">
        <v>47</v>
      </c>
      <c r="AQ9" s="9" t="s">
        <v>193</v>
      </c>
      <c r="AR9" s="9" t="s">
        <v>190</v>
      </c>
      <c r="AS9" s="9" t="s">
        <v>192</v>
      </c>
      <c r="AT9" s="14" t="s">
        <v>48</v>
      </c>
      <c r="AU9" s="8" t="s">
        <v>49</v>
      </c>
      <c r="AV9" s="51" t="s">
        <v>50</v>
      </c>
      <c r="AW9" s="8" t="s">
        <v>51</v>
      </c>
      <c r="AX9" s="8" t="s">
        <v>52</v>
      </c>
      <c r="AY9" s="73"/>
      <c r="AZ9" s="61"/>
    </row>
    <row r="10" spans="1:52" ht="36" hidden="1">
      <c r="A10" s="15">
        <v>-1</v>
      </c>
      <c r="B10" s="15"/>
      <c r="C10" s="15">
        <v>-2</v>
      </c>
      <c r="D10" s="15">
        <v>-3</v>
      </c>
      <c r="E10" s="15">
        <v>-4</v>
      </c>
      <c r="F10" s="15">
        <v>-5</v>
      </c>
      <c r="G10" s="15" t="s">
        <v>53</v>
      </c>
      <c r="H10" s="15">
        <v>-6</v>
      </c>
      <c r="I10" s="15">
        <v>-7</v>
      </c>
      <c r="J10" s="15"/>
      <c r="K10" s="15">
        <v>-8</v>
      </c>
      <c r="L10" s="15">
        <v>-9</v>
      </c>
      <c r="M10" s="15">
        <v>-10</v>
      </c>
      <c r="N10" s="15">
        <v>-11</v>
      </c>
      <c r="O10" s="15" t="s">
        <v>54</v>
      </c>
      <c r="P10" s="15" t="s">
        <v>55</v>
      </c>
      <c r="Q10" s="15">
        <v>-12</v>
      </c>
      <c r="R10" s="15" t="s">
        <v>56</v>
      </c>
      <c r="S10" s="15" t="s">
        <v>57</v>
      </c>
      <c r="T10" s="15" t="s">
        <v>58</v>
      </c>
      <c r="U10" s="16" t="s">
        <v>59</v>
      </c>
      <c r="V10" s="16" t="s">
        <v>60</v>
      </c>
      <c r="W10" s="16" t="s">
        <v>61</v>
      </c>
      <c r="X10" s="16" t="s">
        <v>62</v>
      </c>
      <c r="Y10" s="16" t="s">
        <v>63</v>
      </c>
      <c r="Z10" s="16" t="s">
        <v>64</v>
      </c>
      <c r="AA10" s="16" t="s">
        <v>65</v>
      </c>
      <c r="AB10" s="15" t="s">
        <v>66</v>
      </c>
      <c r="AC10" s="15" t="s">
        <v>67</v>
      </c>
      <c r="AD10" s="15" t="s">
        <v>68</v>
      </c>
      <c r="AE10" s="15">
        <v>25</v>
      </c>
      <c r="AF10" s="17" t="s">
        <v>69</v>
      </c>
      <c r="AG10" s="17">
        <v>27</v>
      </c>
      <c r="AH10" s="17" t="s">
        <v>70</v>
      </c>
      <c r="AI10" s="17">
        <v>29</v>
      </c>
      <c r="AJ10" s="17" t="s">
        <v>71</v>
      </c>
      <c r="AK10" s="15">
        <v>-31</v>
      </c>
      <c r="AL10" s="15" t="s">
        <v>72</v>
      </c>
      <c r="AM10" s="15" t="s">
        <v>73</v>
      </c>
      <c r="AN10" s="15">
        <v>-33</v>
      </c>
      <c r="AO10" s="15" t="s">
        <v>74</v>
      </c>
      <c r="AP10" s="15"/>
      <c r="AQ10" s="15"/>
      <c r="AR10" s="15"/>
      <c r="AS10" s="15"/>
      <c r="AT10" s="18" t="s">
        <v>75</v>
      </c>
      <c r="AU10" s="15">
        <v>-36</v>
      </c>
      <c r="AV10" s="52"/>
      <c r="AW10" s="15">
        <v>-37</v>
      </c>
      <c r="AX10" s="15">
        <v>-38</v>
      </c>
      <c r="AY10" s="74">
        <v>-39</v>
      </c>
      <c r="AZ10" s="15">
        <v>-40</v>
      </c>
    </row>
    <row r="11" spans="1:52" hidden="1">
      <c r="A11" s="20">
        <v>1</v>
      </c>
      <c r="B11" s="20"/>
      <c r="C11" s="21" t="s">
        <v>76</v>
      </c>
      <c r="D11" s="22" t="s">
        <v>171</v>
      </c>
      <c r="E11" s="23">
        <v>208</v>
      </c>
      <c r="F11" s="24"/>
      <c r="G11" s="24"/>
      <c r="H11" s="23"/>
      <c r="I11" s="23"/>
      <c r="J11" s="23"/>
      <c r="K11" s="23">
        <f>2500*E6</f>
        <v>0</v>
      </c>
      <c r="L11" s="23"/>
      <c r="M11" s="23"/>
      <c r="N11" s="23"/>
      <c r="O11" s="23"/>
      <c r="P11" s="23"/>
      <c r="Q11" s="23"/>
      <c r="R11" s="23">
        <f>SUM(M11:Q11)</f>
        <v>0</v>
      </c>
      <c r="S11" s="23">
        <f>K11+L11</f>
        <v>0</v>
      </c>
      <c r="T11" s="23">
        <f>S11/E11</f>
        <v>0</v>
      </c>
      <c r="U11" s="25">
        <f>T11*E11</f>
        <v>0</v>
      </c>
      <c r="V11" s="25">
        <f>T11*F11*150%</f>
        <v>0</v>
      </c>
      <c r="W11" s="25"/>
      <c r="X11" s="25">
        <f>T11*H11*200%</f>
        <v>0</v>
      </c>
      <c r="Y11" s="25">
        <f>T11*I11*300%</f>
        <v>0</v>
      </c>
      <c r="Z11" s="25">
        <f>SUM(V11:Y11)</f>
        <v>0</v>
      </c>
      <c r="AA11" s="25">
        <f>R11+U11+Z11</f>
        <v>0</v>
      </c>
      <c r="AB11" s="23">
        <v>29800000</v>
      </c>
      <c r="AC11" s="23">
        <f>AB11*5%</f>
        <v>1490000</v>
      </c>
      <c r="AD11" s="23">
        <f>AB11*3%</f>
        <v>894000</v>
      </c>
      <c r="AE11" s="23"/>
      <c r="AF11" s="23">
        <f>AC11+AD11+AE11</f>
        <v>2384000</v>
      </c>
      <c r="AG11" s="23"/>
      <c r="AH11" s="23">
        <f>AB11*1.5%</f>
        <v>447000</v>
      </c>
      <c r="AI11" s="23"/>
      <c r="AJ11" s="23">
        <f>AG11+AH11+AI11</f>
        <v>447000</v>
      </c>
      <c r="AK11" s="23">
        <v>11000000</v>
      </c>
      <c r="AL11" s="23">
        <v>3</v>
      </c>
      <c r="AM11" s="23">
        <f>AL11*4400000</f>
        <v>13200000</v>
      </c>
      <c r="AN11" s="23">
        <f>M11</f>
        <v>0</v>
      </c>
      <c r="AO11" s="23">
        <f>AA11-AN11</f>
        <v>0</v>
      </c>
      <c r="AP11" s="23"/>
      <c r="AQ11" s="23"/>
      <c r="AR11" s="23"/>
      <c r="AS11" s="23"/>
      <c r="AT11" s="23">
        <f>(AA11-AK11-AM11-AN11-AJ11)</f>
        <v>-24647000</v>
      </c>
      <c r="AU11" s="23">
        <f>ROUND(IF(AT11&lt;=5000000,AT11*5%,IF(AND(AT11&gt;5000000,AT11&lt;=10000000),AT11*10%-250000,IF(AND(AT11&gt;10000000,AT11&lt;=18000000),AT11*15%-750000,IF(AND(AT11&gt;18000000,AT11&lt;=32000000),AT11*20%-1650000,IF(AND(AT11&gt;32000000,AT11&lt;=52000000),AT11*25%-3250000,IF(AND(AT11&gt;52000000,AT11&lt;80000000),AT11*30%-5850000,IF(AT11&gt;80000000,AT11*35%-9850000))))))),0)</f>
        <v>-1232350</v>
      </c>
      <c r="AV11" s="23"/>
      <c r="AW11" s="23">
        <f>AA11-AJ11-AU11</f>
        <v>785350</v>
      </c>
      <c r="AX11" s="27" t="e">
        <f>+AW11/E6</f>
        <v>#DIV/0!</v>
      </c>
      <c r="AY11" s="75"/>
      <c r="AZ11" s="27"/>
    </row>
    <row r="12" spans="1:52" ht="26.25" customHeight="1">
      <c r="A12" s="20">
        <v>1</v>
      </c>
      <c r="B12" s="20" t="s">
        <v>178</v>
      </c>
      <c r="C12" s="21" t="s">
        <v>76</v>
      </c>
      <c r="D12" s="22" t="s">
        <v>77</v>
      </c>
      <c r="E12" s="23">
        <f>_xlfn.IFNA(VLOOKUP(B12,Sheet1!$C$12:$AY$20,4,0),0)</f>
        <v>0</v>
      </c>
      <c r="F12" s="24">
        <f>_xlfn.IFNA(VLOOKUP(B12,Sheet1!$C$12:$AY$20,5,0),0)</f>
        <v>0</v>
      </c>
      <c r="G12" s="24">
        <f>_xlfn.IFNA(VLOOKUP(B12,Sheet1!$C$12:$AY$20,6,0),0)</f>
        <v>0</v>
      </c>
      <c r="H12" s="23">
        <f>_xlfn.IFNA(VLOOKUP(B12,Sheet1!$C$12:$AY$20,7,0),0)</f>
        <v>0</v>
      </c>
      <c r="I12" s="23">
        <f>_xlfn.IFNA(VLOOKUP(B12,Sheet1!$C$12:$AY$20,8,0),0)</f>
        <v>0</v>
      </c>
      <c r="J12" s="23">
        <f>_xlfn.IFNA(VLOOKUP(B12,Sheet1!$C$12:$AY$20,9,0),0)</f>
        <v>0</v>
      </c>
      <c r="K12" s="23">
        <f>J12*E6</f>
        <v>0</v>
      </c>
      <c r="L12" s="23">
        <f>_xlfn.IFNA(VLOOKUP(B12,Sheet1!$C$12:$AY$20,11,0),0)</f>
        <v>0</v>
      </c>
      <c r="M12" s="23">
        <f>_xlfn.IFNA(VLOOKUP(B12,Sheet1!$C$12:$AY$20,12,0),0)</f>
        <v>0</v>
      </c>
      <c r="N12" s="23">
        <f>_xlfn.IFNA(VLOOKUP(B12,Sheet1!$C$12:$AY$20,13,0),0)</f>
        <v>0</v>
      </c>
      <c r="O12" s="23">
        <f>_xlfn.IFNA(VLOOKUP(B12,Sheet1!$C$12:$AY$20,14,0),0)</f>
        <v>0</v>
      </c>
      <c r="P12" s="23">
        <f>_xlfn.IFNA(VLOOKUP(B12,Sheet1!$C$12:$AY$20,15,0),0)</f>
        <v>0</v>
      </c>
      <c r="Q12" s="23">
        <f>_xlfn.IFNA(VLOOKUP(B12,Sheet1!$C$12:$AY$20,16,0),0)</f>
        <v>0</v>
      </c>
      <c r="R12" s="23">
        <f>SUM(M12:Q12)</f>
        <v>0</v>
      </c>
      <c r="S12" s="23">
        <f>K12+L12</f>
        <v>0</v>
      </c>
      <c r="T12" s="23" t="e">
        <f>S12/E12</f>
        <v>#DIV/0!</v>
      </c>
      <c r="U12" s="25" t="e">
        <f>T12*E12</f>
        <v>#DIV/0!</v>
      </c>
      <c r="V12" s="25" t="e">
        <f>T12*F12*150%</f>
        <v>#DIV/0!</v>
      </c>
      <c r="W12" s="25" t="e">
        <f>T12*G12*195%</f>
        <v>#DIV/0!</v>
      </c>
      <c r="X12" s="25" t="e">
        <f>T12*H12*200%</f>
        <v>#DIV/0!</v>
      </c>
      <c r="Y12" s="25" t="e">
        <f>T12*I12*300%</f>
        <v>#DIV/0!</v>
      </c>
      <c r="Z12" s="25" t="e">
        <f>SUM(V12:Y12)</f>
        <v>#DIV/0!</v>
      </c>
      <c r="AA12" s="25" t="e">
        <f>R12+U12+Z12</f>
        <v>#DIV/0!</v>
      </c>
      <c r="AB12" s="25">
        <f>_xlfn.IFNA(VLOOKUP(B12,Sheet1!$C$12:$AY$20,27,0),0)</f>
        <v>0</v>
      </c>
      <c r="AC12" s="23">
        <f>_xlfn.IFNA(VLOOKUP(B12,Sheet1!$C$12:$AY$20,28,0),0)</f>
        <v>0</v>
      </c>
      <c r="AD12" s="23">
        <f>_xlfn.IFNA(VLOOKUP(B12,Sheet1!$C$12:$AY$20,29,0),0)</f>
        <v>0</v>
      </c>
      <c r="AE12" s="23"/>
      <c r="AF12" s="23">
        <f>AC12+AD12+AE12</f>
        <v>0</v>
      </c>
      <c r="AG12" s="23">
        <f>_xlfn.IFNA(VLOOKUP(B12,Sheet1!$C$12:$AY$20,32,0),0)</f>
        <v>0</v>
      </c>
      <c r="AH12" s="23">
        <f>_xlfn.IFNA(VLOOKUP(B12,Sheet1!$C$12:$AY$20,33,0),0)</f>
        <v>0</v>
      </c>
      <c r="AI12" s="23"/>
      <c r="AJ12" s="23">
        <f>AG12+AH12+AI12</f>
        <v>0</v>
      </c>
      <c r="AK12" s="23">
        <v>11000000</v>
      </c>
      <c r="AL12" s="23">
        <f>_xlfn.IFNA(VLOOKUP(B12,Sheet1!$C$12:$AY$20,37,0),0)</f>
        <v>0</v>
      </c>
      <c r="AM12" s="23">
        <f>+AL12*4400000</f>
        <v>0</v>
      </c>
      <c r="AN12" s="23"/>
      <c r="AO12" s="23" t="e">
        <f>AA12-AN12</f>
        <v>#DIV/0!</v>
      </c>
      <c r="AP12" s="23">
        <f>_xlfn.IFNA(VLOOKUP(B12,Sheet1!$C$13:$AZ$23,41,0),0)</f>
        <v>0</v>
      </c>
      <c r="AQ12" s="23">
        <f>_xlfn.IFNA(VLOOKUP(B12,Sheet1!$C$13:$AZ$23,42,0),0)</f>
        <v>0</v>
      </c>
      <c r="AR12" s="23">
        <f>_xlfn.IFNA(VLOOKUP(B12,Sheet1!$C$13:$AZ$23,43,0),0)</f>
        <v>0</v>
      </c>
      <c r="AS12" s="23" t="e">
        <f>AO12+AP12+AR12+AQ12</f>
        <v>#DIV/0!</v>
      </c>
      <c r="AT12" s="23" t="e">
        <f>(AS12-AK12-AM12-AJ12)</f>
        <v>#DIV/0!</v>
      </c>
      <c r="AU12" s="26" t="e">
        <f>ROUND(IF(AT12&lt;=5000000,AT12*5%,IF(AND(AT12&gt;5000000,AT12&lt;=10000000),AT12*10%-250000,IF(AND(AT12&gt;10000000,AT12&lt;=18000000),AT12*15%-750000,IF(AND(AT12&gt;18000000,AT12&lt;=32000000),AT12*20%-1650000,IF(AND(AT12&gt;32000000,AT12&lt;=52000000),AT12*25%-3250000,IF(AND(AT12&gt;52000000,AT12&lt;80000000),AT12*30%-5850000,IF(AT12&gt;80000000,AT12*35%-9850000))))))),0)</f>
        <v>#DIV/0!</v>
      </c>
      <c r="AV12" s="26">
        <v>0</v>
      </c>
      <c r="AW12" s="23" t="e">
        <f>AA12-AJ12-AU12-AV12</f>
        <v>#DIV/0!</v>
      </c>
      <c r="AX12" s="27" t="e">
        <f>AW12/E6</f>
        <v>#DIV/0!</v>
      </c>
      <c r="AY12" s="76">
        <f>_xlfn.IFNA(VLOOKUP(B12,Sheet1!$C$13:$AZ$22,50,0),0)</f>
        <v>0</v>
      </c>
      <c r="AZ12" s="27"/>
    </row>
    <row r="13" spans="1:52">
      <c r="A13" s="2"/>
      <c r="B13" s="2"/>
      <c r="C13" s="2"/>
      <c r="D13" s="2"/>
      <c r="E13" s="3"/>
      <c r="F13" s="3"/>
      <c r="G13" s="3"/>
      <c r="H13" s="3"/>
      <c r="I13" s="3"/>
      <c r="J13" s="3"/>
      <c r="K13" s="4"/>
      <c r="L13" s="2"/>
      <c r="M13" s="2"/>
      <c r="N13" s="2"/>
      <c r="O13" s="2"/>
      <c r="P13" s="2"/>
      <c r="Q13" s="2"/>
      <c r="R13" s="2"/>
      <c r="S13" s="2"/>
      <c r="T13" s="2"/>
      <c r="U13" s="5"/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6"/>
      <c r="AN13" s="6"/>
      <c r="AO13" s="7"/>
      <c r="AP13" s="7"/>
      <c r="AQ13" s="7"/>
      <c r="AR13" s="7"/>
      <c r="AS13" s="7"/>
      <c r="AT13" s="2"/>
      <c r="AU13" s="2"/>
      <c r="AV13" s="2"/>
      <c r="AW13" s="2"/>
      <c r="AX13" s="49"/>
      <c r="AY13" s="68"/>
      <c r="AZ13" s="2"/>
    </row>
  </sheetData>
  <mergeCells count="25">
    <mergeCell ref="A3:AZ3"/>
    <mergeCell ref="A4:AZ4"/>
    <mergeCell ref="A6:C6"/>
    <mergeCell ref="A8:A9"/>
    <mergeCell ref="C8:C9"/>
    <mergeCell ref="D8:D9"/>
    <mergeCell ref="E8:E9"/>
    <mergeCell ref="F8:I8"/>
    <mergeCell ref="J8:J9"/>
    <mergeCell ref="K8:K9"/>
    <mergeCell ref="AZ8:AZ9"/>
    <mergeCell ref="AV9:AV10"/>
    <mergeCell ref="B8:B9"/>
    <mergeCell ref="AA8:AA9"/>
    <mergeCell ref="AB8:AF8"/>
    <mergeCell ref="AG8:AJ8"/>
    <mergeCell ref="AK8:AU8"/>
    <mergeCell ref="AW8:AX8"/>
    <mergeCell ref="AY8:AY9"/>
    <mergeCell ref="L8:Q8"/>
    <mergeCell ref="R8:R9"/>
    <mergeCell ref="S8:S9"/>
    <mergeCell ref="T8:T9"/>
    <mergeCell ref="U8:U9"/>
    <mergeCell ref="V8:Z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1150-D4E8-4F32-9297-DEDDBA68186E}">
  <dimension ref="A1:AZ13"/>
  <sheetViews>
    <sheetView workbookViewId="0">
      <selection activeCell="B12" sqref="B12"/>
    </sheetView>
  </sheetViews>
  <sheetFormatPr defaultRowHeight="15"/>
  <cols>
    <col min="3" max="3" width="17.85546875" customWidth="1"/>
    <col min="4" max="4" width="11.85546875" customWidth="1"/>
    <col min="5" max="5" width="10.5703125" customWidth="1"/>
    <col min="6" max="9" width="9.140625" hidden="1" customWidth="1"/>
    <col min="10" max="11" width="10.5703125" customWidth="1"/>
    <col min="12" max="19" width="9.140625" hidden="1" customWidth="1"/>
    <col min="20" max="20" width="10.5703125" customWidth="1"/>
    <col min="21" max="26" width="9.140625" hidden="1" customWidth="1"/>
    <col min="27" max="50" width="10.5703125" customWidth="1"/>
    <col min="51" max="51" width="10.5703125" style="77" customWidth="1"/>
  </cols>
  <sheetData>
    <row r="1" spans="1:52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5"/>
      <c r="V1" s="5"/>
      <c r="W1" s="5"/>
      <c r="X1" s="5"/>
      <c r="Y1" s="5"/>
      <c r="Z1" s="5"/>
      <c r="AA1" s="5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6"/>
      <c r="AN1" s="6"/>
      <c r="AO1" s="7"/>
      <c r="AP1" s="7"/>
      <c r="AQ1" s="7"/>
      <c r="AR1" s="7"/>
      <c r="AS1" s="7"/>
      <c r="AT1" s="2"/>
      <c r="AU1" s="2"/>
      <c r="AV1" s="2"/>
      <c r="AW1" s="2"/>
      <c r="AX1" s="2"/>
      <c r="AY1" s="68"/>
      <c r="AZ1" s="2"/>
    </row>
    <row r="2" spans="1:52">
      <c r="A2" s="1" t="s">
        <v>1</v>
      </c>
      <c r="B2" s="1"/>
      <c r="C2" s="2"/>
      <c r="D2" s="2"/>
      <c r="E2" s="3"/>
      <c r="F2" s="3"/>
      <c r="G2" s="3"/>
      <c r="H2" s="3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5"/>
      <c r="V2" s="5"/>
      <c r="W2" s="5"/>
      <c r="X2" s="5"/>
      <c r="Y2" s="5"/>
      <c r="Z2" s="5"/>
      <c r="AA2" s="5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6"/>
      <c r="AN2" s="6"/>
      <c r="AO2" s="7"/>
      <c r="AP2" s="7"/>
      <c r="AQ2" s="7"/>
      <c r="AR2" s="7"/>
      <c r="AS2" s="7"/>
      <c r="AT2" s="2"/>
      <c r="AU2" s="2"/>
      <c r="AV2" s="2"/>
      <c r="AW2" s="2"/>
      <c r="AX2" s="2"/>
      <c r="AY2" s="68"/>
      <c r="AZ2" s="2"/>
    </row>
    <row r="3" spans="1:52" ht="22.5">
      <c r="A3" s="62" t="str">
        <f>Sheet1!B3</f>
        <v>PAYROLL JANUARY 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</row>
    <row r="4" spans="1:52">
      <c r="A4" s="56" t="str">
        <f>Sheet1!B4</f>
        <v>From 1st - 31 January 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</row>
    <row r="5" spans="1:52">
      <c r="A5" s="35"/>
      <c r="B5" s="35"/>
      <c r="C5" s="36"/>
      <c r="D5" s="36"/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69"/>
      <c r="AZ5" s="35"/>
    </row>
    <row r="6" spans="1:52">
      <c r="A6" s="66" t="str">
        <f>Sheet1!B5</f>
        <v>Tỷ giá Vietinbank: 00/01/1900</v>
      </c>
      <c r="B6" s="66"/>
      <c r="C6" s="66"/>
      <c r="D6" s="28">
        <f>Sheet1!E5</f>
        <v>25160</v>
      </c>
      <c r="E6" s="29">
        <f>Sheet1!F5</f>
        <v>0</v>
      </c>
      <c r="F6" s="37"/>
      <c r="G6" s="37"/>
      <c r="H6" s="37"/>
      <c r="I6" s="37"/>
      <c r="J6" s="37"/>
      <c r="K6" s="38"/>
      <c r="L6" s="39"/>
      <c r="M6" s="39"/>
      <c r="N6" s="39"/>
      <c r="O6" s="39"/>
      <c r="P6" s="39"/>
      <c r="Q6" s="39"/>
      <c r="R6" s="39"/>
      <c r="S6" s="39"/>
      <c r="T6" s="39"/>
      <c r="U6" s="40"/>
      <c r="V6" s="40"/>
      <c r="W6" s="40"/>
      <c r="X6" s="40"/>
      <c r="Y6" s="40"/>
      <c r="Z6" s="40"/>
      <c r="AA6" s="40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41"/>
      <c r="AP6" s="41"/>
      <c r="AQ6" s="41"/>
      <c r="AR6" s="41"/>
      <c r="AS6" s="41"/>
      <c r="AT6" s="39"/>
      <c r="AU6" s="39"/>
      <c r="AV6" s="39"/>
      <c r="AW6" s="39"/>
      <c r="AX6" s="42"/>
      <c r="AY6" s="70"/>
      <c r="AZ6" s="39"/>
    </row>
    <row r="7" spans="1:52">
      <c r="A7" s="43"/>
      <c r="B7" s="43"/>
      <c r="C7" s="43"/>
      <c r="D7" s="43"/>
      <c r="E7" s="44"/>
      <c r="F7" s="44"/>
      <c r="G7" s="44"/>
      <c r="H7" s="44"/>
      <c r="I7" s="44"/>
      <c r="J7" s="44"/>
      <c r="K7" s="45"/>
      <c r="L7" s="43"/>
      <c r="M7" s="43"/>
      <c r="N7" s="43"/>
      <c r="O7" s="43"/>
      <c r="P7" s="43"/>
      <c r="Q7" s="43"/>
      <c r="R7" s="43"/>
      <c r="S7" s="43"/>
      <c r="T7" s="43"/>
      <c r="U7" s="46"/>
      <c r="V7" s="46"/>
      <c r="W7" s="46"/>
      <c r="X7" s="46"/>
      <c r="Y7" s="46"/>
      <c r="Z7" s="46"/>
      <c r="AA7" s="46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7"/>
      <c r="AP7" s="47"/>
      <c r="AQ7" s="47"/>
      <c r="AR7" s="47"/>
      <c r="AS7" s="47"/>
      <c r="AT7" s="43"/>
      <c r="AU7" s="43"/>
      <c r="AV7" s="43"/>
      <c r="AW7" s="48"/>
      <c r="AX7" s="48"/>
      <c r="AY7" s="71"/>
      <c r="AZ7" s="48"/>
    </row>
    <row r="8" spans="1:52">
      <c r="A8" s="61" t="s">
        <v>2</v>
      </c>
      <c r="B8" s="51" t="s">
        <v>172</v>
      </c>
      <c r="C8" s="61" t="s">
        <v>3</v>
      </c>
      <c r="D8" s="61" t="s">
        <v>4</v>
      </c>
      <c r="E8" s="63" t="s">
        <v>5</v>
      </c>
      <c r="F8" s="65" t="s">
        <v>6</v>
      </c>
      <c r="G8" s="65"/>
      <c r="H8" s="65"/>
      <c r="I8" s="65"/>
      <c r="J8" s="51" t="s">
        <v>7</v>
      </c>
      <c r="K8" s="51" t="s">
        <v>8</v>
      </c>
      <c r="L8" s="58" t="s">
        <v>9</v>
      </c>
      <c r="M8" s="59"/>
      <c r="N8" s="59"/>
      <c r="O8" s="59"/>
      <c r="P8" s="59"/>
      <c r="Q8" s="60"/>
      <c r="R8" s="51" t="s">
        <v>10</v>
      </c>
      <c r="S8" s="61" t="s">
        <v>11</v>
      </c>
      <c r="T8" s="51" t="s">
        <v>12</v>
      </c>
      <c r="U8" s="61" t="s">
        <v>13</v>
      </c>
      <c r="V8" s="58" t="s">
        <v>14</v>
      </c>
      <c r="W8" s="59"/>
      <c r="X8" s="59"/>
      <c r="Y8" s="59"/>
      <c r="Z8" s="60"/>
      <c r="AA8" s="61" t="s">
        <v>15</v>
      </c>
      <c r="AB8" s="57" t="s">
        <v>16</v>
      </c>
      <c r="AC8" s="57"/>
      <c r="AD8" s="57"/>
      <c r="AE8" s="57"/>
      <c r="AF8" s="57"/>
      <c r="AG8" s="57" t="s">
        <v>17</v>
      </c>
      <c r="AH8" s="57"/>
      <c r="AI8" s="57"/>
      <c r="AJ8" s="57"/>
      <c r="AK8" s="58" t="s">
        <v>18</v>
      </c>
      <c r="AL8" s="59"/>
      <c r="AM8" s="59"/>
      <c r="AN8" s="59"/>
      <c r="AO8" s="59"/>
      <c r="AP8" s="59"/>
      <c r="AQ8" s="59"/>
      <c r="AR8" s="59"/>
      <c r="AS8" s="59"/>
      <c r="AT8" s="59"/>
      <c r="AU8" s="60"/>
      <c r="AV8" s="10"/>
      <c r="AW8" s="58" t="s">
        <v>19</v>
      </c>
      <c r="AX8" s="60"/>
      <c r="AY8" s="72" t="s">
        <v>20</v>
      </c>
      <c r="AZ8" s="61" t="s">
        <v>21</v>
      </c>
    </row>
    <row r="9" spans="1:52" ht="84">
      <c r="A9" s="61"/>
      <c r="B9" s="52"/>
      <c r="C9" s="61"/>
      <c r="D9" s="61"/>
      <c r="E9" s="64"/>
      <c r="F9" s="11" t="s">
        <v>22</v>
      </c>
      <c r="G9" s="11" t="s">
        <v>23</v>
      </c>
      <c r="H9" s="11" t="s">
        <v>24</v>
      </c>
      <c r="I9" s="11" t="s">
        <v>25</v>
      </c>
      <c r="J9" s="52"/>
      <c r="K9" s="52"/>
      <c r="L9" s="8" t="s">
        <v>26</v>
      </c>
      <c r="M9" s="8" t="s">
        <v>27</v>
      </c>
      <c r="N9" s="8" t="s">
        <v>28</v>
      </c>
      <c r="O9" s="8" t="s">
        <v>29</v>
      </c>
      <c r="P9" s="8" t="s">
        <v>30</v>
      </c>
      <c r="Q9" s="8" t="s">
        <v>31</v>
      </c>
      <c r="R9" s="52"/>
      <c r="S9" s="61"/>
      <c r="T9" s="52"/>
      <c r="U9" s="61"/>
      <c r="V9" s="12" t="s">
        <v>32</v>
      </c>
      <c r="W9" s="12" t="s">
        <v>23</v>
      </c>
      <c r="X9" s="12" t="s">
        <v>24</v>
      </c>
      <c r="Y9" s="12" t="s">
        <v>25</v>
      </c>
      <c r="Z9" s="8" t="s">
        <v>33</v>
      </c>
      <c r="AA9" s="61"/>
      <c r="AB9" s="8" t="s">
        <v>34</v>
      </c>
      <c r="AC9" s="8" t="s">
        <v>35</v>
      </c>
      <c r="AD9" s="8" t="s">
        <v>36</v>
      </c>
      <c r="AE9" s="8" t="s">
        <v>37</v>
      </c>
      <c r="AF9" s="13" t="s">
        <v>38</v>
      </c>
      <c r="AG9" s="13" t="s">
        <v>39</v>
      </c>
      <c r="AH9" s="13" t="s">
        <v>40</v>
      </c>
      <c r="AI9" s="13" t="s">
        <v>37</v>
      </c>
      <c r="AJ9" s="13" t="s">
        <v>41</v>
      </c>
      <c r="AK9" s="8" t="s">
        <v>42</v>
      </c>
      <c r="AL9" s="8" t="s">
        <v>43</v>
      </c>
      <c r="AM9" s="8" t="s">
        <v>44</v>
      </c>
      <c r="AN9" s="8" t="s">
        <v>45</v>
      </c>
      <c r="AO9" s="9" t="s">
        <v>46</v>
      </c>
      <c r="AP9" s="9" t="s">
        <v>47</v>
      </c>
      <c r="AQ9" s="9" t="s">
        <v>193</v>
      </c>
      <c r="AR9" s="9" t="s">
        <v>190</v>
      </c>
      <c r="AS9" s="9" t="s">
        <v>192</v>
      </c>
      <c r="AT9" s="14" t="s">
        <v>48</v>
      </c>
      <c r="AU9" s="8" t="s">
        <v>49</v>
      </c>
      <c r="AV9" s="51" t="s">
        <v>50</v>
      </c>
      <c r="AW9" s="8" t="s">
        <v>51</v>
      </c>
      <c r="AX9" s="8" t="s">
        <v>52</v>
      </c>
      <c r="AY9" s="73"/>
      <c r="AZ9" s="61"/>
    </row>
    <row r="10" spans="1:52" ht="36" hidden="1">
      <c r="A10" s="15">
        <v>-1</v>
      </c>
      <c r="B10" s="15"/>
      <c r="C10" s="15">
        <v>-2</v>
      </c>
      <c r="D10" s="15">
        <v>-3</v>
      </c>
      <c r="E10" s="15">
        <v>-4</v>
      </c>
      <c r="F10" s="15">
        <v>-5</v>
      </c>
      <c r="G10" s="15" t="s">
        <v>53</v>
      </c>
      <c r="H10" s="15">
        <v>-6</v>
      </c>
      <c r="I10" s="15">
        <v>-7</v>
      </c>
      <c r="J10" s="15"/>
      <c r="K10" s="15">
        <v>-8</v>
      </c>
      <c r="L10" s="15">
        <v>-9</v>
      </c>
      <c r="M10" s="15">
        <v>-10</v>
      </c>
      <c r="N10" s="15">
        <v>-11</v>
      </c>
      <c r="O10" s="15" t="s">
        <v>54</v>
      </c>
      <c r="P10" s="15" t="s">
        <v>55</v>
      </c>
      <c r="Q10" s="15">
        <v>-12</v>
      </c>
      <c r="R10" s="15" t="s">
        <v>56</v>
      </c>
      <c r="S10" s="15" t="s">
        <v>57</v>
      </c>
      <c r="T10" s="15" t="s">
        <v>58</v>
      </c>
      <c r="U10" s="16" t="s">
        <v>59</v>
      </c>
      <c r="V10" s="16" t="s">
        <v>60</v>
      </c>
      <c r="W10" s="16" t="s">
        <v>61</v>
      </c>
      <c r="X10" s="16" t="s">
        <v>62</v>
      </c>
      <c r="Y10" s="16" t="s">
        <v>63</v>
      </c>
      <c r="Z10" s="16" t="s">
        <v>64</v>
      </c>
      <c r="AA10" s="16" t="s">
        <v>65</v>
      </c>
      <c r="AB10" s="15" t="s">
        <v>66</v>
      </c>
      <c r="AC10" s="15" t="s">
        <v>67</v>
      </c>
      <c r="AD10" s="15" t="s">
        <v>68</v>
      </c>
      <c r="AE10" s="15">
        <v>25</v>
      </c>
      <c r="AF10" s="17" t="s">
        <v>69</v>
      </c>
      <c r="AG10" s="17">
        <v>27</v>
      </c>
      <c r="AH10" s="17" t="s">
        <v>70</v>
      </c>
      <c r="AI10" s="17">
        <v>29</v>
      </c>
      <c r="AJ10" s="17" t="s">
        <v>71</v>
      </c>
      <c r="AK10" s="15">
        <v>-31</v>
      </c>
      <c r="AL10" s="15" t="s">
        <v>72</v>
      </c>
      <c r="AM10" s="15" t="s">
        <v>73</v>
      </c>
      <c r="AN10" s="15">
        <v>-33</v>
      </c>
      <c r="AO10" s="15" t="s">
        <v>74</v>
      </c>
      <c r="AP10" s="15"/>
      <c r="AQ10" s="15"/>
      <c r="AR10" s="15"/>
      <c r="AS10" s="15"/>
      <c r="AT10" s="18" t="s">
        <v>75</v>
      </c>
      <c r="AU10" s="15">
        <v>-36</v>
      </c>
      <c r="AV10" s="52"/>
      <c r="AW10" s="15">
        <v>-37</v>
      </c>
      <c r="AX10" s="15">
        <v>-38</v>
      </c>
      <c r="AY10" s="74">
        <v>-39</v>
      </c>
      <c r="AZ10" s="15">
        <v>-40</v>
      </c>
    </row>
    <row r="11" spans="1:52" hidden="1">
      <c r="A11" s="20">
        <v>1</v>
      </c>
      <c r="B11" s="20"/>
      <c r="C11" s="21" t="s">
        <v>76</v>
      </c>
      <c r="D11" s="22" t="s">
        <v>171</v>
      </c>
      <c r="E11" s="23">
        <v>208</v>
      </c>
      <c r="F11" s="24"/>
      <c r="G11" s="24"/>
      <c r="H11" s="23"/>
      <c r="I11" s="23"/>
      <c r="J11" s="23"/>
      <c r="K11" s="23">
        <f>2500*E6</f>
        <v>0</v>
      </c>
      <c r="L11" s="23"/>
      <c r="M11" s="23"/>
      <c r="N11" s="23"/>
      <c r="O11" s="23"/>
      <c r="P11" s="23"/>
      <c r="Q11" s="23"/>
      <c r="R11" s="23">
        <f>SUM(M11:Q11)</f>
        <v>0</v>
      </c>
      <c r="S11" s="23">
        <f>K11+L11</f>
        <v>0</v>
      </c>
      <c r="T11" s="23">
        <f>S11/E11</f>
        <v>0</v>
      </c>
      <c r="U11" s="25">
        <f>T11*E11</f>
        <v>0</v>
      </c>
      <c r="V11" s="25">
        <f>T11*F11*150%</f>
        <v>0</v>
      </c>
      <c r="W11" s="25"/>
      <c r="X11" s="25">
        <f>T11*H11*200%</f>
        <v>0</v>
      </c>
      <c r="Y11" s="25">
        <f>T11*I11*300%</f>
        <v>0</v>
      </c>
      <c r="Z11" s="25">
        <f>SUM(V11:Y11)</f>
        <v>0</v>
      </c>
      <c r="AA11" s="25">
        <f>R11+U11+Z11</f>
        <v>0</v>
      </c>
      <c r="AB11" s="23">
        <v>29800000</v>
      </c>
      <c r="AC11" s="23">
        <f>AB11*5%</f>
        <v>1490000</v>
      </c>
      <c r="AD11" s="23">
        <f>AB11*3%</f>
        <v>894000</v>
      </c>
      <c r="AE11" s="23"/>
      <c r="AF11" s="23">
        <f>AC11+AD11+AE11</f>
        <v>2384000</v>
      </c>
      <c r="AG11" s="23"/>
      <c r="AH11" s="23">
        <f>AB11*1.5%</f>
        <v>447000</v>
      </c>
      <c r="AI11" s="23"/>
      <c r="AJ11" s="23">
        <f>AG11+AH11+AI11</f>
        <v>447000</v>
      </c>
      <c r="AK11" s="23">
        <v>11000000</v>
      </c>
      <c r="AL11" s="23">
        <v>3</v>
      </c>
      <c r="AM11" s="23">
        <f>AL11*4400000</f>
        <v>13200000</v>
      </c>
      <c r="AN11" s="23">
        <f>M11</f>
        <v>0</v>
      </c>
      <c r="AO11" s="23">
        <f>AA11-AN11</f>
        <v>0</v>
      </c>
      <c r="AP11" s="23"/>
      <c r="AQ11" s="23"/>
      <c r="AR11" s="23"/>
      <c r="AS11" s="23"/>
      <c r="AT11" s="23">
        <f>(AA11-AK11-AM11-AN11-AJ11)</f>
        <v>-24647000</v>
      </c>
      <c r="AU11" s="23">
        <f>ROUND(IF(AT11&lt;=5000000,AT11*5%,IF(AND(AT11&gt;5000000,AT11&lt;=10000000),AT11*10%-250000,IF(AND(AT11&gt;10000000,AT11&lt;=18000000),AT11*15%-750000,IF(AND(AT11&gt;18000000,AT11&lt;=32000000),AT11*20%-1650000,IF(AND(AT11&gt;32000000,AT11&lt;=52000000),AT11*25%-3250000,IF(AND(AT11&gt;52000000,AT11&lt;80000000),AT11*30%-5850000,IF(AT11&gt;80000000,AT11*35%-9850000))))))),0)</f>
        <v>-1232350</v>
      </c>
      <c r="AV11" s="23"/>
      <c r="AW11" s="23">
        <f>AA11-AJ11-AU11</f>
        <v>785350</v>
      </c>
      <c r="AX11" s="27" t="e">
        <f>+AW11/E6</f>
        <v>#DIV/0!</v>
      </c>
      <c r="AY11" s="75"/>
      <c r="AZ11" s="27"/>
    </row>
    <row r="12" spans="1:52" ht="26.25" customHeight="1">
      <c r="A12" s="20">
        <v>1</v>
      </c>
      <c r="B12" s="20" t="s">
        <v>179</v>
      </c>
      <c r="C12" s="21" t="s">
        <v>173</v>
      </c>
      <c r="D12" s="22" t="s">
        <v>77</v>
      </c>
      <c r="E12" s="23">
        <f>_xlfn.IFNA(VLOOKUP(B12,Sheet1!$C$12:$AY$20,4,0),0)</f>
        <v>0</v>
      </c>
      <c r="F12" s="24">
        <f>_xlfn.IFNA(VLOOKUP(B12,Sheet1!$C$12:$AY$20,5,0),0)</f>
        <v>0</v>
      </c>
      <c r="G12" s="24">
        <f>_xlfn.IFNA(VLOOKUP(B12,Sheet1!$C$12:$AY$20,6,0),0)</f>
        <v>0</v>
      </c>
      <c r="H12" s="23">
        <f>_xlfn.IFNA(VLOOKUP(B12,Sheet1!$C$12:$AY$20,7,0),0)</f>
        <v>0</v>
      </c>
      <c r="I12" s="23">
        <f>_xlfn.IFNA(VLOOKUP(B12,Sheet1!$C$12:$AY$20,8,0),0)</f>
        <v>0</v>
      </c>
      <c r="J12" s="23">
        <f>_xlfn.IFNA(VLOOKUP(B12,Sheet1!$C$12:$AY$20,9,0),0)</f>
        <v>0</v>
      </c>
      <c r="K12" s="23">
        <f>J12*E6</f>
        <v>0</v>
      </c>
      <c r="L12" s="23">
        <f>_xlfn.IFNA(VLOOKUP(B12,Sheet1!$C$12:$AY$20,11,0),0)</f>
        <v>0</v>
      </c>
      <c r="M12" s="23">
        <f>_xlfn.IFNA(VLOOKUP(B12,Sheet1!$C$12:$AY$20,12,0),0)</f>
        <v>0</v>
      </c>
      <c r="N12" s="23">
        <f>_xlfn.IFNA(VLOOKUP(B12,Sheet1!$C$12:$AY$20,13,0),0)</f>
        <v>0</v>
      </c>
      <c r="O12" s="23">
        <f>_xlfn.IFNA(VLOOKUP(B12,Sheet1!$C$12:$AY$20,14,0),0)</f>
        <v>0</v>
      </c>
      <c r="P12" s="23">
        <f>_xlfn.IFNA(VLOOKUP(B12,Sheet1!$C$12:$AY$20,15,0),0)</f>
        <v>0</v>
      </c>
      <c r="Q12" s="23">
        <f>_xlfn.IFNA(VLOOKUP(B12,Sheet1!$C$12:$AY$20,16,0),0)</f>
        <v>0</v>
      </c>
      <c r="R12" s="23">
        <f>SUM(M12:Q12)</f>
        <v>0</v>
      </c>
      <c r="S12" s="23">
        <f>K12+L12</f>
        <v>0</v>
      </c>
      <c r="T12" s="23" t="e">
        <f>S12/E12</f>
        <v>#DIV/0!</v>
      </c>
      <c r="U12" s="25" t="e">
        <f>T12*E12</f>
        <v>#DIV/0!</v>
      </c>
      <c r="V12" s="25" t="e">
        <f>T12*F12*150%</f>
        <v>#DIV/0!</v>
      </c>
      <c r="W12" s="25" t="e">
        <f>T12*G12*195%</f>
        <v>#DIV/0!</v>
      </c>
      <c r="X12" s="25" t="e">
        <f>T12*H12*200%</f>
        <v>#DIV/0!</v>
      </c>
      <c r="Y12" s="25" t="e">
        <f>T12*I12*300%</f>
        <v>#DIV/0!</v>
      </c>
      <c r="Z12" s="25" t="e">
        <f>SUM(V12:Y12)</f>
        <v>#DIV/0!</v>
      </c>
      <c r="AA12" s="25" t="e">
        <f>R12+U12+Z12</f>
        <v>#DIV/0!</v>
      </c>
      <c r="AB12" s="25">
        <f>_xlfn.IFNA(VLOOKUP(B12,Sheet1!$C$12:$AY$20,27,0),0)</f>
        <v>0</v>
      </c>
      <c r="AC12" s="23">
        <f>_xlfn.IFNA(VLOOKUP(B12,Sheet1!$C$12:$AY$20,28,0),0)</f>
        <v>0</v>
      </c>
      <c r="AD12" s="23">
        <f>_xlfn.IFNA(VLOOKUP(B12,Sheet1!$C$12:$AY$20,29,0),0)</f>
        <v>0</v>
      </c>
      <c r="AE12" s="23"/>
      <c r="AF12" s="23">
        <f>AC12+AD12+AE12</f>
        <v>0</v>
      </c>
      <c r="AG12" s="23">
        <f>_xlfn.IFNA(VLOOKUP(B12,Sheet1!$C$12:$AY$20,32,0),0)</f>
        <v>0</v>
      </c>
      <c r="AH12" s="23">
        <f>_xlfn.IFNA(VLOOKUP(B12,Sheet1!$C$12:$AY$20,33,0),0)</f>
        <v>0</v>
      </c>
      <c r="AI12" s="23"/>
      <c r="AJ12" s="23">
        <f>AG12+AH12+AI12</f>
        <v>0</v>
      </c>
      <c r="AK12" s="23">
        <v>11000000</v>
      </c>
      <c r="AL12" s="23">
        <f>_xlfn.IFNA(VLOOKUP(B12,Sheet1!$C$12:$AY$20,37,0),0)</f>
        <v>0</v>
      </c>
      <c r="AM12" s="23">
        <f>+AL12*4400000</f>
        <v>0</v>
      </c>
      <c r="AN12" s="23"/>
      <c r="AO12" s="23" t="e">
        <f>AA12-AN12</f>
        <v>#DIV/0!</v>
      </c>
      <c r="AP12" s="23">
        <f>_xlfn.IFNA(VLOOKUP(B12,Sheet1!$C$13:$AZ$23,41,0),0)</f>
        <v>0</v>
      </c>
      <c r="AQ12" s="23">
        <f>_xlfn.IFNA(VLOOKUP(B12,Sheet1!$C$13:$AZ$23,42,0),0)</f>
        <v>0</v>
      </c>
      <c r="AR12" s="23">
        <f>_xlfn.IFNA(VLOOKUP(B12,Sheet1!$C$13:$AZ$23,43,0),0)</f>
        <v>0</v>
      </c>
      <c r="AS12" s="23" t="e">
        <f>AO12+AP12+AR12+AQ12</f>
        <v>#DIV/0!</v>
      </c>
      <c r="AT12" s="23" t="e">
        <f>(AS12-AK12-AM12-AJ12)</f>
        <v>#DIV/0!</v>
      </c>
      <c r="AU12" s="26" t="e">
        <f>ROUND(IF(AT12&lt;=5000000,AT12*5%,IF(AND(AT12&gt;5000000,AT12&lt;=10000000),AT12*10%-250000,IF(AND(AT12&gt;10000000,AT12&lt;=18000000),AT12*15%-750000,IF(AND(AT12&gt;18000000,AT12&lt;=32000000),AT12*20%-1650000,IF(AND(AT12&gt;32000000,AT12&lt;=52000000),AT12*25%-3250000,IF(AND(AT12&gt;52000000,AT12&lt;80000000),AT12*30%-5850000,IF(AT12&gt;80000000,AT12*35%-9850000))))))),0)</f>
        <v>#DIV/0!</v>
      </c>
      <c r="AV12" s="26">
        <v>0</v>
      </c>
      <c r="AW12" s="23" t="e">
        <f>AA12-AJ12-AU12-AV12</f>
        <v>#DIV/0!</v>
      </c>
      <c r="AX12" s="27" t="e">
        <f>AW12/E6</f>
        <v>#DIV/0!</v>
      </c>
      <c r="AY12" s="76">
        <f>_xlfn.IFNA(VLOOKUP(B12,Sheet1!$C$13:$AZ$22,50,0),0)</f>
        <v>0</v>
      </c>
      <c r="AZ12" s="27"/>
    </row>
    <row r="13" spans="1:52">
      <c r="A13" s="2"/>
      <c r="B13" s="2"/>
      <c r="C13" s="2"/>
      <c r="D13" s="2"/>
      <c r="E13" s="3"/>
      <c r="F13" s="3"/>
      <c r="G13" s="3"/>
      <c r="H13" s="3"/>
      <c r="I13" s="3"/>
      <c r="J13" s="3"/>
      <c r="K13" s="4"/>
      <c r="L13" s="2"/>
      <c r="M13" s="2"/>
      <c r="N13" s="2"/>
      <c r="O13" s="2"/>
      <c r="P13" s="2"/>
      <c r="Q13" s="2"/>
      <c r="R13" s="2"/>
      <c r="S13" s="2"/>
      <c r="T13" s="2"/>
      <c r="U13" s="5"/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6"/>
      <c r="AN13" s="6"/>
      <c r="AO13" s="7"/>
      <c r="AP13" s="7"/>
      <c r="AQ13" s="7"/>
      <c r="AR13" s="7"/>
      <c r="AS13" s="7"/>
      <c r="AT13" s="2"/>
      <c r="AU13" s="2"/>
      <c r="AV13" s="2"/>
      <c r="AW13" s="2"/>
      <c r="AX13" s="49"/>
      <c r="AY13" s="68"/>
      <c r="AZ13" s="2"/>
    </row>
  </sheetData>
  <mergeCells count="25">
    <mergeCell ref="AY8:AY9"/>
    <mergeCell ref="AZ8:AZ9"/>
    <mergeCell ref="AV9:AV10"/>
    <mergeCell ref="V8:Z8"/>
    <mergeCell ref="AA8:AA9"/>
    <mergeCell ref="AB8:AF8"/>
    <mergeCell ref="AG8:AJ8"/>
    <mergeCell ref="AK8:AU8"/>
    <mergeCell ref="AW8:AX8"/>
    <mergeCell ref="K8:K9"/>
    <mergeCell ref="L8:Q8"/>
    <mergeCell ref="R8:R9"/>
    <mergeCell ref="S8:S9"/>
    <mergeCell ref="T8:T9"/>
    <mergeCell ref="U8:U9"/>
    <mergeCell ref="A3:AZ3"/>
    <mergeCell ref="A4:AZ4"/>
    <mergeCell ref="A6:C6"/>
    <mergeCell ref="A8:A9"/>
    <mergeCell ref="B8:B9"/>
    <mergeCell ref="C8:C9"/>
    <mergeCell ref="D8:D9"/>
    <mergeCell ref="E8:E9"/>
    <mergeCell ref="F8:I8"/>
    <mergeCell ref="J8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5F1B-0305-40F5-90C8-5C8DCDF93BE5}">
  <dimension ref="A1:AZ13"/>
  <sheetViews>
    <sheetView workbookViewId="0">
      <selection activeCell="B12" sqref="B12"/>
    </sheetView>
  </sheetViews>
  <sheetFormatPr defaultRowHeight="15"/>
  <cols>
    <col min="3" max="3" width="17.85546875" customWidth="1"/>
    <col min="4" max="4" width="11.85546875" customWidth="1"/>
    <col min="5" max="5" width="10.5703125" customWidth="1"/>
    <col min="6" max="9" width="9.140625" hidden="1" customWidth="1"/>
    <col min="10" max="11" width="10.5703125" customWidth="1"/>
    <col min="12" max="19" width="9.140625" hidden="1" customWidth="1"/>
    <col min="20" max="20" width="10.5703125" customWidth="1"/>
    <col min="21" max="26" width="9.140625" hidden="1" customWidth="1"/>
    <col min="27" max="50" width="10.5703125" customWidth="1"/>
    <col min="51" max="51" width="10.5703125" style="77" customWidth="1"/>
  </cols>
  <sheetData>
    <row r="1" spans="1:52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5"/>
      <c r="V1" s="5"/>
      <c r="W1" s="5"/>
      <c r="X1" s="5"/>
      <c r="Y1" s="5"/>
      <c r="Z1" s="5"/>
      <c r="AA1" s="5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6"/>
      <c r="AN1" s="6"/>
      <c r="AO1" s="7"/>
      <c r="AP1" s="7"/>
      <c r="AQ1" s="7"/>
      <c r="AR1" s="7"/>
      <c r="AS1" s="7"/>
      <c r="AT1" s="2"/>
      <c r="AU1" s="2"/>
      <c r="AV1" s="2"/>
      <c r="AW1" s="2"/>
      <c r="AX1" s="2"/>
      <c r="AY1" s="68"/>
      <c r="AZ1" s="2"/>
    </row>
    <row r="2" spans="1:52">
      <c r="A2" s="1" t="s">
        <v>1</v>
      </c>
      <c r="B2" s="1"/>
      <c r="C2" s="2"/>
      <c r="D2" s="2"/>
      <c r="E2" s="3"/>
      <c r="F2" s="3"/>
      <c r="G2" s="3"/>
      <c r="H2" s="3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5"/>
      <c r="V2" s="5"/>
      <c r="W2" s="5"/>
      <c r="X2" s="5"/>
      <c r="Y2" s="5"/>
      <c r="Z2" s="5"/>
      <c r="AA2" s="5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6"/>
      <c r="AN2" s="6"/>
      <c r="AO2" s="7"/>
      <c r="AP2" s="7"/>
      <c r="AQ2" s="7"/>
      <c r="AR2" s="7"/>
      <c r="AS2" s="7"/>
      <c r="AT2" s="2"/>
      <c r="AU2" s="2"/>
      <c r="AV2" s="2"/>
      <c r="AW2" s="2"/>
      <c r="AX2" s="2"/>
      <c r="AY2" s="68"/>
      <c r="AZ2" s="2"/>
    </row>
    <row r="3" spans="1:52" ht="22.5">
      <c r="A3" s="62" t="str">
        <f>Sheet1!B3</f>
        <v>PAYROLL JANUARY 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</row>
    <row r="4" spans="1:52">
      <c r="A4" s="56" t="str">
        <f>Sheet1!B4</f>
        <v>From 1st - 31 January 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</row>
    <row r="5" spans="1:52">
      <c r="A5" s="35"/>
      <c r="B5" s="35"/>
      <c r="C5" s="36"/>
      <c r="D5" s="36"/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69"/>
      <c r="AZ5" s="35"/>
    </row>
    <row r="6" spans="1:52">
      <c r="A6" s="66" t="str">
        <f>Sheet1!B5</f>
        <v>Tỷ giá Vietinbank: 00/01/1900</v>
      </c>
      <c r="B6" s="66"/>
      <c r="C6" s="66"/>
      <c r="D6" s="28">
        <f>Sheet1!E5</f>
        <v>25160</v>
      </c>
      <c r="E6" s="29">
        <f>Sheet1!F5</f>
        <v>0</v>
      </c>
      <c r="F6" s="37"/>
      <c r="G6" s="37"/>
      <c r="H6" s="37"/>
      <c r="I6" s="37"/>
      <c r="J6" s="37"/>
      <c r="K6" s="38"/>
      <c r="L6" s="39"/>
      <c r="M6" s="39"/>
      <c r="N6" s="39"/>
      <c r="O6" s="39"/>
      <c r="P6" s="39"/>
      <c r="Q6" s="39"/>
      <c r="R6" s="39"/>
      <c r="S6" s="39"/>
      <c r="T6" s="39"/>
      <c r="U6" s="40"/>
      <c r="V6" s="40"/>
      <c r="W6" s="40"/>
      <c r="X6" s="40"/>
      <c r="Y6" s="40"/>
      <c r="Z6" s="40"/>
      <c r="AA6" s="40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41"/>
      <c r="AP6" s="41"/>
      <c r="AQ6" s="41"/>
      <c r="AR6" s="41"/>
      <c r="AS6" s="41"/>
      <c r="AT6" s="39"/>
      <c r="AU6" s="39"/>
      <c r="AV6" s="39"/>
      <c r="AW6" s="39"/>
      <c r="AX6" s="42"/>
      <c r="AY6" s="70"/>
      <c r="AZ6" s="39"/>
    </row>
    <row r="7" spans="1:52">
      <c r="A7" s="43"/>
      <c r="B7" s="43"/>
      <c r="C7" s="43"/>
      <c r="D7" s="43"/>
      <c r="E7" s="44"/>
      <c r="F7" s="44"/>
      <c r="G7" s="44"/>
      <c r="H7" s="44"/>
      <c r="I7" s="44"/>
      <c r="J7" s="44"/>
      <c r="K7" s="45"/>
      <c r="L7" s="43"/>
      <c r="M7" s="43"/>
      <c r="N7" s="43"/>
      <c r="O7" s="43"/>
      <c r="P7" s="43"/>
      <c r="Q7" s="43"/>
      <c r="R7" s="43"/>
      <c r="S7" s="43"/>
      <c r="T7" s="43"/>
      <c r="U7" s="46"/>
      <c r="V7" s="46"/>
      <c r="W7" s="46"/>
      <c r="X7" s="46"/>
      <c r="Y7" s="46"/>
      <c r="Z7" s="46"/>
      <c r="AA7" s="46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7"/>
      <c r="AP7" s="47"/>
      <c r="AQ7" s="47"/>
      <c r="AR7" s="47"/>
      <c r="AS7" s="47"/>
      <c r="AT7" s="43"/>
      <c r="AU7" s="43"/>
      <c r="AV7" s="43"/>
      <c r="AW7" s="48"/>
      <c r="AX7" s="48"/>
      <c r="AY7" s="71"/>
      <c r="AZ7" s="48"/>
    </row>
    <row r="8" spans="1:52">
      <c r="A8" s="61" t="s">
        <v>2</v>
      </c>
      <c r="B8" s="51" t="s">
        <v>172</v>
      </c>
      <c r="C8" s="61" t="s">
        <v>3</v>
      </c>
      <c r="D8" s="61" t="s">
        <v>4</v>
      </c>
      <c r="E8" s="63" t="s">
        <v>5</v>
      </c>
      <c r="F8" s="65" t="s">
        <v>6</v>
      </c>
      <c r="G8" s="65"/>
      <c r="H8" s="65"/>
      <c r="I8" s="65"/>
      <c r="J8" s="51" t="s">
        <v>7</v>
      </c>
      <c r="K8" s="51" t="s">
        <v>8</v>
      </c>
      <c r="L8" s="58" t="s">
        <v>9</v>
      </c>
      <c r="M8" s="59"/>
      <c r="N8" s="59"/>
      <c r="O8" s="59"/>
      <c r="P8" s="59"/>
      <c r="Q8" s="60"/>
      <c r="R8" s="51" t="s">
        <v>10</v>
      </c>
      <c r="S8" s="61" t="s">
        <v>11</v>
      </c>
      <c r="T8" s="51" t="s">
        <v>12</v>
      </c>
      <c r="U8" s="61" t="s">
        <v>13</v>
      </c>
      <c r="V8" s="58" t="s">
        <v>14</v>
      </c>
      <c r="W8" s="59"/>
      <c r="X8" s="59"/>
      <c r="Y8" s="59"/>
      <c r="Z8" s="60"/>
      <c r="AA8" s="61" t="s">
        <v>15</v>
      </c>
      <c r="AB8" s="57" t="s">
        <v>16</v>
      </c>
      <c r="AC8" s="57"/>
      <c r="AD8" s="57"/>
      <c r="AE8" s="57"/>
      <c r="AF8" s="57"/>
      <c r="AG8" s="57" t="s">
        <v>17</v>
      </c>
      <c r="AH8" s="57"/>
      <c r="AI8" s="57"/>
      <c r="AJ8" s="57"/>
      <c r="AK8" s="58" t="s">
        <v>18</v>
      </c>
      <c r="AL8" s="59"/>
      <c r="AM8" s="59"/>
      <c r="AN8" s="59"/>
      <c r="AO8" s="59"/>
      <c r="AP8" s="59"/>
      <c r="AQ8" s="59"/>
      <c r="AR8" s="59"/>
      <c r="AS8" s="59"/>
      <c r="AT8" s="59"/>
      <c r="AU8" s="60"/>
      <c r="AV8" s="10"/>
      <c r="AW8" s="58" t="s">
        <v>19</v>
      </c>
      <c r="AX8" s="60"/>
      <c r="AY8" s="72" t="s">
        <v>20</v>
      </c>
      <c r="AZ8" s="61" t="s">
        <v>21</v>
      </c>
    </row>
    <row r="9" spans="1:52" ht="84">
      <c r="A9" s="61"/>
      <c r="B9" s="52"/>
      <c r="C9" s="61"/>
      <c r="D9" s="61"/>
      <c r="E9" s="64"/>
      <c r="F9" s="11" t="s">
        <v>22</v>
      </c>
      <c r="G9" s="11" t="s">
        <v>23</v>
      </c>
      <c r="H9" s="11" t="s">
        <v>24</v>
      </c>
      <c r="I9" s="11" t="s">
        <v>25</v>
      </c>
      <c r="J9" s="52"/>
      <c r="K9" s="52"/>
      <c r="L9" s="8" t="s">
        <v>26</v>
      </c>
      <c r="M9" s="8" t="s">
        <v>27</v>
      </c>
      <c r="N9" s="8" t="s">
        <v>28</v>
      </c>
      <c r="O9" s="8" t="s">
        <v>29</v>
      </c>
      <c r="P9" s="8" t="s">
        <v>30</v>
      </c>
      <c r="Q9" s="8" t="s">
        <v>31</v>
      </c>
      <c r="R9" s="52"/>
      <c r="S9" s="61"/>
      <c r="T9" s="52"/>
      <c r="U9" s="61"/>
      <c r="V9" s="12" t="s">
        <v>32</v>
      </c>
      <c r="W9" s="12" t="s">
        <v>23</v>
      </c>
      <c r="X9" s="12" t="s">
        <v>24</v>
      </c>
      <c r="Y9" s="12" t="s">
        <v>25</v>
      </c>
      <c r="Z9" s="8" t="s">
        <v>33</v>
      </c>
      <c r="AA9" s="61"/>
      <c r="AB9" s="8" t="s">
        <v>34</v>
      </c>
      <c r="AC9" s="8" t="s">
        <v>35</v>
      </c>
      <c r="AD9" s="8" t="s">
        <v>36</v>
      </c>
      <c r="AE9" s="8" t="s">
        <v>37</v>
      </c>
      <c r="AF9" s="13" t="s">
        <v>38</v>
      </c>
      <c r="AG9" s="13" t="s">
        <v>39</v>
      </c>
      <c r="AH9" s="13" t="s">
        <v>40</v>
      </c>
      <c r="AI9" s="13" t="s">
        <v>37</v>
      </c>
      <c r="AJ9" s="13" t="s">
        <v>41</v>
      </c>
      <c r="AK9" s="8" t="s">
        <v>42</v>
      </c>
      <c r="AL9" s="8" t="s">
        <v>43</v>
      </c>
      <c r="AM9" s="8" t="s">
        <v>44</v>
      </c>
      <c r="AN9" s="8" t="s">
        <v>45</v>
      </c>
      <c r="AO9" s="9" t="s">
        <v>46</v>
      </c>
      <c r="AP9" s="9" t="s">
        <v>47</v>
      </c>
      <c r="AQ9" s="9" t="s">
        <v>193</v>
      </c>
      <c r="AR9" s="9" t="s">
        <v>190</v>
      </c>
      <c r="AS9" s="9" t="s">
        <v>192</v>
      </c>
      <c r="AT9" s="14" t="s">
        <v>48</v>
      </c>
      <c r="AU9" s="8" t="s">
        <v>49</v>
      </c>
      <c r="AV9" s="51" t="s">
        <v>50</v>
      </c>
      <c r="AW9" s="8" t="s">
        <v>51</v>
      </c>
      <c r="AX9" s="8" t="s">
        <v>52</v>
      </c>
      <c r="AY9" s="73"/>
      <c r="AZ9" s="61"/>
    </row>
    <row r="10" spans="1:52" ht="36" hidden="1">
      <c r="A10" s="15">
        <v>-1</v>
      </c>
      <c r="B10" s="15"/>
      <c r="C10" s="15">
        <v>-2</v>
      </c>
      <c r="D10" s="15">
        <v>-3</v>
      </c>
      <c r="E10" s="15">
        <v>-4</v>
      </c>
      <c r="F10" s="15">
        <v>-5</v>
      </c>
      <c r="G10" s="15" t="s">
        <v>53</v>
      </c>
      <c r="H10" s="15">
        <v>-6</v>
      </c>
      <c r="I10" s="15">
        <v>-7</v>
      </c>
      <c r="J10" s="15"/>
      <c r="K10" s="15">
        <v>-8</v>
      </c>
      <c r="L10" s="15">
        <v>-9</v>
      </c>
      <c r="M10" s="15">
        <v>-10</v>
      </c>
      <c r="N10" s="15">
        <v>-11</v>
      </c>
      <c r="O10" s="15" t="s">
        <v>54</v>
      </c>
      <c r="P10" s="15" t="s">
        <v>55</v>
      </c>
      <c r="Q10" s="15">
        <v>-12</v>
      </c>
      <c r="R10" s="15" t="s">
        <v>56</v>
      </c>
      <c r="S10" s="15" t="s">
        <v>57</v>
      </c>
      <c r="T10" s="15" t="s">
        <v>58</v>
      </c>
      <c r="U10" s="16" t="s">
        <v>59</v>
      </c>
      <c r="V10" s="16" t="s">
        <v>60</v>
      </c>
      <c r="W10" s="16" t="s">
        <v>61</v>
      </c>
      <c r="X10" s="16" t="s">
        <v>62</v>
      </c>
      <c r="Y10" s="16" t="s">
        <v>63</v>
      </c>
      <c r="Z10" s="16" t="s">
        <v>64</v>
      </c>
      <c r="AA10" s="16" t="s">
        <v>65</v>
      </c>
      <c r="AB10" s="15" t="s">
        <v>66</v>
      </c>
      <c r="AC10" s="15" t="s">
        <v>67</v>
      </c>
      <c r="AD10" s="15" t="s">
        <v>68</v>
      </c>
      <c r="AE10" s="15">
        <v>25</v>
      </c>
      <c r="AF10" s="17" t="s">
        <v>69</v>
      </c>
      <c r="AG10" s="17">
        <v>27</v>
      </c>
      <c r="AH10" s="17" t="s">
        <v>70</v>
      </c>
      <c r="AI10" s="17">
        <v>29</v>
      </c>
      <c r="AJ10" s="17" t="s">
        <v>71</v>
      </c>
      <c r="AK10" s="15">
        <v>-31</v>
      </c>
      <c r="AL10" s="15" t="s">
        <v>72</v>
      </c>
      <c r="AM10" s="15" t="s">
        <v>73</v>
      </c>
      <c r="AN10" s="15">
        <v>-33</v>
      </c>
      <c r="AO10" s="15" t="s">
        <v>74</v>
      </c>
      <c r="AP10" s="15"/>
      <c r="AQ10" s="15"/>
      <c r="AR10" s="15"/>
      <c r="AS10" s="15"/>
      <c r="AT10" s="18" t="s">
        <v>75</v>
      </c>
      <c r="AU10" s="15">
        <v>-36</v>
      </c>
      <c r="AV10" s="52"/>
      <c r="AW10" s="15">
        <v>-37</v>
      </c>
      <c r="AX10" s="15">
        <v>-38</v>
      </c>
      <c r="AY10" s="74">
        <v>-39</v>
      </c>
      <c r="AZ10" s="15">
        <v>-40</v>
      </c>
    </row>
    <row r="11" spans="1:52" hidden="1">
      <c r="A11" s="20">
        <v>1</v>
      </c>
      <c r="B11" s="20"/>
      <c r="C11" s="21" t="s">
        <v>76</v>
      </c>
      <c r="D11" s="22" t="s">
        <v>171</v>
      </c>
      <c r="E11" s="23">
        <v>208</v>
      </c>
      <c r="F11" s="24"/>
      <c r="G11" s="24"/>
      <c r="H11" s="23"/>
      <c r="I11" s="23"/>
      <c r="J11" s="23"/>
      <c r="K11" s="23">
        <f>2500*E6</f>
        <v>0</v>
      </c>
      <c r="L11" s="23"/>
      <c r="M11" s="23"/>
      <c r="N11" s="23"/>
      <c r="O11" s="23"/>
      <c r="P11" s="23"/>
      <c r="Q11" s="23"/>
      <c r="R11" s="23">
        <f>SUM(M11:Q11)</f>
        <v>0</v>
      </c>
      <c r="S11" s="23">
        <f>K11+L11</f>
        <v>0</v>
      </c>
      <c r="T11" s="23">
        <f>S11/E11</f>
        <v>0</v>
      </c>
      <c r="U11" s="25">
        <f>T11*E11</f>
        <v>0</v>
      </c>
      <c r="V11" s="25">
        <f>T11*F11*150%</f>
        <v>0</v>
      </c>
      <c r="W11" s="25"/>
      <c r="X11" s="25">
        <f>T11*H11*200%</f>
        <v>0</v>
      </c>
      <c r="Y11" s="25">
        <f>T11*I11*300%</f>
        <v>0</v>
      </c>
      <c r="Z11" s="25">
        <f>SUM(V11:Y11)</f>
        <v>0</v>
      </c>
      <c r="AA11" s="25">
        <f>R11+U11+Z11</f>
        <v>0</v>
      </c>
      <c r="AB11" s="23">
        <v>29800000</v>
      </c>
      <c r="AC11" s="23">
        <f>AB11*5%</f>
        <v>1490000</v>
      </c>
      <c r="AD11" s="23">
        <f>AB11*3%</f>
        <v>894000</v>
      </c>
      <c r="AE11" s="23"/>
      <c r="AF11" s="23">
        <f>AC11+AD11+AE11</f>
        <v>2384000</v>
      </c>
      <c r="AG11" s="23"/>
      <c r="AH11" s="23">
        <f>AB11*1.5%</f>
        <v>447000</v>
      </c>
      <c r="AI11" s="23"/>
      <c r="AJ11" s="23">
        <f>AG11+AH11+AI11</f>
        <v>447000</v>
      </c>
      <c r="AK11" s="23">
        <v>11000000</v>
      </c>
      <c r="AL11" s="23">
        <v>3</v>
      </c>
      <c r="AM11" s="23">
        <f>AL11*4400000</f>
        <v>13200000</v>
      </c>
      <c r="AN11" s="23">
        <f>M11</f>
        <v>0</v>
      </c>
      <c r="AO11" s="23">
        <f>AA11-AN11</f>
        <v>0</v>
      </c>
      <c r="AP11" s="23"/>
      <c r="AQ11" s="23"/>
      <c r="AR11" s="23"/>
      <c r="AS11" s="23"/>
      <c r="AT11" s="23">
        <f>(AA11-AK11-AM11-AN11-AJ11)</f>
        <v>-24647000</v>
      </c>
      <c r="AU11" s="23">
        <f>ROUND(IF(AT11&lt;=5000000,AT11*5%,IF(AND(AT11&gt;5000000,AT11&lt;=10000000),AT11*10%-250000,IF(AND(AT11&gt;10000000,AT11&lt;=18000000),AT11*15%-750000,IF(AND(AT11&gt;18000000,AT11&lt;=32000000),AT11*20%-1650000,IF(AND(AT11&gt;32000000,AT11&lt;=52000000),AT11*25%-3250000,IF(AND(AT11&gt;52000000,AT11&lt;80000000),AT11*30%-5850000,IF(AT11&gt;80000000,AT11*35%-9850000))))))),0)</f>
        <v>-1232350</v>
      </c>
      <c r="AV11" s="23"/>
      <c r="AW11" s="23">
        <f>AA11-AJ11-AU11</f>
        <v>785350</v>
      </c>
      <c r="AX11" s="27" t="e">
        <f>+AW11/E6</f>
        <v>#DIV/0!</v>
      </c>
      <c r="AY11" s="75"/>
      <c r="AZ11" s="27"/>
    </row>
    <row r="12" spans="1:52" ht="26.25" customHeight="1">
      <c r="A12" s="20">
        <v>1</v>
      </c>
      <c r="B12" s="20" t="s">
        <v>180</v>
      </c>
      <c r="C12" s="21" t="s">
        <v>174</v>
      </c>
      <c r="D12" s="22" t="s">
        <v>77</v>
      </c>
      <c r="E12" s="23">
        <f>_xlfn.IFNA(VLOOKUP(B12,Sheet1!$C$12:$AY$20,4,0),0)</f>
        <v>0</v>
      </c>
      <c r="F12" s="24">
        <f>_xlfn.IFNA(VLOOKUP(B12,Sheet1!$C$12:$AY$20,5,0),0)</f>
        <v>0</v>
      </c>
      <c r="G12" s="24">
        <f>_xlfn.IFNA(VLOOKUP(B12,Sheet1!$C$12:$AY$20,6,0),0)</f>
        <v>0</v>
      </c>
      <c r="H12" s="23">
        <f>_xlfn.IFNA(VLOOKUP(B12,Sheet1!$C$12:$AY$20,7,0),0)</f>
        <v>0</v>
      </c>
      <c r="I12" s="23">
        <f>_xlfn.IFNA(VLOOKUP(B12,Sheet1!$C$12:$AY$20,8,0),0)</f>
        <v>0</v>
      </c>
      <c r="J12" s="23">
        <f>_xlfn.IFNA(VLOOKUP(B12,Sheet1!$C$12:$AY$20,9,0),0)</f>
        <v>0</v>
      </c>
      <c r="K12" s="23">
        <f>J12*E6</f>
        <v>0</v>
      </c>
      <c r="L12" s="23">
        <f>_xlfn.IFNA(VLOOKUP(B12,Sheet1!$C$12:$AY$20,11,0),0)</f>
        <v>0</v>
      </c>
      <c r="M12" s="23">
        <f>_xlfn.IFNA(VLOOKUP(B12,Sheet1!$C$12:$AY$20,12,0),0)</f>
        <v>0</v>
      </c>
      <c r="N12" s="23">
        <f>_xlfn.IFNA(VLOOKUP(B12,Sheet1!$C$12:$AY$20,13,0),0)</f>
        <v>0</v>
      </c>
      <c r="O12" s="23">
        <f>_xlfn.IFNA(VLOOKUP(B12,Sheet1!$C$12:$AY$20,14,0),0)</f>
        <v>0</v>
      </c>
      <c r="P12" s="23">
        <f>_xlfn.IFNA(VLOOKUP(B12,Sheet1!$C$12:$AY$20,15,0),0)</f>
        <v>0</v>
      </c>
      <c r="Q12" s="23">
        <f>_xlfn.IFNA(VLOOKUP(B12,Sheet1!$C$12:$AY$20,16,0),0)</f>
        <v>0</v>
      </c>
      <c r="R12" s="23">
        <f>SUM(M12:Q12)</f>
        <v>0</v>
      </c>
      <c r="S12" s="23">
        <f>K12+L12</f>
        <v>0</v>
      </c>
      <c r="T12" s="23" t="e">
        <f>S12/E12</f>
        <v>#DIV/0!</v>
      </c>
      <c r="U12" s="25" t="e">
        <f>T12*E12</f>
        <v>#DIV/0!</v>
      </c>
      <c r="V12" s="25" t="e">
        <f>T12*F12*150%</f>
        <v>#DIV/0!</v>
      </c>
      <c r="W12" s="25" t="e">
        <f>T12*G12*195%</f>
        <v>#DIV/0!</v>
      </c>
      <c r="X12" s="25" t="e">
        <f>T12*H12*200%</f>
        <v>#DIV/0!</v>
      </c>
      <c r="Y12" s="25" t="e">
        <f>T12*I12*300%</f>
        <v>#DIV/0!</v>
      </c>
      <c r="Z12" s="25" t="e">
        <f>SUM(V12:Y12)</f>
        <v>#DIV/0!</v>
      </c>
      <c r="AA12" s="25" t="e">
        <f>R12+U12+Z12</f>
        <v>#DIV/0!</v>
      </c>
      <c r="AB12" s="25">
        <f>_xlfn.IFNA(VLOOKUP(B12,Sheet1!$C$12:$AY$20,27,0),0)</f>
        <v>0</v>
      </c>
      <c r="AC12" s="23">
        <f>_xlfn.IFNA(VLOOKUP(B12,Sheet1!$C$12:$AY$20,28,0),0)</f>
        <v>0</v>
      </c>
      <c r="AD12" s="23">
        <f>_xlfn.IFNA(VLOOKUP(B12,Sheet1!$C$12:$AY$20,29,0),0)</f>
        <v>0</v>
      </c>
      <c r="AE12" s="23"/>
      <c r="AF12" s="23">
        <f>AC12+AD12+AE12</f>
        <v>0</v>
      </c>
      <c r="AG12" s="23">
        <f>_xlfn.IFNA(VLOOKUP(B12,Sheet1!$C$12:$AY$20,32,0),0)</f>
        <v>0</v>
      </c>
      <c r="AH12" s="23">
        <f>_xlfn.IFNA(VLOOKUP(B12,Sheet1!$C$12:$AY$20,33,0),0)</f>
        <v>0</v>
      </c>
      <c r="AI12" s="23"/>
      <c r="AJ12" s="23">
        <f>AG12+AH12+AI12</f>
        <v>0</v>
      </c>
      <c r="AK12" s="23">
        <v>11000000</v>
      </c>
      <c r="AL12" s="23">
        <f>_xlfn.IFNA(VLOOKUP(B12,Sheet1!$C$12:$AY$20,37,0),0)</f>
        <v>0</v>
      </c>
      <c r="AM12" s="23">
        <f>+AL12*4400000</f>
        <v>0</v>
      </c>
      <c r="AN12" s="23"/>
      <c r="AO12" s="23" t="e">
        <f>AA12-AN12</f>
        <v>#DIV/0!</v>
      </c>
      <c r="AP12" s="23">
        <f>_xlfn.IFNA(VLOOKUP(B12,Sheet1!$C$13:$AZ$23,41,0),0)</f>
        <v>0</v>
      </c>
      <c r="AQ12" s="23">
        <f>_xlfn.IFNA(VLOOKUP(B12,Sheet1!$C$13:$AZ$23,42,0),0)</f>
        <v>0</v>
      </c>
      <c r="AR12" s="23">
        <f>_xlfn.IFNA(VLOOKUP(B12,Sheet1!$C$13:$AZ$23,43,0),0)</f>
        <v>0</v>
      </c>
      <c r="AS12" s="23" t="e">
        <f>AO12+AP12+AR12+AQ12</f>
        <v>#DIV/0!</v>
      </c>
      <c r="AT12" s="23" t="e">
        <f>(AS12-AK12-AM12-AJ12)</f>
        <v>#DIV/0!</v>
      </c>
      <c r="AU12" s="26" t="e">
        <f>ROUND(IF(AT12&lt;=5000000,AT12*5%,IF(AND(AT12&gt;5000000,AT12&lt;=10000000),AT12*10%-250000,IF(AND(AT12&gt;10000000,AT12&lt;=18000000),AT12*15%-750000,IF(AND(AT12&gt;18000000,AT12&lt;=32000000),AT12*20%-1650000,IF(AND(AT12&gt;32000000,AT12&lt;=52000000),AT12*25%-3250000,IF(AND(AT12&gt;52000000,AT12&lt;80000000),AT12*30%-5850000,IF(AT12&gt;80000000,AT12*35%-9850000))))))),0)</f>
        <v>#DIV/0!</v>
      </c>
      <c r="AV12" s="26">
        <v>0</v>
      </c>
      <c r="AW12" s="23" t="e">
        <f>AA12-AJ12-AU12-AV12</f>
        <v>#DIV/0!</v>
      </c>
      <c r="AX12" s="27" t="e">
        <f>AW12/E6</f>
        <v>#DIV/0!</v>
      </c>
      <c r="AY12" s="76">
        <f>_xlfn.IFNA(VLOOKUP(B12,Sheet1!$C$13:$AZ$22,50,0),0)</f>
        <v>0</v>
      </c>
      <c r="AZ12" s="27"/>
    </row>
    <row r="13" spans="1:52">
      <c r="A13" s="2"/>
      <c r="B13" s="2"/>
      <c r="C13" s="2"/>
      <c r="D13" s="2"/>
      <c r="E13" s="3"/>
      <c r="F13" s="3"/>
      <c r="G13" s="3"/>
      <c r="H13" s="3"/>
      <c r="I13" s="3"/>
      <c r="J13" s="3"/>
      <c r="K13" s="4"/>
      <c r="L13" s="2"/>
      <c r="M13" s="2"/>
      <c r="N13" s="2"/>
      <c r="O13" s="2"/>
      <c r="P13" s="2"/>
      <c r="Q13" s="2"/>
      <c r="R13" s="2"/>
      <c r="S13" s="2"/>
      <c r="T13" s="2"/>
      <c r="U13" s="5"/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6"/>
      <c r="AN13" s="6"/>
      <c r="AO13" s="7"/>
      <c r="AP13" s="7"/>
      <c r="AQ13" s="7"/>
      <c r="AR13" s="7"/>
      <c r="AS13" s="7"/>
      <c r="AT13" s="2"/>
      <c r="AU13" s="2"/>
      <c r="AV13" s="2"/>
      <c r="AW13" s="2"/>
      <c r="AX13" s="49"/>
      <c r="AY13" s="68"/>
      <c r="AZ13" s="2"/>
    </row>
  </sheetData>
  <mergeCells count="25">
    <mergeCell ref="AY8:AY9"/>
    <mergeCell ref="AZ8:AZ9"/>
    <mergeCell ref="AV9:AV10"/>
    <mergeCell ref="V8:Z8"/>
    <mergeCell ref="AA8:AA9"/>
    <mergeCell ref="AB8:AF8"/>
    <mergeCell ref="AG8:AJ8"/>
    <mergeCell ref="AK8:AU8"/>
    <mergeCell ref="AW8:AX8"/>
    <mergeCell ref="K8:K9"/>
    <mergeCell ref="L8:Q8"/>
    <mergeCell ref="R8:R9"/>
    <mergeCell ref="S8:S9"/>
    <mergeCell ref="T8:T9"/>
    <mergeCell ref="U8:U9"/>
    <mergeCell ref="A3:AZ3"/>
    <mergeCell ref="A4:AZ4"/>
    <mergeCell ref="A6:C6"/>
    <mergeCell ref="A8:A9"/>
    <mergeCell ref="B8:B9"/>
    <mergeCell ref="C8:C9"/>
    <mergeCell ref="D8:D9"/>
    <mergeCell ref="E8:E9"/>
    <mergeCell ref="F8:I8"/>
    <mergeCell ref="J8:J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1EF4-0CBE-4DFA-8132-8EDCDDD75494}">
  <dimension ref="A1:AZ13"/>
  <sheetViews>
    <sheetView workbookViewId="0">
      <selection activeCell="B12" sqref="B12"/>
    </sheetView>
  </sheetViews>
  <sheetFormatPr defaultRowHeight="15"/>
  <cols>
    <col min="3" max="3" width="17.85546875" customWidth="1"/>
    <col min="4" max="4" width="11.85546875" customWidth="1"/>
    <col min="5" max="5" width="10.5703125" customWidth="1"/>
    <col min="6" max="9" width="9.140625" hidden="1" customWidth="1"/>
    <col min="10" max="11" width="10.5703125" customWidth="1"/>
    <col min="12" max="19" width="9.140625" hidden="1" customWidth="1"/>
    <col min="20" max="20" width="10.5703125" customWidth="1"/>
    <col min="21" max="26" width="9.140625" hidden="1" customWidth="1"/>
    <col min="27" max="50" width="10.5703125" customWidth="1"/>
    <col min="51" max="51" width="10.5703125" style="77" customWidth="1"/>
  </cols>
  <sheetData>
    <row r="1" spans="1:52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5"/>
      <c r="V1" s="5"/>
      <c r="W1" s="5"/>
      <c r="X1" s="5"/>
      <c r="Y1" s="5"/>
      <c r="Z1" s="5"/>
      <c r="AA1" s="5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6"/>
      <c r="AN1" s="6"/>
      <c r="AO1" s="7"/>
      <c r="AP1" s="7"/>
      <c r="AQ1" s="7"/>
      <c r="AR1" s="7"/>
      <c r="AS1" s="7"/>
      <c r="AT1" s="2"/>
      <c r="AU1" s="2"/>
      <c r="AV1" s="2"/>
      <c r="AW1" s="2"/>
      <c r="AX1" s="2"/>
      <c r="AY1" s="68"/>
      <c r="AZ1" s="2"/>
    </row>
    <row r="2" spans="1:52">
      <c r="A2" s="1" t="s">
        <v>1</v>
      </c>
      <c r="B2" s="1"/>
      <c r="C2" s="2"/>
      <c r="D2" s="2"/>
      <c r="E2" s="3"/>
      <c r="F2" s="3"/>
      <c r="G2" s="3"/>
      <c r="H2" s="3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5"/>
      <c r="V2" s="5"/>
      <c r="W2" s="5"/>
      <c r="X2" s="5"/>
      <c r="Y2" s="5"/>
      <c r="Z2" s="5"/>
      <c r="AA2" s="5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6"/>
      <c r="AN2" s="6"/>
      <c r="AO2" s="7"/>
      <c r="AP2" s="7"/>
      <c r="AQ2" s="7"/>
      <c r="AR2" s="7"/>
      <c r="AS2" s="7"/>
      <c r="AT2" s="2"/>
      <c r="AU2" s="2"/>
      <c r="AV2" s="2"/>
      <c r="AW2" s="2"/>
      <c r="AX2" s="2"/>
      <c r="AY2" s="68"/>
      <c r="AZ2" s="2"/>
    </row>
    <row r="3" spans="1:52" ht="22.5">
      <c r="A3" s="62" t="str">
        <f>Sheet1!B3</f>
        <v>PAYROLL JANUARY 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</row>
    <row r="4" spans="1:52">
      <c r="A4" s="56" t="str">
        <f>Sheet1!B4</f>
        <v>From 1st - 31 January 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</row>
    <row r="5" spans="1:52">
      <c r="A5" s="35"/>
      <c r="B5" s="35"/>
      <c r="C5" s="36"/>
      <c r="D5" s="36"/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69"/>
      <c r="AZ5" s="35"/>
    </row>
    <row r="6" spans="1:52">
      <c r="A6" s="66" t="str">
        <f>Sheet1!B5</f>
        <v>Tỷ giá Vietinbank: 00/01/1900</v>
      </c>
      <c r="B6" s="66"/>
      <c r="C6" s="66"/>
      <c r="D6" s="28">
        <f>Sheet1!E5</f>
        <v>25160</v>
      </c>
      <c r="E6" s="29">
        <f>Sheet1!F5</f>
        <v>0</v>
      </c>
      <c r="F6" s="37"/>
      <c r="G6" s="37"/>
      <c r="H6" s="37"/>
      <c r="I6" s="37"/>
      <c r="J6" s="37"/>
      <c r="K6" s="38"/>
      <c r="L6" s="39"/>
      <c r="M6" s="39"/>
      <c r="N6" s="39"/>
      <c r="O6" s="39"/>
      <c r="P6" s="39"/>
      <c r="Q6" s="39"/>
      <c r="R6" s="39"/>
      <c r="S6" s="39"/>
      <c r="T6" s="39"/>
      <c r="U6" s="40"/>
      <c r="V6" s="40"/>
      <c r="W6" s="40"/>
      <c r="X6" s="40"/>
      <c r="Y6" s="40"/>
      <c r="Z6" s="40"/>
      <c r="AA6" s="40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41"/>
      <c r="AP6" s="41"/>
      <c r="AQ6" s="41"/>
      <c r="AR6" s="41"/>
      <c r="AS6" s="41"/>
      <c r="AT6" s="39"/>
      <c r="AU6" s="39"/>
      <c r="AV6" s="39"/>
      <c r="AW6" s="39"/>
      <c r="AX6" s="42"/>
      <c r="AY6" s="70"/>
      <c r="AZ6" s="39"/>
    </row>
    <row r="7" spans="1:52">
      <c r="A7" s="43"/>
      <c r="B7" s="43"/>
      <c r="C7" s="43"/>
      <c r="D7" s="43"/>
      <c r="E7" s="44"/>
      <c r="F7" s="44"/>
      <c r="G7" s="44"/>
      <c r="H7" s="44"/>
      <c r="I7" s="44"/>
      <c r="J7" s="44"/>
      <c r="K7" s="45"/>
      <c r="L7" s="43"/>
      <c r="M7" s="43"/>
      <c r="N7" s="43"/>
      <c r="O7" s="43"/>
      <c r="P7" s="43"/>
      <c r="Q7" s="43"/>
      <c r="R7" s="43"/>
      <c r="S7" s="43"/>
      <c r="T7" s="43"/>
      <c r="U7" s="46"/>
      <c r="V7" s="46"/>
      <c r="W7" s="46"/>
      <c r="X7" s="46"/>
      <c r="Y7" s="46"/>
      <c r="Z7" s="46"/>
      <c r="AA7" s="46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7"/>
      <c r="AP7" s="47"/>
      <c r="AQ7" s="47"/>
      <c r="AR7" s="47"/>
      <c r="AS7" s="47"/>
      <c r="AT7" s="43"/>
      <c r="AU7" s="43"/>
      <c r="AV7" s="43"/>
      <c r="AW7" s="48"/>
      <c r="AX7" s="48"/>
      <c r="AY7" s="71"/>
      <c r="AZ7" s="48"/>
    </row>
    <row r="8" spans="1:52">
      <c r="A8" s="61" t="s">
        <v>2</v>
      </c>
      <c r="B8" s="51" t="s">
        <v>172</v>
      </c>
      <c r="C8" s="61" t="s">
        <v>3</v>
      </c>
      <c r="D8" s="61" t="s">
        <v>4</v>
      </c>
      <c r="E8" s="63" t="s">
        <v>5</v>
      </c>
      <c r="F8" s="65" t="s">
        <v>6</v>
      </c>
      <c r="G8" s="65"/>
      <c r="H8" s="65"/>
      <c r="I8" s="65"/>
      <c r="J8" s="51" t="s">
        <v>7</v>
      </c>
      <c r="K8" s="51" t="s">
        <v>8</v>
      </c>
      <c r="L8" s="58" t="s">
        <v>9</v>
      </c>
      <c r="M8" s="59"/>
      <c r="N8" s="59"/>
      <c r="O8" s="59"/>
      <c r="P8" s="59"/>
      <c r="Q8" s="60"/>
      <c r="R8" s="51" t="s">
        <v>10</v>
      </c>
      <c r="S8" s="61" t="s">
        <v>11</v>
      </c>
      <c r="T8" s="51" t="s">
        <v>12</v>
      </c>
      <c r="U8" s="61" t="s">
        <v>13</v>
      </c>
      <c r="V8" s="58" t="s">
        <v>14</v>
      </c>
      <c r="W8" s="59"/>
      <c r="X8" s="59"/>
      <c r="Y8" s="59"/>
      <c r="Z8" s="60"/>
      <c r="AA8" s="61" t="s">
        <v>15</v>
      </c>
      <c r="AB8" s="57" t="s">
        <v>16</v>
      </c>
      <c r="AC8" s="57"/>
      <c r="AD8" s="57"/>
      <c r="AE8" s="57"/>
      <c r="AF8" s="57"/>
      <c r="AG8" s="57" t="s">
        <v>17</v>
      </c>
      <c r="AH8" s="57"/>
      <c r="AI8" s="57"/>
      <c r="AJ8" s="57"/>
      <c r="AK8" s="58" t="s">
        <v>18</v>
      </c>
      <c r="AL8" s="59"/>
      <c r="AM8" s="59"/>
      <c r="AN8" s="59"/>
      <c r="AO8" s="59"/>
      <c r="AP8" s="59"/>
      <c r="AQ8" s="59"/>
      <c r="AR8" s="59"/>
      <c r="AS8" s="59"/>
      <c r="AT8" s="59"/>
      <c r="AU8" s="60"/>
      <c r="AV8" s="10"/>
      <c r="AW8" s="58" t="s">
        <v>19</v>
      </c>
      <c r="AX8" s="60"/>
      <c r="AY8" s="72" t="s">
        <v>20</v>
      </c>
      <c r="AZ8" s="61" t="s">
        <v>21</v>
      </c>
    </row>
    <row r="9" spans="1:52" ht="84">
      <c r="A9" s="61"/>
      <c r="B9" s="52"/>
      <c r="C9" s="61"/>
      <c r="D9" s="61"/>
      <c r="E9" s="64"/>
      <c r="F9" s="11" t="s">
        <v>22</v>
      </c>
      <c r="G9" s="11" t="s">
        <v>23</v>
      </c>
      <c r="H9" s="11" t="s">
        <v>24</v>
      </c>
      <c r="I9" s="11" t="s">
        <v>25</v>
      </c>
      <c r="J9" s="52"/>
      <c r="K9" s="52"/>
      <c r="L9" s="8" t="s">
        <v>26</v>
      </c>
      <c r="M9" s="8" t="s">
        <v>27</v>
      </c>
      <c r="N9" s="8" t="s">
        <v>28</v>
      </c>
      <c r="O9" s="8" t="s">
        <v>29</v>
      </c>
      <c r="P9" s="8" t="s">
        <v>30</v>
      </c>
      <c r="Q9" s="8" t="s">
        <v>31</v>
      </c>
      <c r="R9" s="52"/>
      <c r="S9" s="61"/>
      <c r="T9" s="52"/>
      <c r="U9" s="61"/>
      <c r="V9" s="12" t="s">
        <v>32</v>
      </c>
      <c r="W9" s="12" t="s">
        <v>23</v>
      </c>
      <c r="X9" s="12" t="s">
        <v>24</v>
      </c>
      <c r="Y9" s="12" t="s">
        <v>25</v>
      </c>
      <c r="Z9" s="8" t="s">
        <v>33</v>
      </c>
      <c r="AA9" s="61"/>
      <c r="AB9" s="8" t="s">
        <v>34</v>
      </c>
      <c r="AC9" s="8" t="s">
        <v>35</v>
      </c>
      <c r="AD9" s="8" t="s">
        <v>36</v>
      </c>
      <c r="AE9" s="8" t="s">
        <v>37</v>
      </c>
      <c r="AF9" s="13" t="s">
        <v>38</v>
      </c>
      <c r="AG9" s="13" t="s">
        <v>39</v>
      </c>
      <c r="AH9" s="13" t="s">
        <v>40</v>
      </c>
      <c r="AI9" s="13" t="s">
        <v>37</v>
      </c>
      <c r="AJ9" s="13" t="s">
        <v>41</v>
      </c>
      <c r="AK9" s="8" t="s">
        <v>42</v>
      </c>
      <c r="AL9" s="8" t="s">
        <v>43</v>
      </c>
      <c r="AM9" s="8" t="s">
        <v>44</v>
      </c>
      <c r="AN9" s="8" t="s">
        <v>45</v>
      </c>
      <c r="AO9" s="9" t="s">
        <v>46</v>
      </c>
      <c r="AP9" s="9" t="s">
        <v>47</v>
      </c>
      <c r="AQ9" s="9" t="s">
        <v>193</v>
      </c>
      <c r="AR9" s="9" t="s">
        <v>190</v>
      </c>
      <c r="AS9" s="9" t="s">
        <v>192</v>
      </c>
      <c r="AT9" s="14" t="s">
        <v>48</v>
      </c>
      <c r="AU9" s="8" t="s">
        <v>49</v>
      </c>
      <c r="AV9" s="51" t="s">
        <v>50</v>
      </c>
      <c r="AW9" s="8" t="s">
        <v>51</v>
      </c>
      <c r="AX9" s="8" t="s">
        <v>52</v>
      </c>
      <c r="AY9" s="73"/>
      <c r="AZ9" s="61"/>
    </row>
    <row r="10" spans="1:52" ht="36" hidden="1">
      <c r="A10" s="15">
        <v>-1</v>
      </c>
      <c r="B10" s="15"/>
      <c r="C10" s="15">
        <v>-2</v>
      </c>
      <c r="D10" s="15">
        <v>-3</v>
      </c>
      <c r="E10" s="15">
        <v>-4</v>
      </c>
      <c r="F10" s="15">
        <v>-5</v>
      </c>
      <c r="G10" s="15" t="s">
        <v>53</v>
      </c>
      <c r="H10" s="15">
        <v>-6</v>
      </c>
      <c r="I10" s="15">
        <v>-7</v>
      </c>
      <c r="J10" s="15"/>
      <c r="K10" s="15">
        <v>-8</v>
      </c>
      <c r="L10" s="15">
        <v>-9</v>
      </c>
      <c r="M10" s="15">
        <v>-10</v>
      </c>
      <c r="N10" s="15">
        <v>-11</v>
      </c>
      <c r="O10" s="15" t="s">
        <v>54</v>
      </c>
      <c r="P10" s="15" t="s">
        <v>55</v>
      </c>
      <c r="Q10" s="15">
        <v>-12</v>
      </c>
      <c r="R10" s="15" t="s">
        <v>56</v>
      </c>
      <c r="S10" s="15" t="s">
        <v>57</v>
      </c>
      <c r="T10" s="15" t="s">
        <v>58</v>
      </c>
      <c r="U10" s="16" t="s">
        <v>59</v>
      </c>
      <c r="V10" s="16" t="s">
        <v>60</v>
      </c>
      <c r="W10" s="16" t="s">
        <v>61</v>
      </c>
      <c r="X10" s="16" t="s">
        <v>62</v>
      </c>
      <c r="Y10" s="16" t="s">
        <v>63</v>
      </c>
      <c r="Z10" s="16" t="s">
        <v>64</v>
      </c>
      <c r="AA10" s="16" t="s">
        <v>65</v>
      </c>
      <c r="AB10" s="15" t="s">
        <v>66</v>
      </c>
      <c r="AC10" s="15" t="s">
        <v>67</v>
      </c>
      <c r="AD10" s="15" t="s">
        <v>68</v>
      </c>
      <c r="AE10" s="15">
        <v>25</v>
      </c>
      <c r="AF10" s="17" t="s">
        <v>69</v>
      </c>
      <c r="AG10" s="17">
        <v>27</v>
      </c>
      <c r="AH10" s="17" t="s">
        <v>70</v>
      </c>
      <c r="AI10" s="17">
        <v>29</v>
      </c>
      <c r="AJ10" s="17" t="s">
        <v>71</v>
      </c>
      <c r="AK10" s="15">
        <v>-31</v>
      </c>
      <c r="AL10" s="15" t="s">
        <v>72</v>
      </c>
      <c r="AM10" s="15" t="s">
        <v>73</v>
      </c>
      <c r="AN10" s="15">
        <v>-33</v>
      </c>
      <c r="AO10" s="15" t="s">
        <v>74</v>
      </c>
      <c r="AP10" s="15"/>
      <c r="AQ10" s="15"/>
      <c r="AR10" s="15"/>
      <c r="AS10" s="15"/>
      <c r="AT10" s="18" t="s">
        <v>75</v>
      </c>
      <c r="AU10" s="15">
        <v>-36</v>
      </c>
      <c r="AV10" s="52"/>
      <c r="AW10" s="15">
        <v>-37</v>
      </c>
      <c r="AX10" s="15">
        <v>-38</v>
      </c>
      <c r="AY10" s="74">
        <v>-39</v>
      </c>
      <c r="AZ10" s="15">
        <v>-40</v>
      </c>
    </row>
    <row r="11" spans="1:52" hidden="1">
      <c r="A11" s="20">
        <v>1</v>
      </c>
      <c r="B11" s="20"/>
      <c r="C11" s="21" t="s">
        <v>76</v>
      </c>
      <c r="D11" s="22" t="s">
        <v>171</v>
      </c>
      <c r="E11" s="23">
        <v>208</v>
      </c>
      <c r="F11" s="24"/>
      <c r="G11" s="24"/>
      <c r="H11" s="23"/>
      <c r="I11" s="23"/>
      <c r="J11" s="23"/>
      <c r="K11" s="23">
        <f>2500*E6</f>
        <v>0</v>
      </c>
      <c r="L11" s="23"/>
      <c r="M11" s="23"/>
      <c r="N11" s="23"/>
      <c r="O11" s="23"/>
      <c r="P11" s="23"/>
      <c r="Q11" s="23"/>
      <c r="R11" s="23">
        <f>SUM(M11:Q11)</f>
        <v>0</v>
      </c>
      <c r="S11" s="23">
        <f>K11+L11</f>
        <v>0</v>
      </c>
      <c r="T11" s="23">
        <f>S11/E11</f>
        <v>0</v>
      </c>
      <c r="U11" s="25">
        <f>T11*E11</f>
        <v>0</v>
      </c>
      <c r="V11" s="25">
        <f>T11*F11*150%</f>
        <v>0</v>
      </c>
      <c r="W11" s="25"/>
      <c r="X11" s="25">
        <f>T11*H11*200%</f>
        <v>0</v>
      </c>
      <c r="Y11" s="25">
        <f>T11*I11*300%</f>
        <v>0</v>
      </c>
      <c r="Z11" s="25">
        <f>SUM(V11:Y11)</f>
        <v>0</v>
      </c>
      <c r="AA11" s="25">
        <f>R11+U11+Z11</f>
        <v>0</v>
      </c>
      <c r="AB11" s="23">
        <v>29800000</v>
      </c>
      <c r="AC11" s="23">
        <f>AB11*5%</f>
        <v>1490000</v>
      </c>
      <c r="AD11" s="23">
        <f>AB11*3%</f>
        <v>894000</v>
      </c>
      <c r="AE11" s="23"/>
      <c r="AF11" s="23">
        <f>AC11+AD11+AE11</f>
        <v>2384000</v>
      </c>
      <c r="AG11" s="23"/>
      <c r="AH11" s="23">
        <f>AB11*1.5%</f>
        <v>447000</v>
      </c>
      <c r="AI11" s="23"/>
      <c r="AJ11" s="23">
        <f>AG11+AH11+AI11</f>
        <v>447000</v>
      </c>
      <c r="AK11" s="23">
        <v>11000000</v>
      </c>
      <c r="AL11" s="23">
        <v>3</v>
      </c>
      <c r="AM11" s="23">
        <f>AL11*4400000</f>
        <v>13200000</v>
      </c>
      <c r="AN11" s="23">
        <f>M11</f>
        <v>0</v>
      </c>
      <c r="AO11" s="23">
        <f>AA11-AN11</f>
        <v>0</v>
      </c>
      <c r="AP11" s="23"/>
      <c r="AQ11" s="23"/>
      <c r="AR11" s="23"/>
      <c r="AS11" s="23"/>
      <c r="AT11" s="23">
        <f>(AA11-AK11-AM11-AN11-AJ11)</f>
        <v>-24647000</v>
      </c>
      <c r="AU11" s="23">
        <f>ROUND(IF(AT11&lt;=5000000,AT11*5%,IF(AND(AT11&gt;5000000,AT11&lt;=10000000),AT11*10%-250000,IF(AND(AT11&gt;10000000,AT11&lt;=18000000),AT11*15%-750000,IF(AND(AT11&gt;18000000,AT11&lt;=32000000),AT11*20%-1650000,IF(AND(AT11&gt;32000000,AT11&lt;=52000000),AT11*25%-3250000,IF(AND(AT11&gt;52000000,AT11&lt;80000000),AT11*30%-5850000,IF(AT11&gt;80000000,AT11*35%-9850000))))))),0)</f>
        <v>-1232350</v>
      </c>
      <c r="AV11" s="23"/>
      <c r="AW11" s="23">
        <f>AA11-AJ11-AU11</f>
        <v>785350</v>
      </c>
      <c r="AX11" s="27" t="e">
        <f>+AW11/E6</f>
        <v>#DIV/0!</v>
      </c>
      <c r="AY11" s="75"/>
      <c r="AZ11" s="27"/>
    </row>
    <row r="12" spans="1:52" ht="26.25" customHeight="1">
      <c r="A12" s="20">
        <v>1</v>
      </c>
      <c r="B12" s="20" t="s">
        <v>181</v>
      </c>
      <c r="C12" s="21" t="s">
        <v>175</v>
      </c>
      <c r="D12" s="22" t="s">
        <v>77</v>
      </c>
      <c r="E12" s="23">
        <f>_xlfn.IFNA(VLOOKUP(B12,Sheet1!$C$12:$AY$20,4,0),0)</f>
        <v>0</v>
      </c>
      <c r="F12" s="24">
        <f>_xlfn.IFNA(VLOOKUP(B12,Sheet1!$C$12:$AY$20,5,0),0)</f>
        <v>0</v>
      </c>
      <c r="G12" s="24">
        <f>_xlfn.IFNA(VLOOKUP(B12,Sheet1!$C$12:$AY$20,6,0),0)</f>
        <v>0</v>
      </c>
      <c r="H12" s="23">
        <f>_xlfn.IFNA(VLOOKUP(B12,Sheet1!$C$12:$AY$20,7,0),0)</f>
        <v>0</v>
      </c>
      <c r="I12" s="23">
        <f>_xlfn.IFNA(VLOOKUP(B12,Sheet1!$C$12:$AY$20,8,0),0)</f>
        <v>0</v>
      </c>
      <c r="J12" s="23">
        <f>_xlfn.IFNA(VLOOKUP(B12,Sheet1!$C$12:$AY$20,9,0),0)</f>
        <v>0</v>
      </c>
      <c r="K12" s="23">
        <f>J12*E6</f>
        <v>0</v>
      </c>
      <c r="L12" s="23">
        <f>_xlfn.IFNA(VLOOKUP(B12,Sheet1!$C$12:$AY$20,11,0),0)</f>
        <v>0</v>
      </c>
      <c r="M12" s="23">
        <f>_xlfn.IFNA(VLOOKUP(B12,Sheet1!$C$12:$AY$20,12,0),0)</f>
        <v>0</v>
      </c>
      <c r="N12" s="23">
        <f>_xlfn.IFNA(VLOOKUP(B12,Sheet1!$C$12:$AY$20,13,0),0)</f>
        <v>0</v>
      </c>
      <c r="O12" s="23">
        <f>_xlfn.IFNA(VLOOKUP(B12,Sheet1!$C$12:$AY$20,14,0),0)</f>
        <v>0</v>
      </c>
      <c r="P12" s="23">
        <f>_xlfn.IFNA(VLOOKUP(B12,Sheet1!$C$12:$AY$20,15,0),0)</f>
        <v>0</v>
      </c>
      <c r="Q12" s="23">
        <f>_xlfn.IFNA(VLOOKUP(B12,Sheet1!$C$12:$AY$20,16,0),0)</f>
        <v>0</v>
      </c>
      <c r="R12" s="23">
        <f>SUM(M12:Q12)</f>
        <v>0</v>
      </c>
      <c r="S12" s="23">
        <f>K12+L12</f>
        <v>0</v>
      </c>
      <c r="T12" s="23" t="e">
        <f>S12/E12</f>
        <v>#DIV/0!</v>
      </c>
      <c r="U12" s="25" t="e">
        <f>T12*E12</f>
        <v>#DIV/0!</v>
      </c>
      <c r="V12" s="25" t="e">
        <f>T12*F12*150%</f>
        <v>#DIV/0!</v>
      </c>
      <c r="W12" s="25" t="e">
        <f>T12*G12*195%</f>
        <v>#DIV/0!</v>
      </c>
      <c r="X12" s="25" t="e">
        <f>T12*H12*200%</f>
        <v>#DIV/0!</v>
      </c>
      <c r="Y12" s="25" t="e">
        <f>T12*I12*300%</f>
        <v>#DIV/0!</v>
      </c>
      <c r="Z12" s="25" t="e">
        <f>SUM(V12:Y12)</f>
        <v>#DIV/0!</v>
      </c>
      <c r="AA12" s="25" t="e">
        <f>R12+U12+Z12</f>
        <v>#DIV/0!</v>
      </c>
      <c r="AB12" s="25">
        <f>_xlfn.IFNA(VLOOKUP(B12,Sheet1!$C$12:$AY$20,27,0),0)</f>
        <v>0</v>
      </c>
      <c r="AC12" s="23">
        <f>_xlfn.IFNA(VLOOKUP(B12,Sheet1!$C$12:$AY$20,28,0),0)</f>
        <v>0</v>
      </c>
      <c r="AD12" s="23">
        <f>_xlfn.IFNA(VLOOKUP(B12,Sheet1!$C$12:$AY$20,29,0),0)</f>
        <v>0</v>
      </c>
      <c r="AE12" s="23"/>
      <c r="AF12" s="23">
        <f>AC12+AD12+AE12</f>
        <v>0</v>
      </c>
      <c r="AG12" s="23">
        <f>_xlfn.IFNA(VLOOKUP(B12,Sheet1!$C$12:$AY$20,32,0),0)</f>
        <v>0</v>
      </c>
      <c r="AH12" s="23">
        <f>_xlfn.IFNA(VLOOKUP(B12,Sheet1!$C$12:$AY$20,33,0),0)</f>
        <v>0</v>
      </c>
      <c r="AI12" s="23"/>
      <c r="AJ12" s="23">
        <f>AG12+AH12+AI12</f>
        <v>0</v>
      </c>
      <c r="AK12" s="23">
        <v>11000000</v>
      </c>
      <c r="AL12" s="23">
        <f>_xlfn.IFNA(VLOOKUP(B12,Sheet1!$C$12:$AY$20,37,0),0)</f>
        <v>0</v>
      </c>
      <c r="AM12" s="23">
        <f>+AL12*4400000</f>
        <v>0</v>
      </c>
      <c r="AN12" s="23"/>
      <c r="AO12" s="23" t="e">
        <f>AA12-AN12</f>
        <v>#DIV/0!</v>
      </c>
      <c r="AP12" s="23">
        <f>_xlfn.IFNA(VLOOKUP(B12,Sheet1!$C$13:$AZ$23,41,0),0)</f>
        <v>0</v>
      </c>
      <c r="AQ12" s="23">
        <f>_xlfn.IFNA(VLOOKUP(B12,Sheet1!$C$13:$AZ$23,42,0),0)</f>
        <v>0</v>
      </c>
      <c r="AR12" s="23">
        <f>_xlfn.IFNA(VLOOKUP(B12,Sheet1!$C$13:$AZ$23,43,0),0)</f>
        <v>0</v>
      </c>
      <c r="AS12" s="23" t="e">
        <f>AO12+AP12+AR12+AQ12</f>
        <v>#DIV/0!</v>
      </c>
      <c r="AT12" s="23" t="e">
        <f>(AS12-AK12-AM12-AJ12)</f>
        <v>#DIV/0!</v>
      </c>
      <c r="AU12" s="26" t="e">
        <f>ROUND(IF(AT12&lt;=5000000,AT12*5%,IF(AND(AT12&gt;5000000,AT12&lt;=10000000),AT12*10%-250000,IF(AND(AT12&gt;10000000,AT12&lt;=18000000),AT12*15%-750000,IF(AND(AT12&gt;18000000,AT12&lt;=32000000),AT12*20%-1650000,IF(AND(AT12&gt;32000000,AT12&lt;=52000000),AT12*25%-3250000,IF(AND(AT12&gt;52000000,AT12&lt;80000000),AT12*30%-5850000,IF(AT12&gt;80000000,AT12*35%-9850000))))))),0)</f>
        <v>#DIV/0!</v>
      </c>
      <c r="AV12" s="26">
        <v>0</v>
      </c>
      <c r="AW12" s="23" t="e">
        <f>AA12-AJ12-AU12-AV12</f>
        <v>#DIV/0!</v>
      </c>
      <c r="AX12" s="27" t="e">
        <f>AW12/E6</f>
        <v>#DIV/0!</v>
      </c>
      <c r="AY12" s="76">
        <f>_xlfn.IFNA(VLOOKUP(B12,Sheet1!$C$13:$AZ$22,50,0),0)</f>
        <v>0</v>
      </c>
      <c r="AZ12" s="27"/>
    </row>
    <row r="13" spans="1:52">
      <c r="A13" s="2"/>
      <c r="B13" s="2"/>
      <c r="C13" s="2"/>
      <c r="D13" s="2"/>
      <c r="E13" s="3"/>
      <c r="F13" s="3"/>
      <c r="G13" s="3"/>
      <c r="H13" s="3"/>
      <c r="I13" s="3"/>
      <c r="J13" s="3"/>
      <c r="K13" s="4"/>
      <c r="L13" s="2"/>
      <c r="M13" s="2"/>
      <c r="N13" s="2"/>
      <c r="O13" s="2"/>
      <c r="P13" s="2"/>
      <c r="Q13" s="2"/>
      <c r="R13" s="2"/>
      <c r="S13" s="2"/>
      <c r="T13" s="2"/>
      <c r="U13" s="5"/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6"/>
      <c r="AN13" s="6"/>
      <c r="AO13" s="7"/>
      <c r="AP13" s="7"/>
      <c r="AQ13" s="7"/>
      <c r="AR13" s="7"/>
      <c r="AS13" s="7"/>
      <c r="AT13" s="2"/>
      <c r="AU13" s="2"/>
      <c r="AV13" s="2"/>
      <c r="AW13" s="2"/>
      <c r="AX13" s="49"/>
      <c r="AY13" s="68"/>
      <c r="AZ13" s="2"/>
    </row>
  </sheetData>
  <mergeCells count="25">
    <mergeCell ref="AY8:AY9"/>
    <mergeCell ref="AZ8:AZ9"/>
    <mergeCell ref="AV9:AV10"/>
    <mergeCell ref="V8:Z8"/>
    <mergeCell ref="AA8:AA9"/>
    <mergeCell ref="AB8:AF8"/>
    <mergeCell ref="AG8:AJ8"/>
    <mergeCell ref="AK8:AU8"/>
    <mergeCell ref="AW8:AX8"/>
    <mergeCell ref="K8:K9"/>
    <mergeCell ref="L8:Q8"/>
    <mergeCell ref="R8:R9"/>
    <mergeCell ref="S8:S9"/>
    <mergeCell ref="T8:T9"/>
    <mergeCell ref="U8:U9"/>
    <mergeCell ref="A3:AZ3"/>
    <mergeCell ref="A4:AZ4"/>
    <mergeCell ref="A6:C6"/>
    <mergeCell ref="A8:A9"/>
    <mergeCell ref="B8:B9"/>
    <mergeCell ref="C8:C9"/>
    <mergeCell ref="D8:D9"/>
    <mergeCell ref="E8:E9"/>
    <mergeCell ref="F8:I8"/>
    <mergeCell ref="J8:J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6F93-E771-40E2-B926-4D934427434F}">
  <dimension ref="A1:AZ13"/>
  <sheetViews>
    <sheetView workbookViewId="0">
      <selection activeCell="B12" sqref="B12"/>
    </sheetView>
  </sheetViews>
  <sheetFormatPr defaultRowHeight="15"/>
  <cols>
    <col min="3" max="3" width="17.85546875" customWidth="1"/>
    <col min="4" max="4" width="11.85546875" customWidth="1"/>
    <col min="5" max="5" width="10.5703125" customWidth="1"/>
    <col min="6" max="9" width="9.140625" hidden="1" customWidth="1"/>
    <col min="10" max="11" width="10.5703125" customWidth="1"/>
    <col min="12" max="19" width="9.140625" hidden="1" customWidth="1"/>
    <col min="20" max="20" width="10.5703125" customWidth="1"/>
    <col min="21" max="26" width="9.140625" hidden="1" customWidth="1"/>
    <col min="27" max="50" width="10.5703125" customWidth="1"/>
    <col min="51" max="51" width="10.5703125" style="77" customWidth="1"/>
  </cols>
  <sheetData>
    <row r="1" spans="1:52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5"/>
      <c r="V1" s="5"/>
      <c r="W1" s="5"/>
      <c r="X1" s="5"/>
      <c r="Y1" s="5"/>
      <c r="Z1" s="5"/>
      <c r="AA1" s="5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6"/>
      <c r="AN1" s="6"/>
      <c r="AO1" s="7"/>
      <c r="AP1" s="7"/>
      <c r="AQ1" s="7"/>
      <c r="AR1" s="7"/>
      <c r="AS1" s="7"/>
      <c r="AT1" s="2"/>
      <c r="AU1" s="2"/>
      <c r="AV1" s="2"/>
      <c r="AW1" s="2"/>
      <c r="AX1" s="2"/>
      <c r="AY1" s="68"/>
      <c r="AZ1" s="2"/>
    </row>
    <row r="2" spans="1:52">
      <c r="A2" s="1" t="s">
        <v>1</v>
      </c>
      <c r="B2" s="1"/>
      <c r="C2" s="2"/>
      <c r="D2" s="2"/>
      <c r="E2" s="3"/>
      <c r="F2" s="3"/>
      <c r="G2" s="3"/>
      <c r="H2" s="3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5"/>
      <c r="V2" s="5"/>
      <c r="W2" s="5"/>
      <c r="X2" s="5"/>
      <c r="Y2" s="5"/>
      <c r="Z2" s="5"/>
      <c r="AA2" s="5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6"/>
      <c r="AN2" s="6"/>
      <c r="AO2" s="7"/>
      <c r="AP2" s="7"/>
      <c r="AQ2" s="7"/>
      <c r="AR2" s="7"/>
      <c r="AS2" s="7"/>
      <c r="AT2" s="2"/>
      <c r="AU2" s="2"/>
      <c r="AV2" s="2"/>
      <c r="AW2" s="2"/>
      <c r="AX2" s="2"/>
      <c r="AY2" s="68"/>
      <c r="AZ2" s="2"/>
    </row>
    <row r="3" spans="1:52" ht="22.5">
      <c r="A3" s="62" t="str">
        <f>Sheet1!B3</f>
        <v>PAYROLL JANUARY 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</row>
    <row r="4" spans="1:52">
      <c r="A4" s="56" t="str">
        <f>Sheet1!B4</f>
        <v>From 1st - 31 January 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</row>
    <row r="5" spans="1:52">
      <c r="A5" s="35"/>
      <c r="B5" s="35"/>
      <c r="C5" s="36"/>
      <c r="D5" s="36"/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69"/>
      <c r="AZ5" s="35"/>
    </row>
    <row r="6" spans="1:52">
      <c r="A6" s="66" t="str">
        <f>Sheet1!B5</f>
        <v>Tỷ giá Vietinbank: 00/01/1900</v>
      </c>
      <c r="B6" s="66"/>
      <c r="C6" s="66"/>
      <c r="D6" s="28">
        <f>Sheet1!E5</f>
        <v>25160</v>
      </c>
      <c r="E6" s="29">
        <f>Sheet1!F5</f>
        <v>0</v>
      </c>
      <c r="F6" s="37"/>
      <c r="G6" s="37"/>
      <c r="H6" s="37"/>
      <c r="I6" s="37"/>
      <c r="J6" s="37"/>
      <c r="K6" s="38"/>
      <c r="L6" s="39"/>
      <c r="M6" s="39"/>
      <c r="N6" s="39"/>
      <c r="O6" s="39"/>
      <c r="P6" s="39"/>
      <c r="Q6" s="39"/>
      <c r="R6" s="39"/>
      <c r="S6" s="39"/>
      <c r="T6" s="39"/>
      <c r="U6" s="40"/>
      <c r="V6" s="40"/>
      <c r="W6" s="40"/>
      <c r="X6" s="40"/>
      <c r="Y6" s="40"/>
      <c r="Z6" s="40"/>
      <c r="AA6" s="40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41"/>
      <c r="AP6" s="41"/>
      <c r="AQ6" s="41"/>
      <c r="AR6" s="41"/>
      <c r="AS6" s="41"/>
      <c r="AT6" s="39"/>
      <c r="AU6" s="39"/>
      <c r="AV6" s="39"/>
      <c r="AW6" s="39"/>
      <c r="AX6" s="42"/>
      <c r="AY6" s="70"/>
      <c r="AZ6" s="39"/>
    </row>
    <row r="7" spans="1:52">
      <c r="A7" s="43"/>
      <c r="B7" s="43"/>
      <c r="C7" s="43"/>
      <c r="D7" s="43"/>
      <c r="E7" s="44"/>
      <c r="F7" s="44"/>
      <c r="G7" s="44"/>
      <c r="H7" s="44"/>
      <c r="I7" s="44"/>
      <c r="J7" s="44"/>
      <c r="K7" s="45"/>
      <c r="L7" s="43"/>
      <c r="M7" s="43"/>
      <c r="N7" s="43"/>
      <c r="O7" s="43"/>
      <c r="P7" s="43"/>
      <c r="Q7" s="43"/>
      <c r="R7" s="43"/>
      <c r="S7" s="43"/>
      <c r="T7" s="43"/>
      <c r="U7" s="46"/>
      <c r="V7" s="46"/>
      <c r="W7" s="46"/>
      <c r="X7" s="46"/>
      <c r="Y7" s="46"/>
      <c r="Z7" s="46"/>
      <c r="AA7" s="46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7"/>
      <c r="AP7" s="47"/>
      <c r="AQ7" s="47"/>
      <c r="AR7" s="47"/>
      <c r="AS7" s="47"/>
      <c r="AT7" s="43"/>
      <c r="AU7" s="43"/>
      <c r="AV7" s="43"/>
      <c r="AW7" s="48"/>
      <c r="AX7" s="48"/>
      <c r="AY7" s="71"/>
      <c r="AZ7" s="48"/>
    </row>
    <row r="8" spans="1:52">
      <c r="A8" s="61" t="s">
        <v>2</v>
      </c>
      <c r="B8" s="51" t="s">
        <v>172</v>
      </c>
      <c r="C8" s="61" t="s">
        <v>3</v>
      </c>
      <c r="D8" s="61" t="s">
        <v>4</v>
      </c>
      <c r="E8" s="63" t="s">
        <v>5</v>
      </c>
      <c r="F8" s="65" t="s">
        <v>6</v>
      </c>
      <c r="G8" s="65"/>
      <c r="H8" s="65"/>
      <c r="I8" s="65"/>
      <c r="J8" s="51" t="s">
        <v>7</v>
      </c>
      <c r="K8" s="51" t="s">
        <v>8</v>
      </c>
      <c r="L8" s="58" t="s">
        <v>9</v>
      </c>
      <c r="M8" s="59"/>
      <c r="N8" s="59"/>
      <c r="O8" s="59"/>
      <c r="P8" s="59"/>
      <c r="Q8" s="60"/>
      <c r="R8" s="51" t="s">
        <v>10</v>
      </c>
      <c r="S8" s="61" t="s">
        <v>11</v>
      </c>
      <c r="T8" s="51" t="s">
        <v>12</v>
      </c>
      <c r="U8" s="61" t="s">
        <v>13</v>
      </c>
      <c r="V8" s="58" t="s">
        <v>14</v>
      </c>
      <c r="W8" s="59"/>
      <c r="X8" s="59"/>
      <c r="Y8" s="59"/>
      <c r="Z8" s="60"/>
      <c r="AA8" s="61" t="s">
        <v>15</v>
      </c>
      <c r="AB8" s="57" t="s">
        <v>16</v>
      </c>
      <c r="AC8" s="57"/>
      <c r="AD8" s="57"/>
      <c r="AE8" s="57"/>
      <c r="AF8" s="57"/>
      <c r="AG8" s="57" t="s">
        <v>17</v>
      </c>
      <c r="AH8" s="57"/>
      <c r="AI8" s="57"/>
      <c r="AJ8" s="57"/>
      <c r="AK8" s="58" t="s">
        <v>18</v>
      </c>
      <c r="AL8" s="59"/>
      <c r="AM8" s="59"/>
      <c r="AN8" s="59"/>
      <c r="AO8" s="59"/>
      <c r="AP8" s="59"/>
      <c r="AQ8" s="59"/>
      <c r="AR8" s="59"/>
      <c r="AS8" s="59"/>
      <c r="AT8" s="59"/>
      <c r="AU8" s="60"/>
      <c r="AV8" s="10"/>
      <c r="AW8" s="58" t="s">
        <v>19</v>
      </c>
      <c r="AX8" s="60"/>
      <c r="AY8" s="72" t="s">
        <v>20</v>
      </c>
      <c r="AZ8" s="61" t="s">
        <v>21</v>
      </c>
    </row>
    <row r="9" spans="1:52" ht="84">
      <c r="A9" s="61"/>
      <c r="B9" s="52"/>
      <c r="C9" s="61"/>
      <c r="D9" s="61"/>
      <c r="E9" s="64"/>
      <c r="F9" s="11" t="s">
        <v>22</v>
      </c>
      <c r="G9" s="11" t="s">
        <v>23</v>
      </c>
      <c r="H9" s="11" t="s">
        <v>24</v>
      </c>
      <c r="I9" s="11" t="s">
        <v>25</v>
      </c>
      <c r="J9" s="52"/>
      <c r="K9" s="52"/>
      <c r="L9" s="8" t="s">
        <v>26</v>
      </c>
      <c r="M9" s="8" t="s">
        <v>27</v>
      </c>
      <c r="N9" s="8" t="s">
        <v>28</v>
      </c>
      <c r="O9" s="8" t="s">
        <v>29</v>
      </c>
      <c r="P9" s="8" t="s">
        <v>30</v>
      </c>
      <c r="Q9" s="8" t="s">
        <v>31</v>
      </c>
      <c r="R9" s="52"/>
      <c r="S9" s="61"/>
      <c r="T9" s="52"/>
      <c r="U9" s="61"/>
      <c r="V9" s="12" t="s">
        <v>32</v>
      </c>
      <c r="W9" s="12" t="s">
        <v>23</v>
      </c>
      <c r="X9" s="12" t="s">
        <v>24</v>
      </c>
      <c r="Y9" s="12" t="s">
        <v>25</v>
      </c>
      <c r="Z9" s="8" t="s">
        <v>33</v>
      </c>
      <c r="AA9" s="61"/>
      <c r="AB9" s="8" t="s">
        <v>34</v>
      </c>
      <c r="AC9" s="8" t="s">
        <v>35</v>
      </c>
      <c r="AD9" s="8" t="s">
        <v>36</v>
      </c>
      <c r="AE9" s="8" t="s">
        <v>37</v>
      </c>
      <c r="AF9" s="13" t="s">
        <v>38</v>
      </c>
      <c r="AG9" s="13" t="s">
        <v>39</v>
      </c>
      <c r="AH9" s="13" t="s">
        <v>40</v>
      </c>
      <c r="AI9" s="13" t="s">
        <v>37</v>
      </c>
      <c r="AJ9" s="13" t="s">
        <v>41</v>
      </c>
      <c r="AK9" s="8" t="s">
        <v>42</v>
      </c>
      <c r="AL9" s="8" t="s">
        <v>43</v>
      </c>
      <c r="AM9" s="8" t="s">
        <v>44</v>
      </c>
      <c r="AN9" s="8" t="s">
        <v>45</v>
      </c>
      <c r="AO9" s="9" t="s">
        <v>46</v>
      </c>
      <c r="AP9" s="9" t="s">
        <v>47</v>
      </c>
      <c r="AQ9" s="9" t="s">
        <v>193</v>
      </c>
      <c r="AR9" s="9" t="s">
        <v>190</v>
      </c>
      <c r="AS9" s="9" t="s">
        <v>192</v>
      </c>
      <c r="AT9" s="14" t="s">
        <v>48</v>
      </c>
      <c r="AU9" s="8" t="s">
        <v>49</v>
      </c>
      <c r="AV9" s="51" t="s">
        <v>50</v>
      </c>
      <c r="AW9" s="8" t="s">
        <v>51</v>
      </c>
      <c r="AX9" s="8" t="s">
        <v>52</v>
      </c>
      <c r="AY9" s="73"/>
      <c r="AZ9" s="61"/>
    </row>
    <row r="10" spans="1:52" ht="36" hidden="1">
      <c r="A10" s="15">
        <v>-1</v>
      </c>
      <c r="B10" s="15"/>
      <c r="C10" s="15">
        <v>-2</v>
      </c>
      <c r="D10" s="15">
        <v>-3</v>
      </c>
      <c r="E10" s="15">
        <v>-4</v>
      </c>
      <c r="F10" s="15">
        <v>-5</v>
      </c>
      <c r="G10" s="15" t="s">
        <v>53</v>
      </c>
      <c r="H10" s="15">
        <v>-6</v>
      </c>
      <c r="I10" s="15">
        <v>-7</v>
      </c>
      <c r="J10" s="15"/>
      <c r="K10" s="15">
        <v>-8</v>
      </c>
      <c r="L10" s="15">
        <v>-9</v>
      </c>
      <c r="M10" s="15">
        <v>-10</v>
      </c>
      <c r="N10" s="15">
        <v>-11</v>
      </c>
      <c r="O10" s="15" t="s">
        <v>54</v>
      </c>
      <c r="P10" s="15" t="s">
        <v>55</v>
      </c>
      <c r="Q10" s="15">
        <v>-12</v>
      </c>
      <c r="R10" s="15" t="s">
        <v>56</v>
      </c>
      <c r="S10" s="15" t="s">
        <v>57</v>
      </c>
      <c r="T10" s="15" t="s">
        <v>58</v>
      </c>
      <c r="U10" s="16" t="s">
        <v>59</v>
      </c>
      <c r="V10" s="16" t="s">
        <v>60</v>
      </c>
      <c r="W10" s="16" t="s">
        <v>61</v>
      </c>
      <c r="X10" s="16" t="s">
        <v>62</v>
      </c>
      <c r="Y10" s="16" t="s">
        <v>63</v>
      </c>
      <c r="Z10" s="16" t="s">
        <v>64</v>
      </c>
      <c r="AA10" s="16" t="s">
        <v>65</v>
      </c>
      <c r="AB10" s="15" t="s">
        <v>66</v>
      </c>
      <c r="AC10" s="15" t="s">
        <v>67</v>
      </c>
      <c r="AD10" s="15" t="s">
        <v>68</v>
      </c>
      <c r="AE10" s="15">
        <v>25</v>
      </c>
      <c r="AF10" s="17" t="s">
        <v>69</v>
      </c>
      <c r="AG10" s="17">
        <v>27</v>
      </c>
      <c r="AH10" s="17" t="s">
        <v>70</v>
      </c>
      <c r="AI10" s="17">
        <v>29</v>
      </c>
      <c r="AJ10" s="17" t="s">
        <v>71</v>
      </c>
      <c r="AK10" s="15">
        <v>-31</v>
      </c>
      <c r="AL10" s="15" t="s">
        <v>72</v>
      </c>
      <c r="AM10" s="15" t="s">
        <v>73</v>
      </c>
      <c r="AN10" s="15">
        <v>-33</v>
      </c>
      <c r="AO10" s="15" t="s">
        <v>74</v>
      </c>
      <c r="AP10" s="15"/>
      <c r="AQ10" s="15"/>
      <c r="AR10" s="15"/>
      <c r="AS10" s="15"/>
      <c r="AT10" s="18" t="s">
        <v>75</v>
      </c>
      <c r="AU10" s="15">
        <v>-36</v>
      </c>
      <c r="AV10" s="52"/>
      <c r="AW10" s="15">
        <v>-37</v>
      </c>
      <c r="AX10" s="15">
        <v>-38</v>
      </c>
      <c r="AY10" s="74">
        <v>-39</v>
      </c>
      <c r="AZ10" s="15">
        <v>-40</v>
      </c>
    </row>
    <row r="11" spans="1:52" hidden="1">
      <c r="A11" s="20">
        <v>1</v>
      </c>
      <c r="B11" s="20"/>
      <c r="C11" s="21" t="s">
        <v>76</v>
      </c>
      <c r="D11" s="22" t="s">
        <v>171</v>
      </c>
      <c r="E11" s="23">
        <v>208</v>
      </c>
      <c r="F11" s="24"/>
      <c r="G11" s="24"/>
      <c r="H11" s="23"/>
      <c r="I11" s="23"/>
      <c r="J11" s="23"/>
      <c r="K11" s="23">
        <f>2500*E6</f>
        <v>0</v>
      </c>
      <c r="L11" s="23"/>
      <c r="M11" s="23"/>
      <c r="N11" s="23"/>
      <c r="O11" s="23"/>
      <c r="P11" s="23"/>
      <c r="Q11" s="23"/>
      <c r="R11" s="23">
        <f>SUM(M11:Q11)</f>
        <v>0</v>
      </c>
      <c r="S11" s="23">
        <f>K11+L11</f>
        <v>0</v>
      </c>
      <c r="T11" s="23">
        <f>S11/E11</f>
        <v>0</v>
      </c>
      <c r="U11" s="25">
        <f>T11*E11</f>
        <v>0</v>
      </c>
      <c r="V11" s="25">
        <f>T11*F11*150%</f>
        <v>0</v>
      </c>
      <c r="W11" s="25"/>
      <c r="X11" s="25">
        <f>T11*H11*200%</f>
        <v>0</v>
      </c>
      <c r="Y11" s="25">
        <f>T11*I11*300%</f>
        <v>0</v>
      </c>
      <c r="Z11" s="25">
        <f>SUM(V11:Y11)</f>
        <v>0</v>
      </c>
      <c r="AA11" s="25">
        <f>R11+U11+Z11</f>
        <v>0</v>
      </c>
      <c r="AB11" s="23">
        <v>29800000</v>
      </c>
      <c r="AC11" s="23">
        <f>AB11*5%</f>
        <v>1490000</v>
      </c>
      <c r="AD11" s="23">
        <f>AB11*3%</f>
        <v>894000</v>
      </c>
      <c r="AE11" s="23"/>
      <c r="AF11" s="23">
        <f>AC11+AD11+AE11</f>
        <v>2384000</v>
      </c>
      <c r="AG11" s="23"/>
      <c r="AH11" s="23">
        <f>AB11*1.5%</f>
        <v>447000</v>
      </c>
      <c r="AI11" s="23"/>
      <c r="AJ11" s="23">
        <f>AG11+AH11+AI11</f>
        <v>447000</v>
      </c>
      <c r="AK11" s="23">
        <v>11000000</v>
      </c>
      <c r="AL11" s="23">
        <v>3</v>
      </c>
      <c r="AM11" s="23">
        <f>AL11*4400000</f>
        <v>13200000</v>
      </c>
      <c r="AN11" s="23">
        <f>M11</f>
        <v>0</v>
      </c>
      <c r="AO11" s="23">
        <f>AA11-AN11</f>
        <v>0</v>
      </c>
      <c r="AP11" s="23"/>
      <c r="AQ11" s="23"/>
      <c r="AR11" s="23"/>
      <c r="AS11" s="23"/>
      <c r="AT11" s="23">
        <f>(AA11-AK11-AM11-AN11-AJ11)</f>
        <v>-24647000</v>
      </c>
      <c r="AU11" s="23">
        <f>ROUND(IF(AT11&lt;=5000000,AT11*5%,IF(AND(AT11&gt;5000000,AT11&lt;=10000000),AT11*10%-250000,IF(AND(AT11&gt;10000000,AT11&lt;=18000000),AT11*15%-750000,IF(AND(AT11&gt;18000000,AT11&lt;=32000000),AT11*20%-1650000,IF(AND(AT11&gt;32000000,AT11&lt;=52000000),AT11*25%-3250000,IF(AND(AT11&gt;52000000,AT11&lt;80000000),AT11*30%-5850000,IF(AT11&gt;80000000,AT11*35%-9850000))))))),0)</f>
        <v>-1232350</v>
      </c>
      <c r="AV11" s="23"/>
      <c r="AW11" s="23">
        <f>AA11-AJ11-AU11</f>
        <v>785350</v>
      </c>
      <c r="AX11" s="27" t="e">
        <f>+AW11/E6</f>
        <v>#DIV/0!</v>
      </c>
      <c r="AY11" s="75"/>
      <c r="AZ11" s="27"/>
    </row>
    <row r="12" spans="1:52" ht="26.25" customHeight="1">
      <c r="A12" s="20">
        <v>1</v>
      </c>
      <c r="B12" s="20" t="s">
        <v>182</v>
      </c>
      <c r="C12" s="21" t="s">
        <v>176</v>
      </c>
      <c r="D12" s="22" t="s">
        <v>77</v>
      </c>
      <c r="E12" s="23">
        <f>_xlfn.IFNA(VLOOKUP(B12,Sheet1!$C$12:$AY$20,4,0),0)</f>
        <v>0</v>
      </c>
      <c r="F12" s="24">
        <f>_xlfn.IFNA(VLOOKUP(B12,Sheet1!$C$12:$AY$20,5,0),0)</f>
        <v>0</v>
      </c>
      <c r="G12" s="24">
        <f>_xlfn.IFNA(VLOOKUP(B12,Sheet1!$C$12:$AY$20,6,0),0)</f>
        <v>0</v>
      </c>
      <c r="H12" s="23">
        <f>_xlfn.IFNA(VLOOKUP(B12,Sheet1!$C$12:$AY$20,7,0),0)</f>
        <v>0</v>
      </c>
      <c r="I12" s="23">
        <f>_xlfn.IFNA(VLOOKUP(B12,Sheet1!$C$12:$AY$20,8,0),0)</f>
        <v>0</v>
      </c>
      <c r="J12" s="23">
        <f>_xlfn.IFNA(VLOOKUP(B12,Sheet1!$C$12:$AY$20,9,0),0)</f>
        <v>0</v>
      </c>
      <c r="K12" s="23">
        <f>J12*E6</f>
        <v>0</v>
      </c>
      <c r="L12" s="23">
        <f>_xlfn.IFNA(VLOOKUP(B12,Sheet1!$C$12:$AY$20,11,0),0)</f>
        <v>0</v>
      </c>
      <c r="M12" s="23">
        <f>_xlfn.IFNA(VLOOKUP(B12,Sheet1!$C$12:$AY$20,12,0),0)</f>
        <v>0</v>
      </c>
      <c r="N12" s="23">
        <f>_xlfn.IFNA(VLOOKUP(B12,Sheet1!$C$12:$AY$20,13,0),0)</f>
        <v>0</v>
      </c>
      <c r="O12" s="23">
        <f>_xlfn.IFNA(VLOOKUP(B12,Sheet1!$C$12:$AY$20,14,0),0)</f>
        <v>0</v>
      </c>
      <c r="P12" s="23">
        <f>_xlfn.IFNA(VLOOKUP(B12,Sheet1!$C$12:$AY$20,15,0),0)</f>
        <v>0</v>
      </c>
      <c r="Q12" s="23">
        <f>_xlfn.IFNA(VLOOKUP(B12,Sheet1!$C$12:$AY$20,16,0),0)</f>
        <v>0</v>
      </c>
      <c r="R12" s="23">
        <f>SUM(M12:Q12)</f>
        <v>0</v>
      </c>
      <c r="S12" s="23">
        <f>K12+L12</f>
        <v>0</v>
      </c>
      <c r="T12" s="23" t="e">
        <f>S12/E12</f>
        <v>#DIV/0!</v>
      </c>
      <c r="U12" s="25" t="e">
        <f>T12*E12</f>
        <v>#DIV/0!</v>
      </c>
      <c r="V12" s="25" t="e">
        <f>T12*F12*150%</f>
        <v>#DIV/0!</v>
      </c>
      <c r="W12" s="25" t="e">
        <f>T12*G12*195%</f>
        <v>#DIV/0!</v>
      </c>
      <c r="X12" s="25" t="e">
        <f>T12*H12*200%</f>
        <v>#DIV/0!</v>
      </c>
      <c r="Y12" s="25" t="e">
        <f>T12*I12*300%</f>
        <v>#DIV/0!</v>
      </c>
      <c r="Z12" s="25" t="e">
        <f>SUM(V12:Y12)</f>
        <v>#DIV/0!</v>
      </c>
      <c r="AA12" s="25" t="e">
        <f>R12+U12+Z12</f>
        <v>#DIV/0!</v>
      </c>
      <c r="AB12" s="25">
        <f>_xlfn.IFNA(VLOOKUP(B12,Sheet1!$C$12:$AY$20,27,0),0)</f>
        <v>0</v>
      </c>
      <c r="AC12" s="23">
        <f>_xlfn.IFNA(VLOOKUP(B12,Sheet1!$C$12:$AY$20,28,0),0)</f>
        <v>0</v>
      </c>
      <c r="AD12" s="23">
        <f>_xlfn.IFNA(VLOOKUP(B12,Sheet1!$C$12:$AY$20,29,0),0)</f>
        <v>0</v>
      </c>
      <c r="AE12" s="23"/>
      <c r="AF12" s="23">
        <f>AC12+AD12+AE12</f>
        <v>0</v>
      </c>
      <c r="AG12" s="23">
        <f>_xlfn.IFNA(VLOOKUP(B12,Sheet1!$C$12:$AY$20,32,0),0)</f>
        <v>0</v>
      </c>
      <c r="AH12" s="23">
        <f>_xlfn.IFNA(VLOOKUP(B12,Sheet1!$C$12:$AY$20,33,0),0)</f>
        <v>0</v>
      </c>
      <c r="AI12" s="23"/>
      <c r="AJ12" s="23">
        <f>AG12+AH12+AI12</f>
        <v>0</v>
      </c>
      <c r="AK12" s="23">
        <v>11000000</v>
      </c>
      <c r="AL12" s="23">
        <f>_xlfn.IFNA(VLOOKUP(B12,Sheet1!$C$12:$AY$20,37,0),0)</f>
        <v>0</v>
      </c>
      <c r="AM12" s="23">
        <f>+AL12*4400000</f>
        <v>0</v>
      </c>
      <c r="AN12" s="23"/>
      <c r="AO12" s="23" t="e">
        <f>AA12-AN12</f>
        <v>#DIV/0!</v>
      </c>
      <c r="AP12" s="23">
        <f>_xlfn.IFNA(VLOOKUP(B12,Sheet1!$C$13:$AZ$23,41,0),0)</f>
        <v>0</v>
      </c>
      <c r="AQ12" s="23">
        <f>_xlfn.IFNA(VLOOKUP(B12,Sheet1!$C$13:$AZ$23,42,0),0)</f>
        <v>0</v>
      </c>
      <c r="AR12" s="23">
        <f>_xlfn.IFNA(VLOOKUP(B12,Sheet1!$C$13:$AZ$23,43,0),0)</f>
        <v>0</v>
      </c>
      <c r="AS12" s="23" t="e">
        <f>AO12+AP12+AR12+AQ12</f>
        <v>#DIV/0!</v>
      </c>
      <c r="AT12" s="23" t="e">
        <f>(AS12-AK12-AM12-AJ12)</f>
        <v>#DIV/0!</v>
      </c>
      <c r="AU12" s="26" t="e">
        <f>ROUND(IF(AT12&lt;=5000000,AT12*5%,IF(AND(AT12&gt;5000000,AT12&lt;=10000000),AT12*10%-250000,IF(AND(AT12&gt;10000000,AT12&lt;=18000000),AT12*15%-750000,IF(AND(AT12&gt;18000000,AT12&lt;=32000000),AT12*20%-1650000,IF(AND(AT12&gt;32000000,AT12&lt;=52000000),AT12*25%-3250000,IF(AND(AT12&gt;52000000,AT12&lt;80000000),AT12*30%-5850000,IF(AT12&gt;80000000,AT12*35%-9850000))))))),0)</f>
        <v>#DIV/0!</v>
      </c>
      <c r="AV12" s="26">
        <v>0</v>
      </c>
      <c r="AW12" s="23" t="e">
        <f>AA12-AJ12-AU12-AV12</f>
        <v>#DIV/0!</v>
      </c>
      <c r="AX12" s="27" t="e">
        <f>AW12/E6</f>
        <v>#DIV/0!</v>
      </c>
      <c r="AY12" s="76">
        <f>_xlfn.IFNA(VLOOKUP(B12,Sheet1!$C$13:$AZ$22,50,0),0)</f>
        <v>0</v>
      </c>
      <c r="AZ12" s="27"/>
    </row>
    <row r="13" spans="1:52">
      <c r="A13" s="2"/>
      <c r="B13" s="2"/>
      <c r="C13" s="2"/>
      <c r="D13" s="2"/>
      <c r="E13" s="3"/>
      <c r="F13" s="3"/>
      <c r="G13" s="3"/>
      <c r="H13" s="3"/>
      <c r="I13" s="3"/>
      <c r="J13" s="3"/>
      <c r="K13" s="4"/>
      <c r="L13" s="2"/>
      <c r="M13" s="2"/>
      <c r="N13" s="2"/>
      <c r="O13" s="2"/>
      <c r="P13" s="2"/>
      <c r="Q13" s="2"/>
      <c r="R13" s="2"/>
      <c r="S13" s="2"/>
      <c r="T13" s="2"/>
      <c r="U13" s="5"/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6"/>
      <c r="AN13" s="6"/>
      <c r="AO13" s="7"/>
      <c r="AP13" s="7"/>
      <c r="AQ13" s="7"/>
      <c r="AR13" s="7"/>
      <c r="AS13" s="7"/>
      <c r="AT13" s="2"/>
      <c r="AU13" s="2"/>
      <c r="AV13" s="2"/>
      <c r="AW13" s="2"/>
      <c r="AX13" s="49"/>
      <c r="AY13" s="68"/>
      <c r="AZ13" s="2"/>
    </row>
  </sheetData>
  <mergeCells count="25">
    <mergeCell ref="AY8:AY9"/>
    <mergeCell ref="AZ8:AZ9"/>
    <mergeCell ref="AV9:AV10"/>
    <mergeCell ref="V8:Z8"/>
    <mergeCell ref="AA8:AA9"/>
    <mergeCell ref="AB8:AF8"/>
    <mergeCell ref="AG8:AJ8"/>
    <mergeCell ref="AK8:AU8"/>
    <mergeCell ref="AW8:AX8"/>
    <mergeCell ref="K8:K9"/>
    <mergeCell ref="L8:Q8"/>
    <mergeCell ref="R8:R9"/>
    <mergeCell ref="S8:S9"/>
    <mergeCell ref="T8:T9"/>
    <mergeCell ref="U8:U9"/>
    <mergeCell ref="A3:AZ3"/>
    <mergeCell ref="A4:AZ4"/>
    <mergeCell ref="A6:C6"/>
    <mergeCell ref="A8:A9"/>
    <mergeCell ref="B8:B9"/>
    <mergeCell ref="C8:C9"/>
    <mergeCell ref="D8:D9"/>
    <mergeCell ref="E8:E9"/>
    <mergeCell ref="F8:I8"/>
    <mergeCell ref="J8:J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1B14-3EEB-42AA-A885-0E5D624B6912}">
  <dimension ref="A1:AZ13"/>
  <sheetViews>
    <sheetView workbookViewId="0">
      <selection activeCell="B12" sqref="B12"/>
    </sheetView>
  </sheetViews>
  <sheetFormatPr defaultRowHeight="15"/>
  <cols>
    <col min="3" max="3" width="17.85546875" customWidth="1"/>
    <col min="4" max="4" width="11.85546875" customWidth="1"/>
    <col min="5" max="5" width="10.5703125" customWidth="1"/>
    <col min="6" max="9" width="9.140625" hidden="1" customWidth="1"/>
    <col min="10" max="11" width="10.5703125" customWidth="1"/>
    <col min="12" max="19" width="9.140625" hidden="1" customWidth="1"/>
    <col min="20" max="20" width="10.5703125" customWidth="1"/>
    <col min="21" max="26" width="9.140625" hidden="1" customWidth="1"/>
    <col min="27" max="50" width="10.5703125" customWidth="1"/>
    <col min="51" max="51" width="10.5703125" style="77" customWidth="1"/>
  </cols>
  <sheetData>
    <row r="1" spans="1:52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5"/>
      <c r="V1" s="5"/>
      <c r="W1" s="5"/>
      <c r="X1" s="5"/>
      <c r="Y1" s="5"/>
      <c r="Z1" s="5"/>
      <c r="AA1" s="5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6"/>
      <c r="AN1" s="6"/>
      <c r="AO1" s="7"/>
      <c r="AP1" s="7"/>
      <c r="AQ1" s="7"/>
      <c r="AR1" s="7"/>
      <c r="AS1" s="7"/>
      <c r="AT1" s="2"/>
      <c r="AU1" s="2"/>
      <c r="AV1" s="2"/>
      <c r="AW1" s="2"/>
      <c r="AX1" s="2"/>
      <c r="AY1" s="68"/>
      <c r="AZ1" s="2"/>
    </row>
    <row r="2" spans="1:52">
      <c r="A2" s="1" t="s">
        <v>1</v>
      </c>
      <c r="B2" s="1"/>
      <c r="C2" s="2"/>
      <c r="D2" s="2"/>
      <c r="E2" s="3"/>
      <c r="F2" s="3"/>
      <c r="G2" s="3"/>
      <c r="H2" s="3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5"/>
      <c r="V2" s="5"/>
      <c r="W2" s="5"/>
      <c r="X2" s="5"/>
      <c r="Y2" s="5"/>
      <c r="Z2" s="5"/>
      <c r="AA2" s="5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6"/>
      <c r="AN2" s="6"/>
      <c r="AO2" s="7"/>
      <c r="AP2" s="7"/>
      <c r="AQ2" s="7"/>
      <c r="AR2" s="7"/>
      <c r="AS2" s="7"/>
      <c r="AT2" s="2"/>
      <c r="AU2" s="2"/>
      <c r="AV2" s="2"/>
      <c r="AW2" s="2"/>
      <c r="AX2" s="2"/>
      <c r="AY2" s="68"/>
      <c r="AZ2" s="2"/>
    </row>
    <row r="3" spans="1:52" ht="22.5">
      <c r="A3" s="62" t="str">
        <f>Sheet1!B3</f>
        <v>PAYROLL JANUARY 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</row>
    <row r="4" spans="1:52">
      <c r="A4" s="56" t="str">
        <f>Sheet1!B4</f>
        <v>From 1st - 31 January 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</row>
    <row r="5" spans="1:52">
      <c r="A5" s="35"/>
      <c r="B5" s="35"/>
      <c r="C5" s="36"/>
      <c r="D5" s="36"/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69"/>
      <c r="AZ5" s="35"/>
    </row>
    <row r="6" spans="1:52">
      <c r="A6" s="66" t="str">
        <f>Sheet1!B5</f>
        <v>Tỷ giá Vietinbank: 00/01/1900</v>
      </c>
      <c r="B6" s="66"/>
      <c r="C6" s="66"/>
      <c r="D6" s="28">
        <f>Sheet1!E5</f>
        <v>25160</v>
      </c>
      <c r="E6" s="29">
        <f>Sheet1!F5</f>
        <v>0</v>
      </c>
      <c r="F6" s="37"/>
      <c r="G6" s="37"/>
      <c r="H6" s="37"/>
      <c r="I6" s="37"/>
      <c r="J6" s="37"/>
      <c r="K6" s="38"/>
      <c r="L6" s="39"/>
      <c r="M6" s="39"/>
      <c r="N6" s="39"/>
      <c r="O6" s="39"/>
      <c r="P6" s="39"/>
      <c r="Q6" s="39"/>
      <c r="R6" s="39"/>
      <c r="S6" s="39"/>
      <c r="T6" s="39"/>
      <c r="U6" s="40"/>
      <c r="V6" s="40"/>
      <c r="W6" s="40"/>
      <c r="X6" s="40"/>
      <c r="Y6" s="40"/>
      <c r="Z6" s="40"/>
      <c r="AA6" s="40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41"/>
      <c r="AP6" s="41"/>
      <c r="AQ6" s="41"/>
      <c r="AR6" s="41"/>
      <c r="AS6" s="41"/>
      <c r="AT6" s="39"/>
      <c r="AU6" s="39"/>
      <c r="AV6" s="39"/>
      <c r="AW6" s="39"/>
      <c r="AX6" s="42"/>
      <c r="AY6" s="70"/>
      <c r="AZ6" s="39"/>
    </row>
    <row r="7" spans="1:52">
      <c r="A7" s="43"/>
      <c r="B7" s="43"/>
      <c r="C7" s="43"/>
      <c r="D7" s="43"/>
      <c r="E7" s="44"/>
      <c r="F7" s="44"/>
      <c r="G7" s="44"/>
      <c r="H7" s="44"/>
      <c r="I7" s="44"/>
      <c r="J7" s="44"/>
      <c r="K7" s="45"/>
      <c r="L7" s="43"/>
      <c r="M7" s="43"/>
      <c r="N7" s="43"/>
      <c r="O7" s="43"/>
      <c r="P7" s="43"/>
      <c r="Q7" s="43"/>
      <c r="R7" s="43"/>
      <c r="S7" s="43"/>
      <c r="T7" s="43"/>
      <c r="U7" s="46"/>
      <c r="V7" s="46"/>
      <c r="W7" s="46"/>
      <c r="X7" s="46"/>
      <c r="Y7" s="46"/>
      <c r="Z7" s="46"/>
      <c r="AA7" s="46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7"/>
      <c r="AP7" s="47"/>
      <c r="AQ7" s="47"/>
      <c r="AR7" s="47"/>
      <c r="AS7" s="47"/>
      <c r="AT7" s="43"/>
      <c r="AU7" s="43"/>
      <c r="AV7" s="43"/>
      <c r="AW7" s="48"/>
      <c r="AX7" s="48"/>
      <c r="AY7" s="71"/>
      <c r="AZ7" s="48"/>
    </row>
    <row r="8" spans="1:52">
      <c r="A8" s="61" t="s">
        <v>2</v>
      </c>
      <c r="B8" s="51" t="s">
        <v>172</v>
      </c>
      <c r="C8" s="61" t="s">
        <v>3</v>
      </c>
      <c r="D8" s="61" t="s">
        <v>4</v>
      </c>
      <c r="E8" s="63" t="s">
        <v>5</v>
      </c>
      <c r="F8" s="65" t="s">
        <v>6</v>
      </c>
      <c r="G8" s="65"/>
      <c r="H8" s="65"/>
      <c r="I8" s="65"/>
      <c r="J8" s="51" t="s">
        <v>7</v>
      </c>
      <c r="K8" s="51" t="s">
        <v>8</v>
      </c>
      <c r="L8" s="58" t="s">
        <v>9</v>
      </c>
      <c r="M8" s="59"/>
      <c r="N8" s="59"/>
      <c r="O8" s="59"/>
      <c r="P8" s="59"/>
      <c r="Q8" s="60"/>
      <c r="R8" s="51" t="s">
        <v>10</v>
      </c>
      <c r="S8" s="61" t="s">
        <v>11</v>
      </c>
      <c r="T8" s="51" t="s">
        <v>12</v>
      </c>
      <c r="U8" s="61" t="s">
        <v>13</v>
      </c>
      <c r="V8" s="58" t="s">
        <v>14</v>
      </c>
      <c r="W8" s="59"/>
      <c r="X8" s="59"/>
      <c r="Y8" s="59"/>
      <c r="Z8" s="60"/>
      <c r="AA8" s="61" t="s">
        <v>15</v>
      </c>
      <c r="AB8" s="57" t="s">
        <v>16</v>
      </c>
      <c r="AC8" s="57"/>
      <c r="AD8" s="57"/>
      <c r="AE8" s="57"/>
      <c r="AF8" s="57"/>
      <c r="AG8" s="57" t="s">
        <v>17</v>
      </c>
      <c r="AH8" s="57"/>
      <c r="AI8" s="57"/>
      <c r="AJ8" s="57"/>
      <c r="AK8" s="58" t="s">
        <v>18</v>
      </c>
      <c r="AL8" s="59"/>
      <c r="AM8" s="59"/>
      <c r="AN8" s="59"/>
      <c r="AO8" s="59"/>
      <c r="AP8" s="59"/>
      <c r="AQ8" s="59"/>
      <c r="AR8" s="59"/>
      <c r="AS8" s="59"/>
      <c r="AT8" s="59"/>
      <c r="AU8" s="60"/>
      <c r="AV8" s="10"/>
      <c r="AW8" s="58" t="s">
        <v>19</v>
      </c>
      <c r="AX8" s="60"/>
      <c r="AY8" s="72" t="s">
        <v>20</v>
      </c>
      <c r="AZ8" s="61" t="s">
        <v>21</v>
      </c>
    </row>
    <row r="9" spans="1:52" ht="84">
      <c r="A9" s="61"/>
      <c r="B9" s="52"/>
      <c r="C9" s="61"/>
      <c r="D9" s="61"/>
      <c r="E9" s="64"/>
      <c r="F9" s="11" t="s">
        <v>22</v>
      </c>
      <c r="G9" s="11" t="s">
        <v>23</v>
      </c>
      <c r="H9" s="11" t="s">
        <v>24</v>
      </c>
      <c r="I9" s="11" t="s">
        <v>25</v>
      </c>
      <c r="J9" s="52"/>
      <c r="K9" s="52"/>
      <c r="L9" s="8" t="s">
        <v>26</v>
      </c>
      <c r="M9" s="8" t="s">
        <v>27</v>
      </c>
      <c r="N9" s="8" t="s">
        <v>28</v>
      </c>
      <c r="O9" s="8" t="s">
        <v>29</v>
      </c>
      <c r="P9" s="8" t="s">
        <v>30</v>
      </c>
      <c r="Q9" s="8" t="s">
        <v>31</v>
      </c>
      <c r="R9" s="52"/>
      <c r="S9" s="61"/>
      <c r="T9" s="52"/>
      <c r="U9" s="61"/>
      <c r="V9" s="12" t="s">
        <v>32</v>
      </c>
      <c r="W9" s="12" t="s">
        <v>23</v>
      </c>
      <c r="X9" s="12" t="s">
        <v>24</v>
      </c>
      <c r="Y9" s="12" t="s">
        <v>25</v>
      </c>
      <c r="Z9" s="8" t="s">
        <v>33</v>
      </c>
      <c r="AA9" s="61"/>
      <c r="AB9" s="8" t="s">
        <v>34</v>
      </c>
      <c r="AC9" s="8" t="s">
        <v>35</v>
      </c>
      <c r="AD9" s="8" t="s">
        <v>36</v>
      </c>
      <c r="AE9" s="8" t="s">
        <v>37</v>
      </c>
      <c r="AF9" s="13" t="s">
        <v>38</v>
      </c>
      <c r="AG9" s="13" t="s">
        <v>39</v>
      </c>
      <c r="AH9" s="13" t="s">
        <v>40</v>
      </c>
      <c r="AI9" s="13" t="s">
        <v>37</v>
      </c>
      <c r="AJ9" s="13" t="s">
        <v>41</v>
      </c>
      <c r="AK9" s="8" t="s">
        <v>42</v>
      </c>
      <c r="AL9" s="8" t="s">
        <v>43</v>
      </c>
      <c r="AM9" s="8" t="s">
        <v>44</v>
      </c>
      <c r="AN9" s="8" t="s">
        <v>45</v>
      </c>
      <c r="AO9" s="9" t="s">
        <v>46</v>
      </c>
      <c r="AP9" s="9" t="s">
        <v>47</v>
      </c>
      <c r="AQ9" s="9" t="s">
        <v>193</v>
      </c>
      <c r="AR9" s="9" t="s">
        <v>190</v>
      </c>
      <c r="AS9" s="9" t="s">
        <v>192</v>
      </c>
      <c r="AT9" s="14" t="s">
        <v>48</v>
      </c>
      <c r="AU9" s="8" t="s">
        <v>49</v>
      </c>
      <c r="AV9" s="51" t="s">
        <v>50</v>
      </c>
      <c r="AW9" s="8" t="s">
        <v>51</v>
      </c>
      <c r="AX9" s="8" t="s">
        <v>52</v>
      </c>
      <c r="AY9" s="73"/>
      <c r="AZ9" s="61"/>
    </row>
    <row r="10" spans="1:52" ht="36" hidden="1">
      <c r="A10" s="15">
        <v>-1</v>
      </c>
      <c r="B10" s="15"/>
      <c r="C10" s="15">
        <v>-2</v>
      </c>
      <c r="D10" s="15">
        <v>-3</v>
      </c>
      <c r="E10" s="15">
        <v>-4</v>
      </c>
      <c r="F10" s="15">
        <v>-5</v>
      </c>
      <c r="G10" s="15" t="s">
        <v>53</v>
      </c>
      <c r="H10" s="15">
        <v>-6</v>
      </c>
      <c r="I10" s="15">
        <v>-7</v>
      </c>
      <c r="J10" s="15"/>
      <c r="K10" s="15">
        <v>-8</v>
      </c>
      <c r="L10" s="15">
        <v>-9</v>
      </c>
      <c r="M10" s="15">
        <v>-10</v>
      </c>
      <c r="N10" s="15">
        <v>-11</v>
      </c>
      <c r="O10" s="15" t="s">
        <v>54</v>
      </c>
      <c r="P10" s="15" t="s">
        <v>55</v>
      </c>
      <c r="Q10" s="15">
        <v>-12</v>
      </c>
      <c r="R10" s="15" t="s">
        <v>56</v>
      </c>
      <c r="S10" s="15" t="s">
        <v>57</v>
      </c>
      <c r="T10" s="15" t="s">
        <v>58</v>
      </c>
      <c r="U10" s="16" t="s">
        <v>59</v>
      </c>
      <c r="V10" s="16" t="s">
        <v>60</v>
      </c>
      <c r="W10" s="16" t="s">
        <v>61</v>
      </c>
      <c r="X10" s="16" t="s">
        <v>62</v>
      </c>
      <c r="Y10" s="16" t="s">
        <v>63</v>
      </c>
      <c r="Z10" s="16" t="s">
        <v>64</v>
      </c>
      <c r="AA10" s="16" t="s">
        <v>65</v>
      </c>
      <c r="AB10" s="15" t="s">
        <v>66</v>
      </c>
      <c r="AC10" s="15" t="s">
        <v>67</v>
      </c>
      <c r="AD10" s="15" t="s">
        <v>68</v>
      </c>
      <c r="AE10" s="15">
        <v>25</v>
      </c>
      <c r="AF10" s="17" t="s">
        <v>69</v>
      </c>
      <c r="AG10" s="17">
        <v>27</v>
      </c>
      <c r="AH10" s="17" t="s">
        <v>70</v>
      </c>
      <c r="AI10" s="17">
        <v>29</v>
      </c>
      <c r="AJ10" s="17" t="s">
        <v>71</v>
      </c>
      <c r="AK10" s="15">
        <v>-31</v>
      </c>
      <c r="AL10" s="15" t="s">
        <v>72</v>
      </c>
      <c r="AM10" s="15" t="s">
        <v>73</v>
      </c>
      <c r="AN10" s="15">
        <v>-33</v>
      </c>
      <c r="AO10" s="15" t="s">
        <v>74</v>
      </c>
      <c r="AP10" s="15"/>
      <c r="AQ10" s="15"/>
      <c r="AR10" s="15"/>
      <c r="AS10" s="15"/>
      <c r="AT10" s="18" t="s">
        <v>75</v>
      </c>
      <c r="AU10" s="15">
        <v>-36</v>
      </c>
      <c r="AV10" s="52"/>
      <c r="AW10" s="15">
        <v>-37</v>
      </c>
      <c r="AX10" s="15">
        <v>-38</v>
      </c>
      <c r="AY10" s="74">
        <v>-39</v>
      </c>
      <c r="AZ10" s="15">
        <v>-40</v>
      </c>
    </row>
    <row r="11" spans="1:52" hidden="1">
      <c r="A11" s="20">
        <v>1</v>
      </c>
      <c r="B11" s="20"/>
      <c r="C11" s="21" t="s">
        <v>76</v>
      </c>
      <c r="D11" s="22" t="s">
        <v>171</v>
      </c>
      <c r="E11" s="23">
        <v>208</v>
      </c>
      <c r="F11" s="24"/>
      <c r="G11" s="24"/>
      <c r="H11" s="23"/>
      <c r="I11" s="23"/>
      <c r="J11" s="23"/>
      <c r="K11" s="23">
        <f>2500*E6</f>
        <v>0</v>
      </c>
      <c r="L11" s="23"/>
      <c r="M11" s="23"/>
      <c r="N11" s="23"/>
      <c r="O11" s="23"/>
      <c r="P11" s="23"/>
      <c r="Q11" s="23"/>
      <c r="R11" s="23">
        <f>SUM(M11:Q11)</f>
        <v>0</v>
      </c>
      <c r="S11" s="23">
        <f>K11+L11</f>
        <v>0</v>
      </c>
      <c r="T11" s="23">
        <f>S11/E11</f>
        <v>0</v>
      </c>
      <c r="U11" s="25">
        <f>T11*E11</f>
        <v>0</v>
      </c>
      <c r="V11" s="25">
        <f>T11*F11*150%</f>
        <v>0</v>
      </c>
      <c r="W11" s="25"/>
      <c r="X11" s="25">
        <f>T11*H11*200%</f>
        <v>0</v>
      </c>
      <c r="Y11" s="25">
        <f>T11*I11*300%</f>
        <v>0</v>
      </c>
      <c r="Z11" s="25">
        <f>SUM(V11:Y11)</f>
        <v>0</v>
      </c>
      <c r="AA11" s="25">
        <f>R11+U11+Z11</f>
        <v>0</v>
      </c>
      <c r="AB11" s="23">
        <v>29800000</v>
      </c>
      <c r="AC11" s="23">
        <f>AB11*5%</f>
        <v>1490000</v>
      </c>
      <c r="AD11" s="23">
        <f>AB11*3%</f>
        <v>894000</v>
      </c>
      <c r="AE11" s="23"/>
      <c r="AF11" s="23">
        <f>AC11+AD11+AE11</f>
        <v>2384000</v>
      </c>
      <c r="AG11" s="23"/>
      <c r="AH11" s="23">
        <f>AB11*1.5%</f>
        <v>447000</v>
      </c>
      <c r="AI11" s="23"/>
      <c r="AJ11" s="23">
        <f>AG11+AH11+AI11</f>
        <v>447000</v>
      </c>
      <c r="AK11" s="23">
        <v>11000000</v>
      </c>
      <c r="AL11" s="23">
        <v>3</v>
      </c>
      <c r="AM11" s="23">
        <f>AL11*4400000</f>
        <v>13200000</v>
      </c>
      <c r="AN11" s="23">
        <f>M11</f>
        <v>0</v>
      </c>
      <c r="AO11" s="23">
        <f>AA11-AN11</f>
        <v>0</v>
      </c>
      <c r="AP11" s="23"/>
      <c r="AQ11" s="23"/>
      <c r="AR11" s="23"/>
      <c r="AS11" s="23"/>
      <c r="AT11" s="23">
        <f>(AA11-AK11-AM11-AN11-AJ11)</f>
        <v>-24647000</v>
      </c>
      <c r="AU11" s="23">
        <f>ROUND(IF(AT11&lt;=5000000,AT11*5%,IF(AND(AT11&gt;5000000,AT11&lt;=10000000),AT11*10%-250000,IF(AND(AT11&gt;10000000,AT11&lt;=18000000),AT11*15%-750000,IF(AND(AT11&gt;18000000,AT11&lt;=32000000),AT11*20%-1650000,IF(AND(AT11&gt;32000000,AT11&lt;=52000000),AT11*25%-3250000,IF(AND(AT11&gt;52000000,AT11&lt;80000000),AT11*30%-5850000,IF(AT11&gt;80000000,AT11*35%-9850000))))))),0)</f>
        <v>-1232350</v>
      </c>
      <c r="AV11" s="23"/>
      <c r="AW11" s="23">
        <f>AA11-AJ11-AU11</f>
        <v>785350</v>
      </c>
      <c r="AX11" s="27" t="e">
        <f>+AW11/E6</f>
        <v>#DIV/0!</v>
      </c>
      <c r="AY11" s="75"/>
      <c r="AZ11" s="27"/>
    </row>
    <row r="12" spans="1:52" ht="26.25" customHeight="1">
      <c r="A12" s="20">
        <v>1</v>
      </c>
      <c r="B12" s="20" t="s">
        <v>183</v>
      </c>
      <c r="C12" s="21" t="s">
        <v>177</v>
      </c>
      <c r="D12" s="22" t="s">
        <v>77</v>
      </c>
      <c r="E12" s="23">
        <f>_xlfn.IFNA(VLOOKUP(B12,Sheet1!$C$12:$AY$20,4,0),0)</f>
        <v>0</v>
      </c>
      <c r="F12" s="24">
        <f>_xlfn.IFNA(VLOOKUP(B12,Sheet1!$C$12:$AY$20,5,0),0)</f>
        <v>0</v>
      </c>
      <c r="G12" s="24">
        <f>_xlfn.IFNA(VLOOKUP(B12,Sheet1!$C$12:$AY$20,6,0),0)</f>
        <v>0</v>
      </c>
      <c r="H12" s="23">
        <f>_xlfn.IFNA(VLOOKUP(B12,Sheet1!$C$12:$AY$20,7,0),0)</f>
        <v>0</v>
      </c>
      <c r="I12" s="23">
        <f>_xlfn.IFNA(VLOOKUP(B12,Sheet1!$C$12:$AY$20,8,0),0)</f>
        <v>0</v>
      </c>
      <c r="J12" s="23">
        <f>_xlfn.IFNA(VLOOKUP(B12,Sheet1!$C$12:$AY$20,9,0),0)</f>
        <v>0</v>
      </c>
      <c r="K12" s="23">
        <f>J12*E6</f>
        <v>0</v>
      </c>
      <c r="L12" s="23">
        <f>_xlfn.IFNA(VLOOKUP(B12,Sheet1!$C$12:$AY$20,11,0),0)</f>
        <v>0</v>
      </c>
      <c r="M12" s="23">
        <f>_xlfn.IFNA(VLOOKUP(B12,Sheet1!$C$12:$AY$20,12,0),0)</f>
        <v>0</v>
      </c>
      <c r="N12" s="23">
        <f>_xlfn.IFNA(VLOOKUP(B12,Sheet1!$C$12:$AY$20,13,0),0)</f>
        <v>0</v>
      </c>
      <c r="O12" s="23">
        <f>_xlfn.IFNA(VLOOKUP(B12,Sheet1!$C$12:$AY$20,14,0),0)</f>
        <v>0</v>
      </c>
      <c r="P12" s="23">
        <f>_xlfn.IFNA(VLOOKUP(B12,Sheet1!$C$12:$AY$20,15,0),0)</f>
        <v>0</v>
      </c>
      <c r="Q12" s="23">
        <f>_xlfn.IFNA(VLOOKUP(B12,Sheet1!$C$12:$AY$20,16,0),0)</f>
        <v>0</v>
      </c>
      <c r="R12" s="23">
        <f>SUM(M12:Q12)</f>
        <v>0</v>
      </c>
      <c r="S12" s="23">
        <f>K12+L12</f>
        <v>0</v>
      </c>
      <c r="T12" s="23" t="e">
        <f>S12/E12</f>
        <v>#DIV/0!</v>
      </c>
      <c r="U12" s="25" t="e">
        <f>T12*E12</f>
        <v>#DIV/0!</v>
      </c>
      <c r="V12" s="25" t="e">
        <f>T12*F12*150%</f>
        <v>#DIV/0!</v>
      </c>
      <c r="W12" s="25" t="e">
        <f>T12*G12*195%</f>
        <v>#DIV/0!</v>
      </c>
      <c r="X12" s="25" t="e">
        <f>T12*H12*200%</f>
        <v>#DIV/0!</v>
      </c>
      <c r="Y12" s="25" t="e">
        <f>T12*I12*300%</f>
        <v>#DIV/0!</v>
      </c>
      <c r="Z12" s="25" t="e">
        <f>SUM(V12:Y12)</f>
        <v>#DIV/0!</v>
      </c>
      <c r="AA12" s="25" t="e">
        <f>R12+U12+Z12</f>
        <v>#DIV/0!</v>
      </c>
      <c r="AB12" s="25">
        <f>_xlfn.IFNA(VLOOKUP(B12,Sheet1!$C$12:$AY$20,27,0),0)</f>
        <v>0</v>
      </c>
      <c r="AC12" s="23">
        <f>_xlfn.IFNA(VLOOKUP(B12,Sheet1!$C$12:$AY$20,28,0),0)</f>
        <v>0</v>
      </c>
      <c r="AD12" s="23">
        <f>_xlfn.IFNA(VLOOKUP(B12,Sheet1!$C$12:$AY$20,29,0),0)</f>
        <v>0</v>
      </c>
      <c r="AE12" s="23"/>
      <c r="AF12" s="23">
        <f>AC12+AD12+AE12</f>
        <v>0</v>
      </c>
      <c r="AG12" s="23">
        <f>_xlfn.IFNA(VLOOKUP(B12,Sheet1!$C$12:$AY$20,32,0),0)</f>
        <v>0</v>
      </c>
      <c r="AH12" s="23">
        <f>_xlfn.IFNA(VLOOKUP(B12,Sheet1!$C$12:$AY$20,33,0),0)</f>
        <v>0</v>
      </c>
      <c r="AI12" s="23"/>
      <c r="AJ12" s="23">
        <f>AG12+AH12+AI12</f>
        <v>0</v>
      </c>
      <c r="AK12" s="23">
        <v>11000000</v>
      </c>
      <c r="AL12" s="23">
        <f>_xlfn.IFNA(VLOOKUP(B12,Sheet1!$C$12:$AY$20,37,0),0)</f>
        <v>0</v>
      </c>
      <c r="AM12" s="23">
        <f>+AL12*4400000</f>
        <v>0</v>
      </c>
      <c r="AN12" s="23"/>
      <c r="AO12" s="23" t="e">
        <f>AA12-AN12</f>
        <v>#DIV/0!</v>
      </c>
      <c r="AP12" s="23">
        <f>_xlfn.IFNA(VLOOKUP(B12,Sheet1!$C$13:$AZ$23,41,0),0)</f>
        <v>0</v>
      </c>
      <c r="AQ12" s="23">
        <f>_xlfn.IFNA(VLOOKUP(B12,Sheet1!$C$13:$AZ$23,42,0),0)</f>
        <v>0</v>
      </c>
      <c r="AR12" s="23">
        <f>_xlfn.IFNA(VLOOKUP(B12,Sheet1!$C$13:$AZ$23,43,0),0)</f>
        <v>0</v>
      </c>
      <c r="AS12" s="23" t="e">
        <f>AO12+AP12+AR12+AQ12</f>
        <v>#DIV/0!</v>
      </c>
      <c r="AT12" s="23" t="e">
        <f>(AS12-AK12-AM12-AJ12)</f>
        <v>#DIV/0!</v>
      </c>
      <c r="AU12" s="26" t="e">
        <f>ROUND(IF(AT12&lt;=5000000,AT12*5%,IF(AND(AT12&gt;5000000,AT12&lt;=10000000),AT12*10%-250000,IF(AND(AT12&gt;10000000,AT12&lt;=18000000),AT12*15%-750000,IF(AND(AT12&gt;18000000,AT12&lt;=32000000),AT12*20%-1650000,IF(AND(AT12&gt;32000000,AT12&lt;=52000000),AT12*25%-3250000,IF(AND(AT12&gt;52000000,AT12&lt;80000000),AT12*30%-5850000,IF(AT12&gt;80000000,AT12*35%-9850000))))))),0)</f>
        <v>#DIV/0!</v>
      </c>
      <c r="AV12" s="26">
        <v>0</v>
      </c>
      <c r="AW12" s="23" t="e">
        <f>AA12-AJ12-AU12-AV12</f>
        <v>#DIV/0!</v>
      </c>
      <c r="AX12" s="27" t="e">
        <f>AW12/E6</f>
        <v>#DIV/0!</v>
      </c>
      <c r="AY12" s="76">
        <f>_xlfn.IFNA(VLOOKUP(B12,Sheet1!$C$13:$AZ$22,50,0),0)</f>
        <v>0</v>
      </c>
      <c r="AZ12" s="27"/>
    </row>
    <row r="13" spans="1:52">
      <c r="A13" s="2"/>
      <c r="B13" s="2"/>
      <c r="C13" s="2"/>
      <c r="D13" s="2"/>
      <c r="E13" s="3"/>
      <c r="F13" s="3"/>
      <c r="G13" s="3"/>
      <c r="H13" s="3"/>
      <c r="I13" s="3"/>
      <c r="J13" s="3"/>
      <c r="K13" s="4"/>
      <c r="L13" s="2"/>
      <c r="M13" s="2"/>
      <c r="N13" s="2"/>
      <c r="O13" s="2"/>
      <c r="P13" s="2"/>
      <c r="Q13" s="2"/>
      <c r="R13" s="2"/>
      <c r="S13" s="2"/>
      <c r="T13" s="2"/>
      <c r="U13" s="5"/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6"/>
      <c r="AN13" s="6"/>
      <c r="AO13" s="7"/>
      <c r="AP13" s="7"/>
      <c r="AQ13" s="7"/>
      <c r="AR13" s="7"/>
      <c r="AS13" s="7"/>
      <c r="AT13" s="2"/>
      <c r="AU13" s="2"/>
      <c r="AV13" s="2"/>
      <c r="AW13" s="2"/>
      <c r="AX13" s="49"/>
      <c r="AY13" s="68"/>
      <c r="AZ13" s="2"/>
    </row>
  </sheetData>
  <mergeCells count="25">
    <mergeCell ref="AY8:AY9"/>
    <mergeCell ref="AZ8:AZ9"/>
    <mergeCell ref="AV9:AV10"/>
    <mergeCell ref="V8:Z8"/>
    <mergeCell ref="AA8:AA9"/>
    <mergeCell ref="AB8:AF8"/>
    <mergeCell ref="AG8:AJ8"/>
    <mergeCell ref="AK8:AU8"/>
    <mergeCell ref="AW8:AX8"/>
    <mergeCell ref="K8:K9"/>
    <mergeCell ref="L8:Q8"/>
    <mergeCell ref="R8:R9"/>
    <mergeCell ref="S8:S9"/>
    <mergeCell ref="T8:T9"/>
    <mergeCell ref="U8:U9"/>
    <mergeCell ref="A3:AZ3"/>
    <mergeCell ref="A4:AZ4"/>
    <mergeCell ref="A6:C6"/>
    <mergeCell ref="A8:A9"/>
    <mergeCell ref="B8:B9"/>
    <mergeCell ref="C8:C9"/>
    <mergeCell ref="D8:D9"/>
    <mergeCell ref="E8:E9"/>
    <mergeCell ref="F8:I8"/>
    <mergeCell ref="J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Mr. Shin</vt:lpstr>
      <vt:lpstr>Mr. Lim</vt:lpstr>
      <vt:lpstr>Mr. Moon</vt:lpstr>
      <vt:lpstr>Mr. Yang</vt:lpstr>
      <vt:lpstr>Mr. Choi</vt:lpstr>
      <vt:lpstr>Mr. Hwang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Sơn</dc:creator>
  <cp:lastModifiedBy>Nguyễn Ngọc Sơn</cp:lastModifiedBy>
  <dcterms:created xsi:type="dcterms:W3CDTF">2015-06-05T18:17:20Z</dcterms:created>
  <dcterms:modified xsi:type="dcterms:W3CDTF">2024-12-18T08:38:15Z</dcterms:modified>
</cp:coreProperties>
</file>