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SourceCodeHR\YDC\SmartBooks.HumanResource\bin\x86\Debug\Teamleate\"/>
    </mc:Choice>
  </mc:AlternateContent>
  <xr:revisionPtr revIDLastSave="0" documentId="13_ncr:1_{18B9AF42-357D-4298-99DE-6F3E07B5A57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ales per employees" sheetId="4" r:id="rId2"/>
    <sheet name="비교 So sánh" sheetId="6" r:id="rId3"/>
    <sheet name="월별분석 Phân tích theo tháng" sheetId="5" r:id="rId4"/>
    <sheet name="업무월별분석 Phân tích CV theo tháng" sheetId="2" r:id="rId5"/>
    <sheet name="월별 기본데이터 합계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AC18" i="3"/>
  <c r="AC19" i="3"/>
  <c r="AC20" i="3"/>
  <c r="AC21" i="3"/>
  <c r="B21" i="3" s="1"/>
  <c r="AC22" i="3"/>
  <c r="AC23" i="3"/>
  <c r="AC24" i="3"/>
  <c r="AC25" i="3"/>
  <c r="B25" i="3" s="1"/>
  <c r="AC26" i="3"/>
  <c r="AC27" i="3"/>
  <c r="AC28" i="3"/>
  <c r="AC17" i="3"/>
  <c r="AC7" i="3"/>
  <c r="AC8" i="3"/>
  <c r="AC9" i="3"/>
  <c r="AC10" i="3"/>
  <c r="B10" i="3" s="1"/>
  <c r="AC11" i="3"/>
  <c r="AC12" i="3"/>
  <c r="AC13" i="3"/>
  <c r="AC14" i="3"/>
  <c r="B14" i="3" s="1"/>
  <c r="AC15" i="3"/>
  <c r="AC16" i="3"/>
  <c r="AC6" i="3"/>
  <c r="AC5" i="3"/>
  <c r="B6" i="3"/>
  <c r="B7" i="3"/>
  <c r="B8" i="3"/>
  <c r="B9" i="3"/>
  <c r="B11" i="3"/>
  <c r="B12" i="3"/>
  <c r="B13" i="3"/>
  <c r="B15" i="3"/>
  <c r="B16" i="3"/>
  <c r="B17" i="3"/>
  <c r="B18" i="3"/>
  <c r="B19" i="3"/>
  <c r="B20" i="3"/>
  <c r="B22" i="3"/>
  <c r="B23" i="3"/>
  <c r="B24" i="3"/>
  <c r="B26" i="3"/>
  <c r="B27" i="3"/>
  <c r="B28" i="3"/>
  <c r="B5" i="3"/>
  <c r="C20" i="4"/>
  <c r="C19" i="4"/>
  <c r="C18" i="4"/>
  <c r="H15" i="6" l="1"/>
  <c r="H17" i="6"/>
  <c r="H19" i="6"/>
  <c r="H23" i="6"/>
  <c r="H25" i="6"/>
  <c r="H27" i="6"/>
  <c r="H31" i="6"/>
  <c r="H33" i="6"/>
  <c r="H35" i="6"/>
  <c r="B19" i="4"/>
  <c r="B20" i="4"/>
  <c r="B18" i="4"/>
  <c r="E20" i="4"/>
  <c r="E19" i="4"/>
  <c r="C18" i="3"/>
  <c r="C19" i="3"/>
  <c r="C20" i="3"/>
  <c r="C21" i="3"/>
  <c r="C22" i="3"/>
  <c r="C23" i="3"/>
  <c r="C24" i="3"/>
  <c r="C25" i="3"/>
  <c r="C26" i="3"/>
  <c r="C27" i="3"/>
  <c r="C28" i="3"/>
  <c r="C17" i="3"/>
  <c r="C16" i="3"/>
  <c r="C6" i="3"/>
  <c r="C7" i="3"/>
  <c r="C8" i="3"/>
  <c r="C9" i="3"/>
  <c r="C10" i="3"/>
  <c r="C11" i="3"/>
  <c r="C12" i="3"/>
  <c r="C13" i="3"/>
  <c r="C14" i="3"/>
  <c r="C15" i="3"/>
  <c r="C5" i="3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3" i="5"/>
  <c r="I16" i="5"/>
  <c r="I17" i="5"/>
  <c r="I18" i="5"/>
  <c r="I19" i="5"/>
  <c r="I20" i="5"/>
  <c r="I21" i="5"/>
  <c r="I22" i="5"/>
  <c r="I23" i="5"/>
  <c r="I24" i="5"/>
  <c r="I25" i="5"/>
  <c r="I26" i="5"/>
  <c r="I15" i="5"/>
  <c r="I4" i="5"/>
  <c r="I5" i="5"/>
  <c r="I6" i="5"/>
  <c r="I7" i="5"/>
  <c r="I8" i="5"/>
  <c r="I9" i="5"/>
  <c r="I10" i="5"/>
  <c r="I11" i="5"/>
  <c r="I12" i="5"/>
  <c r="I13" i="5"/>
  <c r="I14" i="5"/>
  <c r="I3" i="5"/>
  <c r="G10" i="6" l="1"/>
  <c r="G8" i="6"/>
  <c r="G5" i="6"/>
  <c r="F90" i="6"/>
  <c r="G90" i="6"/>
  <c r="E90" i="6"/>
  <c r="F82" i="6"/>
  <c r="G82" i="6"/>
  <c r="E82" i="6"/>
  <c r="F74" i="6"/>
  <c r="G74" i="6"/>
  <c r="E74" i="6"/>
  <c r="F66" i="6"/>
  <c r="G66" i="6"/>
  <c r="E66" i="6"/>
  <c r="F58" i="6"/>
  <c r="G58" i="6"/>
  <c r="E58" i="6"/>
  <c r="F50" i="6"/>
  <c r="G50" i="6"/>
  <c r="E50" i="6"/>
  <c r="F42" i="6"/>
  <c r="G42" i="6"/>
  <c r="E42" i="6"/>
  <c r="F34" i="6"/>
  <c r="G34" i="6"/>
  <c r="E34" i="6"/>
  <c r="F26" i="6"/>
  <c r="G26" i="6"/>
  <c r="E26" i="6"/>
  <c r="F18" i="6"/>
  <c r="G18" i="6"/>
  <c r="E18" i="6"/>
  <c r="F88" i="6"/>
  <c r="G88" i="6"/>
  <c r="E88" i="6"/>
  <c r="F80" i="6"/>
  <c r="G80" i="6"/>
  <c r="E80" i="6"/>
  <c r="F72" i="6"/>
  <c r="G72" i="6"/>
  <c r="E72" i="6"/>
  <c r="F64" i="6"/>
  <c r="G64" i="6"/>
  <c r="E64" i="6"/>
  <c r="F56" i="6"/>
  <c r="G56" i="6"/>
  <c r="E56" i="6"/>
  <c r="F48" i="6"/>
  <c r="G48" i="6"/>
  <c r="E48" i="6"/>
  <c r="F40" i="6"/>
  <c r="G40" i="6"/>
  <c r="E40" i="6"/>
  <c r="F32" i="6"/>
  <c r="G32" i="6"/>
  <c r="E32" i="6"/>
  <c r="E24" i="6"/>
  <c r="F16" i="6"/>
  <c r="G16" i="6"/>
  <c r="E16" i="6"/>
  <c r="F85" i="6"/>
  <c r="G85" i="6"/>
  <c r="E85" i="6"/>
  <c r="F77" i="6"/>
  <c r="G77" i="6"/>
  <c r="E77" i="6"/>
  <c r="F69" i="6"/>
  <c r="G69" i="6"/>
  <c r="E69" i="6"/>
  <c r="F61" i="6"/>
  <c r="G61" i="6"/>
  <c r="E61" i="6"/>
  <c r="F53" i="6"/>
  <c r="G53" i="6"/>
  <c r="E53" i="6"/>
  <c r="F45" i="6"/>
  <c r="G45" i="6"/>
  <c r="E45" i="6"/>
  <c r="F37" i="6"/>
  <c r="G37" i="6"/>
  <c r="E37" i="6"/>
  <c r="F21" i="6"/>
  <c r="G21" i="6"/>
  <c r="E21" i="6"/>
  <c r="F13" i="6"/>
  <c r="G13" i="6"/>
  <c r="E13" i="6"/>
  <c r="F84" i="6"/>
  <c r="F89" i="6" s="1"/>
  <c r="G84" i="6"/>
  <c r="H85" i="6"/>
  <c r="I90" i="6"/>
  <c r="F76" i="6"/>
  <c r="F81" i="6" s="1"/>
  <c r="G76" i="6"/>
  <c r="F83" i="6"/>
  <c r="H77" i="6"/>
  <c r="I82" i="6"/>
  <c r="F68" i="6"/>
  <c r="F73" i="6" s="1"/>
  <c r="G68" i="6"/>
  <c r="H69" i="6"/>
  <c r="I74" i="6"/>
  <c r="F60" i="6"/>
  <c r="G60" i="6"/>
  <c r="F67" i="6"/>
  <c r="I66" i="6"/>
  <c r="H61" i="6"/>
  <c r="F52" i="6"/>
  <c r="F57" i="6" s="1"/>
  <c r="G52" i="6"/>
  <c r="F59" i="6"/>
  <c r="H56" i="6"/>
  <c r="I58" i="6"/>
  <c r="F44" i="6"/>
  <c r="F49" i="6" s="1"/>
  <c r="G44" i="6"/>
  <c r="F51" i="6"/>
  <c r="I50" i="6"/>
  <c r="H45" i="6"/>
  <c r="F36" i="6"/>
  <c r="F41" i="6" s="1"/>
  <c r="G36" i="6"/>
  <c r="F43" i="6"/>
  <c r="H37" i="6"/>
  <c r="G30" i="6"/>
  <c r="F29" i="6"/>
  <c r="G29" i="6"/>
  <c r="G28" i="6" s="1"/>
  <c r="E29" i="6"/>
  <c r="I34" i="6"/>
  <c r="I32" i="6"/>
  <c r="I24" i="6"/>
  <c r="I26" i="6"/>
  <c r="I21" i="6"/>
  <c r="F20" i="6"/>
  <c r="F25" i="6" s="1"/>
  <c r="G20" i="6"/>
  <c r="F24" i="6"/>
  <c r="G24" i="6"/>
  <c r="F27" i="6"/>
  <c r="E22" i="6"/>
  <c r="I16" i="6"/>
  <c r="I18" i="6"/>
  <c r="I13" i="6"/>
  <c r="F12" i="6"/>
  <c r="F17" i="6" s="1"/>
  <c r="G12" i="6"/>
  <c r="F19" i="6"/>
  <c r="E14" i="6"/>
  <c r="E3" i="6"/>
  <c r="N46" i="4"/>
  <c r="C46" i="4" s="1"/>
  <c r="N47" i="4"/>
  <c r="C47" i="4" s="1"/>
  <c r="N48" i="4"/>
  <c r="C48" i="4" s="1"/>
  <c r="N49" i="4"/>
  <c r="C49" i="4" s="1"/>
  <c r="N50" i="4"/>
  <c r="C50" i="4" s="1"/>
  <c r="N51" i="4"/>
  <c r="C51" i="4" s="1"/>
  <c r="N52" i="4"/>
  <c r="C52" i="4" s="1"/>
  <c r="N45" i="4"/>
  <c r="C45" i="4" s="1"/>
  <c r="N66" i="4"/>
  <c r="C66" i="4" s="1"/>
  <c r="N67" i="4"/>
  <c r="C67" i="4" s="1"/>
  <c r="N68" i="4"/>
  <c r="C68" i="4" s="1"/>
  <c r="N69" i="4"/>
  <c r="C69" i="4" s="1"/>
  <c r="N70" i="4"/>
  <c r="C70" i="4" s="1"/>
  <c r="N71" i="4"/>
  <c r="C71" i="4" s="1"/>
  <c r="N72" i="4"/>
  <c r="C72" i="4" s="1"/>
  <c r="N73" i="4"/>
  <c r="C73" i="4" s="1"/>
  <c r="N74" i="4"/>
  <c r="C74" i="4" s="1"/>
  <c r="N75" i="4"/>
  <c r="C75" i="4" s="1"/>
  <c r="N76" i="4"/>
  <c r="C76" i="4" s="1"/>
  <c r="N65" i="4"/>
  <c r="C65" i="4" s="1"/>
  <c r="N54" i="4"/>
  <c r="C54" i="4" s="1"/>
  <c r="N55" i="4"/>
  <c r="C55" i="4" s="1"/>
  <c r="N56" i="4"/>
  <c r="C56" i="4" s="1"/>
  <c r="N57" i="4"/>
  <c r="C57" i="4" s="1"/>
  <c r="N58" i="4"/>
  <c r="C58" i="4" s="1"/>
  <c r="N59" i="4"/>
  <c r="C59" i="4" s="1"/>
  <c r="N60" i="4"/>
  <c r="C60" i="4" s="1"/>
  <c r="N61" i="4"/>
  <c r="C61" i="4" s="1"/>
  <c r="N62" i="4"/>
  <c r="C62" i="4" s="1"/>
  <c r="N63" i="4"/>
  <c r="C63" i="4" s="1"/>
  <c r="N64" i="4"/>
  <c r="C64" i="4" s="1"/>
  <c r="N53" i="4"/>
  <c r="C53" i="4" s="1"/>
  <c r="G7" i="1"/>
  <c r="P321" i="2"/>
  <c r="A321" i="2" s="1"/>
  <c r="P320" i="2"/>
  <c r="P319" i="2"/>
  <c r="P318" i="2"/>
  <c r="B318" i="2" s="1"/>
  <c r="P317" i="2"/>
  <c r="P316" i="2"/>
  <c r="P315" i="2"/>
  <c r="A315" i="2" s="1"/>
  <c r="P314" i="2"/>
  <c r="P313" i="2"/>
  <c r="B313" i="2" s="1"/>
  <c r="E313" i="2" s="1"/>
  <c r="P312" i="2"/>
  <c r="P311" i="2"/>
  <c r="P310" i="2"/>
  <c r="P309" i="2"/>
  <c r="P308" i="2"/>
  <c r="P307" i="2"/>
  <c r="B307" i="2" s="1"/>
  <c r="P306" i="2"/>
  <c r="P305" i="2"/>
  <c r="P304" i="2"/>
  <c r="P303" i="2"/>
  <c r="P302" i="2"/>
  <c r="P301" i="2"/>
  <c r="P300" i="2"/>
  <c r="P299" i="2"/>
  <c r="A299" i="2" s="1"/>
  <c r="P298" i="2"/>
  <c r="P294" i="2"/>
  <c r="P293" i="2"/>
  <c r="P292" i="2"/>
  <c r="P291" i="2"/>
  <c r="P290" i="2"/>
  <c r="P289" i="2"/>
  <c r="B289" i="2" s="1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G318" i="2"/>
  <c r="G313" i="2"/>
  <c r="F289" i="2"/>
  <c r="E289" i="2"/>
  <c r="D289" i="2"/>
  <c r="H289" i="2" s="1"/>
  <c r="G289" i="2"/>
  <c r="P18" i="2"/>
  <c r="P19" i="2"/>
  <c r="P20" i="2"/>
  <c r="P21" i="2"/>
  <c r="P22" i="2"/>
  <c r="P23" i="2"/>
  <c r="P24" i="2"/>
  <c r="P25" i="2"/>
  <c r="P26" i="2"/>
  <c r="P27" i="2"/>
  <c r="P28" i="2"/>
  <c r="P17" i="2"/>
  <c r="P6" i="2"/>
  <c r="P7" i="2"/>
  <c r="P8" i="2"/>
  <c r="P9" i="2"/>
  <c r="P10" i="2"/>
  <c r="P11" i="2"/>
  <c r="P12" i="2"/>
  <c r="P13" i="2"/>
  <c r="P14" i="2"/>
  <c r="P15" i="2"/>
  <c r="P16" i="2"/>
  <c r="P5" i="2"/>
  <c r="A18" i="3"/>
  <c r="A19" i="3"/>
  <c r="A20" i="3"/>
  <c r="A21" i="3"/>
  <c r="A22" i="3"/>
  <c r="A23" i="3"/>
  <c r="A24" i="3"/>
  <c r="A25" i="3"/>
  <c r="A26" i="3"/>
  <c r="A27" i="3"/>
  <c r="A28" i="3"/>
  <c r="A17" i="3"/>
  <c r="A6" i="3"/>
  <c r="A7" i="3"/>
  <c r="A8" i="3"/>
  <c r="A9" i="3"/>
  <c r="A10" i="3"/>
  <c r="A11" i="3"/>
  <c r="A12" i="3"/>
  <c r="A13" i="3"/>
  <c r="A14" i="3"/>
  <c r="A15" i="3"/>
  <c r="A16" i="3"/>
  <c r="A5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L3" i="6"/>
  <c r="M3" i="6"/>
  <c r="N3" i="6"/>
  <c r="G4" i="6" l="1"/>
  <c r="G9" i="6" s="1"/>
  <c r="F65" i="6"/>
  <c r="F91" i="6"/>
  <c r="F75" i="6"/>
  <c r="G11" i="6"/>
  <c r="G91" i="6"/>
  <c r="G89" i="6"/>
  <c r="G86" i="6"/>
  <c r="G87" i="6" s="1"/>
  <c r="F86" i="6"/>
  <c r="F87" i="6" s="1"/>
  <c r="I88" i="6"/>
  <c r="E86" i="6"/>
  <c r="H88" i="6"/>
  <c r="I85" i="6"/>
  <c r="H90" i="6"/>
  <c r="E84" i="6"/>
  <c r="H84" i="6" s="1"/>
  <c r="G81" i="6"/>
  <c r="G83" i="6"/>
  <c r="G78" i="6"/>
  <c r="G79" i="6" s="1"/>
  <c r="F78" i="6"/>
  <c r="F79" i="6" s="1"/>
  <c r="I80" i="6"/>
  <c r="I77" i="6"/>
  <c r="E78" i="6"/>
  <c r="H80" i="6"/>
  <c r="H82" i="6"/>
  <c r="E76" i="6"/>
  <c r="H76" i="6" s="1"/>
  <c r="G75" i="6"/>
  <c r="G73" i="6"/>
  <c r="G70" i="6"/>
  <c r="G71" i="6" s="1"/>
  <c r="F70" i="6"/>
  <c r="F71" i="6" s="1"/>
  <c r="I72" i="6"/>
  <c r="E70" i="6"/>
  <c r="H72" i="6"/>
  <c r="I69" i="6"/>
  <c r="H74" i="6"/>
  <c r="E68" i="6"/>
  <c r="H68" i="6" s="1"/>
  <c r="G67" i="6"/>
  <c r="G65" i="6"/>
  <c r="G62" i="6"/>
  <c r="G63" i="6" s="1"/>
  <c r="F62" i="6"/>
  <c r="F63" i="6" s="1"/>
  <c r="E60" i="6"/>
  <c r="E65" i="6" s="1"/>
  <c r="I64" i="6"/>
  <c r="E62" i="6"/>
  <c r="H64" i="6"/>
  <c r="I61" i="6"/>
  <c r="H66" i="6"/>
  <c r="G57" i="6"/>
  <c r="G59" i="6"/>
  <c r="G54" i="6"/>
  <c r="G55" i="6" s="1"/>
  <c r="F54" i="6"/>
  <c r="F55" i="6" s="1"/>
  <c r="E52" i="6"/>
  <c r="E59" i="6" s="1"/>
  <c r="I56" i="6"/>
  <c r="H53" i="6"/>
  <c r="E57" i="6"/>
  <c r="E54" i="6"/>
  <c r="H59" i="6"/>
  <c r="H58" i="6"/>
  <c r="I53" i="6"/>
  <c r="H52" i="6"/>
  <c r="G51" i="6"/>
  <c r="G49" i="6"/>
  <c r="G46" i="6"/>
  <c r="G47" i="6" s="1"/>
  <c r="F46" i="6"/>
  <c r="F47" i="6" s="1"/>
  <c r="E44" i="6"/>
  <c r="H44" i="6" s="1"/>
  <c r="I48" i="6"/>
  <c r="I45" i="6"/>
  <c r="E46" i="6"/>
  <c r="H48" i="6"/>
  <c r="H50" i="6"/>
  <c r="G43" i="6"/>
  <c r="G41" i="6"/>
  <c r="G38" i="6"/>
  <c r="G39" i="6" s="1"/>
  <c r="F38" i="6"/>
  <c r="F39" i="6" s="1"/>
  <c r="I42" i="6"/>
  <c r="I40" i="6"/>
  <c r="E38" i="6"/>
  <c r="E36" i="6"/>
  <c r="I37" i="6"/>
  <c r="H40" i="6"/>
  <c r="H42" i="6"/>
  <c r="F28" i="6"/>
  <c r="F33" i="6" s="1"/>
  <c r="E28" i="6"/>
  <c r="E33" i="6" s="1"/>
  <c r="G35" i="6"/>
  <c r="G33" i="6"/>
  <c r="G31" i="6"/>
  <c r="H29" i="6"/>
  <c r="I29" i="6"/>
  <c r="E30" i="6"/>
  <c r="H32" i="6"/>
  <c r="F35" i="6"/>
  <c r="F30" i="6"/>
  <c r="H34" i="6"/>
  <c r="G25" i="6"/>
  <c r="G27" i="6"/>
  <c r="G22" i="6"/>
  <c r="G23" i="6" s="1"/>
  <c r="F22" i="6"/>
  <c r="E20" i="6"/>
  <c r="G19" i="6"/>
  <c r="G17" i="6"/>
  <c r="G14" i="6"/>
  <c r="G15" i="6" s="1"/>
  <c r="F14" i="6"/>
  <c r="F15" i="6" s="1"/>
  <c r="E12" i="6"/>
  <c r="H21" i="6"/>
  <c r="H24" i="6"/>
  <c r="H26" i="6"/>
  <c r="B6" i="2"/>
  <c r="A6" i="2"/>
  <c r="B22" i="2"/>
  <c r="A22" i="2"/>
  <c r="B70" i="2"/>
  <c r="G70" i="2" s="1"/>
  <c r="A70" i="2"/>
  <c r="G2" i="6"/>
  <c r="A5" i="2"/>
  <c r="B5" i="2"/>
  <c r="B9" i="2"/>
  <c r="A9" i="2"/>
  <c r="B17" i="2"/>
  <c r="A17" i="2"/>
  <c r="B21" i="2"/>
  <c r="A21" i="2"/>
  <c r="B59" i="2"/>
  <c r="A59" i="2"/>
  <c r="B71" i="2"/>
  <c r="G71" i="2" s="1"/>
  <c r="A71" i="2"/>
  <c r="A82" i="2"/>
  <c r="B82" i="2"/>
  <c r="A86" i="2"/>
  <c r="B86" i="2"/>
  <c r="A94" i="2"/>
  <c r="B94" i="2"/>
  <c r="G94" i="2" s="1"/>
  <c r="A102" i="2"/>
  <c r="B102" i="2"/>
  <c r="G102" i="2" s="1"/>
  <c r="A113" i="2"/>
  <c r="B113" i="2"/>
  <c r="A125" i="2"/>
  <c r="B125" i="2"/>
  <c r="F125" i="2" s="1"/>
  <c r="A136" i="2"/>
  <c r="B136" i="2"/>
  <c r="A144" i="2"/>
  <c r="B144" i="2"/>
  <c r="A148" i="2"/>
  <c r="B148" i="2"/>
  <c r="G148" i="2" s="1"/>
  <c r="A156" i="2"/>
  <c r="B156" i="2"/>
  <c r="G156" i="2" s="1"/>
  <c r="A167" i="2"/>
  <c r="B167" i="2"/>
  <c r="B175" i="2"/>
  <c r="G175" i="2" s="1"/>
  <c r="A175" i="2"/>
  <c r="A183" i="2"/>
  <c r="B183" i="2"/>
  <c r="G183" i="2" s="1"/>
  <c r="A194" i="2"/>
  <c r="B194" i="2"/>
  <c r="B202" i="2"/>
  <c r="E202" i="2" s="1"/>
  <c r="A202" i="2"/>
  <c r="A210" i="2"/>
  <c r="B210" i="2"/>
  <c r="D210" i="2" s="1"/>
  <c r="A229" i="2"/>
  <c r="B229" i="2"/>
  <c r="D229" i="2" s="1"/>
  <c r="A264" i="2"/>
  <c r="B264" i="2"/>
  <c r="E264" i="2" s="1"/>
  <c r="F2" i="6"/>
  <c r="B16" i="2"/>
  <c r="A16" i="2"/>
  <c r="B12" i="2"/>
  <c r="A12" i="2"/>
  <c r="B8" i="2"/>
  <c r="A8" i="2"/>
  <c r="B28" i="2"/>
  <c r="A28" i="2"/>
  <c r="B24" i="2"/>
  <c r="A24" i="2"/>
  <c r="B20" i="2"/>
  <c r="A20" i="2"/>
  <c r="A56" i="2"/>
  <c r="B56" i="2"/>
  <c r="A60" i="2"/>
  <c r="B60" i="2"/>
  <c r="A64" i="2"/>
  <c r="B64" i="2"/>
  <c r="A68" i="2"/>
  <c r="B68" i="2"/>
  <c r="E68" i="2" s="1"/>
  <c r="A72" i="2"/>
  <c r="B72" i="2"/>
  <c r="D72" i="2" s="1"/>
  <c r="A76" i="2"/>
  <c r="B76" i="2"/>
  <c r="G76" i="2" s="1"/>
  <c r="B83" i="2"/>
  <c r="A83" i="2"/>
  <c r="A87" i="2"/>
  <c r="B87" i="2"/>
  <c r="A91" i="2"/>
  <c r="B91" i="2"/>
  <c r="A95" i="2"/>
  <c r="B95" i="2"/>
  <c r="G95" i="2" s="1"/>
  <c r="A99" i="2"/>
  <c r="B99" i="2"/>
  <c r="G99" i="2" s="1"/>
  <c r="A103" i="2"/>
  <c r="B103" i="2"/>
  <c r="G103" i="2" s="1"/>
  <c r="A110" i="2"/>
  <c r="B110" i="2"/>
  <c r="A114" i="2"/>
  <c r="B114" i="2"/>
  <c r="A118" i="2"/>
  <c r="B118" i="2"/>
  <c r="A122" i="2"/>
  <c r="B122" i="2"/>
  <c r="F122" i="2" s="1"/>
  <c r="A126" i="2"/>
  <c r="B126" i="2"/>
  <c r="F126" i="2" s="1"/>
  <c r="A130" i="2"/>
  <c r="B130" i="2"/>
  <c r="G130" i="2" s="1"/>
  <c r="A137" i="2"/>
  <c r="B137" i="2"/>
  <c r="B141" i="2"/>
  <c r="A141" i="2"/>
  <c r="A145" i="2"/>
  <c r="B145" i="2"/>
  <c r="A149" i="2"/>
  <c r="B149" i="2"/>
  <c r="A153" i="2"/>
  <c r="B153" i="2"/>
  <c r="G153" i="2" s="1"/>
  <c r="B157" i="2"/>
  <c r="G157" i="2" s="1"/>
  <c r="A157" i="2"/>
  <c r="B164" i="2"/>
  <c r="A164" i="2"/>
  <c r="A168" i="2"/>
  <c r="B168" i="2"/>
  <c r="A172" i="2"/>
  <c r="B172" i="2"/>
  <c r="A176" i="2"/>
  <c r="B176" i="2"/>
  <c r="B180" i="2"/>
  <c r="G180" i="2" s="1"/>
  <c r="A180" i="2"/>
  <c r="A184" i="2"/>
  <c r="B184" i="2"/>
  <c r="G184" i="2" s="1"/>
  <c r="A191" i="2"/>
  <c r="B191" i="2"/>
  <c r="A195" i="2"/>
  <c r="B195" i="2"/>
  <c r="A199" i="2"/>
  <c r="B199" i="2"/>
  <c r="B203" i="2"/>
  <c r="A203" i="2"/>
  <c r="A207" i="2"/>
  <c r="B207" i="2"/>
  <c r="E207" i="2" s="1"/>
  <c r="A211" i="2"/>
  <c r="B211" i="2"/>
  <c r="A218" i="2"/>
  <c r="B218" i="2"/>
  <c r="A222" i="2"/>
  <c r="B222" i="2"/>
  <c r="A226" i="2"/>
  <c r="B226" i="2"/>
  <c r="A230" i="2"/>
  <c r="B230" i="2"/>
  <c r="A234" i="2"/>
  <c r="B234" i="2"/>
  <c r="D234" i="2" s="1"/>
  <c r="A238" i="2"/>
  <c r="B238" i="2"/>
  <c r="D238" i="2" s="1"/>
  <c r="B245" i="2"/>
  <c r="A245" i="2"/>
  <c r="A249" i="2"/>
  <c r="B249" i="2"/>
  <c r="A253" i="2"/>
  <c r="B253" i="2"/>
  <c r="A257" i="2"/>
  <c r="B257" i="2"/>
  <c r="F257" i="2" s="1"/>
  <c r="A261" i="2"/>
  <c r="B261" i="2"/>
  <c r="G261" i="2" s="1"/>
  <c r="A265" i="2"/>
  <c r="B265" i="2"/>
  <c r="B272" i="2"/>
  <c r="A272" i="2"/>
  <c r="B276" i="2"/>
  <c r="A276" i="2"/>
  <c r="A280" i="2"/>
  <c r="B280" i="2"/>
  <c r="B284" i="2"/>
  <c r="A284" i="2"/>
  <c r="B13" i="2"/>
  <c r="A13" i="2"/>
  <c r="B25" i="2"/>
  <c r="A25" i="2"/>
  <c r="A55" i="2"/>
  <c r="B55" i="2"/>
  <c r="B63" i="2"/>
  <c r="A63" i="2"/>
  <c r="B67" i="2"/>
  <c r="D67" i="2" s="1"/>
  <c r="A67" i="2"/>
  <c r="B75" i="2"/>
  <c r="G75" i="2" s="1"/>
  <c r="A75" i="2"/>
  <c r="A90" i="2"/>
  <c r="B90" i="2"/>
  <c r="A98" i="2"/>
  <c r="B98" i="2"/>
  <c r="G98" i="2" s="1"/>
  <c r="A109" i="2"/>
  <c r="B109" i="2"/>
  <c r="A117" i="2"/>
  <c r="B117" i="2"/>
  <c r="A121" i="2"/>
  <c r="B121" i="2"/>
  <c r="F121" i="2" s="1"/>
  <c r="A129" i="2"/>
  <c r="B129" i="2"/>
  <c r="G129" i="2" s="1"/>
  <c r="A140" i="2"/>
  <c r="B140" i="2"/>
  <c r="A152" i="2"/>
  <c r="B152" i="2"/>
  <c r="G152" i="2" s="1"/>
  <c r="A163" i="2"/>
  <c r="B163" i="2"/>
  <c r="A171" i="2"/>
  <c r="B171" i="2"/>
  <c r="B179" i="2"/>
  <c r="G179" i="2" s="1"/>
  <c r="A179" i="2"/>
  <c r="B190" i="2"/>
  <c r="A190" i="2"/>
  <c r="B198" i="2"/>
  <c r="A198" i="2"/>
  <c r="A206" i="2"/>
  <c r="B206" i="2"/>
  <c r="E206" i="2" s="1"/>
  <c r="B217" i="2"/>
  <c r="A217" i="2"/>
  <c r="A221" i="2"/>
  <c r="B221" i="2"/>
  <c r="A225" i="2"/>
  <c r="B225" i="2"/>
  <c r="A233" i="2"/>
  <c r="B233" i="2"/>
  <c r="B237" i="2"/>
  <c r="D237" i="2" s="1"/>
  <c r="A237" i="2"/>
  <c r="A244" i="2"/>
  <c r="B244" i="2"/>
  <c r="A248" i="2"/>
  <c r="B248" i="2"/>
  <c r="A252" i="2"/>
  <c r="B252" i="2"/>
  <c r="A256" i="2"/>
  <c r="B256" i="2"/>
  <c r="A260" i="2"/>
  <c r="B260" i="2"/>
  <c r="F260" i="2" s="1"/>
  <c r="A271" i="2"/>
  <c r="B271" i="2"/>
  <c r="A275" i="2"/>
  <c r="B275" i="2"/>
  <c r="B279" i="2"/>
  <c r="A279" i="2"/>
  <c r="B283" i="2"/>
  <c r="A283" i="2"/>
  <c r="B287" i="2"/>
  <c r="A287" i="2"/>
  <c r="A291" i="2"/>
  <c r="B291" i="2"/>
  <c r="G291" i="2" s="1"/>
  <c r="A298" i="2"/>
  <c r="B298" i="2"/>
  <c r="B302" i="2"/>
  <c r="A302" i="2"/>
  <c r="B306" i="2"/>
  <c r="A306" i="2"/>
  <c r="A310" i="2"/>
  <c r="B310" i="2"/>
  <c r="F310" i="2" s="1"/>
  <c r="A314" i="2"/>
  <c r="B314" i="2"/>
  <c r="E314" i="2" s="1"/>
  <c r="A15" i="2"/>
  <c r="B15" i="2"/>
  <c r="A11" i="2"/>
  <c r="B11" i="2"/>
  <c r="A7" i="2"/>
  <c r="B7" i="2"/>
  <c r="A27" i="2"/>
  <c r="B27" i="2"/>
  <c r="A23" i="2"/>
  <c r="B23" i="2"/>
  <c r="A19" i="2"/>
  <c r="B19" i="2"/>
  <c r="B57" i="2"/>
  <c r="A57" i="2"/>
  <c r="B61" i="2"/>
  <c r="A61" i="2"/>
  <c r="B65" i="2"/>
  <c r="A65" i="2"/>
  <c r="B69" i="2"/>
  <c r="G69" i="2" s="1"/>
  <c r="A69" i="2"/>
  <c r="B73" i="2"/>
  <c r="G73" i="2" s="1"/>
  <c r="A73" i="2"/>
  <c r="B77" i="2"/>
  <c r="G77" i="2" s="1"/>
  <c r="A77" i="2"/>
  <c r="A84" i="2"/>
  <c r="B84" i="2"/>
  <c r="A88" i="2"/>
  <c r="B88" i="2"/>
  <c r="A92" i="2"/>
  <c r="B92" i="2"/>
  <c r="A96" i="2"/>
  <c r="B96" i="2"/>
  <c r="G96" i="2" s="1"/>
  <c r="A100" i="2"/>
  <c r="B100" i="2"/>
  <c r="G100" i="2" s="1"/>
  <c r="A104" i="2"/>
  <c r="B104" i="2"/>
  <c r="G104" i="2" s="1"/>
  <c r="A111" i="2"/>
  <c r="B111" i="2"/>
  <c r="A115" i="2"/>
  <c r="B115" i="2"/>
  <c r="A119" i="2"/>
  <c r="B119" i="2"/>
  <c r="B123" i="2"/>
  <c r="F123" i="2" s="1"/>
  <c r="A123" i="2"/>
  <c r="A127" i="2"/>
  <c r="B127" i="2"/>
  <c r="G127" i="2" s="1"/>
  <c r="A131" i="2"/>
  <c r="B131" i="2"/>
  <c r="G131" i="2" s="1"/>
  <c r="A138" i="2"/>
  <c r="B138" i="2"/>
  <c r="A142" i="2"/>
  <c r="B142" i="2"/>
  <c r="B146" i="2"/>
  <c r="A146" i="2"/>
  <c r="A150" i="2"/>
  <c r="B150" i="2"/>
  <c r="G150" i="2" s="1"/>
  <c r="A154" i="2"/>
  <c r="B154" i="2"/>
  <c r="G154" i="2" s="1"/>
  <c r="A158" i="2"/>
  <c r="B158" i="2"/>
  <c r="G158" i="2" s="1"/>
  <c r="A165" i="2"/>
  <c r="B165" i="2"/>
  <c r="A169" i="2"/>
  <c r="B169" i="2"/>
  <c r="A173" i="2"/>
  <c r="B173" i="2"/>
  <c r="A177" i="2"/>
  <c r="B177" i="2"/>
  <c r="G177" i="2" s="1"/>
  <c r="A181" i="2"/>
  <c r="B181" i="2"/>
  <c r="G181" i="2" s="1"/>
  <c r="A185" i="2"/>
  <c r="B185" i="2"/>
  <c r="G185" i="2" s="1"/>
  <c r="A192" i="2"/>
  <c r="B192" i="2"/>
  <c r="A196" i="2"/>
  <c r="B196" i="2"/>
  <c r="A200" i="2"/>
  <c r="B200" i="2"/>
  <c r="A204" i="2"/>
  <c r="B204" i="2"/>
  <c r="E204" i="2" s="1"/>
  <c r="A208" i="2"/>
  <c r="B208" i="2"/>
  <c r="D208" i="2" s="1"/>
  <c r="A212" i="2"/>
  <c r="B212" i="2"/>
  <c r="D212" i="2" s="1"/>
  <c r="B219" i="2"/>
  <c r="A219" i="2"/>
  <c r="B223" i="2"/>
  <c r="A223" i="2"/>
  <c r="B227" i="2"/>
  <c r="A227" i="2"/>
  <c r="A231" i="2"/>
  <c r="B231" i="2"/>
  <c r="D231" i="2" s="1"/>
  <c r="A235" i="2"/>
  <c r="B235" i="2"/>
  <c r="D235" i="2" s="1"/>
  <c r="A239" i="2"/>
  <c r="B239" i="2"/>
  <c r="B246" i="2"/>
  <c r="A246" i="2"/>
  <c r="B250" i="2"/>
  <c r="A250" i="2"/>
  <c r="B254" i="2"/>
  <c r="A254" i="2"/>
  <c r="B258" i="2"/>
  <c r="A258" i="2"/>
  <c r="B262" i="2"/>
  <c r="G262" i="2" s="1"/>
  <c r="A262" i="2"/>
  <c r="B266" i="2"/>
  <c r="F266" i="2" s="1"/>
  <c r="A266" i="2"/>
  <c r="B273" i="2"/>
  <c r="A273" i="2"/>
  <c r="B277" i="2"/>
  <c r="A277" i="2"/>
  <c r="B281" i="2"/>
  <c r="A281" i="2"/>
  <c r="B285" i="2"/>
  <c r="A285" i="2"/>
  <c r="B14" i="2"/>
  <c r="A14" i="2"/>
  <c r="B10" i="2"/>
  <c r="A10" i="2"/>
  <c r="B26" i="2"/>
  <c r="A26" i="2"/>
  <c r="B18" i="2"/>
  <c r="A18" i="2"/>
  <c r="B58" i="2"/>
  <c r="A58" i="2"/>
  <c r="B62" i="2"/>
  <c r="A62" i="2"/>
  <c r="B66" i="2"/>
  <c r="A66" i="2"/>
  <c r="B74" i="2"/>
  <c r="G74" i="2" s="1"/>
  <c r="A74" i="2"/>
  <c r="B78" i="2"/>
  <c r="A78" i="2"/>
  <c r="A85" i="2"/>
  <c r="B85" i="2"/>
  <c r="A89" i="2"/>
  <c r="B89" i="2"/>
  <c r="A93" i="2"/>
  <c r="B93" i="2"/>
  <c r="A97" i="2"/>
  <c r="B97" i="2"/>
  <c r="G97" i="2" s="1"/>
  <c r="A101" i="2"/>
  <c r="B101" i="2"/>
  <c r="G101" i="2" s="1"/>
  <c r="A105" i="2"/>
  <c r="B105" i="2"/>
  <c r="G105" i="2" s="1"/>
  <c r="A112" i="2"/>
  <c r="B112" i="2"/>
  <c r="A116" i="2"/>
  <c r="B116" i="2"/>
  <c r="A120" i="2"/>
  <c r="B120" i="2"/>
  <c r="A124" i="2"/>
  <c r="B124" i="2"/>
  <c r="F124" i="2" s="1"/>
  <c r="A128" i="2"/>
  <c r="B128" i="2"/>
  <c r="G128" i="2" s="1"/>
  <c r="A132" i="2"/>
  <c r="B132" i="2"/>
  <c r="G132" i="2" s="1"/>
  <c r="A139" i="2"/>
  <c r="B139" i="2"/>
  <c r="A143" i="2"/>
  <c r="B143" i="2"/>
  <c r="A147" i="2"/>
  <c r="B147" i="2"/>
  <c r="B151" i="2"/>
  <c r="G151" i="2" s="1"/>
  <c r="A151" i="2"/>
  <c r="A155" i="2"/>
  <c r="B155" i="2"/>
  <c r="A159" i="2"/>
  <c r="B159" i="2"/>
  <c r="G159" i="2" s="1"/>
  <c r="A166" i="2"/>
  <c r="B166" i="2"/>
  <c r="A170" i="2"/>
  <c r="B170" i="2"/>
  <c r="A174" i="2"/>
  <c r="B174" i="2"/>
  <c r="A178" i="2"/>
  <c r="B178" i="2"/>
  <c r="G178" i="2" s="1"/>
  <c r="A182" i="2"/>
  <c r="B182" i="2"/>
  <c r="A186" i="2"/>
  <c r="B186" i="2"/>
  <c r="G186" i="2" s="1"/>
  <c r="B193" i="2"/>
  <c r="A193" i="2"/>
  <c r="B197" i="2"/>
  <c r="A197" i="2"/>
  <c r="B201" i="2"/>
  <c r="A201" i="2"/>
  <c r="A205" i="2"/>
  <c r="B205" i="2"/>
  <c r="E205" i="2" s="1"/>
  <c r="B209" i="2"/>
  <c r="D209" i="2" s="1"/>
  <c r="A209" i="2"/>
  <c r="B213" i="2"/>
  <c r="A213" i="2"/>
  <c r="A220" i="2"/>
  <c r="B220" i="2"/>
  <c r="A224" i="2"/>
  <c r="B224" i="2"/>
  <c r="A228" i="2"/>
  <c r="B228" i="2"/>
  <c r="B232" i="2"/>
  <c r="D232" i="2" s="1"/>
  <c r="A232" i="2"/>
  <c r="B236" i="2"/>
  <c r="D236" i="2" s="1"/>
  <c r="A236" i="2"/>
  <c r="B240" i="2"/>
  <c r="D240" i="2" s="1"/>
  <c r="A240" i="2"/>
  <c r="B247" i="2"/>
  <c r="A247" i="2"/>
  <c r="A251" i="2"/>
  <c r="B251" i="2"/>
  <c r="B255" i="2"/>
  <c r="A255" i="2"/>
  <c r="B259" i="2"/>
  <c r="A259" i="2"/>
  <c r="B263" i="2"/>
  <c r="E263" i="2" s="1"/>
  <c r="A263" i="2"/>
  <c r="A267" i="2"/>
  <c r="B267" i="2"/>
  <c r="E267" i="2" s="1"/>
  <c r="A274" i="2"/>
  <c r="B274" i="2"/>
  <c r="A278" i="2"/>
  <c r="B278" i="2"/>
  <c r="A282" i="2"/>
  <c r="B282" i="2"/>
  <c r="A286" i="2"/>
  <c r="B286" i="2"/>
  <c r="A290" i="2"/>
  <c r="B290" i="2"/>
  <c r="F290" i="2" s="1"/>
  <c r="A294" i="2"/>
  <c r="B294" i="2"/>
  <c r="G294" i="2" s="1"/>
  <c r="B301" i="2"/>
  <c r="A301" i="2"/>
  <c r="A305" i="2"/>
  <c r="B305" i="2"/>
  <c r="A309" i="2"/>
  <c r="B309" i="2"/>
  <c r="B75" i="4"/>
  <c r="B71" i="4"/>
  <c r="B67" i="4"/>
  <c r="B63" i="4"/>
  <c r="B59" i="4"/>
  <c r="B55" i="4"/>
  <c r="B51" i="4"/>
  <c r="B47" i="4"/>
  <c r="B321" i="2"/>
  <c r="E321" i="2" s="1"/>
  <c r="B299" i="2"/>
  <c r="B288" i="2"/>
  <c r="E288" i="2" s="1"/>
  <c r="A288" i="2"/>
  <c r="B292" i="2"/>
  <c r="A292" i="2"/>
  <c r="A303" i="2"/>
  <c r="B303" i="2"/>
  <c r="B311" i="2"/>
  <c r="E311" i="2" s="1"/>
  <c r="A311" i="2"/>
  <c r="A319" i="2"/>
  <c r="B319" i="2"/>
  <c r="B74" i="4"/>
  <c r="B70" i="4"/>
  <c r="B66" i="4"/>
  <c r="B62" i="4"/>
  <c r="B58" i="4"/>
  <c r="B54" i="4"/>
  <c r="B50" i="4"/>
  <c r="B46" i="4"/>
  <c r="B315" i="2"/>
  <c r="E315" i="2" s="1"/>
  <c r="A289" i="2"/>
  <c r="A318" i="2"/>
  <c r="B293" i="2"/>
  <c r="F293" i="2" s="1"/>
  <c r="A293" i="2"/>
  <c r="A300" i="2"/>
  <c r="B300" i="2"/>
  <c r="A304" i="2"/>
  <c r="B304" i="2"/>
  <c r="A308" i="2"/>
  <c r="B308" i="2"/>
  <c r="A312" i="2"/>
  <c r="B312" i="2"/>
  <c r="E312" i="2" s="1"/>
  <c r="A316" i="2"/>
  <c r="B316" i="2"/>
  <c r="D316" i="2" s="1"/>
  <c r="A320" i="2"/>
  <c r="B320" i="2"/>
  <c r="F320" i="2" s="1"/>
  <c r="B45" i="4"/>
  <c r="B73" i="4"/>
  <c r="B69" i="4"/>
  <c r="B65" i="4"/>
  <c r="B61" i="4"/>
  <c r="B57" i="4"/>
  <c r="B53" i="4"/>
  <c r="B49" i="4"/>
  <c r="A313" i="2"/>
  <c r="B317" i="2"/>
  <c r="G317" i="2" s="1"/>
  <c r="A317" i="2"/>
  <c r="B76" i="4"/>
  <c r="B72" i="4"/>
  <c r="B68" i="4"/>
  <c r="B64" i="4"/>
  <c r="B60" i="4"/>
  <c r="B56" i="4"/>
  <c r="B52" i="4"/>
  <c r="B48" i="4"/>
  <c r="A307" i="2"/>
  <c r="E318" i="2"/>
  <c r="G293" i="2"/>
  <c r="G267" i="2"/>
  <c r="G78" i="2"/>
  <c r="E291" i="2"/>
  <c r="G260" i="2"/>
  <c r="G149" i="2"/>
  <c r="G155" i="2"/>
  <c r="G176" i="2"/>
  <c r="G182" i="2"/>
  <c r="E203" i="2"/>
  <c r="F208" i="2"/>
  <c r="D213" i="2"/>
  <c r="D233" i="2"/>
  <c r="D239" i="2"/>
  <c r="H239" i="2" s="1"/>
  <c r="G257" i="2"/>
  <c r="E259" i="2"/>
  <c r="G264" i="2"/>
  <c r="G266" i="2"/>
  <c r="E283" i="2"/>
  <c r="G286" i="2"/>
  <c r="G288" i="2"/>
  <c r="G290" i="2"/>
  <c r="E292" i="2"/>
  <c r="G316" i="2"/>
  <c r="G319" i="2"/>
  <c r="D318" i="2"/>
  <c r="G314" i="2"/>
  <c r="D319" i="2"/>
  <c r="E319" i="2"/>
  <c r="E316" i="2"/>
  <c r="H316" i="2" s="1"/>
  <c r="F321" i="2"/>
  <c r="G315" i="2"/>
  <c r="D320" i="2"/>
  <c r="G310" i="2"/>
  <c r="F311" i="2"/>
  <c r="F313" i="2"/>
  <c r="D310" i="2"/>
  <c r="F318" i="2"/>
  <c r="C318" i="2" s="1"/>
  <c r="I318" i="2" s="1"/>
  <c r="F319" i="2"/>
  <c r="E310" i="2"/>
  <c r="D313" i="2"/>
  <c r="D314" i="2"/>
  <c r="E125" i="2"/>
  <c r="G205" i="2"/>
  <c r="E257" i="2"/>
  <c r="E260" i="2"/>
  <c r="E266" i="2"/>
  <c r="E284" i="2"/>
  <c r="E287" i="2"/>
  <c r="C289" i="2"/>
  <c r="L289" i="2" s="1"/>
  <c r="E290" i="2"/>
  <c r="E293" i="2"/>
  <c r="G233" i="2"/>
  <c r="G238" i="2"/>
  <c r="E211" i="2"/>
  <c r="D258" i="2"/>
  <c r="D264" i="2"/>
  <c r="H264" i="2" s="1"/>
  <c r="D267" i="2"/>
  <c r="H267" i="2" s="1"/>
  <c r="D285" i="2"/>
  <c r="D291" i="2"/>
  <c r="D294" i="2"/>
  <c r="C266" i="2"/>
  <c r="I266" i="2" s="1"/>
  <c r="E294" i="2"/>
  <c r="G208" i="2"/>
  <c r="G211" i="2"/>
  <c r="D257" i="2"/>
  <c r="F258" i="2"/>
  <c r="D260" i="2"/>
  <c r="D263" i="2"/>
  <c r="F264" i="2"/>
  <c r="D266" i="2"/>
  <c r="F267" i="2"/>
  <c r="D284" i="2"/>
  <c r="F285" i="2"/>
  <c r="D287" i="2"/>
  <c r="F288" i="2"/>
  <c r="D290" i="2"/>
  <c r="F291" i="2"/>
  <c r="D293" i="2"/>
  <c r="F294" i="2"/>
  <c r="K289" i="2"/>
  <c r="G202" i="2"/>
  <c r="F205" i="2"/>
  <c r="E208" i="2"/>
  <c r="H208" i="2" s="1"/>
  <c r="G235" i="2"/>
  <c r="F238" i="2"/>
  <c r="G203" i="2"/>
  <c r="E229" i="2"/>
  <c r="H229" i="2" s="1"/>
  <c r="G206" i="2"/>
  <c r="F229" i="2"/>
  <c r="E232" i="2"/>
  <c r="G239" i="2"/>
  <c r="D202" i="2"/>
  <c r="H202" i="2" s="1"/>
  <c r="G229" i="2"/>
  <c r="F232" i="2"/>
  <c r="E235" i="2"/>
  <c r="F202" i="2"/>
  <c r="D205" i="2"/>
  <c r="G212" i="2"/>
  <c r="G232" i="2"/>
  <c r="F235" i="2"/>
  <c r="E238" i="2"/>
  <c r="H238" i="2" s="1"/>
  <c r="F203" i="2"/>
  <c r="F206" i="2"/>
  <c r="F209" i="2"/>
  <c r="F212" i="2"/>
  <c r="F230" i="2"/>
  <c r="F233" i="2"/>
  <c r="F236" i="2"/>
  <c r="F239" i="2"/>
  <c r="D204" i="2"/>
  <c r="H204" i="2" s="1"/>
  <c r="E210" i="2"/>
  <c r="H210" i="2" s="1"/>
  <c r="E213" i="2"/>
  <c r="E231" i="2"/>
  <c r="E237" i="2"/>
  <c r="H237" i="2" s="1"/>
  <c r="E240" i="2"/>
  <c r="F103" i="2"/>
  <c r="F204" i="2"/>
  <c r="F207" i="2"/>
  <c r="F210" i="2"/>
  <c r="F213" i="2"/>
  <c r="F231" i="2"/>
  <c r="F234" i="2"/>
  <c r="F237" i="2"/>
  <c r="F240" i="2"/>
  <c r="D203" i="2"/>
  <c r="G204" i="2"/>
  <c r="D206" i="2"/>
  <c r="G207" i="2"/>
  <c r="G210" i="2"/>
  <c r="E212" i="2"/>
  <c r="G213" i="2"/>
  <c r="E230" i="2"/>
  <c r="G231" i="2"/>
  <c r="E233" i="2"/>
  <c r="G234" i="2"/>
  <c r="G237" i="2"/>
  <c r="E239" i="2"/>
  <c r="G240" i="2"/>
  <c r="H240" i="2"/>
  <c r="H235" i="2"/>
  <c r="E122" i="2"/>
  <c r="D123" i="2"/>
  <c r="D68" i="2"/>
  <c r="H68" i="2" s="1"/>
  <c r="E123" i="2"/>
  <c r="E73" i="2"/>
  <c r="D76" i="2"/>
  <c r="F95" i="2"/>
  <c r="G123" i="2"/>
  <c r="E126" i="2"/>
  <c r="E76" i="2"/>
  <c r="G68" i="2"/>
  <c r="F98" i="2"/>
  <c r="G122" i="2"/>
  <c r="D124" i="2"/>
  <c r="G125" i="2"/>
  <c r="D127" i="2"/>
  <c r="D129" i="2"/>
  <c r="D131" i="2"/>
  <c r="D148" i="2"/>
  <c r="D150" i="2"/>
  <c r="D152" i="2"/>
  <c r="D154" i="2"/>
  <c r="D156" i="2"/>
  <c r="D158" i="2"/>
  <c r="E124" i="2"/>
  <c r="F127" i="2"/>
  <c r="F129" i="2"/>
  <c r="F131" i="2"/>
  <c r="F148" i="2"/>
  <c r="F150" i="2"/>
  <c r="F152" i="2"/>
  <c r="F154" i="2"/>
  <c r="F156" i="2"/>
  <c r="F158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G121" i="2"/>
  <c r="G12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F67" i="2"/>
  <c r="F70" i="2"/>
  <c r="D100" i="2"/>
  <c r="D128" i="2"/>
  <c r="D130" i="2"/>
  <c r="D132" i="2"/>
  <c r="D149" i="2"/>
  <c r="D151" i="2"/>
  <c r="D153" i="2"/>
  <c r="D155" i="2"/>
  <c r="D157" i="2"/>
  <c r="D159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00" i="2"/>
  <c r="D122" i="2"/>
  <c r="D125" i="2"/>
  <c r="F128" i="2"/>
  <c r="F130" i="2"/>
  <c r="F132" i="2"/>
  <c r="F149" i="2"/>
  <c r="F151" i="2"/>
  <c r="F153" i="2"/>
  <c r="F155" i="2"/>
  <c r="F157" i="2"/>
  <c r="F159" i="2"/>
  <c r="E70" i="2"/>
  <c r="E103" i="2"/>
  <c r="D94" i="2"/>
  <c r="F101" i="2"/>
  <c r="F71" i="2"/>
  <c r="F76" i="2"/>
  <c r="E94" i="2"/>
  <c r="D97" i="2"/>
  <c r="F104" i="2"/>
  <c r="E127" i="2"/>
  <c r="E128" i="2"/>
  <c r="E129" i="2"/>
  <c r="E130" i="2"/>
  <c r="E131" i="2"/>
  <c r="E132" i="2"/>
  <c r="E148" i="2"/>
  <c r="E149" i="2"/>
  <c r="E150" i="2"/>
  <c r="E151" i="2"/>
  <c r="E152" i="2"/>
  <c r="E153" i="2"/>
  <c r="H153" i="2" s="1"/>
  <c r="E154" i="2"/>
  <c r="E155" i="2"/>
  <c r="E156" i="2"/>
  <c r="E157" i="2"/>
  <c r="E158" i="2"/>
  <c r="E159" i="2"/>
  <c r="F94" i="2"/>
  <c r="E97" i="2"/>
  <c r="G67" i="2"/>
  <c r="D70" i="2"/>
  <c r="F77" i="2"/>
  <c r="F97" i="2"/>
  <c r="E100" i="2"/>
  <c r="D103" i="2"/>
  <c r="E67" i="2"/>
  <c r="H67" i="2" s="1"/>
  <c r="F68" i="2"/>
  <c r="E77" i="2"/>
  <c r="E95" i="2"/>
  <c r="E98" i="2"/>
  <c r="E101" i="2"/>
  <c r="E104" i="2"/>
  <c r="D69" i="2"/>
  <c r="D75" i="2"/>
  <c r="D78" i="2"/>
  <c r="D96" i="2"/>
  <c r="D102" i="2"/>
  <c r="D105" i="2"/>
  <c r="E69" i="2"/>
  <c r="E75" i="2"/>
  <c r="E78" i="2"/>
  <c r="E96" i="2"/>
  <c r="E102" i="2"/>
  <c r="E105" i="2"/>
  <c r="F69" i="2"/>
  <c r="F72" i="2"/>
  <c r="F75" i="2"/>
  <c r="D77" i="2"/>
  <c r="F78" i="2"/>
  <c r="D95" i="2"/>
  <c r="F96" i="2"/>
  <c r="D98" i="2"/>
  <c r="F99" i="2"/>
  <c r="D101" i="2"/>
  <c r="F102" i="2"/>
  <c r="D104" i="2"/>
  <c r="H104" i="2" s="1"/>
  <c r="F105" i="2"/>
  <c r="E2" i="6"/>
  <c r="Z7" i="1"/>
  <c r="E31" i="6" l="1"/>
  <c r="H28" i="6"/>
  <c r="E35" i="6"/>
  <c r="I28" i="6"/>
  <c r="E39" i="6"/>
  <c r="H60" i="6"/>
  <c r="E67" i="6"/>
  <c r="I60" i="6"/>
  <c r="E63" i="6"/>
  <c r="H63" i="6" s="1"/>
  <c r="I52" i="6"/>
  <c r="E49" i="6"/>
  <c r="H49" i="6" s="1"/>
  <c r="E51" i="6"/>
  <c r="H51" i="6" s="1"/>
  <c r="E47" i="6"/>
  <c r="I44" i="6"/>
  <c r="F23" i="6"/>
  <c r="I22" i="6"/>
  <c r="E25" i="6"/>
  <c r="I20" i="6"/>
  <c r="E27" i="6"/>
  <c r="I14" i="6"/>
  <c r="E17" i="6"/>
  <c r="I12" i="6"/>
  <c r="E19" i="6"/>
  <c r="H86" i="6"/>
  <c r="I86" i="6"/>
  <c r="E89" i="6"/>
  <c r="H89" i="6" s="1"/>
  <c r="E91" i="6"/>
  <c r="H91" i="6" s="1"/>
  <c r="E87" i="6"/>
  <c r="H87" i="6" s="1"/>
  <c r="I84" i="6"/>
  <c r="H78" i="6"/>
  <c r="I76" i="6"/>
  <c r="E79" i="6"/>
  <c r="I78" i="6"/>
  <c r="E81" i="6"/>
  <c r="H81" i="6" s="1"/>
  <c r="E83" i="6"/>
  <c r="H83" i="6" s="1"/>
  <c r="H79" i="6"/>
  <c r="I70" i="6"/>
  <c r="E73" i="6"/>
  <c r="H73" i="6" s="1"/>
  <c r="E75" i="6"/>
  <c r="H75" i="6" s="1"/>
  <c r="I68" i="6"/>
  <c r="E71" i="6"/>
  <c r="H71" i="6" s="1"/>
  <c r="H70" i="6"/>
  <c r="H65" i="6"/>
  <c r="H67" i="6"/>
  <c r="H62" i="6"/>
  <c r="I62" i="6"/>
  <c r="H57" i="6"/>
  <c r="E55" i="6"/>
  <c r="H55" i="6" s="1"/>
  <c r="H54" i="6"/>
  <c r="I54" i="6"/>
  <c r="H47" i="6"/>
  <c r="I46" i="6"/>
  <c r="H46" i="6"/>
  <c r="H38" i="6"/>
  <c r="I38" i="6"/>
  <c r="I36" i="6"/>
  <c r="H39" i="6"/>
  <c r="H36" i="6"/>
  <c r="E43" i="6"/>
  <c r="H43" i="6" s="1"/>
  <c r="E41" i="6"/>
  <c r="H41" i="6" s="1"/>
  <c r="F31" i="6"/>
  <c r="I30" i="6"/>
  <c r="H30" i="6"/>
  <c r="E23" i="6"/>
  <c r="E15" i="6"/>
  <c r="H22" i="6"/>
  <c r="H20" i="6"/>
  <c r="D74" i="2"/>
  <c r="E121" i="2"/>
  <c r="G126" i="2"/>
  <c r="D126" i="2"/>
  <c r="E236" i="2"/>
  <c r="E209" i="2"/>
  <c r="H209" i="2" s="1"/>
  <c r="E234" i="2"/>
  <c r="H234" i="2" s="1"/>
  <c r="D207" i="2"/>
  <c r="H207" i="2" s="1"/>
  <c r="G209" i="2"/>
  <c r="F261" i="2"/>
  <c r="F314" i="2"/>
  <c r="G320" i="2"/>
  <c r="D315" i="2"/>
  <c r="G321" i="2"/>
  <c r="E317" i="2"/>
  <c r="G311" i="2"/>
  <c r="E261" i="2"/>
  <c r="G72" i="2"/>
  <c r="E286" i="2"/>
  <c r="D286" i="2"/>
  <c r="H286" i="2" s="1"/>
  <c r="F286" i="2"/>
  <c r="C286" i="2" s="1"/>
  <c r="F287" i="2"/>
  <c r="G287" i="2"/>
  <c r="G259" i="2"/>
  <c r="F259" i="2"/>
  <c r="D259" i="2"/>
  <c r="H259" i="2" s="1"/>
  <c r="E285" i="2"/>
  <c r="G285" i="2"/>
  <c r="E258" i="2"/>
  <c r="H258" i="2" s="1"/>
  <c r="G258" i="2"/>
  <c r="F265" i="2"/>
  <c r="E265" i="2"/>
  <c r="D265" i="2"/>
  <c r="G265" i="2"/>
  <c r="D230" i="2"/>
  <c r="H230" i="2" s="1"/>
  <c r="G230" i="2"/>
  <c r="D211" i="2"/>
  <c r="H211" i="2" s="1"/>
  <c r="F211" i="2"/>
  <c r="H285" i="2"/>
  <c r="E74" i="2"/>
  <c r="D121" i="2"/>
  <c r="D312" i="2"/>
  <c r="E320" i="2"/>
  <c r="F315" i="2"/>
  <c r="D321" i="2"/>
  <c r="C321" i="2" s="1"/>
  <c r="I321" i="2" s="1"/>
  <c r="D71" i="2"/>
  <c r="E99" i="2"/>
  <c r="E72" i="2"/>
  <c r="D99" i="2"/>
  <c r="E71" i="2"/>
  <c r="H122" i="2"/>
  <c r="F73" i="2"/>
  <c r="D73" i="2"/>
  <c r="F74" i="2"/>
  <c r="H213" i="2"/>
  <c r="C205" i="2"/>
  <c r="I205" i="2" s="1"/>
  <c r="G236" i="2"/>
  <c r="D288" i="2"/>
  <c r="H288" i="2" s="1"/>
  <c r="D261" i="2"/>
  <c r="D311" i="2"/>
  <c r="C311" i="2" s="1"/>
  <c r="F317" i="2"/>
  <c r="L317" i="2" s="1"/>
  <c r="F312" i="2"/>
  <c r="G312" i="2"/>
  <c r="D317" i="2"/>
  <c r="C317" i="2" s="1"/>
  <c r="F316" i="2"/>
  <c r="F283" i="2"/>
  <c r="L283" i="2" s="1"/>
  <c r="D283" i="2"/>
  <c r="C283" i="2" s="1"/>
  <c r="G283" i="2"/>
  <c r="F284" i="2"/>
  <c r="G284" i="2"/>
  <c r="C259" i="2"/>
  <c r="L259" i="2" s="1"/>
  <c r="F292" i="2"/>
  <c r="G292" i="2"/>
  <c r="D292" i="2"/>
  <c r="H292" i="2" s="1"/>
  <c r="F263" i="2"/>
  <c r="G263" i="2"/>
  <c r="F262" i="2"/>
  <c r="D262" i="2"/>
  <c r="H262" i="2" s="1"/>
  <c r="E262" i="2"/>
  <c r="D256" i="2"/>
  <c r="G256" i="2"/>
  <c r="F256" i="2"/>
  <c r="E256" i="2"/>
  <c r="H318" i="2"/>
  <c r="I289" i="2"/>
  <c r="J289" i="2"/>
  <c r="C264" i="2"/>
  <c r="I264" i="2" s="1"/>
  <c r="C238" i="2"/>
  <c r="I238" i="2" s="1"/>
  <c r="H291" i="2"/>
  <c r="C206" i="2"/>
  <c r="I206" i="2" s="1"/>
  <c r="C204" i="2"/>
  <c r="K204" i="2" s="1"/>
  <c r="J259" i="2"/>
  <c r="H206" i="2"/>
  <c r="C233" i="2"/>
  <c r="I233" i="2" s="1"/>
  <c r="C239" i="2"/>
  <c r="J239" i="2" s="1"/>
  <c r="H290" i="2"/>
  <c r="H266" i="2"/>
  <c r="H257" i="2"/>
  <c r="H294" i="2"/>
  <c r="C267" i="2"/>
  <c r="J267" i="2" s="1"/>
  <c r="C236" i="2"/>
  <c r="I236" i="2" s="1"/>
  <c r="C203" i="2"/>
  <c r="I203" i="2" s="1"/>
  <c r="C210" i="2"/>
  <c r="J210" i="2" s="1"/>
  <c r="C263" i="2"/>
  <c r="J263" i="2" s="1"/>
  <c r="H233" i="2"/>
  <c r="C212" i="2"/>
  <c r="K212" i="2" s="1"/>
  <c r="C316" i="2"/>
  <c r="L316" i="2" s="1"/>
  <c r="C287" i="2"/>
  <c r="L287" i="2" s="1"/>
  <c r="H319" i="2"/>
  <c r="H317" i="2"/>
  <c r="H310" i="2"/>
  <c r="C310" i="2"/>
  <c r="J310" i="2" s="1"/>
  <c r="J318" i="2"/>
  <c r="M318" i="2" s="1"/>
  <c r="C319" i="2"/>
  <c r="H320" i="2"/>
  <c r="C320" i="2"/>
  <c r="H313" i="2"/>
  <c r="C313" i="2"/>
  <c r="H321" i="2"/>
  <c r="H312" i="2"/>
  <c r="C312" i="2"/>
  <c r="L312" i="2" s="1"/>
  <c r="H314" i="2"/>
  <c r="C314" i="2"/>
  <c r="L314" i="2" s="1"/>
  <c r="H315" i="2"/>
  <c r="C315" i="2"/>
  <c r="K315" i="2" s="1"/>
  <c r="K318" i="2"/>
  <c r="L318" i="2"/>
  <c r="H311" i="2"/>
  <c r="K263" i="2"/>
  <c r="J264" i="2"/>
  <c r="L264" i="2"/>
  <c r="H125" i="2"/>
  <c r="K259" i="2"/>
  <c r="J266" i="2"/>
  <c r="M266" i="2" s="1"/>
  <c r="L266" i="2"/>
  <c r="C229" i="2"/>
  <c r="K229" i="2" s="1"/>
  <c r="C232" i="2"/>
  <c r="J232" i="2" s="1"/>
  <c r="K238" i="2"/>
  <c r="C285" i="2"/>
  <c r="I285" i="2" s="1"/>
  <c r="H287" i="2"/>
  <c r="C211" i="2"/>
  <c r="I211" i="2" s="1"/>
  <c r="H212" i="2"/>
  <c r="C294" i="2"/>
  <c r="J294" i="2" s="1"/>
  <c r="C261" i="2"/>
  <c r="L261" i="2" s="1"/>
  <c r="H205" i="2"/>
  <c r="C235" i="2"/>
  <c r="I235" i="2" s="1"/>
  <c r="H293" i="2"/>
  <c r="H284" i="2"/>
  <c r="H260" i="2"/>
  <c r="C293" i="2"/>
  <c r="I293" i="2" s="1"/>
  <c r="C260" i="2"/>
  <c r="C291" i="2"/>
  <c r="C258" i="2"/>
  <c r="H263" i="2"/>
  <c r="C126" i="2"/>
  <c r="L126" i="2" s="1"/>
  <c r="H148" i="2"/>
  <c r="C208" i="2"/>
  <c r="L208" i="2" s="1"/>
  <c r="C234" i="2"/>
  <c r="K234" i="2" s="1"/>
  <c r="K266" i="2"/>
  <c r="C230" i="2"/>
  <c r="I230" i="2" s="1"/>
  <c r="C290" i="2"/>
  <c r="C257" i="2"/>
  <c r="C288" i="2"/>
  <c r="K288" i="2" s="1"/>
  <c r="H152" i="2"/>
  <c r="C68" i="2"/>
  <c r="K68" i="2" s="1"/>
  <c r="H130" i="2"/>
  <c r="C122" i="2"/>
  <c r="L122" i="2" s="1"/>
  <c r="C209" i="2"/>
  <c r="I209" i="2" s="1"/>
  <c r="H232" i="2"/>
  <c r="C237" i="2"/>
  <c r="J237" i="2" s="1"/>
  <c r="C240" i="2"/>
  <c r="I240" i="2" s="1"/>
  <c r="C100" i="2"/>
  <c r="I100" i="2" s="1"/>
  <c r="C67" i="2"/>
  <c r="C76" i="2"/>
  <c r="L76" i="2" s="1"/>
  <c r="C73" i="2"/>
  <c r="L73" i="2" s="1"/>
  <c r="C231" i="2"/>
  <c r="I231" i="2" s="1"/>
  <c r="C213" i="2"/>
  <c r="I213" i="2" s="1"/>
  <c r="C78" i="2"/>
  <c r="I78" i="2" s="1"/>
  <c r="H236" i="2"/>
  <c r="C202" i="2"/>
  <c r="K210" i="2"/>
  <c r="L210" i="2"/>
  <c r="K203" i="2"/>
  <c r="L233" i="2"/>
  <c r="C124" i="2"/>
  <c r="L124" i="2" s="1"/>
  <c r="H231" i="2"/>
  <c r="C207" i="2"/>
  <c r="I207" i="2" s="1"/>
  <c r="H155" i="2"/>
  <c r="H95" i="2"/>
  <c r="C101" i="2"/>
  <c r="I101" i="2" s="1"/>
  <c r="H203" i="2"/>
  <c r="H73" i="2"/>
  <c r="L206" i="2"/>
  <c r="I232" i="2"/>
  <c r="H132" i="2"/>
  <c r="L204" i="2"/>
  <c r="I237" i="2"/>
  <c r="M237" i="2" s="1"/>
  <c r="L239" i="2"/>
  <c r="J206" i="2"/>
  <c r="M206" i="2" s="1"/>
  <c r="C70" i="2"/>
  <c r="L70" i="2" s="1"/>
  <c r="H131" i="2"/>
  <c r="H121" i="2"/>
  <c r="K230" i="2"/>
  <c r="L203" i="2"/>
  <c r="J238" i="2"/>
  <c r="M238" i="2" s="1"/>
  <c r="J203" i="2"/>
  <c r="H74" i="2"/>
  <c r="H127" i="2"/>
  <c r="L238" i="2"/>
  <c r="L232" i="2"/>
  <c r="H123" i="2"/>
  <c r="C123" i="2"/>
  <c r="H76" i="2"/>
  <c r="H126" i="2"/>
  <c r="C97" i="2"/>
  <c r="I97" i="2" s="1"/>
  <c r="H158" i="2"/>
  <c r="C121" i="2"/>
  <c r="I121" i="2" s="1"/>
  <c r="C94" i="2"/>
  <c r="I94" i="2" s="1"/>
  <c r="H157" i="2"/>
  <c r="H156" i="2"/>
  <c r="H129" i="2"/>
  <c r="C186" i="2"/>
  <c r="J186" i="2" s="1"/>
  <c r="H186" i="2"/>
  <c r="H70" i="2"/>
  <c r="C103" i="2"/>
  <c r="I103" i="2" s="1"/>
  <c r="C77" i="2"/>
  <c r="L77" i="2" s="1"/>
  <c r="H78" i="2"/>
  <c r="C125" i="2"/>
  <c r="J125" i="2" s="1"/>
  <c r="H184" i="2"/>
  <c r="C184" i="2"/>
  <c r="I184" i="2" s="1"/>
  <c r="C178" i="2"/>
  <c r="L178" i="2" s="1"/>
  <c r="H178" i="2"/>
  <c r="H183" i="2"/>
  <c r="C183" i="2"/>
  <c r="L183" i="2" s="1"/>
  <c r="H177" i="2"/>
  <c r="C177" i="2"/>
  <c r="L177" i="2" s="1"/>
  <c r="H124" i="2"/>
  <c r="H100" i="2"/>
  <c r="C182" i="2"/>
  <c r="J182" i="2" s="1"/>
  <c r="H182" i="2"/>
  <c r="H176" i="2"/>
  <c r="C176" i="2"/>
  <c r="K176" i="2" s="1"/>
  <c r="C99" i="2"/>
  <c r="I99" i="2" s="1"/>
  <c r="C181" i="2"/>
  <c r="K181" i="2" s="1"/>
  <c r="H181" i="2"/>
  <c r="H175" i="2"/>
  <c r="C175" i="2"/>
  <c r="L175" i="2" s="1"/>
  <c r="H180" i="2"/>
  <c r="C180" i="2"/>
  <c r="J180" i="2" s="1"/>
  <c r="H185" i="2"/>
  <c r="C185" i="2"/>
  <c r="J185" i="2" s="1"/>
  <c r="C179" i="2"/>
  <c r="K179" i="2" s="1"/>
  <c r="H179" i="2"/>
  <c r="C128" i="2"/>
  <c r="C95" i="2"/>
  <c r="I95" i="2" s="1"/>
  <c r="C157" i="2"/>
  <c r="C151" i="2"/>
  <c r="C127" i="2"/>
  <c r="J127" i="2" s="1"/>
  <c r="H101" i="2"/>
  <c r="H105" i="2"/>
  <c r="H72" i="2"/>
  <c r="C132" i="2"/>
  <c r="J132" i="2" s="1"/>
  <c r="H128" i="2"/>
  <c r="H151" i="2"/>
  <c r="C154" i="2"/>
  <c r="C148" i="2"/>
  <c r="I73" i="2"/>
  <c r="C75" i="2"/>
  <c r="K75" i="2" s="1"/>
  <c r="C102" i="2"/>
  <c r="I102" i="2" s="1"/>
  <c r="H69" i="2"/>
  <c r="C159" i="2"/>
  <c r="C156" i="2"/>
  <c r="J156" i="2" s="1"/>
  <c r="C153" i="2"/>
  <c r="J153" i="2" s="1"/>
  <c r="C150" i="2"/>
  <c r="J150" i="2" s="1"/>
  <c r="C131" i="2"/>
  <c r="J131" i="2" s="1"/>
  <c r="H97" i="2"/>
  <c r="H159" i="2"/>
  <c r="H99" i="2"/>
  <c r="H103" i="2"/>
  <c r="C130" i="2"/>
  <c r="H154" i="2"/>
  <c r="C96" i="2"/>
  <c r="J96" i="2" s="1"/>
  <c r="C74" i="2"/>
  <c r="J74" i="2" s="1"/>
  <c r="H96" i="2"/>
  <c r="C98" i="2"/>
  <c r="I98" i="2" s="1"/>
  <c r="C158" i="2"/>
  <c r="C155" i="2"/>
  <c r="J155" i="2" s="1"/>
  <c r="C152" i="2"/>
  <c r="J152" i="2" s="1"/>
  <c r="C149" i="2"/>
  <c r="C129" i="2"/>
  <c r="J129" i="2" s="1"/>
  <c r="H94" i="2"/>
  <c r="H150" i="2"/>
  <c r="H149" i="2"/>
  <c r="L68" i="2"/>
  <c r="J68" i="2"/>
  <c r="H77" i="2"/>
  <c r="H75" i="2"/>
  <c r="H98" i="2"/>
  <c r="H102" i="2"/>
  <c r="H71" i="2"/>
  <c r="C72" i="2"/>
  <c r="I72" i="2" s="1"/>
  <c r="C104" i="2"/>
  <c r="I104" i="2" s="1"/>
  <c r="C105" i="2"/>
  <c r="K105" i="2" s="1"/>
  <c r="C71" i="2"/>
  <c r="C69" i="2"/>
  <c r="J100" i="2"/>
  <c r="M100" i="2" s="1"/>
  <c r="J101" i="2"/>
  <c r="M101" i="2" s="1"/>
  <c r="I68" i="2"/>
  <c r="Y7" i="1"/>
  <c r="R5" i="3"/>
  <c r="X7" i="1"/>
  <c r="F7" i="1"/>
  <c r="E23" i="2" s="1"/>
  <c r="Q6" i="3"/>
  <c r="R6" i="3"/>
  <c r="S6" i="3"/>
  <c r="G6" i="3" s="1"/>
  <c r="T6" i="3"/>
  <c r="J6" i="3" s="1"/>
  <c r="U6" i="3"/>
  <c r="K6" i="3" s="1"/>
  <c r="F7" i="3"/>
  <c r="H7" i="3"/>
  <c r="L7" i="3"/>
  <c r="Q7" i="3"/>
  <c r="R7" i="3"/>
  <c r="S7" i="3"/>
  <c r="T7" i="3"/>
  <c r="J7" i="3" s="1"/>
  <c r="U7" i="3"/>
  <c r="K7" i="3" s="1"/>
  <c r="F8" i="3"/>
  <c r="H8" i="3"/>
  <c r="L8" i="3"/>
  <c r="Q8" i="3"/>
  <c r="R8" i="3"/>
  <c r="S8" i="3"/>
  <c r="G8" i="3" s="1"/>
  <c r="T8" i="3"/>
  <c r="J8" i="3" s="1"/>
  <c r="U8" i="3"/>
  <c r="K8" i="3" s="1"/>
  <c r="F9" i="3"/>
  <c r="H9" i="3"/>
  <c r="L9" i="3"/>
  <c r="Q9" i="3"/>
  <c r="R9" i="3"/>
  <c r="S9" i="3"/>
  <c r="G9" i="3" s="1"/>
  <c r="T9" i="3"/>
  <c r="J9" i="3" s="1"/>
  <c r="U9" i="3"/>
  <c r="K9" i="3" s="1"/>
  <c r="F10" i="3"/>
  <c r="H10" i="3"/>
  <c r="L10" i="3"/>
  <c r="Q10" i="3"/>
  <c r="R10" i="3"/>
  <c r="S10" i="3"/>
  <c r="G10" i="3" s="1"/>
  <c r="T10" i="3"/>
  <c r="J10" i="3" s="1"/>
  <c r="U10" i="3"/>
  <c r="K10" i="3" s="1"/>
  <c r="F11" i="3"/>
  <c r="H11" i="3"/>
  <c r="L11" i="3"/>
  <c r="Q11" i="3"/>
  <c r="R11" i="3"/>
  <c r="S11" i="3"/>
  <c r="T11" i="3"/>
  <c r="J11" i="3" s="1"/>
  <c r="U11" i="3"/>
  <c r="K11" i="3" s="1"/>
  <c r="F12" i="3"/>
  <c r="H12" i="3"/>
  <c r="L12" i="3"/>
  <c r="Q12" i="3"/>
  <c r="R12" i="3"/>
  <c r="S12" i="3"/>
  <c r="G12" i="3" s="1"/>
  <c r="T12" i="3"/>
  <c r="J12" i="3" s="1"/>
  <c r="U12" i="3"/>
  <c r="K12" i="3" s="1"/>
  <c r="F13" i="3"/>
  <c r="H13" i="3"/>
  <c r="L13" i="3"/>
  <c r="Q13" i="3"/>
  <c r="R13" i="3"/>
  <c r="S13" i="3"/>
  <c r="G13" i="3" s="1"/>
  <c r="T13" i="3"/>
  <c r="J13" i="3" s="1"/>
  <c r="U13" i="3"/>
  <c r="K13" i="3" s="1"/>
  <c r="F14" i="3"/>
  <c r="H14" i="3"/>
  <c r="L14" i="3"/>
  <c r="Q14" i="3"/>
  <c r="R14" i="3"/>
  <c r="S14" i="3"/>
  <c r="G14" i="3" s="1"/>
  <c r="T14" i="3"/>
  <c r="J14" i="3" s="1"/>
  <c r="U14" i="3"/>
  <c r="K14" i="3" s="1"/>
  <c r="F15" i="3"/>
  <c r="H15" i="3"/>
  <c r="L15" i="3"/>
  <c r="Q15" i="3"/>
  <c r="R15" i="3"/>
  <c r="S15" i="3"/>
  <c r="T15" i="3"/>
  <c r="J15" i="3" s="1"/>
  <c r="U15" i="3"/>
  <c r="K15" i="3" s="1"/>
  <c r="F16" i="3"/>
  <c r="H16" i="3"/>
  <c r="L16" i="3"/>
  <c r="Q16" i="3"/>
  <c r="R16" i="3"/>
  <c r="S16" i="3"/>
  <c r="G16" i="3" s="1"/>
  <c r="T16" i="3"/>
  <c r="J16" i="3" s="1"/>
  <c r="U16" i="3"/>
  <c r="K16" i="3" s="1"/>
  <c r="F17" i="3"/>
  <c r="H17" i="3"/>
  <c r="L17" i="3"/>
  <c r="Q17" i="3"/>
  <c r="R17" i="3"/>
  <c r="S17" i="3"/>
  <c r="G17" i="3" s="1"/>
  <c r="T17" i="3"/>
  <c r="J17" i="3" s="1"/>
  <c r="U17" i="3"/>
  <c r="K17" i="3" s="1"/>
  <c r="F18" i="3"/>
  <c r="H18" i="3"/>
  <c r="L18" i="3"/>
  <c r="Q18" i="3"/>
  <c r="R18" i="3"/>
  <c r="S18" i="3"/>
  <c r="G18" i="3" s="1"/>
  <c r="T18" i="3"/>
  <c r="J18" i="3" s="1"/>
  <c r="U18" i="3"/>
  <c r="K18" i="3" s="1"/>
  <c r="F19" i="3"/>
  <c r="H19" i="3"/>
  <c r="L19" i="3"/>
  <c r="Q19" i="3"/>
  <c r="R19" i="3"/>
  <c r="S19" i="3"/>
  <c r="T19" i="3"/>
  <c r="J19" i="3" s="1"/>
  <c r="U19" i="3"/>
  <c r="K19" i="3" s="1"/>
  <c r="F20" i="3"/>
  <c r="H20" i="3"/>
  <c r="L20" i="3"/>
  <c r="Q20" i="3"/>
  <c r="R20" i="3"/>
  <c r="S20" i="3"/>
  <c r="G20" i="3" s="1"/>
  <c r="T20" i="3"/>
  <c r="J20" i="3" s="1"/>
  <c r="U20" i="3"/>
  <c r="K20" i="3" s="1"/>
  <c r="F21" i="3"/>
  <c r="H21" i="3"/>
  <c r="L21" i="3"/>
  <c r="Q21" i="3"/>
  <c r="R21" i="3"/>
  <c r="S21" i="3"/>
  <c r="G21" i="3" s="1"/>
  <c r="T21" i="3"/>
  <c r="J21" i="3" s="1"/>
  <c r="U21" i="3"/>
  <c r="K21" i="3" s="1"/>
  <c r="F22" i="3"/>
  <c r="H22" i="3"/>
  <c r="L22" i="3"/>
  <c r="Q22" i="3"/>
  <c r="R22" i="3"/>
  <c r="S22" i="3"/>
  <c r="G22" i="3" s="1"/>
  <c r="T22" i="3"/>
  <c r="J22" i="3" s="1"/>
  <c r="U22" i="3"/>
  <c r="K22" i="3" s="1"/>
  <c r="F23" i="3"/>
  <c r="H23" i="3"/>
  <c r="L23" i="3"/>
  <c r="Q23" i="3"/>
  <c r="R23" i="3"/>
  <c r="S23" i="3"/>
  <c r="T23" i="3"/>
  <c r="J23" i="3" s="1"/>
  <c r="U23" i="3"/>
  <c r="K23" i="3" s="1"/>
  <c r="F24" i="3"/>
  <c r="H24" i="3"/>
  <c r="L24" i="3"/>
  <c r="Q24" i="3"/>
  <c r="R24" i="3"/>
  <c r="S24" i="3"/>
  <c r="G24" i="3" s="1"/>
  <c r="T24" i="3"/>
  <c r="J24" i="3" s="1"/>
  <c r="U24" i="3"/>
  <c r="K24" i="3" s="1"/>
  <c r="F25" i="3"/>
  <c r="H25" i="3"/>
  <c r="L25" i="3"/>
  <c r="Q25" i="3"/>
  <c r="R25" i="3"/>
  <c r="S25" i="3"/>
  <c r="G25" i="3" s="1"/>
  <c r="T25" i="3"/>
  <c r="J25" i="3" s="1"/>
  <c r="U25" i="3"/>
  <c r="K25" i="3" s="1"/>
  <c r="F26" i="3"/>
  <c r="H26" i="3"/>
  <c r="L26" i="3"/>
  <c r="Q26" i="3"/>
  <c r="R26" i="3"/>
  <c r="S26" i="3"/>
  <c r="G26" i="3" s="1"/>
  <c r="T26" i="3"/>
  <c r="J26" i="3" s="1"/>
  <c r="U26" i="3"/>
  <c r="K26" i="3" s="1"/>
  <c r="F27" i="3"/>
  <c r="H27" i="3"/>
  <c r="L27" i="3"/>
  <c r="Q27" i="3"/>
  <c r="R27" i="3"/>
  <c r="S27" i="3"/>
  <c r="G27" i="3" s="1"/>
  <c r="T27" i="3"/>
  <c r="J27" i="3" s="1"/>
  <c r="U27" i="3"/>
  <c r="K27" i="3" s="1"/>
  <c r="F28" i="3"/>
  <c r="H28" i="3"/>
  <c r="L28" i="3"/>
  <c r="Q28" i="3"/>
  <c r="R28" i="3"/>
  <c r="S28" i="3"/>
  <c r="G28" i="3" s="1"/>
  <c r="T28" i="3"/>
  <c r="J28" i="3" s="1"/>
  <c r="U28" i="3"/>
  <c r="K28" i="3" s="1"/>
  <c r="U5" i="3"/>
  <c r="K5" i="3" s="1"/>
  <c r="T5" i="3"/>
  <c r="J5" i="3" s="1"/>
  <c r="Q5" i="3"/>
  <c r="L5" i="3"/>
  <c r="H5" i="3"/>
  <c r="F5" i="3"/>
  <c r="E8" i="6" l="1"/>
  <c r="F8" i="6"/>
  <c r="K283" i="2"/>
  <c r="J283" i="2"/>
  <c r="I317" i="2"/>
  <c r="J317" i="2"/>
  <c r="M317" i="2" s="1"/>
  <c r="K317" i="2"/>
  <c r="J286" i="2"/>
  <c r="K286" i="2"/>
  <c r="L286" i="2"/>
  <c r="I286" i="2"/>
  <c r="M286" i="2" s="1"/>
  <c r="C292" i="2"/>
  <c r="K292" i="2" s="1"/>
  <c r="C284" i="2"/>
  <c r="K284" i="2" s="1"/>
  <c r="H265" i="2"/>
  <c r="C265" i="2"/>
  <c r="E18" i="2"/>
  <c r="S5" i="3"/>
  <c r="I5" i="3" s="1"/>
  <c r="D5" i="2"/>
  <c r="J230" i="2"/>
  <c r="M230" i="2" s="1"/>
  <c r="J205" i="2"/>
  <c r="M205" i="2" s="1"/>
  <c r="K264" i="2"/>
  <c r="H283" i="2"/>
  <c r="L205" i="2"/>
  <c r="I259" i="2"/>
  <c r="L284" i="2"/>
  <c r="I283" i="2"/>
  <c r="E25" i="2"/>
  <c r="H261" i="2"/>
  <c r="E46" i="4"/>
  <c r="E51" i="4"/>
  <c r="E55" i="4"/>
  <c r="E60" i="4"/>
  <c r="E65" i="4"/>
  <c r="E70" i="4"/>
  <c r="E75" i="4"/>
  <c r="D47" i="4"/>
  <c r="D51" i="4"/>
  <c r="D55" i="4"/>
  <c r="D59" i="4"/>
  <c r="D63" i="4"/>
  <c r="D67" i="4"/>
  <c r="D71" i="4"/>
  <c r="D75" i="4"/>
  <c r="E47" i="4"/>
  <c r="E52" i="4"/>
  <c r="E57" i="4"/>
  <c r="E61" i="4"/>
  <c r="E71" i="4"/>
  <c r="E76" i="4"/>
  <c r="D48" i="4"/>
  <c r="D52" i="4"/>
  <c r="D56" i="4"/>
  <c r="D60" i="4"/>
  <c r="D64" i="4"/>
  <c r="D68" i="4"/>
  <c r="D72" i="4"/>
  <c r="D76" i="4"/>
  <c r="E48" i="4"/>
  <c r="E53" i="4"/>
  <c r="E63" i="4"/>
  <c r="E67" i="4"/>
  <c r="E72" i="4"/>
  <c r="E45" i="4"/>
  <c r="D49" i="4"/>
  <c r="D53" i="4"/>
  <c r="D57" i="4"/>
  <c r="D61" i="4"/>
  <c r="D65" i="4"/>
  <c r="D69" i="4"/>
  <c r="D73" i="4"/>
  <c r="D45" i="4"/>
  <c r="E49" i="4"/>
  <c r="E54" i="4"/>
  <c r="E59" i="4"/>
  <c r="E64" i="4"/>
  <c r="E69" i="4"/>
  <c r="E73" i="4"/>
  <c r="D46" i="4"/>
  <c r="D50" i="4"/>
  <c r="D54" i="4"/>
  <c r="D58" i="4"/>
  <c r="D62" i="4"/>
  <c r="D66" i="4"/>
  <c r="D70" i="4"/>
  <c r="D74" i="4"/>
  <c r="E56" i="4"/>
  <c r="E58" i="4"/>
  <c r="E68" i="4"/>
  <c r="E22" i="2"/>
  <c r="F27" i="2"/>
  <c r="F25" i="2"/>
  <c r="G23" i="2"/>
  <c r="F22" i="2"/>
  <c r="G26" i="2"/>
  <c r="D19" i="2"/>
  <c r="D23" i="2"/>
  <c r="D27" i="2"/>
  <c r="G27" i="2"/>
  <c r="G17" i="2"/>
  <c r="G25" i="2"/>
  <c r="F24" i="2"/>
  <c r="G20" i="2"/>
  <c r="G28" i="2"/>
  <c r="D20" i="2"/>
  <c r="D24" i="2"/>
  <c r="D28" i="2"/>
  <c r="F21" i="2"/>
  <c r="F20" i="2"/>
  <c r="F28" i="2"/>
  <c r="D18" i="2"/>
  <c r="D26" i="2"/>
  <c r="E66" i="4"/>
  <c r="E62" i="4"/>
  <c r="E74" i="4"/>
  <c r="E50" i="4"/>
  <c r="F19" i="2"/>
  <c r="F17" i="2"/>
  <c r="G19" i="2"/>
  <c r="F26" i="2"/>
  <c r="G22" i="2"/>
  <c r="D17" i="2"/>
  <c r="D21" i="2"/>
  <c r="D25" i="2"/>
  <c r="E28" i="2"/>
  <c r="F23" i="2"/>
  <c r="G21" i="2"/>
  <c r="G24" i="2"/>
  <c r="D22" i="2"/>
  <c r="K73" i="2"/>
  <c r="L67" i="2"/>
  <c r="K205" i="2"/>
  <c r="E21" i="2"/>
  <c r="H256" i="2"/>
  <c r="C256" i="2"/>
  <c r="E20" i="2"/>
  <c r="E17" i="2"/>
  <c r="L265" i="2"/>
  <c r="E27" i="2"/>
  <c r="C262" i="2"/>
  <c r="G18" i="2"/>
  <c r="E26" i="2"/>
  <c r="E24" i="2"/>
  <c r="E19" i="2"/>
  <c r="F18" i="2"/>
  <c r="J316" i="2"/>
  <c r="M289" i="2"/>
  <c r="M283" i="2"/>
  <c r="J240" i="2"/>
  <c r="M240" i="2" s="1"/>
  <c r="J236" i="2"/>
  <c r="J235" i="2"/>
  <c r="M235" i="2" s="1"/>
  <c r="K232" i="2"/>
  <c r="L103" i="2"/>
  <c r="I67" i="2"/>
  <c r="I70" i="2"/>
  <c r="I76" i="2"/>
  <c r="J73" i="2"/>
  <c r="M73" i="2" s="1"/>
  <c r="K76" i="2"/>
  <c r="J287" i="2"/>
  <c r="I294" i="2"/>
  <c r="M294" i="2" s="1"/>
  <c r="K287" i="2"/>
  <c r="I287" i="2"/>
  <c r="M264" i="2"/>
  <c r="I263" i="2"/>
  <c r="L263" i="2"/>
  <c r="I267" i="2"/>
  <c r="M267" i="2" s="1"/>
  <c r="L237" i="2"/>
  <c r="K235" i="2"/>
  <c r="J233" i="2"/>
  <c r="M233" i="2" s="1"/>
  <c r="L236" i="2"/>
  <c r="J229" i="2"/>
  <c r="L235" i="2"/>
  <c r="K236" i="2"/>
  <c r="K233" i="2"/>
  <c r="K237" i="2"/>
  <c r="L240" i="2"/>
  <c r="I229" i="2"/>
  <c r="L211" i="2"/>
  <c r="K211" i="2"/>
  <c r="K213" i="2"/>
  <c r="J212" i="2"/>
  <c r="L212" i="2"/>
  <c r="L213" i="2"/>
  <c r="I212" i="2"/>
  <c r="I204" i="2"/>
  <c r="K206" i="2"/>
  <c r="J204" i="2"/>
  <c r="M204" i="2" s="1"/>
  <c r="J126" i="2"/>
  <c r="K124" i="2"/>
  <c r="I126" i="2"/>
  <c r="K126" i="2"/>
  <c r="K97" i="2"/>
  <c r="J75" i="2"/>
  <c r="L100" i="2"/>
  <c r="K178" i="2"/>
  <c r="I210" i="2"/>
  <c r="M210" i="2" s="1"/>
  <c r="L234" i="2"/>
  <c r="I316" i="2"/>
  <c r="K267" i="2"/>
  <c r="L101" i="2"/>
  <c r="L229" i="2"/>
  <c r="L267" i="2"/>
  <c r="L294" i="2"/>
  <c r="K321" i="2"/>
  <c r="L321" i="2"/>
  <c r="K316" i="2"/>
  <c r="K239" i="2"/>
  <c r="K101" i="2"/>
  <c r="J78" i="2"/>
  <c r="M78" i="2" s="1"/>
  <c r="J184" i="2"/>
  <c r="M184" i="2" s="1"/>
  <c r="J213" i="2"/>
  <c r="M213" i="2" s="1"/>
  <c r="I239" i="2"/>
  <c r="M239" i="2" s="1"/>
  <c r="J211" i="2"/>
  <c r="M211" i="2" s="1"/>
  <c r="I234" i="2"/>
  <c r="K294" i="2"/>
  <c r="J321" i="2"/>
  <c r="M321" i="2" s="1"/>
  <c r="J67" i="2"/>
  <c r="M67" i="2" s="1"/>
  <c r="K67" i="2"/>
  <c r="K100" i="2"/>
  <c r="J234" i="2"/>
  <c r="M259" i="2"/>
  <c r="J315" i="2"/>
  <c r="I315" i="2"/>
  <c r="I314" i="2"/>
  <c r="M314" i="2" s="1"/>
  <c r="L315" i="2"/>
  <c r="I311" i="2"/>
  <c r="J311" i="2"/>
  <c r="K311" i="2"/>
  <c r="L311" i="2"/>
  <c r="K310" i="2"/>
  <c r="L310" i="2"/>
  <c r="I313" i="2"/>
  <c r="K313" i="2"/>
  <c r="J313" i="2"/>
  <c r="I319" i="2"/>
  <c r="K319" i="2"/>
  <c r="J319" i="2"/>
  <c r="J314" i="2"/>
  <c r="K314" i="2"/>
  <c r="I312" i="2"/>
  <c r="J312" i="2"/>
  <c r="K312" i="2"/>
  <c r="L319" i="2"/>
  <c r="I320" i="2"/>
  <c r="K320" i="2"/>
  <c r="J320" i="2"/>
  <c r="L313" i="2"/>
  <c r="L320" i="2"/>
  <c r="I310" i="2"/>
  <c r="M310" i="2" s="1"/>
  <c r="J257" i="2"/>
  <c r="L257" i="2"/>
  <c r="I257" i="2"/>
  <c r="K257" i="2"/>
  <c r="J178" i="2"/>
  <c r="J122" i="2"/>
  <c r="L230" i="2"/>
  <c r="I208" i="2"/>
  <c r="K208" i="2"/>
  <c r="J208" i="2"/>
  <c r="J291" i="2"/>
  <c r="K291" i="2"/>
  <c r="L291" i="2"/>
  <c r="I291" i="2"/>
  <c r="J260" i="2"/>
  <c r="K260" i="2"/>
  <c r="I260" i="2"/>
  <c r="L260" i="2"/>
  <c r="K293" i="2"/>
  <c r="L293" i="2"/>
  <c r="J285" i="2"/>
  <c r="M285" i="2" s="1"/>
  <c r="L285" i="2"/>
  <c r="K285" i="2"/>
  <c r="J124" i="2"/>
  <c r="K122" i="2"/>
  <c r="J209" i="2"/>
  <c r="M209" i="2" s="1"/>
  <c r="J288" i="2"/>
  <c r="I288" i="2"/>
  <c r="L288" i="2"/>
  <c r="M263" i="2"/>
  <c r="J261" i="2"/>
  <c r="I261" i="2"/>
  <c r="K180" i="2"/>
  <c r="K182" i="2"/>
  <c r="I124" i="2"/>
  <c r="M232" i="2"/>
  <c r="J290" i="2"/>
  <c r="I290" i="2"/>
  <c r="L290" i="2"/>
  <c r="K290" i="2"/>
  <c r="I258" i="2"/>
  <c r="K258" i="2"/>
  <c r="J258" i="2"/>
  <c r="L258" i="2"/>
  <c r="K261" i="2"/>
  <c r="J293" i="2"/>
  <c r="M293" i="2" s="1"/>
  <c r="I202" i="2"/>
  <c r="J202" i="2"/>
  <c r="L231" i="2"/>
  <c r="L97" i="2"/>
  <c r="K99" i="2"/>
  <c r="K94" i="2"/>
  <c r="K231" i="2"/>
  <c r="M236" i="2"/>
  <c r="K240" i="2"/>
  <c r="L209" i="2"/>
  <c r="K125" i="2"/>
  <c r="L94" i="2"/>
  <c r="J97" i="2"/>
  <c r="M97" i="2" s="1"/>
  <c r="K70" i="2"/>
  <c r="J94" i="2"/>
  <c r="M94" i="2" s="1"/>
  <c r="J76" i="2"/>
  <c r="K202" i="2"/>
  <c r="J231" i="2"/>
  <c r="M231" i="2" s="1"/>
  <c r="K102" i="2"/>
  <c r="J103" i="2"/>
  <c r="M103" i="2" s="1"/>
  <c r="J70" i="2"/>
  <c r="L78" i="2"/>
  <c r="K103" i="2"/>
  <c r="K78" i="2"/>
  <c r="I122" i="2"/>
  <c r="K209" i="2"/>
  <c r="L202" i="2"/>
  <c r="K77" i="2"/>
  <c r="I176" i="2"/>
  <c r="J121" i="2"/>
  <c r="M121" i="2" s="1"/>
  <c r="J183" i="2"/>
  <c r="J207" i="2"/>
  <c r="M207" i="2" s="1"/>
  <c r="K207" i="2"/>
  <c r="L207" i="2"/>
  <c r="K183" i="2"/>
  <c r="L179" i="2"/>
  <c r="M203" i="2"/>
  <c r="J177" i="2"/>
  <c r="K121" i="2"/>
  <c r="L102" i="2"/>
  <c r="K104" i="2"/>
  <c r="J102" i="2"/>
  <c r="M102" i="2" s="1"/>
  <c r="L180" i="2"/>
  <c r="L176" i="2"/>
  <c r="L95" i="2"/>
  <c r="I183" i="2"/>
  <c r="L123" i="2"/>
  <c r="J123" i="2"/>
  <c r="K123" i="2"/>
  <c r="I123" i="2"/>
  <c r="L99" i="2"/>
  <c r="J175" i="2"/>
  <c r="I178" i="2"/>
  <c r="J99" i="2"/>
  <c r="M99" i="2" s="1"/>
  <c r="K185" i="2"/>
  <c r="L181" i="2"/>
  <c r="L121" i="2"/>
  <c r="I179" i="2"/>
  <c r="K177" i="2"/>
  <c r="I181" i="2"/>
  <c r="L185" i="2"/>
  <c r="K186" i="2"/>
  <c r="I177" i="2"/>
  <c r="J181" i="2"/>
  <c r="L182" i="2"/>
  <c r="I186" i="2"/>
  <c r="M186" i="2" s="1"/>
  <c r="M68" i="2"/>
  <c r="K98" i="2"/>
  <c r="J77" i="2"/>
  <c r="L98" i="2"/>
  <c r="J179" i="2"/>
  <c r="I182" i="2"/>
  <c r="M182" i="2" s="1"/>
  <c r="L186" i="2"/>
  <c r="K175" i="2"/>
  <c r="J176" i="2"/>
  <c r="L125" i="2"/>
  <c r="I125" i="2"/>
  <c r="M125" i="2" s="1"/>
  <c r="K184" i="2"/>
  <c r="J98" i="2"/>
  <c r="M98" i="2" s="1"/>
  <c r="I77" i="2"/>
  <c r="I185" i="2"/>
  <c r="M185" i="2" s="1"/>
  <c r="I180" i="2"/>
  <c r="M180" i="2" s="1"/>
  <c r="I175" i="2"/>
  <c r="L184" i="2"/>
  <c r="I75" i="2"/>
  <c r="I96" i="2"/>
  <c r="M96" i="2" s="1"/>
  <c r="I149" i="2"/>
  <c r="K149" i="2"/>
  <c r="L149" i="2"/>
  <c r="K72" i="2"/>
  <c r="L128" i="2"/>
  <c r="I128" i="2"/>
  <c r="K128" i="2"/>
  <c r="I158" i="2"/>
  <c r="K158" i="2"/>
  <c r="L158" i="2"/>
  <c r="I159" i="2"/>
  <c r="L159" i="2"/>
  <c r="K159" i="2"/>
  <c r="L127" i="2"/>
  <c r="I127" i="2"/>
  <c r="M127" i="2" s="1"/>
  <c r="K127" i="2"/>
  <c r="L105" i="2"/>
  <c r="L75" i="2"/>
  <c r="K96" i="2"/>
  <c r="I152" i="2"/>
  <c r="M152" i="2" s="1"/>
  <c r="K152" i="2"/>
  <c r="L152" i="2"/>
  <c r="I130" i="2"/>
  <c r="K130" i="2"/>
  <c r="L130" i="2"/>
  <c r="I153" i="2"/>
  <c r="M153" i="2" s="1"/>
  <c r="K153" i="2"/>
  <c r="L153" i="2"/>
  <c r="I148" i="2"/>
  <c r="K148" i="2"/>
  <c r="L148" i="2"/>
  <c r="I151" i="2"/>
  <c r="L151" i="2"/>
  <c r="K151" i="2"/>
  <c r="J128" i="2"/>
  <c r="J95" i="2"/>
  <c r="M95" i="2" s="1"/>
  <c r="K95" i="2"/>
  <c r="L96" i="2"/>
  <c r="L129" i="2"/>
  <c r="K129" i="2"/>
  <c r="I129" i="2"/>
  <c r="M129" i="2" s="1"/>
  <c r="J130" i="2"/>
  <c r="L131" i="2"/>
  <c r="I131" i="2"/>
  <c r="M131" i="2" s="1"/>
  <c r="K131" i="2"/>
  <c r="I156" i="2"/>
  <c r="M156" i="2" s="1"/>
  <c r="L156" i="2"/>
  <c r="K156" i="2"/>
  <c r="J148" i="2"/>
  <c r="L132" i="2"/>
  <c r="I132" i="2"/>
  <c r="M132" i="2" s="1"/>
  <c r="K132" i="2"/>
  <c r="J151" i="2"/>
  <c r="I155" i="2"/>
  <c r="M155" i="2" s="1"/>
  <c r="L155" i="2"/>
  <c r="K155" i="2"/>
  <c r="L74" i="2"/>
  <c r="K74" i="2"/>
  <c r="I154" i="2"/>
  <c r="L154" i="2"/>
  <c r="K154" i="2"/>
  <c r="I74" i="2"/>
  <c r="M74" i="2" s="1"/>
  <c r="I157" i="2"/>
  <c r="L157" i="2"/>
  <c r="K157" i="2"/>
  <c r="J149" i="2"/>
  <c r="J158" i="2"/>
  <c r="I150" i="2"/>
  <c r="M150" i="2" s="1"/>
  <c r="L150" i="2"/>
  <c r="K150" i="2"/>
  <c r="J159" i="2"/>
  <c r="J154" i="2"/>
  <c r="J157" i="2"/>
  <c r="L71" i="2"/>
  <c r="I71" i="2"/>
  <c r="K71" i="2"/>
  <c r="J71" i="2"/>
  <c r="L104" i="2"/>
  <c r="J104" i="2"/>
  <c r="M104" i="2" s="1"/>
  <c r="L69" i="2"/>
  <c r="J69" i="2"/>
  <c r="I69" i="2"/>
  <c r="K69" i="2"/>
  <c r="I105" i="2"/>
  <c r="J105" i="2"/>
  <c r="L72" i="2"/>
  <c r="J72" i="2"/>
  <c r="M72" i="2" s="1"/>
  <c r="Z5" i="3"/>
  <c r="Z9" i="3"/>
  <c r="Z17" i="3"/>
  <c r="E24" i="3"/>
  <c r="Z24" i="3"/>
  <c r="E27" i="3"/>
  <c r="Z27" i="3"/>
  <c r="E23" i="3"/>
  <c r="Z23" i="3"/>
  <c r="E19" i="3"/>
  <c r="Z19" i="3"/>
  <c r="E11" i="3"/>
  <c r="Z11" i="3"/>
  <c r="E7" i="3"/>
  <c r="Z7" i="3"/>
  <c r="Z22" i="3"/>
  <c r="E18" i="3"/>
  <c r="Z18" i="3"/>
  <c r="E14" i="3"/>
  <c r="Z14" i="3"/>
  <c r="E10" i="3"/>
  <c r="Z10" i="3"/>
  <c r="E6" i="3"/>
  <c r="I18" i="3"/>
  <c r="E15" i="3"/>
  <c r="Z15" i="3"/>
  <c r="E26" i="3"/>
  <c r="Z26" i="3"/>
  <c r="E25" i="3"/>
  <c r="Z25" i="3"/>
  <c r="E21" i="3"/>
  <c r="Z21" i="3"/>
  <c r="E13" i="3"/>
  <c r="Z13" i="3"/>
  <c r="E28" i="3"/>
  <c r="Z28" i="3"/>
  <c r="E20" i="3"/>
  <c r="Z20" i="3"/>
  <c r="E16" i="3"/>
  <c r="Z16" i="3"/>
  <c r="E12" i="3"/>
  <c r="Z12" i="3"/>
  <c r="E8" i="3"/>
  <c r="Z8" i="3"/>
  <c r="G46" i="4"/>
  <c r="G6" i="2"/>
  <c r="G7" i="2"/>
  <c r="G8" i="2"/>
  <c r="G12" i="2"/>
  <c r="G16" i="2"/>
  <c r="G5" i="2"/>
  <c r="G10" i="2"/>
  <c r="G14" i="2"/>
  <c r="G11" i="2"/>
  <c r="G9" i="2"/>
  <c r="G13" i="2"/>
  <c r="G15" i="2"/>
  <c r="N6" i="3"/>
  <c r="N10" i="3"/>
  <c r="N14" i="3"/>
  <c r="N18" i="3"/>
  <c r="N22" i="3"/>
  <c r="N26" i="3"/>
  <c r="M6" i="3"/>
  <c r="M10" i="3"/>
  <c r="X10" i="3" s="1"/>
  <c r="M14" i="3"/>
  <c r="M18" i="3"/>
  <c r="M22" i="3"/>
  <c r="M26" i="3"/>
  <c r="Y6" i="3"/>
  <c r="Y10" i="3"/>
  <c r="Y14" i="3"/>
  <c r="Y18" i="3"/>
  <c r="Y22" i="3"/>
  <c r="Y26" i="3"/>
  <c r="Y24" i="3"/>
  <c r="N9" i="3"/>
  <c r="N21" i="3"/>
  <c r="M13" i="3"/>
  <c r="M5" i="3"/>
  <c r="Y17" i="3"/>
  <c r="Y25" i="3"/>
  <c r="N7" i="3"/>
  <c r="N11" i="3"/>
  <c r="N15" i="3"/>
  <c r="N19" i="3"/>
  <c r="N23" i="3"/>
  <c r="N27" i="3"/>
  <c r="M7" i="3"/>
  <c r="X7" i="3" s="1"/>
  <c r="M11" i="3"/>
  <c r="M15" i="3"/>
  <c r="M19" i="3"/>
  <c r="M23" i="3"/>
  <c r="X23" i="3" s="1"/>
  <c r="M27" i="3"/>
  <c r="Y7" i="3"/>
  <c r="Y11" i="3"/>
  <c r="Y15" i="3"/>
  <c r="Y19" i="3"/>
  <c r="Y23" i="3"/>
  <c r="Y27" i="3"/>
  <c r="N8" i="3"/>
  <c r="N12" i="3"/>
  <c r="N16" i="3"/>
  <c r="N20" i="3"/>
  <c r="N24" i="3"/>
  <c r="N28" i="3"/>
  <c r="M8" i="3"/>
  <c r="M12" i="3"/>
  <c r="M16" i="3"/>
  <c r="M20" i="3"/>
  <c r="M24" i="3"/>
  <c r="M28" i="3"/>
  <c r="Y12" i="3"/>
  <c r="Y16" i="3"/>
  <c r="Y20" i="3"/>
  <c r="N17" i="3"/>
  <c r="N5" i="3"/>
  <c r="M9" i="3"/>
  <c r="M21" i="3"/>
  <c r="Y13" i="3"/>
  <c r="Y5" i="3"/>
  <c r="Y8" i="3"/>
  <c r="Y28" i="3"/>
  <c r="N13" i="3"/>
  <c r="N25" i="3"/>
  <c r="M17" i="3"/>
  <c r="M25" i="3"/>
  <c r="Y9" i="3"/>
  <c r="Y21" i="3"/>
  <c r="I12" i="3"/>
  <c r="I8" i="3"/>
  <c r="I27" i="3"/>
  <c r="I23" i="3"/>
  <c r="W22" i="3"/>
  <c r="W17" i="3"/>
  <c r="I14" i="3"/>
  <c r="I13" i="3"/>
  <c r="I9" i="3"/>
  <c r="I28" i="3"/>
  <c r="I24" i="3"/>
  <c r="E22" i="3"/>
  <c r="I19" i="3"/>
  <c r="I15" i="3"/>
  <c r="W10" i="3"/>
  <c r="W9" i="3"/>
  <c r="I25" i="3"/>
  <c r="I20" i="3"/>
  <c r="I16" i="3"/>
  <c r="I11" i="3"/>
  <c r="I7" i="3"/>
  <c r="W5" i="3"/>
  <c r="I21" i="3"/>
  <c r="I17" i="3"/>
  <c r="W26" i="3"/>
  <c r="I10" i="3"/>
  <c r="I6" i="3"/>
  <c r="W14" i="3"/>
  <c r="W25" i="3"/>
  <c r="W21" i="3"/>
  <c r="W13" i="3"/>
  <c r="E5" i="2"/>
  <c r="F16" i="2"/>
  <c r="F15" i="2"/>
  <c r="F14" i="2"/>
  <c r="F13" i="2"/>
  <c r="F12" i="2"/>
  <c r="F11" i="2"/>
  <c r="F10" i="2"/>
  <c r="F9" i="2"/>
  <c r="F8" i="2"/>
  <c r="F7" i="2"/>
  <c r="F6" i="2"/>
  <c r="G74" i="4"/>
  <c r="H74" i="4" s="1"/>
  <c r="I74" i="4" s="1"/>
  <c r="G70" i="4"/>
  <c r="H70" i="4" s="1"/>
  <c r="I70" i="4" s="1"/>
  <c r="I26" i="3"/>
  <c r="I22" i="3"/>
  <c r="W28" i="3"/>
  <c r="W24" i="3"/>
  <c r="W20" i="3"/>
  <c r="W16" i="3"/>
  <c r="W12" i="3"/>
  <c r="W8" i="3"/>
  <c r="F5" i="2"/>
  <c r="E16" i="2"/>
  <c r="E15" i="2"/>
  <c r="E14" i="2"/>
  <c r="E13" i="2"/>
  <c r="E12" i="2"/>
  <c r="E11" i="2"/>
  <c r="E10" i="2"/>
  <c r="E9" i="2"/>
  <c r="E8" i="2"/>
  <c r="E7" i="2"/>
  <c r="E6" i="2"/>
  <c r="G75" i="4"/>
  <c r="H75" i="4" s="1"/>
  <c r="I75" i="4" s="1"/>
  <c r="G71" i="4"/>
  <c r="W18" i="3"/>
  <c r="W27" i="3"/>
  <c r="W23" i="3"/>
  <c r="W19" i="3"/>
  <c r="W15" i="3"/>
  <c r="W11" i="3"/>
  <c r="W7" i="3"/>
  <c r="D16" i="2"/>
  <c r="D15" i="2"/>
  <c r="D14" i="2"/>
  <c r="D13" i="2"/>
  <c r="D12" i="2"/>
  <c r="D11" i="2"/>
  <c r="D10" i="2"/>
  <c r="D9" i="2"/>
  <c r="D8" i="2"/>
  <c r="D7" i="2"/>
  <c r="D6" i="2"/>
  <c r="F46" i="4"/>
  <c r="F74" i="4"/>
  <c r="G73" i="4"/>
  <c r="H73" i="4" s="1"/>
  <c r="I73" i="4" s="1"/>
  <c r="G69" i="4"/>
  <c r="J69" i="4" s="1"/>
  <c r="K69" i="4" s="1"/>
  <c r="G68" i="4"/>
  <c r="H68" i="4" s="1"/>
  <c r="I68" i="4" s="1"/>
  <c r="G67" i="4"/>
  <c r="H67" i="4" s="1"/>
  <c r="I67" i="4" s="1"/>
  <c r="G66" i="4"/>
  <c r="H66" i="4" s="1"/>
  <c r="I66" i="4" s="1"/>
  <c r="F71" i="4"/>
  <c r="H71" i="4"/>
  <c r="I71" i="4" s="1"/>
  <c r="J71" i="4"/>
  <c r="K71" i="4" s="1"/>
  <c r="H6" i="3"/>
  <c r="F6" i="3"/>
  <c r="L6" i="3"/>
  <c r="G23" i="3"/>
  <c r="G19" i="3"/>
  <c r="E17" i="3"/>
  <c r="G15" i="3"/>
  <c r="G11" i="3"/>
  <c r="E9" i="3"/>
  <c r="G7" i="3"/>
  <c r="V7" i="3" l="1"/>
  <c r="F5" i="6"/>
  <c r="W6" i="3"/>
  <c r="E5" i="6" s="1"/>
  <c r="AF7" i="3"/>
  <c r="M212" i="2"/>
  <c r="M229" i="2"/>
  <c r="C21" i="2"/>
  <c r="H21" i="2"/>
  <c r="C18" i="2"/>
  <c r="H18" i="2"/>
  <c r="C28" i="2"/>
  <c r="H28" i="2"/>
  <c r="J265" i="2"/>
  <c r="K265" i="2"/>
  <c r="I265" i="2"/>
  <c r="M265" i="2" s="1"/>
  <c r="H8" i="6"/>
  <c r="I8" i="6" s="1"/>
  <c r="X16" i="3"/>
  <c r="V16" i="3" s="1"/>
  <c r="AF16" i="3" s="1"/>
  <c r="X12" i="3"/>
  <c r="X22" i="3"/>
  <c r="V22" i="3" s="1"/>
  <c r="C17" i="2"/>
  <c r="H17" i="2"/>
  <c r="H24" i="2"/>
  <c r="C24" i="2"/>
  <c r="H27" i="2"/>
  <c r="C27" i="2"/>
  <c r="I262" i="2"/>
  <c r="K262" i="2"/>
  <c r="L262" i="2"/>
  <c r="H22" i="2"/>
  <c r="C22" i="2"/>
  <c r="C20" i="2"/>
  <c r="H20" i="2"/>
  <c r="H23" i="2"/>
  <c r="C23" i="2"/>
  <c r="J284" i="2"/>
  <c r="I284" i="2"/>
  <c r="M126" i="2"/>
  <c r="M287" i="2"/>
  <c r="J256" i="2"/>
  <c r="L256" i="2"/>
  <c r="K256" i="2"/>
  <c r="I256" i="2"/>
  <c r="H25" i="2"/>
  <c r="C25" i="2"/>
  <c r="H26" i="2"/>
  <c r="C26" i="2"/>
  <c r="C19" i="2"/>
  <c r="H19" i="2"/>
  <c r="J292" i="2"/>
  <c r="L292" i="2"/>
  <c r="I292" i="2"/>
  <c r="M292" i="2" s="1"/>
  <c r="J262" i="2"/>
  <c r="M262" i="2" s="1"/>
  <c r="M316" i="2"/>
  <c r="M76" i="2"/>
  <c r="M75" i="2"/>
  <c r="M70" i="2"/>
  <c r="M258" i="2"/>
  <c r="M261" i="2"/>
  <c r="M234" i="2"/>
  <c r="M208" i="2"/>
  <c r="M178" i="2"/>
  <c r="M291" i="2"/>
  <c r="M315" i="2"/>
  <c r="M124" i="2"/>
  <c r="M122" i="2"/>
  <c r="M288" i="2"/>
  <c r="M311" i="2"/>
  <c r="M313" i="2"/>
  <c r="M319" i="2"/>
  <c r="M312" i="2"/>
  <c r="M320" i="2"/>
  <c r="M77" i="2"/>
  <c r="M176" i="2"/>
  <c r="M177" i="2"/>
  <c r="M290" i="2"/>
  <c r="M257" i="2"/>
  <c r="M202" i="2"/>
  <c r="M260" i="2"/>
  <c r="M183" i="2"/>
  <c r="M175" i="2"/>
  <c r="M148" i="2"/>
  <c r="M123" i="2"/>
  <c r="M179" i="2"/>
  <c r="M130" i="2"/>
  <c r="M157" i="2"/>
  <c r="M159" i="2"/>
  <c r="M181" i="2"/>
  <c r="M128" i="2"/>
  <c r="M151" i="2"/>
  <c r="M158" i="2"/>
  <c r="M154" i="2"/>
  <c r="M149" i="2"/>
  <c r="M105" i="2"/>
  <c r="M69" i="2"/>
  <c r="M71" i="2"/>
  <c r="X26" i="3"/>
  <c r="V26" i="3" s="1"/>
  <c r="X6" i="3"/>
  <c r="X21" i="3"/>
  <c r="V21" i="3" s="1"/>
  <c r="X18" i="3"/>
  <c r="J74" i="4"/>
  <c r="K74" i="4" s="1"/>
  <c r="J66" i="4"/>
  <c r="K66" i="4" s="1"/>
  <c r="H46" i="4"/>
  <c r="I46" i="4" s="1"/>
  <c r="J46" i="4"/>
  <c r="K46" i="4" s="1"/>
  <c r="J68" i="4"/>
  <c r="K68" i="4" s="1"/>
  <c r="F69" i="4"/>
  <c r="D19" i="4"/>
  <c r="G19" i="4" s="1"/>
  <c r="J19" i="4" s="1"/>
  <c r="K19" i="4" s="1"/>
  <c r="V23" i="3"/>
  <c r="AF23" i="3" s="1"/>
  <c r="V10" i="3"/>
  <c r="X5" i="3"/>
  <c r="X24" i="3"/>
  <c r="X8" i="3"/>
  <c r="X15" i="3"/>
  <c r="X13" i="3"/>
  <c r="X17" i="3"/>
  <c r="X9" i="3"/>
  <c r="X20" i="3"/>
  <c r="X11" i="3"/>
  <c r="X19" i="3"/>
  <c r="X14" i="3"/>
  <c r="Z6" i="3"/>
  <c r="J70" i="4"/>
  <c r="K70" i="4" s="1"/>
  <c r="H69" i="4"/>
  <c r="I69" i="4" s="1"/>
  <c r="F66" i="4"/>
  <c r="X28" i="3"/>
  <c r="X27" i="3"/>
  <c r="F67" i="4"/>
  <c r="F70" i="4"/>
  <c r="J73" i="4"/>
  <c r="K73" i="4" s="1"/>
  <c r="X25" i="3"/>
  <c r="D20" i="4"/>
  <c r="G20" i="4" s="1"/>
  <c r="H20" i="4" s="1"/>
  <c r="I20" i="4" s="1"/>
  <c r="F52" i="4"/>
  <c r="G52" i="4"/>
  <c r="F60" i="4"/>
  <c r="G60" i="4"/>
  <c r="J75" i="4"/>
  <c r="K75" i="4" s="1"/>
  <c r="F75" i="4"/>
  <c r="F72" i="4"/>
  <c r="G72" i="4"/>
  <c r="F54" i="4"/>
  <c r="G54" i="4"/>
  <c r="F62" i="4"/>
  <c r="G62" i="4"/>
  <c r="F53" i="4"/>
  <c r="G53" i="4"/>
  <c r="F61" i="4"/>
  <c r="G61" i="4"/>
  <c r="F47" i="4"/>
  <c r="G47" i="4"/>
  <c r="F55" i="4"/>
  <c r="G55" i="4"/>
  <c r="F63" i="4"/>
  <c r="G63" i="4"/>
  <c r="F76" i="4"/>
  <c r="G76" i="4"/>
  <c r="F48" i="4"/>
  <c r="G48" i="4"/>
  <c r="F56" i="4"/>
  <c r="G56" i="4"/>
  <c r="F64" i="4"/>
  <c r="G64" i="4"/>
  <c r="D18" i="4"/>
  <c r="F18" i="4" s="1"/>
  <c r="J67" i="4"/>
  <c r="K67" i="4" s="1"/>
  <c r="F68" i="4"/>
  <c r="F73" i="4"/>
  <c r="F50" i="4"/>
  <c r="G50" i="4"/>
  <c r="F58" i="4"/>
  <c r="G58" i="4"/>
  <c r="F49" i="4"/>
  <c r="G49" i="4"/>
  <c r="F57" i="4"/>
  <c r="G57" i="4"/>
  <c r="F65" i="4"/>
  <c r="G65" i="4"/>
  <c r="F51" i="4"/>
  <c r="G51" i="4"/>
  <c r="F59" i="4"/>
  <c r="G59" i="4"/>
  <c r="G45" i="4"/>
  <c r="F45" i="4"/>
  <c r="E303" i="2"/>
  <c r="G92" i="2"/>
  <c r="H6" i="2"/>
  <c r="H14" i="2"/>
  <c r="C16" i="2"/>
  <c r="H10" i="2"/>
  <c r="H5" i="6" l="1"/>
  <c r="I5" i="6" s="1"/>
  <c r="AE22" i="3"/>
  <c r="AD22" i="3"/>
  <c r="AF22" i="3"/>
  <c r="AE21" i="3"/>
  <c r="AD21" i="3"/>
  <c r="AD7" i="3"/>
  <c r="AE7" i="3"/>
  <c r="V8" i="3"/>
  <c r="AG8" i="3" s="1"/>
  <c r="AE10" i="3"/>
  <c r="AD10" i="3"/>
  <c r="V6" i="3"/>
  <c r="AG6" i="3" s="1"/>
  <c r="V12" i="3"/>
  <c r="AG10" i="3"/>
  <c r="AG7" i="3"/>
  <c r="V27" i="3"/>
  <c r="V13" i="3"/>
  <c r="AG13" i="3" s="1"/>
  <c r="AD16" i="3"/>
  <c r="AE16" i="3"/>
  <c r="V28" i="3"/>
  <c r="AG28" i="3" s="1"/>
  <c r="V19" i="3"/>
  <c r="F10" i="6"/>
  <c r="F4" i="6" s="1"/>
  <c r="F9" i="6" s="1"/>
  <c r="V15" i="3"/>
  <c r="E10" i="6"/>
  <c r="E4" i="6" s="1"/>
  <c r="AG21" i="3"/>
  <c r="AG22" i="3"/>
  <c r="V9" i="3"/>
  <c r="AG9" i="3" s="1"/>
  <c r="V11" i="3"/>
  <c r="V20" i="3"/>
  <c r="AE26" i="3"/>
  <c r="AD26" i="3"/>
  <c r="V24" i="3"/>
  <c r="AD23" i="3"/>
  <c r="AE23" i="3"/>
  <c r="AG26" i="3"/>
  <c r="AG16" i="3"/>
  <c r="AF10" i="3"/>
  <c r="AG23" i="3"/>
  <c r="AF21" i="3"/>
  <c r="V25" i="3"/>
  <c r="AG25" i="3" s="1"/>
  <c r="V14" i="3"/>
  <c r="AG14" i="3" s="1"/>
  <c r="V18" i="3"/>
  <c r="AG18" i="3" s="1"/>
  <c r="AF26" i="3"/>
  <c r="I19" i="2"/>
  <c r="J19" i="2"/>
  <c r="L19" i="2"/>
  <c r="K19" i="2"/>
  <c r="I20" i="2"/>
  <c r="L20" i="2"/>
  <c r="K20" i="2"/>
  <c r="J20" i="2"/>
  <c r="M20" i="2" s="1"/>
  <c r="L26" i="2"/>
  <c r="J26" i="2"/>
  <c r="K26" i="2"/>
  <c r="I26" i="2"/>
  <c r="M26" i="2" s="1"/>
  <c r="M256" i="2"/>
  <c r="L23" i="2"/>
  <c r="I23" i="2"/>
  <c r="K23" i="2"/>
  <c r="J23" i="2"/>
  <c r="K22" i="2"/>
  <c r="I22" i="2"/>
  <c r="J22" i="2"/>
  <c r="L22" i="2"/>
  <c r="L27" i="2"/>
  <c r="I27" i="2"/>
  <c r="K27" i="2"/>
  <c r="J27" i="2"/>
  <c r="I28" i="2"/>
  <c r="J28" i="2"/>
  <c r="M28" i="2" s="1"/>
  <c r="K28" i="2"/>
  <c r="L28" i="2"/>
  <c r="I21" i="2"/>
  <c r="J21" i="2"/>
  <c r="M21" i="2" s="1"/>
  <c r="L21" i="2"/>
  <c r="K21" i="2"/>
  <c r="V17" i="3"/>
  <c r="K17" i="2"/>
  <c r="I17" i="2"/>
  <c r="J17" i="2"/>
  <c r="L17" i="2"/>
  <c r="K25" i="2"/>
  <c r="J25" i="2"/>
  <c r="L25" i="2"/>
  <c r="I25" i="2"/>
  <c r="M25" i="2" s="1"/>
  <c r="M284" i="2"/>
  <c r="K24" i="2"/>
  <c r="I24" i="2"/>
  <c r="M24" i="2" s="1"/>
  <c r="L24" i="2"/>
  <c r="J24" i="2"/>
  <c r="I18" i="2"/>
  <c r="J18" i="2"/>
  <c r="M18" i="2" s="1"/>
  <c r="K18" i="2"/>
  <c r="L18" i="2"/>
  <c r="H19" i="4"/>
  <c r="I19" i="4" s="1"/>
  <c r="F19" i="4"/>
  <c r="F3" i="6" s="1"/>
  <c r="H3" i="6" s="1"/>
  <c r="I3" i="6" s="1"/>
  <c r="J20" i="4"/>
  <c r="K20" i="4" s="1"/>
  <c r="G18" i="4"/>
  <c r="J18" i="4" s="1"/>
  <c r="K18" i="4" s="1"/>
  <c r="F20" i="4"/>
  <c r="G3" i="6" s="1"/>
  <c r="H61" i="4"/>
  <c r="I61" i="4" s="1"/>
  <c r="J61" i="4"/>
  <c r="K61" i="4" s="1"/>
  <c r="H59" i="4"/>
  <c r="I59" i="4" s="1"/>
  <c r="J59" i="4"/>
  <c r="K59" i="4" s="1"/>
  <c r="H50" i="4"/>
  <c r="I50" i="4" s="1"/>
  <c r="J50" i="4"/>
  <c r="K50" i="4" s="1"/>
  <c r="H51" i="4"/>
  <c r="I51" i="4" s="1"/>
  <c r="J51" i="4"/>
  <c r="K51" i="4" s="1"/>
  <c r="H58" i="4"/>
  <c r="I58" i="4" s="1"/>
  <c r="J58" i="4"/>
  <c r="K58" i="4" s="1"/>
  <c r="H64" i="4"/>
  <c r="I64" i="4" s="1"/>
  <c r="J64" i="4"/>
  <c r="K64" i="4" s="1"/>
  <c r="H48" i="4"/>
  <c r="I48" i="4" s="1"/>
  <c r="J48" i="4"/>
  <c r="K48" i="4" s="1"/>
  <c r="H63" i="4"/>
  <c r="I63" i="4" s="1"/>
  <c r="J63" i="4"/>
  <c r="K63" i="4" s="1"/>
  <c r="H47" i="4"/>
  <c r="I47" i="4" s="1"/>
  <c r="J47" i="4"/>
  <c r="K47" i="4" s="1"/>
  <c r="H53" i="4"/>
  <c r="I53" i="4" s="1"/>
  <c r="J53" i="4"/>
  <c r="K53" i="4" s="1"/>
  <c r="H54" i="4"/>
  <c r="I54" i="4" s="1"/>
  <c r="J54" i="4"/>
  <c r="K54" i="4" s="1"/>
  <c r="H52" i="4"/>
  <c r="I52" i="4" s="1"/>
  <c r="J52" i="4"/>
  <c r="K52" i="4" s="1"/>
  <c r="H49" i="4"/>
  <c r="I49" i="4" s="1"/>
  <c r="J49" i="4"/>
  <c r="K49" i="4" s="1"/>
  <c r="H57" i="4"/>
  <c r="I57" i="4" s="1"/>
  <c r="J57" i="4"/>
  <c r="K57" i="4" s="1"/>
  <c r="J45" i="4"/>
  <c r="K45" i="4" s="1"/>
  <c r="H45" i="4"/>
  <c r="I45" i="4" s="1"/>
  <c r="H65" i="4"/>
  <c r="I65" i="4" s="1"/>
  <c r="J65" i="4"/>
  <c r="K65" i="4" s="1"/>
  <c r="H56" i="4"/>
  <c r="I56" i="4" s="1"/>
  <c r="J56" i="4"/>
  <c r="K56" i="4" s="1"/>
  <c r="H76" i="4"/>
  <c r="I76" i="4" s="1"/>
  <c r="J76" i="4"/>
  <c r="K76" i="4" s="1"/>
  <c r="H55" i="4"/>
  <c r="I55" i="4" s="1"/>
  <c r="J55" i="4"/>
  <c r="K55" i="4" s="1"/>
  <c r="H62" i="4"/>
  <c r="I62" i="4" s="1"/>
  <c r="J62" i="4"/>
  <c r="K62" i="4" s="1"/>
  <c r="J72" i="4"/>
  <c r="K72" i="4" s="1"/>
  <c r="H72" i="4"/>
  <c r="I72" i="4" s="1"/>
  <c r="H60" i="4"/>
  <c r="I60" i="4" s="1"/>
  <c r="J60" i="4"/>
  <c r="K60" i="4" s="1"/>
  <c r="D62" i="2"/>
  <c r="E57" i="2"/>
  <c r="F58" i="2"/>
  <c r="E91" i="2"/>
  <c r="E84" i="2"/>
  <c r="F116" i="2"/>
  <c r="E111" i="2"/>
  <c r="G142" i="2"/>
  <c r="E137" i="2"/>
  <c r="E199" i="2"/>
  <c r="G64" i="2"/>
  <c r="G60" i="2"/>
  <c r="E56" i="2"/>
  <c r="F91" i="2"/>
  <c r="F87" i="2"/>
  <c r="F83" i="2"/>
  <c r="F118" i="2"/>
  <c r="G114" i="2"/>
  <c r="G110" i="2"/>
  <c r="F145" i="2"/>
  <c r="F141" i="2"/>
  <c r="F137" i="2"/>
  <c r="E172" i="2"/>
  <c r="E164" i="2"/>
  <c r="E195" i="2"/>
  <c r="E248" i="2"/>
  <c r="E279" i="2"/>
  <c r="E65" i="2"/>
  <c r="F64" i="2"/>
  <c r="D88" i="2"/>
  <c r="F119" i="2"/>
  <c r="D115" i="2"/>
  <c r="F146" i="2"/>
  <c r="D139" i="2"/>
  <c r="E173" i="2"/>
  <c r="E224" i="2"/>
  <c r="E271" i="2"/>
  <c r="D56" i="2"/>
  <c r="F65" i="2"/>
  <c r="G56" i="2"/>
  <c r="E88" i="2"/>
  <c r="G119" i="2"/>
  <c r="E115" i="2"/>
  <c r="G146" i="2"/>
  <c r="E141" i="2"/>
  <c r="E169" i="2"/>
  <c r="E220" i="2"/>
  <c r="E252" i="2"/>
  <c r="E298" i="2"/>
  <c r="D65" i="2"/>
  <c r="E58" i="2"/>
  <c r="F60" i="2"/>
  <c r="D92" i="2"/>
  <c r="F84" i="2"/>
  <c r="E118" i="2"/>
  <c r="F111" i="2"/>
  <c r="E143" i="2"/>
  <c r="D138" i="2"/>
  <c r="E196" i="2"/>
  <c r="E244" i="2"/>
  <c r="E275" i="2"/>
  <c r="D61" i="2"/>
  <c r="E61" i="2"/>
  <c r="F66" i="2"/>
  <c r="G61" i="2"/>
  <c r="G57" i="2"/>
  <c r="F92" i="2"/>
  <c r="G88" i="2"/>
  <c r="E87" i="2"/>
  <c r="D84" i="2"/>
  <c r="E119" i="2"/>
  <c r="G115" i="2"/>
  <c r="F114" i="2"/>
  <c r="D111" i="2"/>
  <c r="E146" i="2"/>
  <c r="E142" i="2"/>
  <c r="F138" i="2"/>
  <c r="E165" i="2"/>
  <c r="E191" i="2"/>
  <c r="F55" i="2"/>
  <c r="G63" i="2"/>
  <c r="G59" i="2"/>
  <c r="D82" i="2"/>
  <c r="F90" i="2"/>
  <c r="D86" i="2"/>
  <c r="F109" i="2"/>
  <c r="G117" i="2"/>
  <c r="E113" i="2"/>
  <c r="E136" i="2"/>
  <c r="D144" i="2"/>
  <c r="E140" i="2"/>
  <c r="E163" i="2"/>
  <c r="E171" i="2"/>
  <c r="E167" i="2"/>
  <c r="E190" i="2"/>
  <c r="E198" i="2"/>
  <c r="E194" i="2"/>
  <c r="E217" i="2"/>
  <c r="E221" i="2"/>
  <c r="E226" i="2"/>
  <c r="E245" i="2"/>
  <c r="E249" i="2"/>
  <c r="E253" i="2"/>
  <c r="E272" i="2"/>
  <c r="E276" i="2"/>
  <c r="E280" i="2"/>
  <c r="E299" i="2"/>
  <c r="E304" i="2"/>
  <c r="E225" i="2"/>
  <c r="E306" i="2"/>
  <c r="D57" i="2"/>
  <c r="E60" i="2"/>
  <c r="G65" i="2"/>
  <c r="F61" i="2"/>
  <c r="F57" i="2"/>
  <c r="E92" i="2"/>
  <c r="F88" i="2"/>
  <c r="G84" i="2"/>
  <c r="E83" i="2"/>
  <c r="D119" i="2"/>
  <c r="F115" i="2"/>
  <c r="G111" i="2"/>
  <c r="F110" i="2"/>
  <c r="E145" i="2"/>
  <c r="D142" i="2"/>
  <c r="E138" i="2"/>
  <c r="E168" i="2"/>
  <c r="E192" i="2"/>
  <c r="G66" i="2"/>
  <c r="F62" i="2"/>
  <c r="G58" i="2"/>
  <c r="F93" i="2"/>
  <c r="F89" i="2"/>
  <c r="F85" i="2"/>
  <c r="F120" i="2"/>
  <c r="D116" i="2"/>
  <c r="F112" i="2"/>
  <c r="G147" i="2"/>
  <c r="G143" i="2"/>
  <c r="F139" i="2"/>
  <c r="E174" i="2"/>
  <c r="E170" i="2"/>
  <c r="E166" i="2"/>
  <c r="E201" i="2"/>
  <c r="E197" i="2"/>
  <c r="E193" i="2"/>
  <c r="E218" i="2"/>
  <c r="E222" i="2"/>
  <c r="E227" i="2"/>
  <c r="E246" i="2"/>
  <c r="E250" i="2"/>
  <c r="E254" i="2"/>
  <c r="E273" i="2"/>
  <c r="E277" i="2"/>
  <c r="E281" i="2"/>
  <c r="E300" i="2"/>
  <c r="E307" i="2"/>
  <c r="E309" i="2"/>
  <c r="E305" i="2"/>
  <c r="E301" i="2"/>
  <c r="D146" i="2"/>
  <c r="F142" i="2"/>
  <c r="G138" i="2"/>
  <c r="E200" i="2"/>
  <c r="E219" i="2"/>
  <c r="E223" i="2"/>
  <c r="E228" i="2"/>
  <c r="E247" i="2"/>
  <c r="E251" i="2"/>
  <c r="E255" i="2"/>
  <c r="E274" i="2"/>
  <c r="E278" i="2"/>
  <c r="E282" i="2"/>
  <c r="E302" i="2"/>
  <c r="E308" i="2"/>
  <c r="D91" i="2"/>
  <c r="D87" i="2"/>
  <c r="H87" i="2" s="1"/>
  <c r="D118" i="2"/>
  <c r="E110" i="2"/>
  <c r="D141" i="2"/>
  <c r="D60" i="2"/>
  <c r="E64" i="2"/>
  <c r="G91" i="2"/>
  <c r="G87" i="2"/>
  <c r="G83" i="2"/>
  <c r="G118" i="2"/>
  <c r="D114" i="2"/>
  <c r="D110" i="2"/>
  <c r="G145" i="2"/>
  <c r="G141" i="2"/>
  <c r="G137" i="2"/>
  <c r="F56" i="2"/>
  <c r="D83" i="2"/>
  <c r="E114" i="2"/>
  <c r="D145" i="2"/>
  <c r="D137" i="2"/>
  <c r="D64" i="2"/>
  <c r="D66" i="2"/>
  <c r="E62" i="2"/>
  <c r="G62" i="2"/>
  <c r="E89" i="2"/>
  <c r="E66" i="2"/>
  <c r="D89" i="2"/>
  <c r="D58" i="2"/>
  <c r="G116" i="2"/>
  <c r="E93" i="2"/>
  <c r="E85" i="2"/>
  <c r="D93" i="2"/>
  <c r="D85" i="2"/>
  <c r="G93" i="2"/>
  <c r="G89" i="2"/>
  <c r="G85" i="2"/>
  <c r="E120" i="2"/>
  <c r="E112" i="2"/>
  <c r="D120" i="2"/>
  <c r="D112" i="2"/>
  <c r="F143" i="2"/>
  <c r="F299" i="2"/>
  <c r="F303" i="2"/>
  <c r="F304" i="2"/>
  <c r="F305" i="2"/>
  <c r="F306" i="2"/>
  <c r="F307" i="2"/>
  <c r="F308" i="2"/>
  <c r="F309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F298" i="2"/>
  <c r="F300" i="2"/>
  <c r="F301" i="2"/>
  <c r="F302" i="2"/>
  <c r="F147" i="2"/>
  <c r="F271" i="2"/>
  <c r="F274" i="2"/>
  <c r="F276" i="2"/>
  <c r="F277" i="2"/>
  <c r="F280" i="2"/>
  <c r="F281" i="2"/>
  <c r="F282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F275" i="2"/>
  <c r="E147" i="2"/>
  <c r="D143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F272" i="2"/>
  <c r="F273" i="2"/>
  <c r="F278" i="2"/>
  <c r="F279" i="2"/>
  <c r="D147" i="2"/>
  <c r="E139" i="2"/>
  <c r="F247" i="2"/>
  <c r="F249" i="2"/>
  <c r="F251" i="2"/>
  <c r="F252" i="2"/>
  <c r="F254" i="2"/>
  <c r="F255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F244" i="2"/>
  <c r="F245" i="2"/>
  <c r="G139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F246" i="2"/>
  <c r="F248" i="2"/>
  <c r="F250" i="2"/>
  <c r="F253" i="2"/>
  <c r="K16" i="2"/>
  <c r="E82" i="2"/>
  <c r="G109" i="2"/>
  <c r="D140" i="2"/>
  <c r="J16" i="2"/>
  <c r="L16" i="2"/>
  <c r="G55" i="2"/>
  <c r="G86" i="2"/>
  <c r="F136" i="2"/>
  <c r="C11" i="2"/>
  <c r="I11" i="2" s="1"/>
  <c r="F218" i="2"/>
  <c r="F219" i="2"/>
  <c r="F223" i="2"/>
  <c r="F225" i="2"/>
  <c r="F228" i="2"/>
  <c r="C15" i="2"/>
  <c r="J15" i="2" s="1"/>
  <c r="F82" i="2"/>
  <c r="F63" i="2"/>
  <c r="E90" i="2"/>
  <c r="G13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F226" i="2"/>
  <c r="F227" i="2"/>
  <c r="G82" i="2"/>
  <c r="F59" i="2"/>
  <c r="I16" i="2"/>
  <c r="D13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F217" i="2"/>
  <c r="F220" i="2"/>
  <c r="F221" i="2"/>
  <c r="F222" i="2"/>
  <c r="F224" i="2"/>
  <c r="D55" i="2"/>
  <c r="D63" i="2"/>
  <c r="D59" i="2"/>
  <c r="E55" i="2"/>
  <c r="E63" i="2"/>
  <c r="E59" i="2"/>
  <c r="D109" i="2"/>
  <c r="F117" i="2"/>
  <c r="D113" i="2"/>
  <c r="G144" i="2"/>
  <c r="F144" i="2"/>
  <c r="G140" i="2"/>
  <c r="E144" i="2"/>
  <c r="F140" i="2"/>
  <c r="E117" i="2"/>
  <c r="G113" i="2"/>
  <c r="G120" i="2"/>
  <c r="D117" i="2"/>
  <c r="E116" i="2"/>
  <c r="F113" i="2"/>
  <c r="G112" i="2"/>
  <c r="D90" i="2"/>
  <c r="F86" i="2"/>
  <c r="G90" i="2"/>
  <c r="E86" i="2"/>
  <c r="F192" i="2"/>
  <c r="F194" i="2"/>
  <c r="F195" i="2"/>
  <c r="F198" i="2"/>
  <c r="F19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F190" i="2"/>
  <c r="F191" i="2"/>
  <c r="F193" i="2"/>
  <c r="F196" i="2"/>
  <c r="F197" i="2"/>
  <c r="F200" i="2"/>
  <c r="F201" i="2"/>
  <c r="F173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F163" i="2"/>
  <c r="F164" i="2"/>
  <c r="F165" i="2"/>
  <c r="F166" i="2"/>
  <c r="F167" i="2"/>
  <c r="F168" i="2"/>
  <c r="F169" i="2"/>
  <c r="F170" i="2"/>
  <c r="F171" i="2"/>
  <c r="F172" i="2"/>
  <c r="F174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E109" i="2"/>
  <c r="C12" i="2"/>
  <c r="J12" i="2" s="1"/>
  <c r="C13" i="2"/>
  <c r="J13" i="2" s="1"/>
  <c r="C5" i="2"/>
  <c r="C7" i="2"/>
  <c r="I7" i="2" s="1"/>
  <c r="C8" i="2"/>
  <c r="I8" i="2" s="1"/>
  <c r="H8" i="2"/>
  <c r="C6" i="2"/>
  <c r="K6" i="2" s="1"/>
  <c r="C9" i="2"/>
  <c r="I9" i="2" s="1"/>
  <c r="C10" i="2"/>
  <c r="L10" i="2" s="1"/>
  <c r="H12" i="2"/>
  <c r="H16" i="2"/>
  <c r="H7" i="2"/>
  <c r="H11" i="2"/>
  <c r="C14" i="2"/>
  <c r="I14" i="2" s="1"/>
  <c r="H15" i="2"/>
  <c r="H5" i="2"/>
  <c r="H9" i="2"/>
  <c r="H13" i="2"/>
  <c r="AD24" i="3" l="1"/>
  <c r="AE24" i="3"/>
  <c r="AF24" i="3"/>
  <c r="AD12" i="3"/>
  <c r="AE12" i="3"/>
  <c r="AF12" i="3"/>
  <c r="AE17" i="3"/>
  <c r="AD17" i="3"/>
  <c r="AF17" i="3"/>
  <c r="E6" i="6"/>
  <c r="E7" i="6" s="1"/>
  <c r="E9" i="6"/>
  <c r="AE14" i="3"/>
  <c r="AD14" i="3"/>
  <c r="AF14" i="3"/>
  <c r="AD11" i="3"/>
  <c r="AE11" i="3"/>
  <c r="AF11" i="3"/>
  <c r="E11" i="6"/>
  <c r="F11" i="6"/>
  <c r="H9" i="6"/>
  <c r="AD27" i="3"/>
  <c r="AE27" i="3"/>
  <c r="AF27" i="3"/>
  <c r="AE9" i="3"/>
  <c r="AD9" i="3"/>
  <c r="AF9" i="3"/>
  <c r="AG17" i="3"/>
  <c r="AD28" i="3"/>
  <c r="AE28" i="3"/>
  <c r="AF28" i="3"/>
  <c r="AE13" i="3"/>
  <c r="AD13" i="3"/>
  <c r="AF13" i="3"/>
  <c r="AD6" i="3"/>
  <c r="AF6" i="3"/>
  <c r="AE6" i="3"/>
  <c r="AD8" i="3"/>
  <c r="AE8" i="3"/>
  <c r="AF8" i="3"/>
  <c r="AD20" i="3"/>
  <c r="AE20" i="3"/>
  <c r="AF20" i="3"/>
  <c r="AE15" i="3"/>
  <c r="AD15" i="3"/>
  <c r="AF15" i="3"/>
  <c r="AE19" i="3"/>
  <c r="AD19" i="3"/>
  <c r="AF19" i="3"/>
  <c r="AE18" i="3"/>
  <c r="AD18" i="3"/>
  <c r="AF18" i="3"/>
  <c r="AE25" i="3"/>
  <c r="AD25" i="3"/>
  <c r="AF25" i="3"/>
  <c r="AG24" i="3"/>
  <c r="AG20" i="3"/>
  <c r="AG15" i="3"/>
  <c r="AG19" i="3"/>
  <c r="AG27" i="3"/>
  <c r="AG12" i="3"/>
  <c r="AG11" i="3"/>
  <c r="G6" i="6"/>
  <c r="G7" i="6" s="1"/>
  <c r="H10" i="6"/>
  <c r="I10" i="6" s="1"/>
  <c r="M27" i="2"/>
  <c r="M22" i="2"/>
  <c r="M23" i="2"/>
  <c r="M17" i="2"/>
  <c r="M19" i="2"/>
  <c r="H18" i="6"/>
  <c r="K5" i="2"/>
  <c r="I5" i="2"/>
  <c r="H137" i="2"/>
  <c r="H115" i="2"/>
  <c r="H82" i="2"/>
  <c r="H142" i="2"/>
  <c r="H58" i="2"/>
  <c r="C119" i="2"/>
  <c r="L119" i="2" s="1"/>
  <c r="C57" i="2"/>
  <c r="L57" i="2" s="1"/>
  <c r="H140" i="2"/>
  <c r="H111" i="2"/>
  <c r="C115" i="2"/>
  <c r="J115" i="2" s="1"/>
  <c r="H61" i="2"/>
  <c r="H65" i="2"/>
  <c r="H57" i="2"/>
  <c r="H18" i="4"/>
  <c r="I18" i="4" s="1"/>
  <c r="H113" i="2"/>
  <c r="H62" i="2"/>
  <c r="H84" i="2"/>
  <c r="H56" i="2"/>
  <c r="C88" i="2"/>
  <c r="J88" i="2" s="1"/>
  <c r="C146" i="2"/>
  <c r="J146" i="2" s="1"/>
  <c r="C92" i="2"/>
  <c r="J92" i="2" s="1"/>
  <c r="C56" i="2"/>
  <c r="I56" i="2" s="1"/>
  <c r="H144" i="2"/>
  <c r="H119" i="2"/>
  <c r="H92" i="2"/>
  <c r="C65" i="2"/>
  <c r="L65" i="2" s="1"/>
  <c r="C58" i="2"/>
  <c r="L58" i="2" s="1"/>
  <c r="H116" i="2"/>
  <c r="H145" i="2"/>
  <c r="C91" i="2"/>
  <c r="L91" i="2" s="1"/>
  <c r="H83" i="2"/>
  <c r="C84" i="2"/>
  <c r="L84" i="2" s="1"/>
  <c r="C141" i="2"/>
  <c r="I141" i="2" s="1"/>
  <c r="H88" i="2"/>
  <c r="H91" i="2"/>
  <c r="H141" i="2"/>
  <c r="H110" i="2"/>
  <c r="H146" i="2"/>
  <c r="C87" i="2"/>
  <c r="K87" i="2" s="1"/>
  <c r="C64" i="2"/>
  <c r="J64" i="2" s="1"/>
  <c r="H60" i="2"/>
  <c r="C142" i="2"/>
  <c r="L142" i="2" s="1"/>
  <c r="C138" i="2"/>
  <c r="L138" i="2" s="1"/>
  <c r="C111" i="2"/>
  <c r="J111" i="2" s="1"/>
  <c r="C61" i="2"/>
  <c r="L61" i="2" s="1"/>
  <c r="C83" i="2"/>
  <c r="J83" i="2" s="1"/>
  <c r="H64" i="2"/>
  <c r="C60" i="2"/>
  <c r="J60" i="2" s="1"/>
  <c r="H120" i="2"/>
  <c r="C66" i="2"/>
  <c r="I66" i="2" s="1"/>
  <c r="C89" i="2"/>
  <c r="I89" i="2" s="1"/>
  <c r="C145" i="2"/>
  <c r="I145" i="2" s="1"/>
  <c r="C137" i="2"/>
  <c r="K137" i="2" s="1"/>
  <c r="H114" i="2"/>
  <c r="C110" i="2"/>
  <c r="I110" i="2" s="1"/>
  <c r="H138" i="2"/>
  <c r="H136" i="2"/>
  <c r="C62" i="2"/>
  <c r="K62" i="2" s="1"/>
  <c r="C118" i="2"/>
  <c r="K118" i="2" s="1"/>
  <c r="C114" i="2"/>
  <c r="K114" i="2" s="1"/>
  <c r="H118" i="2"/>
  <c r="H66" i="2"/>
  <c r="H89" i="2"/>
  <c r="H93" i="2"/>
  <c r="C147" i="2"/>
  <c r="I147" i="2" s="1"/>
  <c r="H112" i="2"/>
  <c r="H85" i="2"/>
  <c r="C120" i="2"/>
  <c r="I120" i="2" s="1"/>
  <c r="C85" i="2"/>
  <c r="K85" i="2" s="1"/>
  <c r="C93" i="2"/>
  <c r="I93" i="2" s="1"/>
  <c r="C143" i="2"/>
  <c r="I143" i="2" s="1"/>
  <c r="C112" i="2"/>
  <c r="L112" i="2" s="1"/>
  <c r="H143" i="2"/>
  <c r="C139" i="2"/>
  <c r="L139" i="2" s="1"/>
  <c r="H147" i="2"/>
  <c r="H305" i="2"/>
  <c r="C305" i="2"/>
  <c r="J305" i="2" s="1"/>
  <c r="H139" i="2"/>
  <c r="H304" i="2"/>
  <c r="C304" i="2"/>
  <c r="J304" i="2" s="1"/>
  <c r="H90" i="2"/>
  <c r="H307" i="2"/>
  <c r="C307" i="2"/>
  <c r="J307" i="2" s="1"/>
  <c r="H303" i="2"/>
  <c r="C303" i="2"/>
  <c r="J303" i="2" s="1"/>
  <c r="H299" i="2"/>
  <c r="C299" i="2"/>
  <c r="J299" i="2" s="1"/>
  <c r="H309" i="2"/>
  <c r="C309" i="2"/>
  <c r="J309" i="2" s="1"/>
  <c r="H301" i="2"/>
  <c r="C301" i="2"/>
  <c r="J301" i="2" s="1"/>
  <c r="H308" i="2"/>
  <c r="C308" i="2"/>
  <c r="J308" i="2" s="1"/>
  <c r="H300" i="2"/>
  <c r="C300" i="2"/>
  <c r="J300" i="2" s="1"/>
  <c r="C116" i="2"/>
  <c r="L116" i="2" s="1"/>
  <c r="H306" i="2"/>
  <c r="C306" i="2"/>
  <c r="J306" i="2" s="1"/>
  <c r="H302" i="2"/>
  <c r="C302" i="2"/>
  <c r="J302" i="2" s="1"/>
  <c r="H298" i="2"/>
  <c r="C298" i="2"/>
  <c r="J298" i="2" s="1"/>
  <c r="H282" i="2"/>
  <c r="C282" i="2"/>
  <c r="J282" i="2" s="1"/>
  <c r="H278" i="2"/>
  <c r="C278" i="2"/>
  <c r="J278" i="2" s="1"/>
  <c r="H274" i="2"/>
  <c r="C274" i="2"/>
  <c r="J274" i="2" s="1"/>
  <c r="H281" i="2"/>
  <c r="C281" i="2"/>
  <c r="J281" i="2" s="1"/>
  <c r="H277" i="2"/>
  <c r="C277" i="2"/>
  <c r="J277" i="2" s="1"/>
  <c r="H273" i="2"/>
  <c r="C273" i="2"/>
  <c r="J273" i="2" s="1"/>
  <c r="H280" i="2"/>
  <c r="C280" i="2"/>
  <c r="J280" i="2" s="1"/>
  <c r="H276" i="2"/>
  <c r="C276" i="2"/>
  <c r="J276" i="2" s="1"/>
  <c r="H272" i="2"/>
  <c r="C272" i="2"/>
  <c r="J272" i="2" s="1"/>
  <c r="C140" i="2"/>
  <c r="K140" i="2" s="1"/>
  <c r="H279" i="2"/>
  <c r="C279" i="2"/>
  <c r="J279" i="2" s="1"/>
  <c r="H275" i="2"/>
  <c r="C275" i="2"/>
  <c r="J275" i="2" s="1"/>
  <c r="H271" i="2"/>
  <c r="C271" i="2"/>
  <c r="J271" i="2" s="1"/>
  <c r="H249" i="2"/>
  <c r="C249" i="2"/>
  <c r="J249" i="2" s="1"/>
  <c r="H252" i="2"/>
  <c r="C252" i="2"/>
  <c r="J252" i="2" s="1"/>
  <c r="H244" i="2"/>
  <c r="C244" i="2"/>
  <c r="J244" i="2" s="1"/>
  <c r="H255" i="2"/>
  <c r="C255" i="2"/>
  <c r="J255" i="2" s="1"/>
  <c r="H251" i="2"/>
  <c r="C251" i="2"/>
  <c r="J251" i="2" s="1"/>
  <c r="H247" i="2"/>
  <c r="C247" i="2"/>
  <c r="J247" i="2" s="1"/>
  <c r="H253" i="2"/>
  <c r="C253" i="2"/>
  <c r="J253" i="2" s="1"/>
  <c r="H245" i="2"/>
  <c r="C245" i="2"/>
  <c r="J245" i="2" s="1"/>
  <c r="H248" i="2"/>
  <c r="C248" i="2"/>
  <c r="J248" i="2" s="1"/>
  <c r="H254" i="2"/>
  <c r="C254" i="2"/>
  <c r="J254" i="2" s="1"/>
  <c r="H250" i="2"/>
  <c r="C250" i="2"/>
  <c r="J250" i="2" s="1"/>
  <c r="H246" i="2"/>
  <c r="C246" i="2"/>
  <c r="J246" i="2" s="1"/>
  <c r="L14" i="2"/>
  <c r="C109" i="2"/>
  <c r="L109" i="2" s="1"/>
  <c r="J14" i="2"/>
  <c r="M14" i="2" s="1"/>
  <c r="C55" i="2"/>
  <c r="M16" i="2"/>
  <c r="H63" i="2"/>
  <c r="K11" i="2"/>
  <c r="C136" i="2"/>
  <c r="K136" i="2" s="1"/>
  <c r="L13" i="2"/>
  <c r="J8" i="2"/>
  <c r="M8" i="2" s="1"/>
  <c r="C90" i="2"/>
  <c r="L90" i="2" s="1"/>
  <c r="C113" i="2"/>
  <c r="J113" i="2" s="1"/>
  <c r="C59" i="2"/>
  <c r="K59" i="2" s="1"/>
  <c r="L5" i="2"/>
  <c r="J7" i="2"/>
  <c r="M7" i="2" s="1"/>
  <c r="H55" i="2"/>
  <c r="J11" i="2"/>
  <c r="M11" i="2" s="1"/>
  <c r="J9" i="2"/>
  <c r="M9" i="2" s="1"/>
  <c r="L15" i="2"/>
  <c r="I15" i="2"/>
  <c r="M15" i="2" s="1"/>
  <c r="J5" i="2"/>
  <c r="K7" i="2"/>
  <c r="L8" i="2"/>
  <c r="H227" i="2"/>
  <c r="C227" i="2"/>
  <c r="J227" i="2" s="1"/>
  <c r="H219" i="2"/>
  <c r="C219" i="2"/>
  <c r="J219" i="2" s="1"/>
  <c r="C82" i="2"/>
  <c r="H222" i="2"/>
  <c r="C222" i="2"/>
  <c r="J222" i="2" s="1"/>
  <c r="I6" i="2"/>
  <c r="C117" i="2"/>
  <c r="J117" i="2" s="1"/>
  <c r="H59" i="2"/>
  <c r="H228" i="2"/>
  <c r="C228" i="2"/>
  <c r="J228" i="2" s="1"/>
  <c r="H224" i="2"/>
  <c r="C224" i="2"/>
  <c r="J224" i="2" s="1"/>
  <c r="H220" i="2"/>
  <c r="C220" i="2"/>
  <c r="J220" i="2" s="1"/>
  <c r="L9" i="2"/>
  <c r="K13" i="2"/>
  <c r="L6" i="2"/>
  <c r="J6" i="2"/>
  <c r="L11" i="2"/>
  <c r="K15" i="2"/>
  <c r="K12" i="2"/>
  <c r="H223" i="2"/>
  <c r="C223" i="2"/>
  <c r="J223" i="2" s="1"/>
  <c r="J10" i="2"/>
  <c r="H226" i="2"/>
  <c r="C226" i="2"/>
  <c r="J226" i="2" s="1"/>
  <c r="H218" i="2"/>
  <c r="C218" i="2"/>
  <c r="J218" i="2" s="1"/>
  <c r="K10" i="2"/>
  <c r="L12" i="2"/>
  <c r="C63" i="2"/>
  <c r="I63" i="2" s="1"/>
  <c r="H225" i="2"/>
  <c r="C225" i="2"/>
  <c r="J225" i="2" s="1"/>
  <c r="H221" i="2"/>
  <c r="C221" i="2"/>
  <c r="J221" i="2" s="1"/>
  <c r="H217" i="2"/>
  <c r="C217" i="2"/>
  <c r="J217" i="2" s="1"/>
  <c r="K9" i="2"/>
  <c r="I13" i="2"/>
  <c r="M13" i="2" s="1"/>
  <c r="K14" i="2"/>
  <c r="I10" i="2"/>
  <c r="L7" i="2"/>
  <c r="K8" i="2"/>
  <c r="I12" i="2"/>
  <c r="M12" i="2" s="1"/>
  <c r="C144" i="2"/>
  <c r="H117" i="2"/>
  <c r="H109" i="2"/>
  <c r="H86" i="2"/>
  <c r="C86" i="2"/>
  <c r="H198" i="2"/>
  <c r="C198" i="2"/>
  <c r="J198" i="2" s="1"/>
  <c r="H194" i="2"/>
  <c r="C194" i="2"/>
  <c r="J194" i="2" s="1"/>
  <c r="H190" i="2"/>
  <c r="C190" i="2"/>
  <c r="J190" i="2" s="1"/>
  <c r="H200" i="2"/>
  <c r="C200" i="2"/>
  <c r="J200" i="2" s="1"/>
  <c r="H196" i="2"/>
  <c r="C196" i="2"/>
  <c r="J196" i="2" s="1"/>
  <c r="H192" i="2"/>
  <c r="C192" i="2"/>
  <c r="J192" i="2" s="1"/>
  <c r="H199" i="2"/>
  <c r="C199" i="2"/>
  <c r="J199" i="2" s="1"/>
  <c r="H195" i="2"/>
  <c r="C195" i="2"/>
  <c r="J195" i="2" s="1"/>
  <c r="H191" i="2"/>
  <c r="C191" i="2"/>
  <c r="J191" i="2" s="1"/>
  <c r="H201" i="2"/>
  <c r="C201" i="2"/>
  <c r="J201" i="2" s="1"/>
  <c r="H197" i="2"/>
  <c r="C197" i="2"/>
  <c r="J197" i="2" s="1"/>
  <c r="H193" i="2"/>
  <c r="C193" i="2"/>
  <c r="J193" i="2" s="1"/>
  <c r="H166" i="2"/>
  <c r="C166" i="2"/>
  <c r="J166" i="2" s="1"/>
  <c r="H173" i="2"/>
  <c r="C173" i="2"/>
  <c r="J173" i="2" s="1"/>
  <c r="H169" i="2"/>
  <c r="C169" i="2"/>
  <c r="J169" i="2" s="1"/>
  <c r="H165" i="2"/>
  <c r="C165" i="2"/>
  <c r="J165" i="2" s="1"/>
  <c r="H170" i="2"/>
  <c r="C170" i="2"/>
  <c r="J170" i="2" s="1"/>
  <c r="H172" i="2"/>
  <c r="C172" i="2"/>
  <c r="J172" i="2" s="1"/>
  <c r="H168" i="2"/>
  <c r="C168" i="2"/>
  <c r="J168" i="2" s="1"/>
  <c r="H164" i="2"/>
  <c r="C164" i="2"/>
  <c r="J164" i="2" s="1"/>
  <c r="H174" i="2"/>
  <c r="C174" i="2"/>
  <c r="J174" i="2" s="1"/>
  <c r="H171" i="2"/>
  <c r="C171" i="2"/>
  <c r="J171" i="2" s="1"/>
  <c r="H167" i="2"/>
  <c r="C167" i="2"/>
  <c r="J167" i="2" s="1"/>
  <c r="H163" i="2"/>
  <c r="C163" i="2"/>
  <c r="J163" i="2" s="1"/>
  <c r="I119" i="2"/>
  <c r="I57" i="2"/>
  <c r="K57" i="2"/>
  <c r="H11" i="6" l="1"/>
  <c r="H16" i="6"/>
  <c r="I55" i="2"/>
  <c r="H4" i="6"/>
  <c r="I4" i="6" s="1"/>
  <c r="F6" i="6"/>
  <c r="F7" i="6" s="1"/>
  <c r="H7" i="6" s="1"/>
  <c r="L88" i="2"/>
  <c r="J57" i="2"/>
  <c r="K88" i="2"/>
  <c r="K89" i="2"/>
  <c r="L115" i="2"/>
  <c r="L56" i="2"/>
  <c r="I115" i="2"/>
  <c r="M115" i="2" s="1"/>
  <c r="I92" i="2"/>
  <c r="M92" i="2" s="1"/>
  <c r="K119" i="2"/>
  <c r="I64" i="2"/>
  <c r="M64" i="2" s="1"/>
  <c r="J119" i="2"/>
  <c r="M119" i="2" s="1"/>
  <c r="L145" i="2"/>
  <c r="K115" i="2"/>
  <c r="J141" i="2"/>
  <c r="M141" i="2" s="1"/>
  <c r="K65" i="2"/>
  <c r="I84" i="2"/>
  <c r="I88" i="2"/>
  <c r="M88" i="2" s="1"/>
  <c r="L146" i="2"/>
  <c r="I142" i="2"/>
  <c r="K138" i="2"/>
  <c r="I146" i="2"/>
  <c r="M146" i="2" s="1"/>
  <c r="J138" i="2"/>
  <c r="K146" i="2"/>
  <c r="L111" i="2"/>
  <c r="I111" i="2"/>
  <c r="M111" i="2" s="1"/>
  <c r="K92" i="2"/>
  <c r="I87" i="2"/>
  <c r="L87" i="2"/>
  <c r="J87" i="2"/>
  <c r="L92" i="2"/>
  <c r="K58" i="2"/>
  <c r="J66" i="2"/>
  <c r="M66" i="2" s="1"/>
  <c r="K66" i="2"/>
  <c r="K61" i="2"/>
  <c r="J58" i="2"/>
  <c r="J56" i="2"/>
  <c r="M56" i="2" s="1"/>
  <c r="I65" i="2"/>
  <c r="L62" i="2"/>
  <c r="I62" i="2"/>
  <c r="L66" i="2"/>
  <c r="K112" i="2"/>
  <c r="J91" i="2"/>
  <c r="I137" i="2"/>
  <c r="K141" i="2"/>
  <c r="K56" i="2"/>
  <c r="J62" i="2"/>
  <c r="I60" i="2"/>
  <c r="M60" i="2" s="1"/>
  <c r="I91" i="2"/>
  <c r="I83" i="2"/>
  <c r="M83" i="2" s="1"/>
  <c r="J65" i="2"/>
  <c r="I58" i="2"/>
  <c r="I138" i="2"/>
  <c r="I118" i="2"/>
  <c r="M5" i="2"/>
  <c r="L110" i="2"/>
  <c r="J84" i="2"/>
  <c r="J89" i="2"/>
  <c r="M89" i="2" s="1"/>
  <c r="L89" i="2"/>
  <c r="K84" i="2"/>
  <c r="L117" i="2"/>
  <c r="J112" i="2"/>
  <c r="K83" i="2"/>
  <c r="L141" i="2"/>
  <c r="L83" i="2"/>
  <c r="K91" i="2"/>
  <c r="I61" i="2"/>
  <c r="L59" i="2"/>
  <c r="L137" i="2"/>
  <c r="J61" i="2"/>
  <c r="K142" i="2"/>
  <c r="J142" i="2"/>
  <c r="L118" i="2"/>
  <c r="K110" i="2"/>
  <c r="J110" i="2"/>
  <c r="M110" i="2" s="1"/>
  <c r="J118" i="2"/>
  <c r="K60" i="2"/>
  <c r="L64" i="2"/>
  <c r="L60" i="2"/>
  <c r="K111" i="2"/>
  <c r="K64" i="2"/>
  <c r="J114" i="2"/>
  <c r="K143" i="2"/>
  <c r="J137" i="2"/>
  <c r="L143" i="2"/>
  <c r="K145" i="2"/>
  <c r="L114" i="2"/>
  <c r="I114" i="2"/>
  <c r="L85" i="2"/>
  <c r="I109" i="2"/>
  <c r="J145" i="2"/>
  <c r="M145" i="2" s="1"/>
  <c r="K282" i="2"/>
  <c r="I112" i="2"/>
  <c r="K120" i="2"/>
  <c r="J120" i="2"/>
  <c r="M120" i="2" s="1"/>
  <c r="L120" i="2"/>
  <c r="J85" i="2"/>
  <c r="J147" i="2"/>
  <c r="M147" i="2" s="1"/>
  <c r="L273" i="2"/>
  <c r="L147" i="2"/>
  <c r="L140" i="2"/>
  <c r="L245" i="2"/>
  <c r="I273" i="2"/>
  <c r="M273" i="2" s="1"/>
  <c r="K303" i="2"/>
  <c r="J93" i="2"/>
  <c r="M93" i="2" s="1"/>
  <c r="K147" i="2"/>
  <c r="K93" i="2"/>
  <c r="J143" i="2"/>
  <c r="M143" i="2" s="1"/>
  <c r="K247" i="2"/>
  <c r="L307" i="2"/>
  <c r="I307" i="2"/>
  <c r="M307" i="2" s="1"/>
  <c r="L93" i="2"/>
  <c r="I85" i="2"/>
  <c r="L247" i="2"/>
  <c r="L255" i="2"/>
  <c r="I303" i="2"/>
  <c r="M303" i="2" s="1"/>
  <c r="K90" i="2"/>
  <c r="J139" i="2"/>
  <c r="I298" i="2"/>
  <c r="M298" i="2" s="1"/>
  <c r="J59" i="2"/>
  <c r="I136" i="2"/>
  <c r="I282" i="2"/>
  <c r="M282" i="2" s="1"/>
  <c r="K307" i="2"/>
  <c r="K63" i="2"/>
  <c r="I140" i="2"/>
  <c r="K304" i="2"/>
  <c r="J116" i="2"/>
  <c r="I139" i="2"/>
  <c r="K139" i="2"/>
  <c r="J140" i="2"/>
  <c r="L254" i="2"/>
  <c r="K271" i="2"/>
  <c r="I279" i="2"/>
  <c r="M279" i="2" s="1"/>
  <c r="I272" i="2"/>
  <c r="M272" i="2" s="1"/>
  <c r="L282" i="2"/>
  <c r="L278" i="2"/>
  <c r="K306" i="2"/>
  <c r="K298" i="2"/>
  <c r="L304" i="2"/>
  <c r="K305" i="2"/>
  <c r="I301" i="2"/>
  <c r="M301" i="2" s="1"/>
  <c r="L303" i="2"/>
  <c r="I304" i="2"/>
  <c r="M304" i="2" s="1"/>
  <c r="I305" i="2"/>
  <c r="M305" i="2" s="1"/>
  <c r="L246" i="2"/>
  <c r="K116" i="2"/>
  <c r="I116" i="2"/>
  <c r="K227" i="2"/>
  <c r="L249" i="2"/>
  <c r="I275" i="2"/>
  <c r="M275" i="2" s="1"/>
  <c r="K272" i="2"/>
  <c r="K281" i="2"/>
  <c r="L298" i="2"/>
  <c r="I308" i="2"/>
  <c r="M308" i="2" s="1"/>
  <c r="L305" i="2"/>
  <c r="K308" i="2"/>
  <c r="L306" i="2"/>
  <c r="L63" i="2"/>
  <c r="J136" i="2"/>
  <c r="L272" i="2"/>
  <c r="L275" i="2"/>
  <c r="K299" i="2"/>
  <c r="I306" i="2"/>
  <c r="M306" i="2" s="1"/>
  <c r="I300" i="2"/>
  <c r="M300" i="2" s="1"/>
  <c r="I299" i="2"/>
  <c r="M299" i="2" s="1"/>
  <c r="L300" i="2"/>
  <c r="L308" i="2"/>
  <c r="K301" i="2"/>
  <c r="L309" i="2"/>
  <c r="K302" i="2"/>
  <c r="L136" i="2"/>
  <c r="K300" i="2"/>
  <c r="K309" i="2"/>
  <c r="J63" i="2"/>
  <c r="M63" i="2" s="1"/>
  <c r="I90" i="2"/>
  <c r="J90" i="2"/>
  <c r="K222" i="2"/>
  <c r="L299" i="2"/>
  <c r="I302" i="2"/>
  <c r="M302" i="2" s="1"/>
  <c r="I309" i="2"/>
  <c r="M309" i="2" s="1"/>
  <c r="L301" i="2"/>
  <c r="L302" i="2"/>
  <c r="L248" i="2"/>
  <c r="L271" i="2"/>
  <c r="L281" i="2"/>
  <c r="K277" i="2"/>
  <c r="K224" i="2"/>
  <c r="K244" i="2"/>
  <c r="I245" i="2"/>
  <c r="M245" i="2" s="1"/>
  <c r="K280" i="2"/>
  <c r="I271" i="2"/>
  <c r="M271" i="2" s="1"/>
  <c r="K274" i="2"/>
  <c r="I280" i="2"/>
  <c r="M280" i="2" s="1"/>
  <c r="K276" i="2"/>
  <c r="I281" i="2"/>
  <c r="M281" i="2" s="1"/>
  <c r="L277" i="2"/>
  <c r="I278" i="2"/>
  <c r="M278" i="2" s="1"/>
  <c r="K279" i="2"/>
  <c r="K55" i="2"/>
  <c r="L219" i="2"/>
  <c r="K245" i="2"/>
  <c r="I246" i="2"/>
  <c r="M246" i="2" s="1"/>
  <c r="K246" i="2"/>
  <c r="L244" i="2"/>
  <c r="K255" i="2"/>
  <c r="I247" i="2"/>
  <c r="M247" i="2" s="1"/>
  <c r="I244" i="2"/>
  <c r="M244" i="2" s="1"/>
  <c r="L280" i="2"/>
  <c r="L274" i="2"/>
  <c r="I276" i="2"/>
  <c r="M276" i="2" s="1"/>
  <c r="K273" i="2"/>
  <c r="L276" i="2"/>
  <c r="I277" i="2"/>
  <c r="M277" i="2" s="1"/>
  <c r="K278" i="2"/>
  <c r="K275" i="2"/>
  <c r="I274" i="2"/>
  <c r="M274" i="2" s="1"/>
  <c r="L279" i="2"/>
  <c r="K109" i="2"/>
  <c r="L55" i="2"/>
  <c r="L113" i="2"/>
  <c r="J55" i="2"/>
  <c r="M55" i="2" s="1"/>
  <c r="I250" i="2"/>
  <c r="M250" i="2" s="1"/>
  <c r="K250" i="2"/>
  <c r="L251" i="2"/>
  <c r="L252" i="2"/>
  <c r="I253" i="2"/>
  <c r="M253" i="2" s="1"/>
  <c r="I251" i="2"/>
  <c r="M251" i="2" s="1"/>
  <c r="K253" i="2"/>
  <c r="I252" i="2"/>
  <c r="M252" i="2" s="1"/>
  <c r="I59" i="2"/>
  <c r="J109" i="2"/>
  <c r="I117" i="2"/>
  <c r="M117" i="2" s="1"/>
  <c r="K173" i="2"/>
  <c r="K219" i="2"/>
  <c r="L222" i="2"/>
  <c r="L250" i="2"/>
  <c r="K248" i="2"/>
  <c r="L253" i="2"/>
  <c r="K254" i="2"/>
  <c r="I254" i="2"/>
  <c r="M254" i="2" s="1"/>
  <c r="K251" i="2"/>
  <c r="I248" i="2"/>
  <c r="M248" i="2" s="1"/>
  <c r="K252" i="2"/>
  <c r="K249" i="2"/>
  <c r="I255" i="2"/>
  <c r="M255" i="2" s="1"/>
  <c r="I249" i="2"/>
  <c r="M249" i="2" s="1"/>
  <c r="L174" i="2"/>
  <c r="K228" i="2"/>
  <c r="I228" i="2"/>
  <c r="M228" i="2" s="1"/>
  <c r="L228" i="2"/>
  <c r="K113" i="2"/>
  <c r="L224" i="2"/>
  <c r="L227" i="2"/>
  <c r="K221" i="2"/>
  <c r="K196" i="2"/>
  <c r="L198" i="2"/>
  <c r="I113" i="2"/>
  <c r="M113" i="2" s="1"/>
  <c r="L223" i="2"/>
  <c r="I224" i="2"/>
  <c r="M224" i="2" s="1"/>
  <c r="L217" i="2"/>
  <c r="M6" i="2"/>
  <c r="I197" i="2"/>
  <c r="M197" i="2" s="1"/>
  <c r="L190" i="2"/>
  <c r="M10" i="2"/>
  <c r="I217" i="2"/>
  <c r="M217" i="2" s="1"/>
  <c r="I219" i="2"/>
  <c r="M219" i="2" s="1"/>
  <c r="L221" i="2"/>
  <c r="K226" i="2"/>
  <c r="L220" i="2"/>
  <c r="K220" i="2"/>
  <c r="K170" i="2"/>
  <c r="K164" i="2"/>
  <c r="K218" i="2"/>
  <c r="I225" i="2"/>
  <c r="M225" i="2" s="1"/>
  <c r="I226" i="2"/>
  <c r="M226" i="2" s="1"/>
  <c r="K225" i="2"/>
  <c r="I220" i="2"/>
  <c r="M220" i="2" s="1"/>
  <c r="L226" i="2"/>
  <c r="J82" i="2"/>
  <c r="I82" i="2"/>
  <c r="K82" i="2"/>
  <c r="K117" i="2"/>
  <c r="L170" i="2"/>
  <c r="I164" i="2"/>
  <c r="M164" i="2" s="1"/>
  <c r="K192" i="2"/>
  <c r="K198" i="2"/>
  <c r="L194" i="2"/>
  <c r="L218" i="2"/>
  <c r="I221" i="2"/>
  <c r="M221" i="2" s="1"/>
  <c r="I218" i="2"/>
  <c r="M218" i="2" s="1"/>
  <c r="K223" i="2"/>
  <c r="I223" i="2"/>
  <c r="M223" i="2" s="1"/>
  <c r="L225" i="2"/>
  <c r="K217" i="2"/>
  <c r="I222" i="2"/>
  <c r="M222" i="2" s="1"/>
  <c r="I227" i="2"/>
  <c r="M227" i="2" s="1"/>
  <c r="L82" i="2"/>
  <c r="L199" i="2"/>
  <c r="I201" i="2"/>
  <c r="M201" i="2" s="1"/>
  <c r="K166" i="2"/>
  <c r="L166" i="2"/>
  <c r="I165" i="2"/>
  <c r="M165" i="2" s="1"/>
  <c r="I163" i="2"/>
  <c r="M163" i="2" s="1"/>
  <c r="K163" i="2"/>
  <c r="I144" i="2"/>
  <c r="L144" i="2"/>
  <c r="J144" i="2"/>
  <c r="K144" i="2"/>
  <c r="I86" i="2"/>
  <c r="L86" i="2"/>
  <c r="K86" i="2"/>
  <c r="J86" i="2"/>
  <c r="L192" i="2"/>
  <c r="I199" i="2"/>
  <c r="M199" i="2" s="1"/>
  <c r="K199" i="2"/>
  <c r="K197" i="2"/>
  <c r="I192" i="2"/>
  <c r="M192" i="2" s="1"/>
  <c r="K201" i="2"/>
  <c r="I198" i="2"/>
  <c r="M198" i="2" s="1"/>
  <c r="L165" i="2"/>
  <c r="L164" i="2"/>
  <c r="L169" i="2"/>
  <c r="L163" i="2"/>
  <c r="I193" i="2"/>
  <c r="M193" i="2" s="1"/>
  <c r="L196" i="2"/>
  <c r="L197" i="2"/>
  <c r="I195" i="2"/>
  <c r="M195" i="2" s="1"/>
  <c r="K200" i="2"/>
  <c r="I200" i="2"/>
  <c r="M200" i="2" s="1"/>
  <c r="L201" i="2"/>
  <c r="I194" i="2"/>
  <c r="M194" i="2" s="1"/>
  <c r="K191" i="2"/>
  <c r="L195" i="2"/>
  <c r="L193" i="2"/>
  <c r="K190" i="2"/>
  <c r="K195" i="2"/>
  <c r="I191" i="2"/>
  <c r="M191" i="2" s="1"/>
  <c r="L200" i="2"/>
  <c r="I196" i="2"/>
  <c r="M196" i="2" s="1"/>
  <c r="K193" i="2"/>
  <c r="K194" i="2"/>
  <c r="I190" i="2"/>
  <c r="M190" i="2" s="1"/>
  <c r="L191" i="2"/>
  <c r="L173" i="2"/>
  <c r="L171" i="2"/>
  <c r="L172" i="2"/>
  <c r="K171" i="2"/>
  <c r="K172" i="2"/>
  <c r="I171" i="2"/>
  <c r="M171" i="2" s="1"/>
  <c r="K167" i="2"/>
  <c r="I172" i="2"/>
  <c r="M172" i="2" s="1"/>
  <c r="K168" i="2"/>
  <c r="I173" i="2"/>
  <c r="M173" i="2" s="1"/>
  <c r="I167" i="2"/>
  <c r="M167" i="2" s="1"/>
  <c r="K174" i="2"/>
  <c r="I174" i="2"/>
  <c r="M174" i="2" s="1"/>
  <c r="L167" i="2"/>
  <c r="I168" i="2"/>
  <c r="M168" i="2" s="1"/>
  <c r="K165" i="2"/>
  <c r="I170" i="2"/>
  <c r="M170" i="2" s="1"/>
  <c r="L168" i="2"/>
  <c r="I169" i="2"/>
  <c r="M169" i="2" s="1"/>
  <c r="K169" i="2"/>
  <c r="I166" i="2"/>
  <c r="M166" i="2" s="1"/>
  <c r="M57" i="2"/>
  <c r="H6" i="6" l="1"/>
  <c r="I6" i="6" s="1"/>
  <c r="H13" i="6"/>
  <c r="M91" i="2"/>
  <c r="M84" i="2"/>
  <c r="M59" i="2"/>
  <c r="M61" i="2"/>
  <c r="M142" i="2"/>
  <c r="M112" i="2"/>
  <c r="M65" i="2"/>
  <c r="M87" i="2"/>
  <c r="M58" i="2"/>
  <c r="M138" i="2"/>
  <c r="M137" i="2"/>
  <c r="M85" i="2"/>
  <c r="M62" i="2"/>
  <c r="M114" i="2"/>
  <c r="M118" i="2"/>
  <c r="M109" i="2"/>
  <c r="M139" i="2"/>
  <c r="M140" i="2"/>
  <c r="M116" i="2"/>
  <c r="M136" i="2"/>
  <c r="M90" i="2"/>
  <c r="M82" i="2"/>
  <c r="M144" i="2"/>
  <c r="M86" i="2"/>
  <c r="H14" i="6" l="1"/>
  <c r="H12" i="6"/>
  <c r="E5" i="3"/>
  <c r="V5" i="3"/>
  <c r="G5" i="3"/>
  <c r="AD5" i="3" l="1"/>
  <c r="AE5" i="3"/>
  <c r="AF5" i="3"/>
  <c r="AG5" i="3"/>
  <c r="F9" i="5"/>
  <c r="F11" i="5" l="1"/>
  <c r="F5" i="5"/>
  <c r="F25" i="5"/>
  <c r="F4" i="5"/>
  <c r="F20" i="5"/>
  <c r="F13" i="5"/>
  <c r="F21" i="5"/>
  <c r="F15" i="5"/>
  <c r="F10" i="5"/>
  <c r="F6" i="5"/>
  <c r="F8" i="5"/>
  <c r="F23" i="5"/>
  <c r="F16" i="5"/>
  <c r="F18" i="5"/>
  <c r="F14" i="5"/>
  <c r="F26" i="5"/>
  <c r="F12" i="5"/>
  <c r="F24" i="5"/>
  <c r="F3" i="5"/>
  <c r="F19" i="5"/>
  <c r="F17" i="5"/>
  <c r="F7" i="5"/>
  <c r="F22" i="5"/>
</calcChain>
</file>

<file path=xl/sharedStrings.xml><?xml version="1.0" encoding="utf-8"?>
<sst xmlns="http://schemas.openxmlformats.org/spreadsheetml/2006/main" count="399" uniqueCount="154">
  <si>
    <t>Orderby</t>
  </si>
  <si>
    <t>Month</t>
  </si>
  <si>
    <t>Position</t>
  </si>
  <si>
    <t>WeekdayNormal</t>
  </si>
  <si>
    <t>WeekdayOT</t>
  </si>
  <si>
    <t>NightSunday</t>
  </si>
  <si>
    <t>NightShift</t>
  </si>
  <si>
    <t>SundayWorking</t>
  </si>
  <si>
    <t>AnnualLeave</t>
  </si>
  <si>
    <t>AbsentLeave</t>
  </si>
  <si>
    <t>NotWorkingHr</t>
  </si>
  <si>
    <t>LateIn</t>
  </si>
  <si>
    <t>EarlyOut</t>
  </si>
  <si>
    <t>Order by</t>
  </si>
  <si>
    <t>Weekday Nornal</t>
  </si>
  <si>
    <t>Weekday OT</t>
  </si>
  <si>
    <t>Night Sunday</t>
  </si>
  <si>
    <t>Night Shift</t>
  </si>
  <si>
    <t>Sunday Working</t>
  </si>
  <si>
    <t>Annual Leave</t>
  </si>
  <si>
    <t xml:space="preserve">Absent Leave </t>
  </si>
  <si>
    <t>Not Working Hr</t>
  </si>
  <si>
    <t>Late In</t>
  </si>
  <si>
    <t>Early Out</t>
  </si>
  <si>
    <t>NameEN</t>
  </si>
  <si>
    <t>Position Name</t>
  </si>
  <si>
    <t>Position_NameEN</t>
  </si>
  <si>
    <t>Position Name Pr</t>
  </si>
  <si>
    <t>3. Montly working hour rate ( 월간 월 근무 시간 율)</t>
    <phoneticPr fontId="0" type="noConversion"/>
  </si>
  <si>
    <t>Total</t>
    <phoneticPr fontId="0" type="noConversion"/>
  </si>
  <si>
    <t>Working hour (근무시간)</t>
    <phoneticPr fontId="0" type="noConversion"/>
  </si>
  <si>
    <t>Hour rate /Total working hr (총합계시간 대비 비율 (%))</t>
    <phoneticPr fontId="0" type="noConversion"/>
  </si>
  <si>
    <t>Total</t>
  </si>
  <si>
    <t>QD</t>
  </si>
  <si>
    <t>PL</t>
  </si>
  <si>
    <t>총합계시간</t>
    <phoneticPr fontId="0" type="noConversion"/>
  </si>
  <si>
    <t>총합계시간 대비 비율</t>
    <phoneticPr fontId="0" type="noConversion"/>
  </si>
  <si>
    <t>Find Position</t>
  </si>
  <si>
    <t>MA</t>
  </si>
  <si>
    <t>GA</t>
  </si>
  <si>
    <t>Debu</t>
  </si>
  <si>
    <t>Dega</t>
  </si>
  <si>
    <t>Insp</t>
  </si>
  <si>
    <t>Melt</t>
  </si>
  <si>
    <t>Shot</t>
  </si>
  <si>
    <t>Sales</t>
  </si>
  <si>
    <t>4. Montly working hour data ( 월별 기본 Data)</t>
    <phoneticPr fontId="2" type="noConversion"/>
  </si>
  <si>
    <t>Weekday working hour(평일시간)</t>
    <phoneticPr fontId="2" type="noConversion"/>
  </si>
  <si>
    <t>Vietnamese</t>
  </si>
  <si>
    <t>Find total</t>
  </si>
  <si>
    <t>Year</t>
  </si>
  <si>
    <t>2. Sales per employees</t>
    <phoneticPr fontId="2" type="noConversion"/>
  </si>
  <si>
    <t>Sales turnover as Employees/ hour ( 인당 및 시간당 매출액)</t>
  </si>
  <si>
    <t>Year (년도)</t>
    <phoneticPr fontId="2" type="noConversion"/>
  </si>
  <si>
    <t xml:space="preserve">Sales turnover
 (매출액)  </t>
    <phoneticPr fontId="2" type="noConversion"/>
  </si>
  <si>
    <t># of Employees
(평균 인원)</t>
    <phoneticPr fontId="2" type="noConversion"/>
  </si>
  <si>
    <t>Sales/Person ( 인당 매출액)</t>
    <phoneticPr fontId="2" type="noConversion"/>
  </si>
  <si>
    <t>Sales/Hour (시간당매출 )</t>
    <phoneticPr fontId="2" type="noConversion"/>
  </si>
  <si>
    <t xml:space="preserve">Sales/Weekday
(평일시간당매출) </t>
    <phoneticPr fontId="2" type="noConversion"/>
  </si>
  <si>
    <t>Weekday rate(평일시간매출율)</t>
    <phoneticPr fontId="2" type="noConversion"/>
  </si>
  <si>
    <t>Sales/Sunday
(특근시간당매출)</t>
    <phoneticPr fontId="2" type="noConversion"/>
  </si>
  <si>
    <t xml:space="preserve">Sales/Sunday
(특근매출율) </t>
    <phoneticPr fontId="2" type="noConversion"/>
  </si>
  <si>
    <t>Monthly Sales per Employees/ hour ( 월별 인당 및 시간당 매출액)</t>
    <phoneticPr fontId="2" type="noConversion"/>
  </si>
  <si>
    <t>Month (월)</t>
    <phoneticPr fontId="2" type="noConversion"/>
  </si>
  <si>
    <t>Sales (매출)</t>
    <phoneticPr fontId="2" type="noConversion"/>
  </si>
  <si>
    <t># of Employees
(인원)</t>
    <phoneticPr fontId="2" type="noConversion"/>
  </si>
  <si>
    <t>TotalEmployeePaySalary</t>
  </si>
  <si>
    <t>Total Employee Pay Salary</t>
  </si>
  <si>
    <t>Total Working</t>
  </si>
  <si>
    <t xml:space="preserve">Weekday working </t>
  </si>
  <si>
    <t>Quality Department</t>
  </si>
  <si>
    <t>Maintenance</t>
  </si>
  <si>
    <t>Degate</t>
  </si>
  <si>
    <t>Inspector</t>
  </si>
  <si>
    <t>Melting</t>
  </si>
  <si>
    <t>기본정보 - Thông tin cơ bản</t>
  </si>
  <si>
    <t>총합계시간 대비 비율 (시간) - Tỷ lệ so sánh thời gian tổng (tiếng)</t>
  </si>
  <si>
    <t>월</t>
  </si>
  <si>
    <t>통상근무비율 Tỷ lệ làm việc bình thường</t>
  </si>
  <si>
    <t>잔업비율 tỷ lệ tăng ca</t>
  </si>
  <si>
    <t>특근비율  Tỷ lệ ngày nghỉ - nghỉ phép</t>
  </si>
  <si>
    <t>LOSS비율 - Tỷ lệ k đi làm trong giờ Hành chính</t>
  </si>
  <si>
    <t>통상+잔업(평일근무) Bình thường + tăng ca(làm việc ngày thường)</t>
  </si>
  <si>
    <t>GoOut</t>
  </si>
  <si>
    <t>Go Out</t>
  </si>
  <si>
    <t>조퇴 - Về sớm</t>
  </si>
  <si>
    <t>지각 - Đi trễ</t>
  </si>
  <si>
    <t>저녁 - Thuyên chuyển</t>
  </si>
  <si>
    <t>사용-Sử dụng</t>
  </si>
  <si>
    <t>월 Tháng</t>
  </si>
  <si>
    <t>인원수 - Tính theo đầu người</t>
  </si>
  <si>
    <t>출근 - Làm việc</t>
  </si>
  <si>
    <t>잔업 - Tăng ca</t>
  </si>
  <si>
    <t>야간
특근- Làm đêm Ngày nghỉ</t>
  </si>
  <si>
    <t>야간 - Ca đêm</t>
  </si>
  <si>
    <t>휴일 - Ngày lễ</t>
  </si>
  <si>
    <t>년차-Phép năm</t>
  </si>
  <si>
    <t>결근 - Nghỉ làm</t>
  </si>
  <si>
    <t>외출 - Đi ra ngoài</t>
  </si>
  <si>
    <t>출근시간 - Thời gian đi làm</t>
  </si>
  <si>
    <t>특근시간 - Thời gian làm ngày nghỉ</t>
  </si>
  <si>
    <t>야간특근시간 - Thời gian làm ngày nghỉ ca đêm</t>
  </si>
  <si>
    <t>연차시간-
Thời gian phép nghỉ</t>
  </si>
  <si>
    <t>결근시간- Thời gian nghỉ làm</t>
  </si>
  <si>
    <t>합계시간-Tổng thời gian</t>
  </si>
  <si>
    <t>총근무시간-Tổng thời gian làm việc</t>
  </si>
  <si>
    <t>총LOSS시간-Tổng thời gian LOSS</t>
  </si>
  <si>
    <t>평일시간-Thời gian làm việc ngày thường</t>
  </si>
  <si>
    <t>원본데이타 - Dữ liệu gốc</t>
  </si>
  <si>
    <t>데이타계산 - Cộng số liệu</t>
  </si>
  <si>
    <t>기본정보 Thông tin cơ bản</t>
  </si>
  <si>
    <t>1. 특근시간 비율분석자료 (종합) - Dữ liệu phân tích tỷ lệ giờ làm ngày nghỉ (Tổng hợp)</t>
  </si>
  <si>
    <t>대분류 - Phân loại chung</t>
  </si>
  <si>
    <t>중분류 - Phân loại vừa</t>
  </si>
  <si>
    <t>소분류 - Phân loại nhỏ</t>
  </si>
  <si>
    <t>전년대비
증가액 - Lượng gia tăng so với năm trước</t>
  </si>
  <si>
    <t>전년대비
증가비율 - Tỷ lệ gia tăng so với năm trước</t>
  </si>
  <si>
    <t>비고 - Ghi chú</t>
  </si>
  <si>
    <t>합계 - Tổng cộng</t>
  </si>
  <si>
    <t xml:space="preserve">시간당 매출(원) - Doanh thu (chính)  trên thời gian </t>
  </si>
  <si>
    <t>근무시간 1시간당 발생하는 매출은 4.6% 증가 - Doanh thu tăng thêm mỗi một giờ làm việc là 4.6%
즉, 총근무시간 대비한 매출 효율은 증가 - Tức là hiệu suất doanh thu tăng so với tổng thời gian làm việc
단, 4.6%의 시간당 매출증가효율이 인건비 상승분을 따라잡기는 어려움 - Tuy nhiên, rất khó để hiệu suất 4,6% doanh số tăng theo giờ theo kịp với sự gia tăng của chi phí nhân công</t>
  </si>
  <si>
    <t>합계시간(h) -  Tổng thời gian</t>
  </si>
  <si>
    <t>총근무시간(h)  -Tổng số giờ làm việc</t>
  </si>
  <si>
    <t>평일시간(h) Thời gian làm việc ngày thường</t>
  </si>
  <si>
    <t>평일비율(h) Tỷ lệ ngày thường</t>
  </si>
  <si>
    <t>특근시간(h) Thời gian làm ngày nghỉ</t>
  </si>
  <si>
    <t>특근비율(%) Tỷ lệ làm ngày nghỉ</t>
  </si>
  <si>
    <t xml:space="preserve"> 미근무 시간(h) Số giờ không làm việc</t>
  </si>
  <si>
    <t xml:space="preserve"> 미근무 시간 비율(%) Tỷ lệ thời gian không làm việc</t>
  </si>
  <si>
    <t>부서별 - Theo bộ phận</t>
  </si>
  <si>
    <t>Shotblast</t>
  </si>
  <si>
    <t>Deburing</t>
  </si>
  <si>
    <t>총근무 Tổng đi làm</t>
  </si>
  <si>
    <t>통상근무 Đi làm bình thường</t>
  </si>
  <si>
    <t>잔업 Tăng ca</t>
  </si>
  <si>
    <t>특근 Đi làm ngày nghỉ</t>
  </si>
  <si>
    <t>LOSS</t>
    <phoneticPr fontId="2" type="noConversion"/>
  </si>
  <si>
    <t>통상+잔업(평일근무)
Bình thường+Tăng ca (Đi làm ngày thường)</t>
  </si>
  <si>
    <t>통상근무
Đi làm bình thường</t>
  </si>
  <si>
    <t>잔업
Tăng ca</t>
  </si>
  <si>
    <t>특근
Ngày nghỉ</t>
  </si>
  <si>
    <t>통상+잔업(평일근무) Bình thường + tăng ca (làm việc ngày thường)</t>
  </si>
  <si>
    <t>LOSS</t>
  </si>
  <si>
    <t>PM</t>
  </si>
  <si>
    <t>General Admistration</t>
  </si>
  <si>
    <t>Production Managerment</t>
  </si>
  <si>
    <t>PUR &amp; Logistics</t>
  </si>
  <si>
    <t>Shot blast</t>
  </si>
  <si>
    <t>Y</t>
  </si>
  <si>
    <t>Month-Year</t>
  </si>
  <si>
    <t>Tỷ lệ làm việc bt</t>
  </si>
  <si>
    <t>Tăng ca</t>
  </si>
  <si>
    <t>Tỷ lệ ngày nghỉ - nghỉ phép</t>
  </si>
  <si>
    <t>Tỷ lệ không đi làm trong giờ 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</si>
</sst>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mmm&quot;-&quot;yy;@"/>
    <numFmt numFmtId="165" formatCode="0.0%"/>
    <numFmt numFmtId="166" formatCode="yyyy&quot;년&quot;\ m&quot;월&quot;;@"/>
    <numFmt numFmtId="167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3"/>
      <charset val="129"/>
      <scheme val="major"/>
    </font>
    <font>
      <sz val="10"/>
      <color theme="1"/>
      <name val="Calibri Light"/>
      <family val="3"/>
      <charset val="129"/>
      <scheme val="major"/>
    </font>
    <font>
      <sz val="10"/>
      <name val="Calibri Light"/>
      <family val="3"/>
      <charset val="129"/>
      <scheme val="maj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5"/>
      <color theme="1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center"/>
    </xf>
  </cellStyleXfs>
  <cellXfs count="1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1" fontId="2" fillId="0" borderId="0" xfId="1" applyFont="1" applyFill="1" applyAlignment="1">
      <alignment horizontal="left" vertical="center"/>
    </xf>
    <xf numFmtId="41" fontId="3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0" fillId="0" borderId="1" xfId="0" applyNumberFormat="1" applyBorder="1"/>
    <xf numFmtId="0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/>
    </xf>
    <xf numFmtId="0" fontId="2" fillId="0" borderId="0" xfId="1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1" fontId="8" fillId="0" borderId="0" xfId="1" applyFont="1" applyAlignment="1">
      <alignment vertical="center"/>
    </xf>
    <xf numFmtId="41" fontId="7" fillId="0" borderId="0" xfId="1" applyFont="1" applyAlignment="1">
      <alignment horizontal="center" vertical="center"/>
    </xf>
    <xf numFmtId="41" fontId="7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7" fontId="4" fillId="0" borderId="1" xfId="3" applyNumberFormat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41" fontId="8" fillId="0" borderId="1" xfId="1" applyFont="1" applyBorder="1" applyAlignment="1">
      <alignment vertical="center"/>
    </xf>
    <xf numFmtId="0" fontId="8" fillId="0" borderId="1" xfId="1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1" fontId="0" fillId="0" borderId="10" xfId="0" applyNumberFormat="1" applyBorder="1" applyAlignment="1">
      <alignment vertical="center"/>
    </xf>
    <xf numFmtId="165" fontId="0" fillId="0" borderId="10" xfId="2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1" xfId="0" applyNumberFormat="1" applyBorder="1" applyAlignment="1">
      <alignment vertical="center"/>
    </xf>
    <xf numFmtId="165" fontId="0" fillId="0" borderId="1" xfId="2" applyNumberFormat="1" applyFont="1" applyFill="1" applyBorder="1" applyAlignment="1">
      <alignment vertical="center"/>
    </xf>
    <xf numFmtId="41" fontId="0" fillId="0" borderId="1" xfId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5" fontId="0" fillId="0" borderId="14" xfId="2" applyNumberFormat="1" applyFont="1" applyFill="1" applyBorder="1" applyAlignment="1">
      <alignment vertical="center"/>
    </xf>
    <xf numFmtId="41" fontId="0" fillId="0" borderId="10" xfId="0" applyNumberFormat="1" applyFill="1" applyBorder="1" applyAlignment="1">
      <alignment vertical="center"/>
    </xf>
    <xf numFmtId="165" fontId="0" fillId="0" borderId="18" xfId="2" applyNumberFormat="1" applyFont="1" applyFill="1" applyBorder="1" applyAlignment="1">
      <alignment vertical="center"/>
    </xf>
    <xf numFmtId="0" fontId="0" fillId="0" borderId="25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41" fontId="2" fillId="2" borderId="1" xfId="1" applyFont="1" applyFill="1" applyBorder="1" applyAlignment="1">
      <alignment horizontal="center" vertical="center" wrapText="1"/>
    </xf>
    <xf numFmtId="41" fontId="0" fillId="0" borderId="18" xfId="0" applyNumberFormat="1" applyBorder="1" applyAlignment="1">
      <alignment vertical="center"/>
    </xf>
    <xf numFmtId="165" fontId="0" fillId="0" borderId="0" xfId="0" applyNumberFormat="1"/>
    <xf numFmtId="0" fontId="0" fillId="0" borderId="0" xfId="0" applyNumberFormat="1" applyAlignment="1">
      <alignment vertical="center"/>
    </xf>
    <xf numFmtId="0" fontId="0" fillId="0" borderId="6" xfId="0" applyNumberFormat="1" applyBorder="1" applyAlignment="1">
      <alignment horizontal="center" vertical="center" wrapText="1"/>
    </xf>
    <xf numFmtId="41" fontId="0" fillId="0" borderId="14" xfId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2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</cellXfs>
  <cellStyles count="5">
    <cellStyle name="Comma" xfId="3" builtinId="3"/>
    <cellStyle name="Comma [0]" xfId="1" builtinId="6"/>
    <cellStyle name="Normal" xfId="0" builtinId="0"/>
    <cellStyle name="Percent" xfId="2" builtinId="5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employees'!$F$17</c:f>
              <c:strCache>
                <c:ptCount val="1"/>
                <c:pt idx="0">
                  <c:v> Sales/Person ( 인당 매출액)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employees'!$B$18:$B$20</c:f>
              <c:strCache>
                <c:ptCount val="3"/>
                <c:pt idx="0">
                  <c:v>Y0</c:v>
                </c:pt>
                <c:pt idx="1">
                  <c:v>Y1</c:v>
                </c:pt>
                <c:pt idx="2">
                  <c:v>Y2</c:v>
                </c:pt>
              </c:strCache>
            </c:strRef>
          </c:cat>
          <c:val>
            <c:numRef>
              <c:f>'Sales per employees'!$F$18:$F$20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5-434E-BACB-84CCD785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893376"/>
        <c:axId val="-182891744"/>
      </c:barChart>
      <c:catAx>
        <c:axId val="-18289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91744"/>
        <c:crosses val="autoZero"/>
        <c:auto val="1"/>
        <c:lblAlgn val="ctr"/>
        <c:lblOffset val="100"/>
        <c:noMultiLvlLbl val="0"/>
      </c:catAx>
      <c:valAx>
        <c:axId val="-1828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9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employees'!$G$17</c:f>
              <c:strCache>
                <c:ptCount val="1"/>
                <c:pt idx="0">
                  <c:v> Sales/Hour (시간당매출 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employees'!$B$18:$B$20</c:f>
              <c:strCache>
                <c:ptCount val="3"/>
                <c:pt idx="0">
                  <c:v>Y0</c:v>
                </c:pt>
                <c:pt idx="1">
                  <c:v>Y1</c:v>
                </c:pt>
                <c:pt idx="2">
                  <c:v>Y2</c:v>
                </c:pt>
              </c:strCache>
            </c:strRef>
          </c:cat>
          <c:val>
            <c:numRef>
              <c:f>'Sales per employees'!$G$18:$G$20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C-446A-B509-D5A2C27A6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893920"/>
        <c:axId val="-182879232"/>
      </c:barChart>
      <c:catAx>
        <c:axId val="-1828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79232"/>
        <c:crosses val="autoZero"/>
        <c:auto val="1"/>
        <c:lblAlgn val="ctr"/>
        <c:lblOffset val="100"/>
        <c:noMultiLvlLbl val="0"/>
      </c:catAx>
      <c:valAx>
        <c:axId val="-1828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per employees'!$H$44</c:f>
              <c:strCache>
                <c:ptCount val="1"/>
                <c:pt idx="0">
                  <c:v> Sales/Weekday
(평일시간당매출)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'Sales per employees'!$B$45:$B$76</c:f>
              <c:numCache>
                <c:formatCode>[$-409]mmm"-"yy;@</c:formatCode>
                <c:ptCount val="32"/>
                <c:pt idx="0">
                  <c:v>122</c:v>
                </c:pt>
                <c:pt idx="1">
                  <c:v>153</c:v>
                </c:pt>
                <c:pt idx="2">
                  <c:v>183</c:v>
                </c:pt>
                <c:pt idx="3">
                  <c:v>214</c:v>
                </c:pt>
                <c:pt idx="4">
                  <c:v>245</c:v>
                </c:pt>
                <c:pt idx="5">
                  <c:v>275</c:v>
                </c:pt>
                <c:pt idx="6">
                  <c:v>306</c:v>
                </c:pt>
                <c:pt idx="7">
                  <c:v>336</c:v>
                </c:pt>
                <c:pt idx="8">
                  <c:v>367</c:v>
                </c:pt>
                <c:pt idx="9">
                  <c:v>398</c:v>
                </c:pt>
                <c:pt idx="10">
                  <c:v>426</c:v>
                </c:pt>
                <c:pt idx="11">
                  <c:v>457</c:v>
                </c:pt>
                <c:pt idx="12">
                  <c:v>487</c:v>
                </c:pt>
                <c:pt idx="13">
                  <c:v>518</c:v>
                </c:pt>
                <c:pt idx="14">
                  <c:v>548</c:v>
                </c:pt>
                <c:pt idx="15">
                  <c:v>579</c:v>
                </c:pt>
                <c:pt idx="16">
                  <c:v>610</c:v>
                </c:pt>
                <c:pt idx="17">
                  <c:v>640</c:v>
                </c:pt>
                <c:pt idx="18">
                  <c:v>671</c:v>
                </c:pt>
                <c:pt idx="19">
                  <c:v>701</c:v>
                </c:pt>
                <c:pt idx="20">
                  <c:v>732</c:v>
                </c:pt>
                <c:pt idx="21">
                  <c:v>763</c:v>
                </c:pt>
                <c:pt idx="22">
                  <c:v>791</c:v>
                </c:pt>
                <c:pt idx="23">
                  <c:v>822</c:v>
                </c:pt>
                <c:pt idx="24">
                  <c:v>852</c:v>
                </c:pt>
                <c:pt idx="25">
                  <c:v>883</c:v>
                </c:pt>
                <c:pt idx="26">
                  <c:v>913</c:v>
                </c:pt>
                <c:pt idx="27">
                  <c:v>944</c:v>
                </c:pt>
                <c:pt idx="28">
                  <c:v>975</c:v>
                </c:pt>
                <c:pt idx="29">
                  <c:v>1005</c:v>
                </c:pt>
                <c:pt idx="30">
                  <c:v>1036</c:v>
                </c:pt>
                <c:pt idx="31">
                  <c:v>1066</c:v>
                </c:pt>
              </c:numCache>
            </c:numRef>
          </c:cat>
          <c:val>
            <c:numRef>
              <c:f>'Sales per employees'!$H$45:$H$76</c:f>
              <c:numCache>
                <c:formatCode>_(* #,##0_);_(* \(#,##0\);_(* "-"_);_(@_)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2-4A39-B902-48285AA52620}"/>
            </c:ext>
          </c:extLst>
        </c:ser>
        <c:ser>
          <c:idx val="1"/>
          <c:order val="1"/>
          <c:tx>
            <c:strRef>
              <c:f>'Sales per employees'!$J$44</c:f>
              <c:strCache>
                <c:ptCount val="1"/>
                <c:pt idx="0">
                  <c:v> Sales/Sunday
(특근시간당매출)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'Sales per employees'!$B$45:$B$76</c:f>
              <c:numCache>
                <c:formatCode>[$-409]mmm"-"yy;@</c:formatCode>
                <c:ptCount val="32"/>
                <c:pt idx="0">
                  <c:v>122</c:v>
                </c:pt>
                <c:pt idx="1">
                  <c:v>153</c:v>
                </c:pt>
                <c:pt idx="2">
                  <c:v>183</c:v>
                </c:pt>
                <c:pt idx="3">
                  <c:v>214</c:v>
                </c:pt>
                <c:pt idx="4">
                  <c:v>245</c:v>
                </c:pt>
                <c:pt idx="5">
                  <c:v>275</c:v>
                </c:pt>
                <c:pt idx="6">
                  <c:v>306</c:v>
                </c:pt>
                <c:pt idx="7">
                  <c:v>336</c:v>
                </c:pt>
                <c:pt idx="8">
                  <c:v>367</c:v>
                </c:pt>
                <c:pt idx="9">
                  <c:v>398</c:v>
                </c:pt>
                <c:pt idx="10">
                  <c:v>426</c:v>
                </c:pt>
                <c:pt idx="11">
                  <c:v>457</c:v>
                </c:pt>
                <c:pt idx="12">
                  <c:v>487</c:v>
                </c:pt>
                <c:pt idx="13">
                  <c:v>518</c:v>
                </c:pt>
                <c:pt idx="14">
                  <c:v>548</c:v>
                </c:pt>
                <c:pt idx="15">
                  <c:v>579</c:v>
                </c:pt>
                <c:pt idx="16">
                  <c:v>610</c:v>
                </c:pt>
                <c:pt idx="17">
                  <c:v>640</c:v>
                </c:pt>
                <c:pt idx="18">
                  <c:v>671</c:v>
                </c:pt>
                <c:pt idx="19">
                  <c:v>701</c:v>
                </c:pt>
                <c:pt idx="20">
                  <c:v>732</c:v>
                </c:pt>
                <c:pt idx="21">
                  <c:v>763</c:v>
                </c:pt>
                <c:pt idx="22">
                  <c:v>791</c:v>
                </c:pt>
                <c:pt idx="23">
                  <c:v>822</c:v>
                </c:pt>
                <c:pt idx="24">
                  <c:v>852</c:v>
                </c:pt>
                <c:pt idx="25">
                  <c:v>883</c:v>
                </c:pt>
                <c:pt idx="26">
                  <c:v>913</c:v>
                </c:pt>
                <c:pt idx="27">
                  <c:v>944</c:v>
                </c:pt>
                <c:pt idx="28">
                  <c:v>975</c:v>
                </c:pt>
                <c:pt idx="29">
                  <c:v>1005</c:v>
                </c:pt>
                <c:pt idx="30">
                  <c:v>1036</c:v>
                </c:pt>
                <c:pt idx="31">
                  <c:v>1066</c:v>
                </c:pt>
              </c:numCache>
            </c:numRef>
          </c:cat>
          <c:val>
            <c:numRef>
              <c:f>'Sales per employees'!$J$45:$J$76</c:f>
              <c:numCache>
                <c:formatCode>_(* #,##0_);_(* \(#,##0\);_(* "-"_);_(@_)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B2-4A39-B902-48285AA5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82891200"/>
        <c:axId val="-182883040"/>
      </c:barChart>
      <c:dateAx>
        <c:axId val="-182891200"/>
        <c:scaling>
          <c:orientation val="minMax"/>
        </c:scaling>
        <c:delete val="0"/>
        <c:axPos val="b"/>
        <c:numFmt formatCode="[$-409]mmm&quot;-&quot;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83040"/>
        <c:crosses val="autoZero"/>
        <c:auto val="1"/>
        <c:lblOffset val="100"/>
        <c:baseTimeUnit val="months"/>
      </c:dateAx>
      <c:valAx>
        <c:axId val="-18288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특근비율  </a:t>
            </a:r>
            <a:r>
              <a:rPr lang="en-US" altLang="ko-KR"/>
              <a:t>Tỷ lệ làm</a:t>
            </a:r>
            <a:r>
              <a:rPr lang="en-US" altLang="ko-KR" baseline="0"/>
              <a:t> việc </a:t>
            </a:r>
            <a:r>
              <a:rPr lang="en-US" altLang="ko-KR"/>
              <a:t>ngày nghỉ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'월별분석 Phân tích theo tháng'!$D$2</c:f>
              <c:strCache>
                <c:ptCount val="1"/>
                <c:pt idx="0">
                  <c:v>특근비율  Tỷ lệ ngày nghỉ - nghỉ phép</c:v>
                </c:pt>
              </c:strCache>
            </c:strRef>
          </c:tx>
          <c:invertIfNegative val="0"/>
          <c:cat>
            <c:numRef>
              <c:f>'월별분석 Phân tích theo tháng'!$A$3:$A$26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'월별분석 Phân tích theo tháng'!$D$3:$D$26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D-4A74-B2B7-4C5F170A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36192"/>
        <c:axId val="145337728"/>
      </c:barChart>
      <c:dateAx>
        <c:axId val="145336192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145337728"/>
        <c:crosses val="autoZero"/>
        <c:auto val="1"/>
        <c:lblOffset val="100"/>
        <c:baseTimeUnit val="months"/>
      </c:dateAx>
      <c:valAx>
        <c:axId val="14533772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4533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'월별분석 Phân tích theo tháng'!$F$2</c:f>
              <c:strCache>
                <c:ptCount val="1"/>
                <c:pt idx="0">
                  <c:v>통상+잔업(평일근무) Bình thường + tăng ca(làm việc ngày thường)</c:v>
                </c:pt>
              </c:strCache>
            </c:strRef>
          </c:tx>
          <c:invertIfNegative val="0"/>
          <c:cat>
            <c:numRef>
              <c:f>'월별분석 Phân tích theo tháng'!$A$3:$A$26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'월별분석 Phân tích theo tháng'!$F$3:$F$26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4-43DD-BA9F-F4425E26D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52160"/>
        <c:axId val="167187584"/>
      </c:barChart>
      <c:dateAx>
        <c:axId val="166652160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167187584"/>
        <c:crosses val="autoZero"/>
        <c:auto val="1"/>
        <c:lblOffset val="100"/>
        <c:baseTimeUnit val="months"/>
      </c:dateAx>
      <c:valAx>
        <c:axId val="167187584"/>
        <c:scaling>
          <c:orientation val="minMax"/>
          <c:min val="0.6000000000000006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66652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'월별분석 Phân tích theo tháng'!$E$2</c:f>
              <c:strCache>
                <c:ptCount val="1"/>
                <c:pt idx="0">
                  <c:v>LOSS비율 - Tỷ lệ k đi làm trong giờ Hành chính</c:v>
                </c:pt>
              </c:strCache>
            </c:strRef>
          </c:tx>
          <c:invertIfNegative val="0"/>
          <c:cat>
            <c:numRef>
              <c:f>'월별분석 Phân tích theo tháng'!$A$3:$A$26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'월별분석 Phân tích theo tháng'!$E$3:$E$26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D-43D8-9CC9-719B307E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37600"/>
        <c:axId val="186148736"/>
      </c:barChart>
      <c:dateAx>
        <c:axId val="186137600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186148736"/>
        <c:crosses val="autoZero"/>
        <c:auto val="1"/>
        <c:lblOffset val="100"/>
        <c:baseTimeUnit val="months"/>
      </c:dateAx>
      <c:valAx>
        <c:axId val="186148736"/>
        <c:scaling>
          <c:orientation val="minMax"/>
          <c:max val="0.13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6137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Sunday</a:t>
            </a:r>
            <a:r>
              <a:rPr lang="en-US" altLang="ko-KR" baseline="0"/>
              <a:t> working rate(</a:t>
            </a:r>
            <a:r>
              <a:rPr lang="ko-KR"/>
              <a:t>특근</a:t>
            </a:r>
            <a:r>
              <a:rPr lang="ko-KR" altLang="en-US"/>
              <a:t>비율</a:t>
            </a:r>
            <a:r>
              <a:rPr lang="en-US" altLang="ko-KR"/>
              <a:t>)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'업무월별분석 Phân tích CV theo tháng'!$A$53</c:f>
              <c:strCache>
                <c:ptCount val="1"/>
                <c:pt idx="0">
                  <c:v> General Admistration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tháng'!$K$55:$K$78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6A-42EF-8053-6281E8FBE5E2}"/>
            </c:ext>
          </c:extLst>
        </c:ser>
        <c:ser>
          <c:idx val="1"/>
          <c:order val="1"/>
          <c:tx>
            <c:strRef>
              <c:f>'업무월별분석 Phân tích CV theo tháng'!$A$80</c:f>
              <c:strCache>
                <c:ptCount val="1"/>
                <c:pt idx="0">
                  <c:v> Production Managerment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tháng'!$K$82:$K$105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6A-42EF-8053-6281E8FBE5E2}"/>
            </c:ext>
          </c:extLst>
        </c:ser>
        <c:ser>
          <c:idx val="2"/>
          <c:order val="2"/>
          <c:tx>
            <c:strRef>
              <c:f>'업무월별분석 Phân tích CV theo tháng'!$A$107</c:f>
              <c:strCache>
                <c:ptCount val="1"/>
                <c:pt idx="0">
                  <c:v> Quality Department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tháng'!$K$109:$K$132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6A-42EF-8053-6281E8FBE5E2}"/>
            </c:ext>
          </c:extLst>
        </c:ser>
        <c:ser>
          <c:idx val="3"/>
          <c:order val="3"/>
          <c:tx>
            <c:strRef>
              <c:f>'업무월별분석 Phân tích CV theo tháng'!$A$134</c:f>
              <c:strCache>
                <c:ptCount val="1"/>
                <c:pt idx="0">
                  <c:v> PUR &amp; Logistics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tháng'!$K$136:$K$159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6A-42EF-8053-6281E8FBE5E2}"/>
            </c:ext>
          </c:extLst>
        </c:ser>
        <c:ser>
          <c:idx val="4"/>
          <c:order val="4"/>
          <c:tx>
            <c:strRef>
              <c:f>'업무월별분석 Phân tích CV theo tháng'!$A$161</c:f>
              <c:strCache>
                <c:ptCount val="1"/>
                <c:pt idx="0">
                  <c:v> Maintenance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tháng'!$K$163:$K$186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6A-42EF-8053-6281E8FBE5E2}"/>
            </c:ext>
          </c:extLst>
        </c:ser>
        <c:ser>
          <c:idx val="5"/>
          <c:order val="5"/>
          <c:tx>
            <c:strRef>
              <c:f>'업무월별분석 Phân tích CV theo tháng'!$A$188</c:f>
              <c:strCache>
                <c:ptCount val="1"/>
                <c:pt idx="0">
                  <c:v> Melting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tháng'!$K$190:$K$213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6A-42EF-8053-6281E8FBE5E2}"/>
            </c:ext>
          </c:extLst>
        </c:ser>
        <c:ser>
          <c:idx val="6"/>
          <c:order val="6"/>
          <c:tx>
            <c:strRef>
              <c:f>'업무월별분석 Phân tích CV theo tháng'!$A$215</c:f>
              <c:strCache>
                <c:ptCount val="1"/>
                <c:pt idx="0">
                  <c:v> Degate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tháng'!$K$217:$K$240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96A-42EF-8053-6281E8FBE5E2}"/>
            </c:ext>
          </c:extLst>
        </c:ser>
        <c:ser>
          <c:idx val="7"/>
          <c:order val="7"/>
          <c:tx>
            <c:strRef>
              <c:f>'업무월별분석 Phân tích CV theo tháng'!$A$242</c:f>
              <c:strCache>
                <c:ptCount val="1"/>
                <c:pt idx="0">
                  <c:v> Shot blast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tháng'!$K$244:$K$267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6A-42EF-8053-6281E8FBE5E2}"/>
            </c:ext>
          </c:extLst>
        </c:ser>
        <c:ser>
          <c:idx val="8"/>
          <c:order val="8"/>
          <c:tx>
            <c:strRef>
              <c:f>'업무월별분석 Phân tích CV theo tháng'!$A$269</c:f>
              <c:strCache>
                <c:ptCount val="1"/>
                <c:pt idx="0">
                  <c:v> Deburing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tháng'!$K$271:$K$294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96A-42EF-8053-6281E8FBE5E2}"/>
            </c:ext>
          </c:extLst>
        </c:ser>
        <c:ser>
          <c:idx val="9"/>
          <c:order val="9"/>
          <c:tx>
            <c:strRef>
              <c:f>'업무월별분석 Phân tích CV theo tháng'!$A$296</c:f>
              <c:strCache>
                <c:ptCount val="1"/>
                <c:pt idx="0">
                  <c:v> Inspector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tháng'!$A$5:$A$28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tháng'!$K$298:$K$321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6A-42EF-8053-6281E8FB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2879776"/>
        <c:axId val="-182894464"/>
        <c:extLst/>
      </c:lineChart>
      <c:dateAx>
        <c:axId val="-182879776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crossAx val="-182894464"/>
        <c:crosses val="autoZero"/>
        <c:auto val="1"/>
        <c:lblOffset val="100"/>
        <c:baseTimeUnit val="months"/>
      </c:dateAx>
      <c:valAx>
        <c:axId val="-182894464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-182879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Weekday</a:t>
            </a:r>
            <a:r>
              <a:rPr lang="en-US" altLang="ko-KR" baseline="0"/>
              <a:t> working rate (</a:t>
            </a:r>
            <a:r>
              <a:rPr lang="ko-KR"/>
              <a:t>평일근무</a:t>
            </a:r>
            <a:r>
              <a:rPr lang="en-US"/>
              <a:t>)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'업무월별분석 Phân tích CV theo tháng'!$A$53</c:f>
              <c:strCache>
                <c:ptCount val="1"/>
                <c:pt idx="0">
                  <c:v> General Admistration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tháng'!$M$55:$M$78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41-485C-A9F0-6D303BEDF6FD}"/>
            </c:ext>
          </c:extLst>
        </c:ser>
        <c:ser>
          <c:idx val="1"/>
          <c:order val="1"/>
          <c:tx>
            <c:strRef>
              <c:f>'업무월별분석 Phân tích CV theo tháng'!$A$80</c:f>
              <c:strCache>
                <c:ptCount val="1"/>
                <c:pt idx="0">
                  <c:v> Production Managerment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tháng'!$M$82:$M$105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41-485C-A9F0-6D303BEDF6FD}"/>
            </c:ext>
          </c:extLst>
        </c:ser>
        <c:ser>
          <c:idx val="2"/>
          <c:order val="2"/>
          <c:tx>
            <c:strRef>
              <c:f>'업무월별분석 Phân tích CV theo tháng'!$A$107</c:f>
              <c:strCache>
                <c:ptCount val="1"/>
                <c:pt idx="0">
                  <c:v> Quality Department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tháng'!$M$109:$M$132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41-485C-A9F0-6D303BEDF6FD}"/>
            </c:ext>
          </c:extLst>
        </c:ser>
        <c:ser>
          <c:idx val="3"/>
          <c:order val="3"/>
          <c:tx>
            <c:strRef>
              <c:f>'업무월별분석 Phân tích CV theo tháng'!$A$134</c:f>
              <c:strCache>
                <c:ptCount val="1"/>
                <c:pt idx="0">
                  <c:v> PUR &amp; Logistics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tháng'!$M$136:$M$159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41-485C-A9F0-6D303BEDF6FD}"/>
            </c:ext>
          </c:extLst>
        </c:ser>
        <c:ser>
          <c:idx val="4"/>
          <c:order val="4"/>
          <c:tx>
            <c:strRef>
              <c:f>'업무월별분석 Phân tích CV theo tháng'!$A$161</c:f>
              <c:strCache>
                <c:ptCount val="1"/>
                <c:pt idx="0">
                  <c:v> Maintenance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tháng'!$M$163:$M$186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41-485C-A9F0-6D303BEDF6FD}"/>
            </c:ext>
          </c:extLst>
        </c:ser>
        <c:ser>
          <c:idx val="5"/>
          <c:order val="5"/>
          <c:tx>
            <c:strRef>
              <c:f>'업무월별분석 Phân tích CV theo tháng'!$A$188</c:f>
              <c:strCache>
                <c:ptCount val="1"/>
                <c:pt idx="0">
                  <c:v> Melting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tháng'!$M$190:$M$213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41-485C-A9F0-6D303BEDF6FD}"/>
            </c:ext>
          </c:extLst>
        </c:ser>
        <c:ser>
          <c:idx val="6"/>
          <c:order val="6"/>
          <c:tx>
            <c:strRef>
              <c:f>'업무월별분석 Phân tích CV theo tháng'!$A$215</c:f>
              <c:strCache>
                <c:ptCount val="1"/>
                <c:pt idx="0">
                  <c:v> Degate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tháng'!$M$217:$M$240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41-485C-A9F0-6D303BEDF6FD}"/>
            </c:ext>
          </c:extLst>
        </c:ser>
        <c:ser>
          <c:idx val="7"/>
          <c:order val="7"/>
          <c:tx>
            <c:strRef>
              <c:f>'업무월별분석 Phân tích CV theo tháng'!$A$242</c:f>
              <c:strCache>
                <c:ptCount val="1"/>
                <c:pt idx="0">
                  <c:v> Shot blast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tháng'!$M$244:$M$267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41-485C-A9F0-6D303BEDF6FD}"/>
            </c:ext>
          </c:extLst>
        </c:ser>
        <c:ser>
          <c:idx val="8"/>
          <c:order val="8"/>
          <c:tx>
            <c:strRef>
              <c:f>'업무월별분석 Phân tích CV theo tháng'!$A$269</c:f>
              <c:strCache>
                <c:ptCount val="1"/>
                <c:pt idx="0">
                  <c:v> Deburing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tháng'!$M$271:$M$294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41-485C-A9F0-6D303BEDF6FD}"/>
            </c:ext>
          </c:extLst>
        </c:ser>
        <c:ser>
          <c:idx val="9"/>
          <c:order val="9"/>
          <c:tx>
            <c:strRef>
              <c:f>'업무월별분석 Phân tích CV theo tháng'!$A$296</c:f>
              <c:strCache>
                <c:ptCount val="1"/>
                <c:pt idx="0">
                  <c:v> Inspector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tháng'!$M$298:$M$321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41-485C-A9F0-6D303BEDF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2892832"/>
        <c:axId val="-182892288"/>
        <c:extLst/>
      </c:lineChart>
      <c:dateAx>
        <c:axId val="-182892832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crossAx val="-182892288"/>
        <c:crosses val="autoZero"/>
        <c:auto val="1"/>
        <c:lblOffset val="100"/>
        <c:baseTimeUnit val="months"/>
      </c:dateAx>
      <c:valAx>
        <c:axId val="-182892288"/>
        <c:scaling>
          <c:orientation val="minMax"/>
          <c:min val="0.65000000000000113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-182892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Working hour (</a:t>
            </a:r>
            <a:r>
              <a:rPr lang="ko-KR" altLang="en-US"/>
              <a:t>총근무시간</a:t>
            </a:r>
            <a:r>
              <a:rPr lang="en-US" altLang="ko-KR"/>
              <a:t>)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'업무월별분석 Phân tích CV theo tháng'!$A$53</c:f>
              <c:strCache>
                <c:ptCount val="1"/>
                <c:pt idx="0">
                  <c:v> General Admistration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tháng'!$C$55:$C$78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96-4B05-A4DA-FB70D7F8B00E}"/>
            </c:ext>
          </c:extLst>
        </c:ser>
        <c:ser>
          <c:idx val="1"/>
          <c:order val="1"/>
          <c:tx>
            <c:strRef>
              <c:f>'업무월별분석 Phân tích CV theo tháng'!$A$80</c:f>
              <c:strCache>
                <c:ptCount val="1"/>
                <c:pt idx="0">
                  <c:v> Production Managerment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tháng'!$C$82:$C$105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96-4B05-A4DA-FB70D7F8B00E}"/>
            </c:ext>
          </c:extLst>
        </c:ser>
        <c:ser>
          <c:idx val="2"/>
          <c:order val="2"/>
          <c:tx>
            <c:strRef>
              <c:f>'업무월별분석 Phân tích CV theo tháng'!$A$107</c:f>
              <c:strCache>
                <c:ptCount val="1"/>
                <c:pt idx="0">
                  <c:v> Quality Department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tháng'!$C$109:$C$132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96-4B05-A4DA-FB70D7F8B00E}"/>
            </c:ext>
          </c:extLst>
        </c:ser>
        <c:ser>
          <c:idx val="3"/>
          <c:order val="3"/>
          <c:tx>
            <c:strRef>
              <c:f>'업무월별분석 Phân tích CV theo tháng'!$A$134</c:f>
              <c:strCache>
                <c:ptCount val="1"/>
                <c:pt idx="0">
                  <c:v> PUR &amp; Logistics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tháng'!$C$136:$C$159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96-4B05-A4DA-FB70D7F8B00E}"/>
            </c:ext>
          </c:extLst>
        </c:ser>
        <c:ser>
          <c:idx val="4"/>
          <c:order val="4"/>
          <c:tx>
            <c:strRef>
              <c:f>'업무월별분석 Phân tích CV theo tháng'!$A$161</c:f>
              <c:strCache>
                <c:ptCount val="1"/>
                <c:pt idx="0">
                  <c:v> Maintenance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tháng'!$C$163:$C$186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96-4B05-A4DA-FB70D7F8B00E}"/>
            </c:ext>
          </c:extLst>
        </c:ser>
        <c:ser>
          <c:idx val="5"/>
          <c:order val="5"/>
          <c:tx>
            <c:strRef>
              <c:f>'업무월별분석 Phân tích CV theo tháng'!$A$188</c:f>
              <c:strCache>
                <c:ptCount val="1"/>
                <c:pt idx="0">
                  <c:v> Melting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tháng'!$C$190:$C$213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96-4B05-A4DA-FB70D7F8B00E}"/>
            </c:ext>
          </c:extLst>
        </c:ser>
        <c:ser>
          <c:idx val="6"/>
          <c:order val="6"/>
          <c:tx>
            <c:strRef>
              <c:f>'업무월별분석 Phân tích CV theo tháng'!$A$215</c:f>
              <c:strCache>
                <c:ptCount val="1"/>
                <c:pt idx="0">
                  <c:v> Degate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tháng'!$C$217:$C$240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96-4B05-A4DA-FB70D7F8B00E}"/>
            </c:ext>
          </c:extLst>
        </c:ser>
        <c:ser>
          <c:idx val="7"/>
          <c:order val="7"/>
          <c:tx>
            <c:strRef>
              <c:f>'업무월별분석 Phân tích CV theo tháng'!$A$242</c:f>
              <c:strCache>
                <c:ptCount val="1"/>
                <c:pt idx="0">
                  <c:v> Shot blast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tháng'!$C$244:$C$267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96-4B05-A4DA-FB70D7F8B00E}"/>
            </c:ext>
          </c:extLst>
        </c:ser>
        <c:ser>
          <c:idx val="8"/>
          <c:order val="8"/>
          <c:tx>
            <c:strRef>
              <c:f>'업무월별분석 Phân tích CV theo tháng'!$A$269</c:f>
              <c:strCache>
                <c:ptCount val="1"/>
                <c:pt idx="0">
                  <c:v> Deburing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tháng'!$C$271:$C$294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96-4B05-A4DA-FB70D7F8B00E}"/>
            </c:ext>
          </c:extLst>
        </c:ser>
        <c:ser>
          <c:idx val="9"/>
          <c:order val="9"/>
          <c:tx>
            <c:strRef>
              <c:f>'업무월별분석 Phân tích CV theo tháng'!$A$296</c:f>
              <c:strCache>
                <c:ptCount val="1"/>
                <c:pt idx="0">
                  <c:v> Inspector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tháng'!$C$298:$C$321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96-4B05-A4DA-FB70D7F8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2889568"/>
        <c:axId val="-182884672"/>
        <c:extLst/>
      </c:lineChart>
      <c:dateAx>
        <c:axId val="-182889568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crossAx val="-182884672"/>
        <c:crosses val="autoZero"/>
        <c:auto val="1"/>
        <c:lblOffset val="100"/>
        <c:baseTimeUnit val="months"/>
      </c:dateAx>
      <c:valAx>
        <c:axId val="-182884672"/>
        <c:scaling>
          <c:orientation val="minMax"/>
          <c:min val="3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crossAx val="-18288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Not working hour</a:t>
            </a:r>
            <a:r>
              <a:rPr lang="en-US" altLang="ko-KR" baseline="0"/>
              <a:t> rate(</a:t>
            </a:r>
            <a:r>
              <a:rPr lang="ko-KR" altLang="en-US" baseline="0"/>
              <a:t>비근무시간율</a:t>
            </a:r>
            <a:r>
              <a:rPr lang="en-US" altLang="ko-KR" baseline="0"/>
              <a:t>)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'업무월별분석 Phân tích CV theo tháng'!$A$53</c:f>
              <c:strCache>
                <c:ptCount val="1"/>
                <c:pt idx="0">
                  <c:v> General Admistration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tháng'!$L$55:$L$78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9F-420A-A0F0-D614D708C833}"/>
            </c:ext>
          </c:extLst>
        </c:ser>
        <c:ser>
          <c:idx val="1"/>
          <c:order val="1"/>
          <c:tx>
            <c:strRef>
              <c:f>'업무월별분석 Phân tích CV theo tháng'!$A$80</c:f>
              <c:strCache>
                <c:ptCount val="1"/>
                <c:pt idx="0">
                  <c:v> Production Managerment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tháng'!$L$82:$L$105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9F-420A-A0F0-D614D708C833}"/>
            </c:ext>
          </c:extLst>
        </c:ser>
        <c:ser>
          <c:idx val="2"/>
          <c:order val="2"/>
          <c:tx>
            <c:strRef>
              <c:f>'업무월별분석 Phân tích CV theo tháng'!$A$107</c:f>
              <c:strCache>
                <c:ptCount val="1"/>
                <c:pt idx="0">
                  <c:v> Quality Department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tháng'!$L$109:$L$132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9F-420A-A0F0-D614D708C833}"/>
            </c:ext>
          </c:extLst>
        </c:ser>
        <c:ser>
          <c:idx val="3"/>
          <c:order val="3"/>
          <c:tx>
            <c:strRef>
              <c:f>'업무월별분석 Phân tích CV theo tháng'!$A$134</c:f>
              <c:strCache>
                <c:ptCount val="1"/>
                <c:pt idx="0">
                  <c:v> PUR &amp; Logistics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tháng'!$L$136:$L$159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9F-420A-A0F0-D614D708C833}"/>
            </c:ext>
          </c:extLst>
        </c:ser>
        <c:ser>
          <c:idx val="4"/>
          <c:order val="4"/>
          <c:tx>
            <c:strRef>
              <c:f>'업무월별분석 Phân tích CV theo tháng'!$A$161</c:f>
              <c:strCache>
                <c:ptCount val="1"/>
                <c:pt idx="0">
                  <c:v> Maintenance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tháng'!$L$163:$L$186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9F-420A-A0F0-D614D708C833}"/>
            </c:ext>
          </c:extLst>
        </c:ser>
        <c:ser>
          <c:idx val="5"/>
          <c:order val="5"/>
          <c:tx>
            <c:strRef>
              <c:f>'업무월별분석 Phân tích CV theo tháng'!$A$188</c:f>
              <c:strCache>
                <c:ptCount val="1"/>
                <c:pt idx="0">
                  <c:v> Melting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tháng'!$L$190:$L$213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9F-420A-A0F0-D614D708C833}"/>
            </c:ext>
          </c:extLst>
        </c:ser>
        <c:ser>
          <c:idx val="6"/>
          <c:order val="6"/>
          <c:tx>
            <c:strRef>
              <c:f>'업무월별분석 Phân tích CV theo tháng'!$A$215</c:f>
              <c:strCache>
                <c:ptCount val="1"/>
                <c:pt idx="0">
                  <c:v> Degate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tháng'!$L$217:$L$240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9F-420A-A0F0-D614D708C833}"/>
            </c:ext>
          </c:extLst>
        </c:ser>
        <c:ser>
          <c:idx val="7"/>
          <c:order val="7"/>
          <c:tx>
            <c:strRef>
              <c:f>'업무월별분석 Phân tích CV theo tháng'!$A$242</c:f>
              <c:strCache>
                <c:ptCount val="1"/>
                <c:pt idx="0">
                  <c:v> Shot blast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tháng'!$L$244:$L$267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9F-420A-A0F0-D614D708C833}"/>
            </c:ext>
          </c:extLst>
        </c:ser>
        <c:ser>
          <c:idx val="8"/>
          <c:order val="8"/>
          <c:tx>
            <c:strRef>
              <c:f>'업무월별분석 Phân tích CV theo tháng'!$A$269</c:f>
              <c:strCache>
                <c:ptCount val="1"/>
                <c:pt idx="0">
                  <c:v> Deburing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tháng'!$L$271:$L$294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9F-420A-A0F0-D614D708C833}"/>
            </c:ext>
          </c:extLst>
        </c:ser>
        <c:ser>
          <c:idx val="9"/>
          <c:order val="9"/>
          <c:tx>
            <c:strRef>
              <c:f>'업무월별분석 Phân tích CV theo tháng'!$A$296</c:f>
              <c:strCache>
                <c:ptCount val="1"/>
                <c:pt idx="0">
                  <c:v> Inspector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tháng'!$L$298:$L$321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9F-420A-A0F0-D614D708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2890112"/>
        <c:axId val="-182889024"/>
        <c:extLst/>
      </c:lineChart>
      <c:dateAx>
        <c:axId val="-182890112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crossAx val="-182889024"/>
        <c:crosses val="autoZero"/>
        <c:auto val="1"/>
        <c:lblOffset val="100"/>
        <c:baseTimeUnit val="months"/>
      </c:dateAx>
      <c:valAx>
        <c:axId val="-182889024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-18289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Sunday</a:t>
            </a:r>
            <a:r>
              <a:rPr lang="en-US" altLang="ko-KR" baseline="0"/>
              <a:t> working hour (</a:t>
            </a:r>
            <a:r>
              <a:rPr lang="ko-KR" altLang="en-US"/>
              <a:t>특근시간</a:t>
            </a:r>
            <a:r>
              <a:rPr lang="en-US" altLang="ko-KR"/>
              <a:t>)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'업무월별분석 Phân tích CV theo tháng'!$A$53</c:f>
              <c:strCache>
                <c:ptCount val="1"/>
                <c:pt idx="0">
                  <c:v> General Admistration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tháng'!$F$55:$F$78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F1-4226-A999-B178F4DD836E}"/>
            </c:ext>
          </c:extLst>
        </c:ser>
        <c:ser>
          <c:idx val="1"/>
          <c:order val="1"/>
          <c:tx>
            <c:strRef>
              <c:f>'업무월별분석 Phân tích CV theo tháng'!$A$80</c:f>
              <c:strCache>
                <c:ptCount val="1"/>
                <c:pt idx="0">
                  <c:v> Production Managerment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tháng'!$F$82:$F$105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F1-4226-A999-B178F4DD836E}"/>
            </c:ext>
          </c:extLst>
        </c:ser>
        <c:ser>
          <c:idx val="2"/>
          <c:order val="2"/>
          <c:tx>
            <c:strRef>
              <c:f>'업무월별분석 Phân tích CV theo tháng'!$A$107</c:f>
              <c:strCache>
                <c:ptCount val="1"/>
                <c:pt idx="0">
                  <c:v> Quality Department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tháng'!$F$109:$F$132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F1-4226-A999-B178F4DD836E}"/>
            </c:ext>
          </c:extLst>
        </c:ser>
        <c:ser>
          <c:idx val="3"/>
          <c:order val="3"/>
          <c:tx>
            <c:strRef>
              <c:f>'업무월별분석 Phân tích CV theo tháng'!$A$134</c:f>
              <c:strCache>
                <c:ptCount val="1"/>
                <c:pt idx="0">
                  <c:v> PUR &amp; Logistics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tháng'!$F$136:$F$159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F1-4226-A999-B178F4DD836E}"/>
            </c:ext>
          </c:extLst>
        </c:ser>
        <c:ser>
          <c:idx val="4"/>
          <c:order val="4"/>
          <c:tx>
            <c:strRef>
              <c:f>'업무월별분석 Phân tích CV theo tháng'!$A$161</c:f>
              <c:strCache>
                <c:ptCount val="1"/>
                <c:pt idx="0">
                  <c:v> Maintenance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tháng'!$F$163:$F$186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F1-4226-A999-B178F4DD836E}"/>
            </c:ext>
          </c:extLst>
        </c:ser>
        <c:ser>
          <c:idx val="5"/>
          <c:order val="5"/>
          <c:tx>
            <c:strRef>
              <c:f>'업무월별분석 Phân tích CV theo tháng'!$A$188</c:f>
              <c:strCache>
                <c:ptCount val="1"/>
                <c:pt idx="0">
                  <c:v> Melting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tháng'!$F$190:$F$213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F1-4226-A999-B178F4DD836E}"/>
            </c:ext>
          </c:extLst>
        </c:ser>
        <c:ser>
          <c:idx val="6"/>
          <c:order val="6"/>
          <c:tx>
            <c:strRef>
              <c:f>'업무월별분석 Phân tích CV theo tháng'!$A$215</c:f>
              <c:strCache>
                <c:ptCount val="1"/>
                <c:pt idx="0">
                  <c:v> Degate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tháng'!$F$217:$F$240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F1-4226-A999-B178F4DD836E}"/>
            </c:ext>
          </c:extLst>
        </c:ser>
        <c:ser>
          <c:idx val="7"/>
          <c:order val="7"/>
          <c:tx>
            <c:strRef>
              <c:f>'업무월별분석 Phân tích CV theo tháng'!$A$242</c:f>
              <c:strCache>
                <c:ptCount val="1"/>
                <c:pt idx="0">
                  <c:v> Shot blast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tháng'!$F$244:$F$267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F1-4226-A999-B178F4DD836E}"/>
            </c:ext>
          </c:extLst>
        </c:ser>
        <c:ser>
          <c:idx val="8"/>
          <c:order val="8"/>
          <c:tx>
            <c:strRef>
              <c:f>'업무월별분석 Phân tích CV theo tháng'!$A$269</c:f>
              <c:strCache>
                <c:ptCount val="1"/>
                <c:pt idx="0">
                  <c:v> Deburing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tháng'!$F$271:$F$294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F1-4226-A999-B178F4DD836E}"/>
            </c:ext>
          </c:extLst>
        </c:ser>
        <c:ser>
          <c:idx val="9"/>
          <c:order val="9"/>
          <c:tx>
            <c:strRef>
              <c:f>'업무월별분석 Phân tích CV theo tháng'!$A$296</c:f>
              <c:strCache>
                <c:ptCount val="1"/>
                <c:pt idx="0">
                  <c:v> Inspector </c:v>
                </c:pt>
              </c:strCache>
            </c:strRef>
          </c:tx>
          <c:marker>
            <c:symbol val="none"/>
          </c:marker>
          <c:cat>
            <c:numRef>
              <c:f>'업무월별분석 Phân tích CV theo tháng'!$A$55:$A$78</c:f>
              <c:numCache>
                <c:formatCode>[$-409]mmm"-"yy;@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'업무월별분석 Phân tích CV theo tháng'!$F$298:$F$321</c:f>
              <c:numCache>
                <c:formatCode>_(* #,##0_);_(* \(#,##0\);_(* "-"_);_(@_)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F1-4226-A999-B178F4DD8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2887392"/>
        <c:axId val="-182888480"/>
        <c:extLst/>
      </c:lineChart>
      <c:dateAx>
        <c:axId val="-182887392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crossAx val="-182888480"/>
        <c:crosses val="autoZero"/>
        <c:auto val="1"/>
        <c:lblOffset val="100"/>
        <c:baseTimeUnit val="months"/>
      </c:dateAx>
      <c:valAx>
        <c:axId val="-182888480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crossAx val="-18288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Working</a:t>
            </a:r>
            <a:r>
              <a:rPr lang="en-US" altLang="ko-KR" baseline="0"/>
              <a:t> hour(</a:t>
            </a:r>
            <a:r>
              <a:rPr lang="ko-KR" altLang="en-US"/>
              <a:t>근무시간</a:t>
            </a:r>
            <a:r>
              <a:rPr lang="en-US" altLang="ko-KR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'업무월별분석 Phân tích CV theo tháng'!$C$4</c:f>
              <c:strCache>
                <c:ptCount val="1"/>
                <c:pt idx="0">
                  <c:v> 총근무 Tổng đi làm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tháng'!$C$5:$C$16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7-474C-BF26-E4684C9BAEC2}"/>
            </c:ext>
          </c:extLst>
        </c:ser>
        <c:ser>
          <c:idx val="2"/>
          <c:order val="1"/>
          <c:tx>
            <c:strRef>
              <c:f>'업무월별분석 Phân tích CV theo tháng'!$D$4</c:f>
              <c:strCache>
                <c:ptCount val="1"/>
                <c:pt idx="0">
                  <c:v> 통상근무 Đi làm bình thường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tháng'!$D$5:$D$16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7-474C-BF26-E4684C9B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82887936"/>
        <c:axId val="-182885760"/>
      </c:barChart>
      <c:lineChart>
        <c:grouping val="stacked"/>
        <c:varyColors val="0"/>
        <c:ser>
          <c:idx val="3"/>
          <c:order val="2"/>
          <c:tx>
            <c:strRef>
              <c:f>'업무월별분석 Phân tích CV theo tháng'!$E$4</c:f>
              <c:strCache>
                <c:ptCount val="1"/>
                <c:pt idx="0">
                  <c:v> 잔업 Tăng ca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tháng'!$E$5:$E$16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7-474C-BF26-E4684C9BAEC2}"/>
            </c:ext>
          </c:extLst>
        </c:ser>
        <c:ser>
          <c:idx val="4"/>
          <c:order val="3"/>
          <c:tx>
            <c:strRef>
              <c:f>'업무월별분석 Phân tích CV theo tháng'!$F$4</c:f>
              <c:strCache>
                <c:ptCount val="1"/>
                <c:pt idx="0">
                  <c:v> 특근 Đi làm ngày nghỉ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tháng'!$F$5:$F$16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7-474C-BF26-E4684C9BAEC2}"/>
            </c:ext>
          </c:extLst>
        </c:ser>
        <c:ser>
          <c:idx val="5"/>
          <c:order val="4"/>
          <c:tx>
            <c:strRef>
              <c:f>'업무월별분석 Phân tích CV theo tháng'!$G$4</c:f>
              <c:strCache>
                <c:ptCount val="1"/>
                <c:pt idx="0">
                  <c:v> LOSS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tháng'!$G$5:$G$16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37-474C-BF26-E4684C9B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2882496"/>
        <c:axId val="-182885216"/>
      </c:lineChart>
      <c:dateAx>
        <c:axId val="-182887936"/>
        <c:scaling>
          <c:orientation val="minMax"/>
        </c:scaling>
        <c:delete val="0"/>
        <c:axPos val="b"/>
        <c:numFmt formatCode="[$-409]mmm&quot;-&quot;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85760"/>
        <c:crosses val="autoZero"/>
        <c:auto val="1"/>
        <c:lblOffset val="100"/>
        <c:baseTimeUnit val="months"/>
      </c:dateAx>
      <c:valAx>
        <c:axId val="-1828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87936"/>
        <c:crosses val="autoZero"/>
        <c:crossBetween val="between"/>
      </c:valAx>
      <c:valAx>
        <c:axId val="-182885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82496"/>
        <c:crosses val="max"/>
        <c:crossBetween val="between"/>
      </c:valAx>
      <c:dateAx>
        <c:axId val="-182882496"/>
        <c:scaling>
          <c:orientation val="minMax"/>
        </c:scaling>
        <c:delete val="1"/>
        <c:axPos val="b"/>
        <c:numFmt formatCode="[$-409]mmm&quot;-&quot;yy;@" sourceLinked="1"/>
        <c:majorTickMark val="out"/>
        <c:minorTickMark val="none"/>
        <c:tickLblPos val="nextTo"/>
        <c:crossAx val="-1828852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Working</a:t>
            </a:r>
            <a:r>
              <a:rPr lang="en-US" altLang="ko-KR" baseline="0"/>
              <a:t> hour rate( </a:t>
            </a:r>
            <a:r>
              <a:rPr lang="ko-KR" altLang="en-US" baseline="0"/>
              <a:t>근무시간 비율</a:t>
            </a:r>
            <a:r>
              <a:rPr lang="en-US" altLang="ko-KR" baseline="0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'업무월별분석 Phân tích CV theo tháng'!$I$4</c:f>
              <c:strCache>
                <c:ptCount val="1"/>
                <c:pt idx="0">
                  <c:v>통상근무
Đi làm bình thường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'업무월별분석 Phân tích CV theo tháng'!$A$5:$A$16</c:f>
              <c:numCache>
                <c:formatCode>[$-409]mmm"-"yy;@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'업무월별분석 Phân tích CV theo tháng'!$I$5:$I$16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6-455D-A5E4-349C396F9739}"/>
            </c:ext>
          </c:extLst>
        </c:ser>
        <c:ser>
          <c:idx val="1"/>
          <c:order val="1"/>
          <c:tx>
            <c:strRef>
              <c:f>'업무월별분석 Phân tích CV theo tháng'!$J$4</c:f>
              <c:strCache>
                <c:ptCount val="1"/>
                <c:pt idx="0">
                  <c:v>잔업
Tăng 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'업무월별분석 Phân tích CV theo tháng'!$J$5:$J$16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E6-455D-A5E4-349C396F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2881952"/>
        <c:axId val="-267428304"/>
      </c:barChart>
      <c:lineChart>
        <c:grouping val="standard"/>
        <c:varyColors val="0"/>
        <c:ser>
          <c:idx val="2"/>
          <c:order val="2"/>
          <c:tx>
            <c:strRef>
              <c:f>'업무월별분석 Phân tích CV theo tháng'!$K$4</c:f>
              <c:strCache>
                <c:ptCount val="1"/>
                <c:pt idx="0">
                  <c:v>특근
Ngày nghỉ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'업무월별분석 Phân tích CV theo tháng'!$K$5:$K$16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E6-455D-A5E4-349C396F9739}"/>
            </c:ext>
          </c:extLst>
        </c:ser>
        <c:ser>
          <c:idx val="3"/>
          <c:order val="3"/>
          <c:tx>
            <c:strRef>
              <c:f>'업무월별분석 Phân tích CV theo tháng'!$L$4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'업무월별분석 Phân tích CV theo tháng'!$L$5:$L$16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E6-455D-A5E4-349C396F9739}"/>
            </c:ext>
          </c:extLst>
        </c:ser>
        <c:ser>
          <c:idx val="4"/>
          <c:order val="4"/>
          <c:tx>
            <c:strRef>
              <c:f>'업무월별분석 Phân tích CV theo tháng'!$M$4</c:f>
              <c:strCache>
                <c:ptCount val="1"/>
                <c:pt idx="0">
                  <c:v>통상+잔업(평일근무) Bình thường + tăng ca (làm việc ngày thường)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'업무월별분석 Phân tích CV theo tháng'!$M$5:$M$16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E6-455D-A5E4-349C396F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67419600"/>
        <c:axId val="-267423952"/>
      </c:lineChart>
      <c:dateAx>
        <c:axId val="-182881952"/>
        <c:scaling>
          <c:orientation val="minMax"/>
        </c:scaling>
        <c:delete val="0"/>
        <c:axPos val="b"/>
        <c:numFmt formatCode="[$-409]mmm&quot;-&quot;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67428304"/>
        <c:crosses val="autoZero"/>
        <c:auto val="1"/>
        <c:lblOffset val="100"/>
        <c:baseTimeUnit val="months"/>
      </c:dateAx>
      <c:valAx>
        <c:axId val="-2674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881952"/>
        <c:crosses val="autoZero"/>
        <c:crossBetween val="between"/>
      </c:valAx>
      <c:valAx>
        <c:axId val="-2674239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67419600"/>
        <c:crosses val="max"/>
        <c:crossBetween val="between"/>
      </c:valAx>
      <c:catAx>
        <c:axId val="-267419600"/>
        <c:scaling>
          <c:orientation val="minMax"/>
        </c:scaling>
        <c:delete val="1"/>
        <c:axPos val="b"/>
        <c:majorTickMark val="out"/>
        <c:minorTickMark val="none"/>
        <c:tickLblPos val="nextTo"/>
        <c:crossAx val="-26742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 기본데이터 합계'!$R$4</c:f>
              <c:strCache>
                <c:ptCount val="1"/>
                <c:pt idx="0">
                  <c:v>특근시간 - Thời gian làm ngày nghỉ</c:v>
                </c:pt>
              </c:strCache>
            </c:strRef>
          </c:tx>
          <c:invertIfNegative val="0"/>
          <c:cat>
            <c:numRef>
              <c:f>'월별 기본데이터 합계'!$A$5:$A$28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 기본데이터 합계'!$R$5:$R$28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0F-4100-98D2-B5B9D3DC2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7431568"/>
        <c:axId val="-267422320"/>
      </c:barChart>
      <c:dateAx>
        <c:axId val="-267431568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-267422320"/>
        <c:crosses val="autoZero"/>
        <c:auto val="1"/>
        <c:lblOffset val="100"/>
        <c:baseTimeUnit val="months"/>
      </c:dateAx>
      <c:valAx>
        <c:axId val="-267422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7431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 기본데이터 합계'!$Q$4</c:f>
              <c:strCache>
                <c:ptCount val="1"/>
                <c:pt idx="0">
                  <c:v>출근시간 - Thời gian đi làm</c:v>
                </c:pt>
              </c:strCache>
            </c:strRef>
          </c:tx>
          <c:invertIfNegative val="0"/>
          <c:cat>
            <c:numRef>
              <c:f>'월별 기본데이터 합계'!$A$5:$A$28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 기본데이터 합계'!$Q$5:$Q$28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83-4D1D-B65C-F7AB6808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7427760"/>
        <c:axId val="-267423408"/>
      </c:barChart>
      <c:dateAx>
        <c:axId val="-267427760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-267423408"/>
        <c:crosses val="autoZero"/>
        <c:auto val="1"/>
        <c:lblOffset val="100"/>
        <c:baseTimeUnit val="months"/>
      </c:dateAx>
      <c:valAx>
        <c:axId val="-26742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7427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 기본데이터 합계'!$X$4</c:f>
              <c:strCache>
                <c:ptCount val="1"/>
                <c:pt idx="0">
                  <c:v>총LOSS시간-Tổng thời gian LOSS</c:v>
                </c:pt>
              </c:strCache>
            </c:strRef>
          </c:tx>
          <c:invertIfNegative val="0"/>
          <c:cat>
            <c:numRef>
              <c:f>'월별 기본데이터 합계'!$A$5:$A$28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 기본데이터 합계'!$X$5:$X$28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9-4B86-8843-372D6F72C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7420688"/>
        <c:axId val="-267432656"/>
      </c:barChart>
      <c:dateAx>
        <c:axId val="-267420688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-267432656"/>
        <c:crosses val="autoZero"/>
        <c:auto val="1"/>
        <c:lblOffset val="100"/>
        <c:baseTimeUnit val="months"/>
      </c:dateAx>
      <c:valAx>
        <c:axId val="-26743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7420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 기본데이터 합계'!$V$4</c:f>
              <c:strCache>
                <c:ptCount val="1"/>
                <c:pt idx="0">
                  <c:v>합계시간-Tổng thời gian</c:v>
                </c:pt>
              </c:strCache>
            </c:strRef>
          </c:tx>
          <c:invertIfNegative val="0"/>
          <c:cat>
            <c:numRef>
              <c:f>'월별 기본데이터 합계'!$A$5:$A$28</c:f>
              <c:numCache>
                <c:formatCode>yyyy"년"\ m"월";@</c:formatCode>
                <c:ptCount val="24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</c:numCache>
            </c:numRef>
          </c:cat>
          <c:val>
            <c:numRef>
              <c:f>'월별 기본데이터 합계'!$V$5:$V$28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15-42E8-BE18-E3B86D6CE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7417968"/>
        <c:axId val="-267432112"/>
      </c:barChart>
      <c:dateAx>
        <c:axId val="-267417968"/>
        <c:scaling>
          <c:orientation val="minMax"/>
        </c:scaling>
        <c:delete val="0"/>
        <c:axPos val="b"/>
        <c:numFmt formatCode="yyyy&quot;년&quot;\ m&quot;월&quot;;@" sourceLinked="1"/>
        <c:majorTickMark val="out"/>
        <c:minorTickMark val="none"/>
        <c:tickLblPos val="nextTo"/>
        <c:crossAx val="-267432112"/>
        <c:crosses val="autoZero"/>
        <c:auto val="1"/>
        <c:lblOffset val="100"/>
        <c:baseTimeUnit val="months"/>
      </c:dateAx>
      <c:valAx>
        <c:axId val="-267432112"/>
        <c:scaling>
          <c:orientation val="minMax"/>
          <c:max val="25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7417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image" Target="../media/image3.png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95250</xdr:rowOff>
    </xdr:from>
    <xdr:to>
      <xdr:col>6</xdr:col>
      <xdr:colOff>619125</xdr:colOff>
      <xdr:row>15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2DD6BB9-B057-4B6E-A27A-69DD510A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228600</xdr:colOff>
      <xdr:row>0</xdr:row>
      <xdr:rowOff>0</xdr:rowOff>
    </xdr:from>
    <xdr:to>
      <xdr:col>11</xdr:col>
      <xdr:colOff>276225</xdr:colOff>
      <xdr:row>2</xdr:row>
      <xdr:rowOff>138860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3AE74BBE-2599-4219-B674-7805FC7D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0" y="0"/>
          <a:ext cx="866775" cy="519860"/>
        </a:xfrm>
        <a:prstGeom prst="rect">
          <a:avLst/>
        </a:prstGeom>
      </xdr:spPr>
    </xdr:pic>
    <xdr:clientData/>
  </xdr:twoCellAnchor>
  <xdr:twoCellAnchor>
    <xdr:from>
      <xdr:col>6</xdr:col>
      <xdr:colOff>704850</xdr:colOff>
      <xdr:row>4</xdr:row>
      <xdr:rowOff>76200</xdr:rowOff>
    </xdr:from>
    <xdr:to>
      <xdr:col>11</xdr:col>
      <xdr:colOff>0</xdr:colOff>
      <xdr:row>15</xdr:row>
      <xdr:rowOff>85725</xdr:rowOff>
    </xdr:to>
    <xdr:graphicFrame macro="">
      <xdr:nvGraphicFramePr>
        <xdr:cNvPr id="4" name="차트 12">
          <a:extLst>
            <a:ext uri="{FF2B5EF4-FFF2-40B4-BE49-F238E27FC236}">
              <a16:creationId xmlns:a16="http://schemas.microsoft.com/office/drawing/2014/main" id="{E5F7CA56-A2F2-4DB5-A7AC-CBB9C4C6B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26</xdr:row>
      <xdr:rowOff>142875</xdr:rowOff>
    </xdr:from>
    <xdr:to>
      <xdr:col>10</xdr:col>
      <xdr:colOff>1143000</xdr:colOff>
      <xdr:row>41</xdr:row>
      <xdr:rowOff>38100</xdr:rowOff>
    </xdr:to>
    <xdr:graphicFrame macro="">
      <xdr:nvGraphicFramePr>
        <xdr:cNvPr id="5" name="차트 2">
          <a:extLst>
            <a:ext uri="{FF2B5EF4-FFF2-40B4-BE49-F238E27FC236}">
              <a16:creationId xmlns:a16="http://schemas.microsoft.com/office/drawing/2014/main" id="{3E7B7146-CBFD-48CA-9A1D-BCAC90974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0</xdr:rowOff>
    </xdr:from>
    <xdr:to>
      <xdr:col>16</xdr:col>
      <xdr:colOff>590550</xdr:colOff>
      <xdr:row>48</xdr:row>
      <xdr:rowOff>9525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FFA2EBD1-C825-4136-B965-BA714F4F5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48</xdr:row>
      <xdr:rowOff>51435</xdr:rowOff>
    </xdr:from>
    <xdr:to>
      <xdr:col>16</xdr:col>
      <xdr:colOff>581025</xdr:colOff>
      <xdr:row>68</xdr:row>
      <xdr:rowOff>57150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48383C2C-DE18-4514-A448-F9C76C962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68</xdr:row>
      <xdr:rowOff>104775</xdr:rowOff>
    </xdr:from>
    <xdr:to>
      <xdr:col>16</xdr:col>
      <xdr:colOff>581025</xdr:colOff>
      <xdr:row>97</xdr:row>
      <xdr:rowOff>152400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60CA7D81-39B8-40FC-80A6-8AF0DADB5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323</xdr:row>
      <xdr:rowOff>28575</xdr:rowOff>
    </xdr:from>
    <xdr:to>
      <xdr:col>12</xdr:col>
      <xdr:colOff>609599</xdr:colOff>
      <xdr:row>344</xdr:row>
      <xdr:rowOff>171451</xdr:rowOff>
    </xdr:to>
    <xdr:graphicFrame macro="">
      <xdr:nvGraphicFramePr>
        <xdr:cNvPr id="2" name="차트 20">
          <a:extLst>
            <a:ext uri="{FF2B5EF4-FFF2-40B4-BE49-F238E27FC236}">
              <a16:creationId xmlns:a16="http://schemas.microsoft.com/office/drawing/2014/main" id="{5975C1DD-3081-4562-A8D0-D5FC01089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104776</xdr:colOff>
      <xdr:row>346</xdr:row>
      <xdr:rowOff>47626</xdr:rowOff>
    </xdr:from>
    <xdr:to>
      <xdr:col>13</xdr:col>
      <xdr:colOff>0</xdr:colOff>
      <xdr:row>369</xdr:row>
      <xdr:rowOff>171450</xdr:rowOff>
    </xdr:to>
    <xdr:graphicFrame macro="">
      <xdr:nvGraphicFramePr>
        <xdr:cNvPr id="3" name="차트 23">
          <a:extLst>
            <a:ext uri="{FF2B5EF4-FFF2-40B4-BE49-F238E27FC236}">
              <a16:creationId xmlns:a16="http://schemas.microsoft.com/office/drawing/2014/main" id="{9F9BE1F4-1EE9-4500-A027-D34FA2637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395</xdr:row>
      <xdr:rowOff>1</xdr:rowOff>
    </xdr:from>
    <xdr:to>
      <xdr:col>13</xdr:col>
      <xdr:colOff>0</xdr:colOff>
      <xdr:row>419</xdr:row>
      <xdr:rowOff>9525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F05B5883-5CF3-4079-981B-8087E489F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371</xdr:row>
      <xdr:rowOff>19050</xdr:rowOff>
    </xdr:from>
    <xdr:to>
      <xdr:col>13</xdr:col>
      <xdr:colOff>0</xdr:colOff>
      <xdr:row>393</xdr:row>
      <xdr:rowOff>190499</xdr:rowOff>
    </xdr:to>
    <xdr:graphicFrame macro="">
      <xdr:nvGraphicFramePr>
        <xdr:cNvPr id="5" name="차트 6">
          <a:extLst>
            <a:ext uri="{FF2B5EF4-FFF2-40B4-BE49-F238E27FC236}">
              <a16:creationId xmlns:a16="http://schemas.microsoft.com/office/drawing/2014/main" id="{62FF1CAC-7B00-4963-8F9E-0A6777095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419</xdr:row>
      <xdr:rowOff>180974</xdr:rowOff>
    </xdr:from>
    <xdr:to>
      <xdr:col>13</xdr:col>
      <xdr:colOff>19050</xdr:colOff>
      <xdr:row>442</xdr:row>
      <xdr:rowOff>190499</xdr:rowOff>
    </xdr:to>
    <xdr:graphicFrame macro="">
      <xdr:nvGraphicFramePr>
        <xdr:cNvPr id="6" name="차트 7">
          <a:extLst>
            <a:ext uri="{FF2B5EF4-FFF2-40B4-BE49-F238E27FC236}">
              <a16:creationId xmlns:a16="http://schemas.microsoft.com/office/drawing/2014/main" id="{F9E06215-0FED-405A-9C64-AD664BA09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</xdr:colOff>
      <xdr:row>29</xdr:row>
      <xdr:rowOff>9525</xdr:rowOff>
    </xdr:from>
    <xdr:to>
      <xdr:col>13</xdr:col>
      <xdr:colOff>9525</xdr:colOff>
      <xdr:row>38</xdr:row>
      <xdr:rowOff>104775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9CA6233B-A692-4195-9136-758098F69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39</xdr:row>
      <xdr:rowOff>76200</xdr:rowOff>
    </xdr:from>
    <xdr:to>
      <xdr:col>12</xdr:col>
      <xdr:colOff>695325</xdr:colOff>
      <xdr:row>49</xdr:row>
      <xdr:rowOff>190500</xdr:rowOff>
    </xdr:to>
    <xdr:graphicFrame macro="">
      <xdr:nvGraphicFramePr>
        <xdr:cNvPr id="8" name="차트 2">
          <a:extLst>
            <a:ext uri="{FF2B5EF4-FFF2-40B4-BE49-F238E27FC236}">
              <a16:creationId xmlns:a16="http://schemas.microsoft.com/office/drawing/2014/main" id="{56C7BC00-01CC-4B60-94E0-BDB043CE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34637</xdr:colOff>
      <xdr:row>0</xdr:row>
      <xdr:rowOff>0</xdr:rowOff>
    </xdr:from>
    <xdr:to>
      <xdr:col>13</xdr:col>
      <xdr:colOff>26843</xdr:colOff>
      <xdr:row>2</xdr:row>
      <xdr:rowOff>19859</xdr:rowOff>
    </xdr:to>
    <xdr:pic>
      <xdr:nvPicPr>
        <xdr:cNvPr id="14" name="그림 16">
          <a:extLst>
            <a:ext uri="{FF2B5EF4-FFF2-40B4-BE49-F238E27FC236}">
              <a16:creationId xmlns:a16="http://schemas.microsoft.com/office/drawing/2014/main" id="{6B96CC3E-987E-4895-9E5B-241A2F72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4562" y="0"/>
          <a:ext cx="649431" cy="400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47</xdr:row>
      <xdr:rowOff>1905</xdr:rowOff>
    </xdr:from>
    <xdr:to>
      <xdr:col>25</xdr:col>
      <xdr:colOff>593911</xdr:colOff>
      <xdr:row>65</xdr:row>
      <xdr:rowOff>34290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361B469-4D10-40EB-B811-AC77F4BA9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54429</xdr:colOff>
      <xdr:row>65</xdr:row>
      <xdr:rowOff>72390</xdr:rowOff>
    </xdr:from>
    <xdr:to>
      <xdr:col>25</xdr:col>
      <xdr:colOff>593911</xdr:colOff>
      <xdr:row>83</xdr:row>
      <xdr:rowOff>120015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4CD9BDF-CAF5-4516-A0A1-6AA81F6A3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27215</xdr:colOff>
      <xdr:row>83</xdr:row>
      <xdr:rowOff>158115</xdr:rowOff>
    </xdr:from>
    <xdr:to>
      <xdr:col>25</xdr:col>
      <xdr:colOff>593911</xdr:colOff>
      <xdr:row>102</xdr:row>
      <xdr:rowOff>1905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36AD332-695D-415E-896A-79FCCE1E1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28573</xdr:colOff>
      <xdr:row>28</xdr:row>
      <xdr:rowOff>110490</xdr:rowOff>
    </xdr:from>
    <xdr:to>
      <xdr:col>25</xdr:col>
      <xdr:colOff>605116</xdr:colOff>
      <xdr:row>46</xdr:row>
      <xdr:rowOff>158115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9597CBA-BE33-4219-9EC3-4E139FB1A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27216</xdr:colOff>
      <xdr:row>0</xdr:row>
      <xdr:rowOff>0</xdr:rowOff>
    </xdr:from>
    <xdr:to>
      <xdr:col>25</xdr:col>
      <xdr:colOff>35699</xdr:colOff>
      <xdr:row>1</xdr:row>
      <xdr:rowOff>150422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41EAA63-5553-4E43-8929-B7BE3C869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2641" y="0"/>
          <a:ext cx="568778" cy="340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workbookViewId="0">
      <selection activeCell="V7" sqref="V7"/>
    </sheetView>
  </sheetViews>
  <sheetFormatPr defaultRowHeight="15"/>
  <cols>
    <col min="2" max="2" width="8.28515625" bestFit="1" customWidth="1"/>
    <col min="3" max="3" width="6.85546875" bestFit="1" customWidth="1"/>
    <col min="4" max="7" width="11.28515625" customWidth="1"/>
    <col min="8" max="9" width="15.42578125" customWidth="1"/>
    <col min="10" max="10" width="16" bestFit="1" customWidth="1"/>
    <col min="11" max="11" width="11.7109375" bestFit="1" customWidth="1"/>
    <col min="12" max="12" width="12.28515625" bestFit="1" customWidth="1"/>
    <col min="13" max="13" width="10" bestFit="1" customWidth="1"/>
    <col min="14" max="14" width="15" bestFit="1" customWidth="1"/>
    <col min="15" max="16" width="12.42578125" bestFit="1" customWidth="1"/>
    <col min="17" max="17" width="13.85546875" bestFit="1" customWidth="1"/>
    <col min="18" max="18" width="8" customWidth="1"/>
    <col min="19" max="20" width="8.85546875" customWidth="1"/>
    <col min="21" max="21" width="9.140625" style="23"/>
    <col min="23" max="23" width="14.42578125" customWidth="1"/>
  </cols>
  <sheetData>
    <row r="1" spans="1:26">
      <c r="A1">
        <v>1</v>
      </c>
      <c r="U1" s="25"/>
    </row>
    <row r="2" spans="1:26">
      <c r="U2" s="25"/>
    </row>
    <row r="3" spans="1:26">
      <c r="U3" s="25"/>
    </row>
    <row r="4" spans="1:26">
      <c r="B4">
        <v>1</v>
      </c>
      <c r="C4">
        <v>1</v>
      </c>
      <c r="D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5">
        <v>2</v>
      </c>
      <c r="V4" s="25">
        <v>2</v>
      </c>
      <c r="W4" s="25">
        <v>2</v>
      </c>
    </row>
    <row r="5" spans="1:26">
      <c r="B5" t="s">
        <v>0</v>
      </c>
      <c r="C5" t="s">
        <v>1</v>
      </c>
      <c r="D5" t="s">
        <v>2</v>
      </c>
      <c r="E5" t="s">
        <v>50</v>
      </c>
      <c r="H5" t="s">
        <v>24</v>
      </c>
      <c r="I5" t="s">
        <v>26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T5" t="s">
        <v>83</v>
      </c>
      <c r="U5" s="25" t="s">
        <v>45</v>
      </c>
      <c r="V5" s="25" t="s">
        <v>48</v>
      </c>
      <c r="W5" t="s">
        <v>66</v>
      </c>
    </row>
    <row r="6" spans="1:26" s="22" customFormat="1" ht="33.75" customHeight="1">
      <c r="B6" s="2" t="s">
        <v>13</v>
      </c>
      <c r="C6" s="2" t="s">
        <v>1</v>
      </c>
      <c r="D6" s="2" t="s">
        <v>2</v>
      </c>
      <c r="E6" s="2" t="s">
        <v>50</v>
      </c>
      <c r="F6" s="2" t="s">
        <v>49</v>
      </c>
      <c r="G6" s="2" t="s">
        <v>37</v>
      </c>
      <c r="H6" s="2" t="s">
        <v>25</v>
      </c>
      <c r="I6" s="2" t="s">
        <v>27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84</v>
      </c>
      <c r="U6" s="26" t="s">
        <v>45</v>
      </c>
      <c r="V6" s="2" t="s">
        <v>48</v>
      </c>
      <c r="W6" s="2" t="s">
        <v>67</v>
      </c>
      <c r="X6" s="68" t="s">
        <v>68</v>
      </c>
      <c r="Y6" s="2" t="s">
        <v>69</v>
      </c>
      <c r="Z6" s="2" t="s">
        <v>142</v>
      </c>
    </row>
    <row r="7" spans="1:26">
      <c r="B7" s="1"/>
      <c r="C7" s="1"/>
      <c r="D7" s="1"/>
      <c r="E7" s="1"/>
      <c r="F7" s="1" t="str">
        <f>C7&amp;"-"&amp;E7</f>
        <v>-</v>
      </c>
      <c r="G7" s="1" t="str">
        <f>C7&amp;"-"&amp;E7&amp;"-"&amp;D7</f>
        <v>--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4"/>
      <c r="V7" s="1"/>
      <c r="W7" s="1"/>
      <c r="X7" s="69">
        <f>J7+K7+N7</f>
        <v>0</v>
      </c>
      <c r="Y7" s="1">
        <f>J7+K7</f>
        <v>0</v>
      </c>
      <c r="Z7" s="1">
        <f>R7+S7+T7+O7+P7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76"/>
  <sheetViews>
    <sheetView tabSelected="1" topLeftCell="B1" workbookViewId="0">
      <selection activeCell="B1" sqref="B1"/>
    </sheetView>
  </sheetViews>
  <sheetFormatPr defaultRowHeight="15"/>
  <cols>
    <col min="1" max="1" width="0" hidden="1" customWidth="1"/>
    <col min="2" max="2" width="12.5703125" customWidth="1"/>
    <col min="3" max="3" width="12.5703125" hidden="1" customWidth="1"/>
    <col min="4" max="4" width="17.28515625" customWidth="1"/>
    <col min="5" max="5" width="10.42578125" customWidth="1"/>
    <col min="6" max="6" width="15.42578125" customWidth="1"/>
    <col min="7" max="11" width="12.28515625" customWidth="1"/>
    <col min="12" max="12" width="12.5703125" customWidth="1"/>
    <col min="13" max="14" width="0" hidden="1" customWidth="1"/>
  </cols>
  <sheetData>
    <row r="1" spans="2:12">
      <c r="B1" s="34"/>
      <c r="C1" s="34"/>
      <c r="D1" s="35"/>
      <c r="E1" s="36"/>
      <c r="F1" s="37"/>
      <c r="G1" s="34"/>
      <c r="H1" s="34"/>
      <c r="I1" s="34"/>
      <c r="J1" s="34"/>
      <c r="K1" s="34"/>
      <c r="L1" s="34"/>
    </row>
    <row r="2" spans="2:12">
      <c r="B2" s="38" t="s">
        <v>51</v>
      </c>
      <c r="C2" s="38"/>
      <c r="D2" s="35"/>
      <c r="E2" s="39"/>
      <c r="F2" s="39"/>
      <c r="G2" s="39"/>
      <c r="H2" s="39"/>
      <c r="I2" s="39"/>
      <c r="J2" s="39"/>
      <c r="K2" s="39"/>
      <c r="L2" s="39"/>
    </row>
    <row r="3" spans="2:12">
      <c r="B3" s="34"/>
      <c r="C3" s="34"/>
      <c r="D3" s="35"/>
      <c r="E3" s="36"/>
      <c r="F3" s="37"/>
      <c r="G3" s="34"/>
      <c r="H3" s="34"/>
      <c r="I3" s="34"/>
      <c r="J3" s="34"/>
      <c r="K3" s="34"/>
      <c r="L3" s="39"/>
    </row>
    <row r="4" spans="2:12">
      <c r="B4" s="40" t="s">
        <v>52</v>
      </c>
      <c r="C4" s="40"/>
      <c r="D4" s="41"/>
      <c r="E4" s="41"/>
      <c r="F4" s="41"/>
      <c r="G4" s="41"/>
      <c r="H4" s="41"/>
      <c r="I4" s="41"/>
      <c r="J4" s="41"/>
      <c r="K4" s="41"/>
      <c r="L4" s="39"/>
    </row>
    <row r="5" spans="2:12">
      <c r="B5" s="34"/>
      <c r="C5" s="34"/>
      <c r="D5" s="35"/>
      <c r="E5" s="36"/>
      <c r="F5" s="37"/>
      <c r="G5" s="34"/>
      <c r="H5" s="34"/>
      <c r="I5" s="34"/>
      <c r="J5" s="34"/>
      <c r="K5" s="34"/>
      <c r="L5" s="39"/>
    </row>
    <row r="6" spans="2:12">
      <c r="B6" s="34"/>
      <c r="C6" s="34"/>
      <c r="D6" s="35"/>
      <c r="E6" s="36"/>
      <c r="F6" s="37"/>
      <c r="G6" s="34"/>
      <c r="H6" s="34"/>
      <c r="I6" s="34"/>
      <c r="J6" s="34"/>
      <c r="K6" s="34"/>
      <c r="L6" s="39"/>
    </row>
    <row r="7" spans="2:12">
      <c r="B7" s="34"/>
      <c r="C7" s="34"/>
      <c r="D7" s="35"/>
      <c r="E7" s="36"/>
      <c r="F7" s="37"/>
      <c r="G7" s="34"/>
      <c r="H7" s="34"/>
      <c r="I7" s="34"/>
      <c r="J7" s="34"/>
      <c r="K7" s="34"/>
      <c r="L7" s="39"/>
    </row>
    <row r="8" spans="2:12">
      <c r="B8" s="34"/>
      <c r="C8" s="34"/>
      <c r="D8" s="35"/>
      <c r="E8" s="36"/>
      <c r="F8" s="37"/>
      <c r="G8" s="34"/>
      <c r="H8" s="34"/>
      <c r="I8" s="34"/>
      <c r="J8" s="34"/>
      <c r="K8" s="34"/>
      <c r="L8" s="39"/>
    </row>
    <row r="9" spans="2:12">
      <c r="B9" s="34"/>
      <c r="C9" s="34"/>
      <c r="D9" s="35"/>
      <c r="E9" s="36"/>
      <c r="F9" s="37"/>
      <c r="G9" s="34"/>
      <c r="H9" s="34"/>
      <c r="I9" s="34"/>
      <c r="J9" s="34"/>
      <c r="K9" s="34"/>
      <c r="L9" s="39"/>
    </row>
    <row r="10" spans="2:12">
      <c r="B10" s="34"/>
      <c r="C10" s="34"/>
      <c r="D10" s="35"/>
      <c r="E10" s="36"/>
      <c r="F10" s="37"/>
      <c r="G10" s="34"/>
      <c r="H10" s="34"/>
      <c r="I10" s="34"/>
      <c r="J10" s="34"/>
      <c r="K10" s="34"/>
      <c r="L10" s="39"/>
    </row>
    <row r="11" spans="2:12">
      <c r="B11" s="34"/>
      <c r="C11" s="34"/>
      <c r="D11" s="35"/>
      <c r="E11" s="36"/>
      <c r="F11" s="37"/>
      <c r="G11" s="34"/>
      <c r="H11" s="34"/>
      <c r="I11" s="34"/>
      <c r="J11" s="34"/>
      <c r="K11" s="34"/>
      <c r="L11" s="34"/>
    </row>
    <row r="12" spans="2:12">
      <c r="B12" s="34"/>
      <c r="C12" s="34"/>
      <c r="D12" s="35"/>
      <c r="E12" s="36"/>
      <c r="F12" s="37"/>
      <c r="G12" s="34"/>
      <c r="H12" s="34"/>
      <c r="I12" s="34"/>
      <c r="J12" s="34"/>
      <c r="K12" s="34"/>
      <c r="L12" s="34"/>
    </row>
    <row r="13" spans="2:12">
      <c r="B13" s="34"/>
      <c r="C13" s="34"/>
      <c r="D13" s="35"/>
      <c r="E13" s="36"/>
      <c r="F13" s="37"/>
      <c r="G13" s="34"/>
      <c r="H13" s="34"/>
      <c r="I13" s="34"/>
      <c r="J13" s="34"/>
      <c r="K13" s="34"/>
      <c r="L13" s="34"/>
    </row>
    <row r="14" spans="2:12">
      <c r="B14" s="34"/>
      <c r="C14" s="34"/>
      <c r="D14" s="35"/>
      <c r="E14" s="36"/>
      <c r="F14" s="37"/>
      <c r="G14" s="34"/>
      <c r="H14" s="34"/>
      <c r="I14" s="34"/>
      <c r="J14" s="34"/>
      <c r="K14" s="34"/>
      <c r="L14" s="34"/>
    </row>
    <row r="15" spans="2:12">
      <c r="B15" s="34"/>
      <c r="C15" s="34"/>
      <c r="D15" s="35"/>
      <c r="E15" s="36"/>
      <c r="F15" s="37"/>
      <c r="G15" s="34"/>
      <c r="H15" s="34"/>
      <c r="I15" s="34"/>
      <c r="J15" s="34"/>
      <c r="K15" s="34"/>
      <c r="L15" s="34"/>
    </row>
    <row r="16" spans="2:12">
      <c r="B16" s="34"/>
      <c r="C16" s="34"/>
      <c r="D16" s="35"/>
      <c r="E16" s="36"/>
      <c r="F16" s="37"/>
      <c r="G16" s="34"/>
      <c r="H16" s="34"/>
      <c r="I16" s="34"/>
      <c r="J16" s="34"/>
      <c r="K16" s="34"/>
      <c r="L16" s="34"/>
    </row>
    <row r="17" spans="2:12" ht="51">
      <c r="B17" s="14" t="s">
        <v>53</v>
      </c>
      <c r="C17" s="14"/>
      <c r="D17" s="8" t="s">
        <v>54</v>
      </c>
      <c r="E17" s="8" t="s">
        <v>55</v>
      </c>
      <c r="F17" s="8" t="s">
        <v>56</v>
      </c>
      <c r="G17" s="8" t="s">
        <v>57</v>
      </c>
      <c r="H17" s="8" t="s">
        <v>58</v>
      </c>
      <c r="I17" s="8" t="s">
        <v>59</v>
      </c>
      <c r="J17" s="8" t="s">
        <v>60</v>
      </c>
      <c r="K17" s="8" t="s">
        <v>61</v>
      </c>
      <c r="L17" s="34"/>
    </row>
    <row r="18" spans="2:12">
      <c r="B18" s="13" t="str">
        <f>"Y" &amp; C18</f>
        <v>Y0</v>
      </c>
      <c r="C18" s="32">
        <f>VALUE(Sheet1!$A$1-1)</f>
        <v>0</v>
      </c>
      <c r="D18" s="10">
        <f>SUM(D45:D52)</f>
        <v>0</v>
      </c>
      <c r="E18" s="10">
        <v>65</v>
      </c>
      <c r="F18" s="42">
        <f>IFERROR(D18/E18,0)</f>
        <v>0</v>
      </c>
      <c r="G18" s="43">
        <f>IFERROR(D18/SUMIF(Sheet1!$E$7:$E$4000,C18,Sheet1!$X$7:$X$4000),0)</f>
        <v>0</v>
      </c>
      <c r="H18" s="43">
        <f>IFERROR(G18*(SUMIF(Sheet1!$E$7:$E$4000,C18,Sheet1!$Y$7:$Y$4000)/SUMIF(Sheet1!$E$7:$E$4000,C18,Sheet1!$X$7:$X$4000)),0)</f>
        <v>0</v>
      </c>
      <c r="I18" s="101" t="str">
        <f>IFERROR(H18/G18, "")</f>
        <v/>
      </c>
      <c r="J18" s="43">
        <f>IFERROR(G18*(SUMIF(Sheet1!$E$7:$E$4000,C18,Sheet1!$N$7:$N$4000)/SUMIF(Sheet1!$E$7:$E$4000,C18,Sheet1!$X$7:$X$4000)),0)</f>
        <v>0</v>
      </c>
      <c r="K18" s="101" t="str">
        <f>IFERROR(J18/G18, "")</f>
        <v/>
      </c>
      <c r="L18" s="34"/>
    </row>
    <row r="19" spans="2:12">
      <c r="B19" s="13" t="str">
        <f t="shared" ref="B19:B20" si="0">"Y" &amp; C19</f>
        <v>Y1</v>
      </c>
      <c r="C19" s="32">
        <f>VALUE(Sheet1!$A$1)</f>
        <v>1</v>
      </c>
      <c r="D19" s="10">
        <f>SUM(D53:D64)</f>
        <v>0</v>
      </c>
      <c r="E19" s="10">
        <f>IFERROR(VLOOKUP('Sales per employees'!C19,Sheet1!$E$7:$W$4000,19,0),0)</f>
        <v>0</v>
      </c>
      <c r="F19" s="42">
        <f>IFERROR(D19/E19,0)</f>
        <v>0</v>
      </c>
      <c r="G19" s="43">
        <f>IFERROR(D19/SUMIF(Sheet1!$E$7:$E$4000,C19,Sheet1!$X$7:$X$4000),0)</f>
        <v>0</v>
      </c>
      <c r="H19" s="43">
        <f>IFERROR(G19*(SUMIF(Sheet1!$E$7:$E$4000,C19,Sheet1!$Y$7:$Y$4000)/SUMIF(Sheet1!$E$7:$E$4000,C19,Sheet1!$X$7:$X$4000)),0)</f>
        <v>0</v>
      </c>
      <c r="I19" s="101" t="str">
        <f t="shared" ref="I19:I20" si="1">IFERROR(H19/G19, "")</f>
        <v/>
      </c>
      <c r="J19" s="43">
        <f>IFERROR(G19*(SUMIF(Sheet1!$E$7:$E$4000,C19,Sheet1!$N$7:$N$4000)/SUMIF(Sheet1!$E$7:$E$4000,C19,Sheet1!$X$7:$X$4000)),0)</f>
        <v>0</v>
      </c>
      <c r="K19" s="101" t="str">
        <f t="shared" ref="K19:K20" si="2">IFERROR(J19/G19, "")</f>
        <v/>
      </c>
      <c r="L19" s="34"/>
    </row>
    <row r="20" spans="2:12">
      <c r="B20" s="13" t="str">
        <f t="shared" si="0"/>
        <v>Y2</v>
      </c>
      <c r="C20" s="32">
        <f>VALUE(Sheet1!$A$1+1)</f>
        <v>2</v>
      </c>
      <c r="D20" s="7">
        <f>SUM(D65:D76)</f>
        <v>0</v>
      </c>
      <c r="E20" s="10">
        <f>IFERROR(VLOOKUP('Sales per employees'!C20,Sheet1!$E$7:$W$4000,19,0),0)</f>
        <v>0</v>
      </c>
      <c r="F20" s="42">
        <f>IFERROR(D20/E20,0)</f>
        <v>0</v>
      </c>
      <c r="G20" s="43">
        <f>IFERROR(D20/SUMIF(Sheet1!$E$7:$E$4000,C20,Sheet1!$X$7:$X$4000),0)</f>
        <v>0</v>
      </c>
      <c r="H20" s="43">
        <f>IFERROR(G20*(SUMIF(Sheet1!$E$7:$E$4000,C20,Sheet1!$Y$7:$Y$4000)/SUMIF(Sheet1!$E$7:$E$4000,C20,Sheet1!$X$7:$X$4000)),0)</f>
        <v>0</v>
      </c>
      <c r="I20" s="101" t="str">
        <f t="shared" si="1"/>
        <v/>
      </c>
      <c r="J20" s="43">
        <f>IFERROR(G20*(SUMIF(Sheet1!$E$7:$E$4000,C20,Sheet1!$N$7:$N$4000)/SUMIF(Sheet1!$E$7:$E$4000,C20,Sheet1!$X$7:$X$4000)),0)</f>
        <v>0</v>
      </c>
      <c r="K20" s="101" t="str">
        <f t="shared" si="2"/>
        <v/>
      </c>
      <c r="L20" s="34"/>
    </row>
    <row r="21" spans="2:12">
      <c r="B21" s="13"/>
      <c r="C21" s="13"/>
      <c r="D21" s="45"/>
      <c r="E21" s="45"/>
      <c r="F21" s="45"/>
      <c r="G21" s="43"/>
      <c r="H21" s="43"/>
      <c r="I21" s="44"/>
      <c r="J21" s="43"/>
      <c r="K21" s="44"/>
      <c r="L21" s="34"/>
    </row>
    <row r="22" spans="2:12">
      <c r="B22" s="13"/>
      <c r="C22" s="13"/>
      <c r="D22" s="45"/>
      <c r="E22" s="45"/>
      <c r="F22" s="45"/>
      <c r="G22" s="43"/>
      <c r="H22" s="43"/>
      <c r="I22" s="44"/>
      <c r="J22" s="43"/>
      <c r="K22" s="44"/>
      <c r="L22" s="34"/>
    </row>
    <row r="23" spans="2:12">
      <c r="B23" s="34"/>
      <c r="C23" s="34"/>
      <c r="D23" s="35"/>
      <c r="E23" s="36"/>
      <c r="F23" s="37"/>
      <c r="G23" s="34"/>
      <c r="H23" s="34"/>
      <c r="I23" s="34"/>
      <c r="J23" s="34"/>
      <c r="K23" s="34"/>
      <c r="L23" s="34"/>
    </row>
    <row r="24" spans="2:12">
      <c r="B24" s="34"/>
      <c r="C24" s="34"/>
      <c r="D24" s="35"/>
      <c r="E24" s="36"/>
      <c r="F24" s="37"/>
      <c r="G24" s="34"/>
      <c r="H24" s="34"/>
      <c r="I24" s="34"/>
      <c r="J24" s="34"/>
      <c r="K24" s="34"/>
      <c r="L24" s="34"/>
    </row>
    <row r="25" spans="2:12">
      <c r="B25" s="34"/>
      <c r="C25" s="34"/>
      <c r="D25" s="35"/>
      <c r="E25" s="36"/>
      <c r="F25" s="37"/>
      <c r="G25" s="34"/>
      <c r="H25" s="34"/>
      <c r="I25" s="34"/>
      <c r="J25" s="34"/>
      <c r="K25" s="34"/>
      <c r="L25" s="34"/>
    </row>
    <row r="26" spans="2:12">
      <c r="B26" s="40" t="s">
        <v>62</v>
      </c>
      <c r="C26" s="40"/>
      <c r="D26" s="41"/>
      <c r="E26" s="41"/>
      <c r="F26" s="41"/>
      <c r="G26" s="41"/>
      <c r="H26" s="41"/>
      <c r="I26" s="41"/>
      <c r="J26" s="41"/>
      <c r="K26" s="41"/>
      <c r="L26" s="39"/>
    </row>
    <row r="27" spans="2:12">
      <c r="B27" s="34"/>
      <c r="C27" s="34"/>
      <c r="D27" s="35"/>
      <c r="E27" s="36"/>
      <c r="F27" s="37"/>
      <c r="G27" s="34"/>
      <c r="H27" s="34"/>
      <c r="I27" s="34"/>
      <c r="J27" s="34"/>
      <c r="K27" s="34"/>
      <c r="L27" s="34"/>
    </row>
    <row r="28" spans="2:12">
      <c r="B28" s="34"/>
      <c r="C28" s="34"/>
      <c r="D28" s="35"/>
      <c r="E28" s="36"/>
      <c r="F28" s="37"/>
      <c r="G28" s="34"/>
      <c r="H28" s="34"/>
      <c r="I28" s="34"/>
      <c r="J28" s="34"/>
      <c r="K28" s="34"/>
      <c r="L28" s="34"/>
    </row>
    <row r="29" spans="2:12">
      <c r="B29" s="34"/>
      <c r="C29" s="34"/>
      <c r="D29" s="35"/>
      <c r="E29" s="36"/>
      <c r="F29" s="37"/>
      <c r="G29" s="34"/>
      <c r="H29" s="34"/>
      <c r="I29" s="34"/>
      <c r="J29" s="34"/>
      <c r="K29" s="34"/>
      <c r="L29" s="34"/>
    </row>
    <row r="30" spans="2:12">
      <c r="B30" s="34"/>
      <c r="C30" s="34"/>
      <c r="D30" s="35"/>
      <c r="E30" s="36"/>
      <c r="F30" s="37"/>
      <c r="G30" s="34"/>
      <c r="H30" s="34"/>
      <c r="I30" s="34"/>
      <c r="J30" s="34"/>
      <c r="K30" s="34"/>
      <c r="L30" s="34"/>
    </row>
    <row r="31" spans="2:12">
      <c r="B31" s="34"/>
      <c r="C31" s="34"/>
      <c r="D31" s="35"/>
      <c r="E31" s="36"/>
      <c r="F31" s="37"/>
      <c r="G31" s="34"/>
      <c r="H31" s="34"/>
      <c r="I31" s="34"/>
      <c r="J31" s="34"/>
      <c r="K31" s="34"/>
      <c r="L31" s="34"/>
    </row>
    <row r="32" spans="2:12">
      <c r="B32" s="34"/>
      <c r="C32" s="34"/>
      <c r="D32" s="35"/>
      <c r="E32" s="36"/>
      <c r="F32" s="37"/>
      <c r="G32" s="34"/>
      <c r="H32" s="34"/>
      <c r="I32" s="34"/>
      <c r="J32" s="34"/>
      <c r="K32" s="34"/>
      <c r="L32" s="34"/>
    </row>
    <row r="33" spans="2:14">
      <c r="B33" s="34"/>
      <c r="C33" s="34"/>
      <c r="D33" s="35"/>
      <c r="E33" s="36"/>
      <c r="F33" s="37"/>
      <c r="G33" s="34"/>
      <c r="H33" s="34"/>
      <c r="I33" s="34"/>
      <c r="J33" s="34"/>
      <c r="K33" s="34"/>
      <c r="L33" s="34"/>
    </row>
    <row r="34" spans="2:14">
      <c r="B34" s="34"/>
      <c r="C34" s="34"/>
      <c r="D34" s="35"/>
      <c r="E34" s="36"/>
      <c r="F34" s="37"/>
      <c r="G34" s="34"/>
      <c r="H34" s="34"/>
      <c r="I34" s="34"/>
      <c r="J34" s="34"/>
      <c r="K34" s="34"/>
      <c r="L34" s="34"/>
    </row>
    <row r="35" spans="2:14">
      <c r="B35" s="34"/>
      <c r="C35" s="34"/>
      <c r="D35" s="35"/>
      <c r="E35" s="36"/>
      <c r="F35" s="37"/>
      <c r="G35" s="34"/>
      <c r="H35" s="34"/>
      <c r="I35" s="34"/>
      <c r="J35" s="34"/>
      <c r="K35" s="34"/>
      <c r="L35" s="34"/>
    </row>
    <row r="36" spans="2:14">
      <c r="B36" s="34"/>
      <c r="C36" s="34"/>
      <c r="D36" s="35"/>
      <c r="E36" s="36"/>
      <c r="F36" s="37"/>
      <c r="G36" s="34"/>
      <c r="H36" s="34"/>
      <c r="I36" s="34"/>
      <c r="J36" s="34"/>
      <c r="K36" s="34"/>
      <c r="L36" s="34"/>
    </row>
    <row r="37" spans="2:14">
      <c r="B37" s="34"/>
      <c r="C37" s="34"/>
      <c r="D37" s="35"/>
      <c r="E37" s="36"/>
      <c r="F37" s="37"/>
      <c r="G37" s="34"/>
      <c r="H37" s="34"/>
      <c r="I37" s="34"/>
      <c r="J37" s="34"/>
      <c r="K37" s="34"/>
      <c r="L37" s="34"/>
    </row>
    <row r="38" spans="2:14">
      <c r="B38" s="34"/>
      <c r="C38" s="34"/>
      <c r="D38" s="35"/>
      <c r="E38" s="36"/>
      <c r="F38" s="37"/>
      <c r="G38" s="34"/>
      <c r="H38" s="34"/>
      <c r="I38" s="34"/>
      <c r="J38" s="34"/>
      <c r="K38" s="34"/>
      <c r="L38" s="34"/>
    </row>
    <row r="39" spans="2:14">
      <c r="B39" s="34"/>
      <c r="C39" s="34"/>
      <c r="D39" s="35"/>
      <c r="E39" s="36"/>
      <c r="F39" s="37"/>
      <c r="G39" s="34"/>
      <c r="H39" s="34"/>
      <c r="I39" s="34"/>
      <c r="J39" s="34"/>
      <c r="K39" s="34"/>
      <c r="L39" s="34"/>
    </row>
    <row r="40" spans="2:14">
      <c r="B40" s="34"/>
      <c r="C40" s="34"/>
      <c r="D40" s="35"/>
      <c r="E40" s="36"/>
      <c r="F40" s="37"/>
      <c r="G40" s="34"/>
      <c r="H40" s="34"/>
      <c r="I40" s="34"/>
      <c r="J40" s="34"/>
      <c r="K40" s="34"/>
      <c r="L40" s="34"/>
    </row>
    <row r="41" spans="2:14">
      <c r="B41" s="34"/>
      <c r="C41" s="34"/>
      <c r="D41" s="35"/>
      <c r="E41" s="36"/>
      <c r="F41" s="37"/>
      <c r="G41" s="34"/>
      <c r="H41" s="34"/>
      <c r="I41" s="34"/>
      <c r="J41" s="34"/>
      <c r="K41" s="34"/>
      <c r="L41" s="34"/>
    </row>
    <row r="42" spans="2:14">
      <c r="B42" s="34"/>
      <c r="C42" s="34"/>
      <c r="D42" s="35"/>
      <c r="E42" s="36"/>
      <c r="F42" s="37"/>
      <c r="G42" s="34"/>
      <c r="H42" s="34"/>
      <c r="I42" s="34"/>
      <c r="J42" s="34"/>
      <c r="K42" s="34"/>
      <c r="L42" s="34"/>
    </row>
    <row r="43" spans="2:14">
      <c r="B43" s="34"/>
      <c r="C43" s="34"/>
      <c r="D43" s="35"/>
      <c r="E43" s="36"/>
      <c r="F43" s="37"/>
      <c r="G43" s="34"/>
      <c r="H43" s="34"/>
      <c r="I43" s="34"/>
      <c r="J43" s="34"/>
      <c r="K43" s="34"/>
      <c r="L43" s="34"/>
    </row>
    <row r="44" spans="2:14" ht="51">
      <c r="B44" s="14" t="s">
        <v>63</v>
      </c>
      <c r="C44" s="14"/>
      <c r="D44" s="8" t="s">
        <v>64</v>
      </c>
      <c r="E44" s="8" t="s">
        <v>65</v>
      </c>
      <c r="F44" s="8" t="s">
        <v>56</v>
      </c>
      <c r="G44" s="8" t="s">
        <v>57</v>
      </c>
      <c r="H44" s="8" t="s">
        <v>58</v>
      </c>
      <c r="I44" s="8" t="s">
        <v>59</v>
      </c>
      <c r="J44" s="8" t="s">
        <v>60</v>
      </c>
      <c r="K44" s="8" t="s">
        <v>61</v>
      </c>
      <c r="L44" s="34"/>
    </row>
    <row r="45" spans="2:14">
      <c r="B45" s="9">
        <f>DATE(N45,M45,1)</f>
        <v>122</v>
      </c>
      <c r="C45" s="9" t="str">
        <f>TEXT(M45*29,"mmm")&amp; "-" &amp;N45</f>
        <v>May-0</v>
      </c>
      <c r="D45" s="10">
        <f>IFERROR(VLOOKUP(C45,Sheet1!$F$7:$U$4000,16,0),0)</f>
        <v>0</v>
      </c>
      <c r="E45" s="10">
        <f>IFERROR(VLOOKUP(C45,Sheet1!$F$7:$V$4000,17,0),0)</f>
        <v>0</v>
      </c>
      <c r="F45" s="10">
        <f>IFERROR(D45/E45,0)</f>
        <v>0</v>
      </c>
      <c r="G45" s="46">
        <f>IFERROR(D45/SUMIF(Sheet1!$F$7:$F$4000,C45,Sheet1!$X$7:$X$4000),0)</f>
        <v>0</v>
      </c>
      <c r="H45" s="43">
        <f>IFERROR(G45*(SUMIF(Sheet1!$F$7:$F$4000,C45,Sheet1!$Y$7:$Y$4000)/SUMIF(Sheet1!$F$7:$F$4000,C45,Sheet1!$X$7:$X$4000)),0)</f>
        <v>0</v>
      </c>
      <c r="I45" s="44" t="str">
        <f>IFERROR(H45/G45, "")</f>
        <v/>
      </c>
      <c r="J45" s="43">
        <f>IFERROR(G45*(SUMIF(Sheet1!$F$7:$F$4000,C45,Sheet1!$N$7:$N$4000)/SUMIF(Sheet1!$F$7:$F$4000,C45,Sheet1!$X$7:$X$4000)),0)</f>
        <v>0</v>
      </c>
      <c r="K45" s="44" t="str">
        <f>IFERROR(J45/G45, "")</f>
        <v/>
      </c>
      <c r="L45" s="34"/>
      <c r="M45">
        <v>5</v>
      </c>
      <c r="N45">
        <f>Sheet1!$A$1-1</f>
        <v>0</v>
      </c>
    </row>
    <row r="46" spans="2:14">
      <c r="B46" s="9">
        <f t="shared" ref="B46:B76" si="3">DATE(N46,M46,1)</f>
        <v>153</v>
      </c>
      <c r="C46" s="9" t="str">
        <f t="shared" ref="C46:C76" si="4">TEXT(M46*29,"mmm")&amp; "-" &amp;N46</f>
        <v>Jun-0</v>
      </c>
      <c r="D46" s="10">
        <f>IFERROR(VLOOKUP(C46,Sheet1!$F$7:$U$4000,16,0),0)</f>
        <v>0</v>
      </c>
      <c r="E46" s="10">
        <f>IFERROR(VLOOKUP(C46,Sheet1!$F$7:$V$4000,17,0),0)</f>
        <v>0</v>
      </c>
      <c r="F46" s="10">
        <f t="shared" ref="F46:F76" si="5">IFERROR(D46/E46,0)</f>
        <v>0</v>
      </c>
      <c r="G46" s="46">
        <f>IFERROR(D46/SUMIF(Sheet1!$F$7:$F$4000,C46,Sheet1!$X$7:$X$4000),0)</f>
        <v>0</v>
      </c>
      <c r="H46" s="43">
        <f>IFERROR(G46*(SUMIF(Sheet1!$F$7:$F$4000,C46,Sheet1!$Y$7:$Y$4000)/SUMIF(Sheet1!$F$7:$F$4000,C46,Sheet1!$X$7:$X$4000)),0)</f>
        <v>0</v>
      </c>
      <c r="I46" s="44" t="str">
        <f t="shared" ref="I46:I76" si="6">IFERROR(H46/G46, "")</f>
        <v/>
      </c>
      <c r="J46" s="43">
        <f>IFERROR(G46*(SUMIF(Sheet1!$F$7:$F$4000,C46,Sheet1!$N$7:$N$4000)/SUMIF(Sheet1!$F$7:$F$4000,C46,Sheet1!$X$7:$X$4000)),0)</f>
        <v>0</v>
      </c>
      <c r="K46" s="44" t="str">
        <f t="shared" ref="K46:K76" si="7">IFERROR(J46/G46, "")</f>
        <v/>
      </c>
      <c r="L46" s="34"/>
      <c r="M46">
        <v>6</v>
      </c>
      <c r="N46">
        <f>Sheet1!$A$1-1</f>
        <v>0</v>
      </c>
    </row>
    <row r="47" spans="2:14">
      <c r="B47" s="9">
        <f t="shared" si="3"/>
        <v>183</v>
      </c>
      <c r="C47" s="9" t="str">
        <f t="shared" si="4"/>
        <v>Jul-0</v>
      </c>
      <c r="D47" s="10">
        <f>IFERROR(VLOOKUP(C47,Sheet1!$F$7:$U$4000,16,0),0)</f>
        <v>0</v>
      </c>
      <c r="E47" s="10">
        <f>IFERROR(VLOOKUP(C47,Sheet1!$F$7:$V$4000,17,0),0)</f>
        <v>0</v>
      </c>
      <c r="F47" s="10">
        <f t="shared" si="5"/>
        <v>0</v>
      </c>
      <c r="G47" s="46">
        <f>IFERROR(D47/SUMIF(Sheet1!$F$7:$F$4000,C47,Sheet1!$X$7:$X$4000),0)</f>
        <v>0</v>
      </c>
      <c r="H47" s="43">
        <f>IFERROR(G47*(SUMIF(Sheet1!$F$7:$F$4000,C47,Sheet1!$Y$7:$Y$4000)/SUMIF(Sheet1!$F$7:$F$4000,C47,Sheet1!$X$7:$X$4000)),0)</f>
        <v>0</v>
      </c>
      <c r="I47" s="44" t="str">
        <f t="shared" si="6"/>
        <v/>
      </c>
      <c r="J47" s="43">
        <f>IFERROR(G47*(SUMIF(Sheet1!$F$7:$F$4000,C47,Sheet1!$N$7:$N$4000)/SUMIF(Sheet1!$F$7:$F$4000,C47,Sheet1!$X$7:$X$4000)),0)</f>
        <v>0</v>
      </c>
      <c r="K47" s="44" t="str">
        <f t="shared" si="7"/>
        <v/>
      </c>
      <c r="L47" s="34"/>
      <c r="M47">
        <v>7</v>
      </c>
      <c r="N47">
        <f>Sheet1!$A$1-1</f>
        <v>0</v>
      </c>
    </row>
    <row r="48" spans="2:14">
      <c r="B48" s="9">
        <f t="shared" si="3"/>
        <v>214</v>
      </c>
      <c r="C48" s="9" t="str">
        <f t="shared" si="4"/>
        <v>Aug-0</v>
      </c>
      <c r="D48" s="10">
        <f>IFERROR(VLOOKUP(C48,Sheet1!$F$7:$U$4000,16,0),0)</f>
        <v>0</v>
      </c>
      <c r="E48" s="10">
        <f>IFERROR(VLOOKUP(C48,Sheet1!$F$7:$V$4000,17,0),0)</f>
        <v>0</v>
      </c>
      <c r="F48" s="10">
        <f t="shared" si="5"/>
        <v>0</v>
      </c>
      <c r="G48" s="46">
        <f>IFERROR(D48/SUMIF(Sheet1!$F$7:$F$4000,C48,Sheet1!$X$7:$X$4000),0)</f>
        <v>0</v>
      </c>
      <c r="H48" s="43">
        <f>IFERROR(G48*(SUMIF(Sheet1!$F$7:$F$4000,C48,Sheet1!$Y$7:$Y$4000)/SUMIF(Sheet1!$F$7:$F$4000,C48,Sheet1!$X$7:$X$4000)),0)</f>
        <v>0</v>
      </c>
      <c r="I48" s="44" t="str">
        <f t="shared" si="6"/>
        <v/>
      </c>
      <c r="J48" s="43">
        <f>IFERROR(G48*(SUMIF(Sheet1!$F$7:$F$4000,C48,Sheet1!$N$7:$N$4000)/SUMIF(Sheet1!$F$7:$F$4000,C48,Sheet1!$X$7:$X$4000)),0)</f>
        <v>0</v>
      </c>
      <c r="K48" s="44" t="str">
        <f t="shared" si="7"/>
        <v/>
      </c>
      <c r="L48" s="34"/>
      <c r="M48">
        <v>8</v>
      </c>
      <c r="N48">
        <f>Sheet1!$A$1-1</f>
        <v>0</v>
      </c>
    </row>
    <row r="49" spans="2:14">
      <c r="B49" s="9">
        <f t="shared" si="3"/>
        <v>245</v>
      </c>
      <c r="C49" s="9" t="str">
        <f t="shared" si="4"/>
        <v>Sep-0</v>
      </c>
      <c r="D49" s="10">
        <f>IFERROR(VLOOKUP(C49,Sheet1!$F$7:$U$4000,16,0),0)</f>
        <v>0</v>
      </c>
      <c r="E49" s="10">
        <f>IFERROR(VLOOKUP(C49,Sheet1!$F$7:$V$4000,17,0),0)</f>
        <v>0</v>
      </c>
      <c r="F49" s="10">
        <f t="shared" si="5"/>
        <v>0</v>
      </c>
      <c r="G49" s="46">
        <f>IFERROR(D49/SUMIF(Sheet1!$F$7:$F$4000,C49,Sheet1!$X$7:$X$4000),0)</f>
        <v>0</v>
      </c>
      <c r="H49" s="43">
        <f>IFERROR(G49*(SUMIF(Sheet1!$F$7:$F$4000,C49,Sheet1!$Y$7:$Y$4000)/SUMIF(Sheet1!$F$7:$F$4000,C49,Sheet1!$X$7:$X$4000)),0)</f>
        <v>0</v>
      </c>
      <c r="I49" s="44" t="str">
        <f t="shared" si="6"/>
        <v/>
      </c>
      <c r="J49" s="43">
        <f>IFERROR(G49*(SUMIF(Sheet1!$F$7:$F$4000,C49,Sheet1!$N$7:$N$4000)/SUMIF(Sheet1!$F$7:$F$4000,C49,Sheet1!$X$7:$X$4000)),0)</f>
        <v>0</v>
      </c>
      <c r="K49" s="44" t="str">
        <f t="shared" si="7"/>
        <v/>
      </c>
      <c r="L49" s="34"/>
      <c r="M49">
        <v>9</v>
      </c>
      <c r="N49">
        <f>Sheet1!$A$1-1</f>
        <v>0</v>
      </c>
    </row>
    <row r="50" spans="2:14">
      <c r="B50" s="9">
        <f t="shared" si="3"/>
        <v>275</v>
      </c>
      <c r="C50" s="9" t="str">
        <f t="shared" si="4"/>
        <v>Oct-0</v>
      </c>
      <c r="D50" s="10">
        <f>IFERROR(VLOOKUP(C50,Sheet1!$F$7:$U$4000,16,0),0)</f>
        <v>0</v>
      </c>
      <c r="E50" s="10">
        <f>IFERROR(VLOOKUP(C50,Sheet1!$F$7:$V$4000,17,0),0)</f>
        <v>0</v>
      </c>
      <c r="F50" s="10">
        <f t="shared" si="5"/>
        <v>0</v>
      </c>
      <c r="G50" s="46">
        <f>IFERROR(D50/SUMIF(Sheet1!$F$7:$F$4000,C50,Sheet1!$X$7:$X$4000),0)</f>
        <v>0</v>
      </c>
      <c r="H50" s="43">
        <f>IFERROR(G50*(SUMIF(Sheet1!$F$7:$F$4000,C50,Sheet1!$Y$7:$Y$4000)/SUMIF(Sheet1!$F$7:$F$4000,C50,Sheet1!$X$7:$X$4000)),0)</f>
        <v>0</v>
      </c>
      <c r="I50" s="44" t="str">
        <f t="shared" si="6"/>
        <v/>
      </c>
      <c r="J50" s="43">
        <f>IFERROR(G50*(SUMIF(Sheet1!$F$7:$F$4000,C50,Sheet1!$N$7:$N$4000)/SUMIF(Sheet1!$F$7:$F$4000,C50,Sheet1!$X$7:$X$4000)),0)</f>
        <v>0</v>
      </c>
      <c r="K50" s="44" t="str">
        <f t="shared" si="7"/>
        <v/>
      </c>
      <c r="L50" s="34"/>
      <c r="M50">
        <v>10</v>
      </c>
      <c r="N50">
        <f>Sheet1!$A$1-1</f>
        <v>0</v>
      </c>
    </row>
    <row r="51" spans="2:14">
      <c r="B51" s="9">
        <f t="shared" si="3"/>
        <v>306</v>
      </c>
      <c r="C51" s="9" t="str">
        <f t="shared" si="4"/>
        <v>Nov-0</v>
      </c>
      <c r="D51" s="10">
        <f>IFERROR(VLOOKUP(C51,Sheet1!$F$7:$U$4000,16,0),0)</f>
        <v>0</v>
      </c>
      <c r="E51" s="10">
        <f>IFERROR(VLOOKUP(C51,Sheet1!$F$7:$V$4000,17,0),0)</f>
        <v>0</v>
      </c>
      <c r="F51" s="10">
        <f t="shared" si="5"/>
        <v>0</v>
      </c>
      <c r="G51" s="46">
        <f>IFERROR(D51/SUMIF(Sheet1!$F$7:$F$4000,C51,Sheet1!$X$7:$X$4000),0)</f>
        <v>0</v>
      </c>
      <c r="H51" s="43">
        <f>IFERROR(G51*(SUMIF(Sheet1!$F$7:$F$4000,C51,Sheet1!$Y$7:$Y$4000)/SUMIF(Sheet1!$F$7:$F$4000,C51,Sheet1!$X$7:$X$4000)),0)</f>
        <v>0</v>
      </c>
      <c r="I51" s="44" t="str">
        <f t="shared" si="6"/>
        <v/>
      </c>
      <c r="J51" s="43">
        <f>IFERROR(G51*(SUMIF(Sheet1!$F$7:$F$4000,C51,Sheet1!$N$7:$N$4000)/SUMIF(Sheet1!$F$7:$F$4000,C51,Sheet1!$X$7:$X$4000)),0)</f>
        <v>0</v>
      </c>
      <c r="K51" s="44" t="str">
        <f t="shared" si="7"/>
        <v/>
      </c>
      <c r="L51" s="34"/>
      <c r="M51">
        <v>11</v>
      </c>
      <c r="N51">
        <f>Sheet1!$A$1-1</f>
        <v>0</v>
      </c>
    </row>
    <row r="52" spans="2:14">
      <c r="B52" s="9">
        <f t="shared" si="3"/>
        <v>336</v>
      </c>
      <c r="C52" s="9" t="str">
        <f t="shared" si="4"/>
        <v>Dec-0</v>
      </c>
      <c r="D52" s="10">
        <f>IFERROR(VLOOKUP(C52,Sheet1!$F$7:$U$4000,16,0),0)</f>
        <v>0</v>
      </c>
      <c r="E52" s="10">
        <f>IFERROR(VLOOKUP(C52,Sheet1!$F$7:$V$4000,17,0),0)</f>
        <v>0</v>
      </c>
      <c r="F52" s="10">
        <f t="shared" si="5"/>
        <v>0</v>
      </c>
      <c r="G52" s="46">
        <f>IFERROR(D52/SUMIF(Sheet1!$F$7:$F$4000,C52,Sheet1!$X$7:$X$4000),0)</f>
        <v>0</v>
      </c>
      <c r="H52" s="43">
        <f>IFERROR(G52*(SUMIF(Sheet1!$F$7:$F$4000,C52,Sheet1!$Y$7:$Y$4000)/SUMIF(Sheet1!$F$7:$F$4000,C52,Sheet1!$X$7:$X$4000)),0)</f>
        <v>0</v>
      </c>
      <c r="I52" s="44" t="str">
        <f t="shared" si="6"/>
        <v/>
      </c>
      <c r="J52" s="43">
        <f>IFERROR(G52*(SUMIF(Sheet1!$F$7:$F$4000,C52,Sheet1!$N$7:$N$4000)/SUMIF(Sheet1!$F$7:$F$4000,C52,Sheet1!$X$7:$X$4000)),0)</f>
        <v>0</v>
      </c>
      <c r="K52" s="44" t="str">
        <f t="shared" si="7"/>
        <v/>
      </c>
      <c r="L52" s="34"/>
      <c r="M52">
        <v>12</v>
      </c>
      <c r="N52">
        <f>Sheet1!$A$1-1</f>
        <v>0</v>
      </c>
    </row>
    <row r="53" spans="2:14">
      <c r="B53" s="9">
        <f t="shared" si="3"/>
        <v>367</v>
      </c>
      <c r="C53" s="9" t="str">
        <f t="shared" si="4"/>
        <v>Jan-1</v>
      </c>
      <c r="D53" s="10">
        <f>IFERROR(VLOOKUP(C53,Sheet1!$F$7:$U$4000,16,0),0)</f>
        <v>0</v>
      </c>
      <c r="E53" s="10">
        <f>IFERROR(VLOOKUP(C53,Sheet1!$F$7:$V$4000,17,0),0)</f>
        <v>0</v>
      </c>
      <c r="F53" s="10">
        <f t="shared" si="5"/>
        <v>0</v>
      </c>
      <c r="G53" s="46">
        <f>IFERROR(D53/SUMIF(Sheet1!$F$7:$F$4000,C53,Sheet1!$X$7:$X$4000),0)</f>
        <v>0</v>
      </c>
      <c r="H53" s="43">
        <f>IFERROR(G53*(SUMIF(Sheet1!$F$7:$F$4000,C53,Sheet1!$Y$7:$Y$4000)/SUMIF(Sheet1!$F$7:$F$4000,C53,Sheet1!$X$7:$X$4000)),0)</f>
        <v>0</v>
      </c>
      <c r="I53" s="44" t="str">
        <f t="shared" si="6"/>
        <v/>
      </c>
      <c r="J53" s="43">
        <f>IFERROR(G53*(SUMIF(Sheet1!$F$7:$F$4000,C53,Sheet1!$N$7:$N$4000)/SUMIF(Sheet1!$F$7:$F$4000,C53,Sheet1!$X$7:$X$4000)),0)</f>
        <v>0</v>
      </c>
      <c r="K53" s="44" t="str">
        <f t="shared" si="7"/>
        <v/>
      </c>
      <c r="L53" s="34"/>
      <c r="M53">
        <v>1</v>
      </c>
      <c r="N53">
        <f>Sheet1!$A$1</f>
        <v>1</v>
      </c>
    </row>
    <row r="54" spans="2:14">
      <c r="B54" s="9">
        <f t="shared" si="3"/>
        <v>398</v>
      </c>
      <c r="C54" s="9" t="str">
        <f t="shared" si="4"/>
        <v>Feb-1</v>
      </c>
      <c r="D54" s="10">
        <f>IFERROR(VLOOKUP(C54,Sheet1!$F$7:$U$4000,16,0),0)</f>
        <v>0</v>
      </c>
      <c r="E54" s="10">
        <f>IFERROR(VLOOKUP(C54,Sheet1!$F$7:$V$4000,17,0),0)</f>
        <v>0</v>
      </c>
      <c r="F54" s="10">
        <f t="shared" si="5"/>
        <v>0</v>
      </c>
      <c r="G54" s="46">
        <f>IFERROR(D54/SUMIF(Sheet1!$F$7:$F$4000,C54,Sheet1!$X$7:$X$4000),0)</f>
        <v>0</v>
      </c>
      <c r="H54" s="43">
        <f>IFERROR(G54*(SUMIF(Sheet1!$F$7:$F$4000,C54,Sheet1!$Y$7:$Y$4000)/SUMIF(Sheet1!$F$7:$F$4000,C54,Sheet1!$X$7:$X$4000)),0)</f>
        <v>0</v>
      </c>
      <c r="I54" s="44" t="str">
        <f t="shared" si="6"/>
        <v/>
      </c>
      <c r="J54" s="43">
        <f>IFERROR(G54*(SUMIF(Sheet1!$F$7:$F$4000,C54,Sheet1!$N$7:$N$4000)/SUMIF(Sheet1!$F$7:$F$4000,C54,Sheet1!$X$7:$X$4000)),0)</f>
        <v>0</v>
      </c>
      <c r="K54" s="44" t="str">
        <f t="shared" si="7"/>
        <v/>
      </c>
      <c r="L54" s="34"/>
      <c r="M54">
        <v>2</v>
      </c>
      <c r="N54">
        <f>Sheet1!$A$1</f>
        <v>1</v>
      </c>
    </row>
    <row r="55" spans="2:14">
      <c r="B55" s="9">
        <f t="shared" si="3"/>
        <v>426</v>
      </c>
      <c r="C55" s="9" t="str">
        <f t="shared" si="4"/>
        <v>Mar-1</v>
      </c>
      <c r="D55" s="10">
        <f>IFERROR(VLOOKUP(C55,Sheet1!$F$7:$U$4000,16,0),0)</f>
        <v>0</v>
      </c>
      <c r="E55" s="10">
        <f>IFERROR(VLOOKUP(C55,Sheet1!$F$7:$V$4000,17,0),0)</f>
        <v>0</v>
      </c>
      <c r="F55" s="10">
        <f t="shared" si="5"/>
        <v>0</v>
      </c>
      <c r="G55" s="46">
        <f>IFERROR(D55/SUMIF(Sheet1!$F$7:$F$4000,C55,Sheet1!$X$7:$X$4000),0)</f>
        <v>0</v>
      </c>
      <c r="H55" s="43">
        <f>IFERROR(G55*(SUMIF(Sheet1!$F$7:$F$4000,C55,Sheet1!$Y$7:$Y$4000)/SUMIF(Sheet1!$F$7:$F$4000,C55,Sheet1!$X$7:$X$4000)),0)</f>
        <v>0</v>
      </c>
      <c r="I55" s="44" t="str">
        <f t="shared" si="6"/>
        <v/>
      </c>
      <c r="J55" s="43">
        <f>IFERROR(G55*(SUMIF(Sheet1!$F$7:$F$4000,C55,Sheet1!$N$7:$N$4000)/SUMIF(Sheet1!$F$7:$F$4000,C55,Sheet1!$X$7:$X$4000)),0)</f>
        <v>0</v>
      </c>
      <c r="K55" s="44" t="str">
        <f t="shared" si="7"/>
        <v/>
      </c>
      <c r="L55" s="34"/>
      <c r="M55">
        <v>3</v>
      </c>
      <c r="N55">
        <f>Sheet1!$A$1</f>
        <v>1</v>
      </c>
    </row>
    <row r="56" spans="2:14">
      <c r="B56" s="9">
        <f t="shared" si="3"/>
        <v>457</v>
      </c>
      <c r="C56" s="9" t="str">
        <f t="shared" si="4"/>
        <v>Apr-1</v>
      </c>
      <c r="D56" s="10">
        <f>IFERROR(VLOOKUP(C56,Sheet1!$F$7:$U$4000,16,0),0)</f>
        <v>0</v>
      </c>
      <c r="E56" s="10">
        <f>IFERROR(VLOOKUP(C56,Sheet1!$F$7:$V$4000,17,0),0)</f>
        <v>0</v>
      </c>
      <c r="F56" s="10">
        <f t="shared" si="5"/>
        <v>0</v>
      </c>
      <c r="G56" s="46">
        <f>IFERROR(D56/SUMIF(Sheet1!$F$7:$F$4000,C56,Sheet1!$X$7:$X$4000),0)</f>
        <v>0</v>
      </c>
      <c r="H56" s="43">
        <f>IFERROR(G56*(SUMIF(Sheet1!$F$7:$F$4000,C56,Sheet1!$Y$7:$Y$4000)/SUMIF(Sheet1!$F$7:$F$4000,C56,Sheet1!$X$7:$X$4000)),0)</f>
        <v>0</v>
      </c>
      <c r="I56" s="44" t="str">
        <f t="shared" si="6"/>
        <v/>
      </c>
      <c r="J56" s="43">
        <f>IFERROR(G56*(SUMIF(Sheet1!$F$7:$F$4000,C56,Sheet1!$N$7:$N$4000)/SUMIF(Sheet1!$F$7:$F$4000,C56,Sheet1!$X$7:$X$4000)),0)</f>
        <v>0</v>
      </c>
      <c r="K56" s="44" t="str">
        <f t="shared" si="7"/>
        <v/>
      </c>
      <c r="L56" s="34"/>
      <c r="M56">
        <v>4</v>
      </c>
      <c r="N56">
        <f>Sheet1!$A$1</f>
        <v>1</v>
      </c>
    </row>
    <row r="57" spans="2:14">
      <c r="B57" s="9">
        <f t="shared" si="3"/>
        <v>487</v>
      </c>
      <c r="C57" s="9" t="str">
        <f t="shared" si="4"/>
        <v>May-1</v>
      </c>
      <c r="D57" s="10">
        <f>IFERROR(VLOOKUP(C57,Sheet1!$F$7:$U$4000,16,0),0)</f>
        <v>0</v>
      </c>
      <c r="E57" s="10">
        <f>IFERROR(VLOOKUP(C57,Sheet1!$F$7:$V$4000,17,0),0)</f>
        <v>0</v>
      </c>
      <c r="F57" s="10">
        <f t="shared" si="5"/>
        <v>0</v>
      </c>
      <c r="G57" s="46">
        <f>IFERROR(D57/SUMIF(Sheet1!$F$7:$F$4000,C57,Sheet1!$X$7:$X$4000),0)</f>
        <v>0</v>
      </c>
      <c r="H57" s="43">
        <f>IFERROR(G57*(SUMIF(Sheet1!$F$7:$F$4000,C57,Sheet1!$Y$7:$Y$4000)/SUMIF(Sheet1!$F$7:$F$4000,C57,Sheet1!$X$7:$X$4000)),0)</f>
        <v>0</v>
      </c>
      <c r="I57" s="44" t="str">
        <f t="shared" si="6"/>
        <v/>
      </c>
      <c r="J57" s="43">
        <f>IFERROR(G57*(SUMIF(Sheet1!$F$7:$F$4000,C57,Sheet1!$N$7:$N$4000)/SUMIF(Sheet1!$F$7:$F$4000,C57,Sheet1!$X$7:$X$4000)),0)</f>
        <v>0</v>
      </c>
      <c r="K57" s="44" t="str">
        <f t="shared" si="7"/>
        <v/>
      </c>
      <c r="L57" s="34"/>
      <c r="M57">
        <v>5</v>
      </c>
      <c r="N57">
        <f>Sheet1!$A$1</f>
        <v>1</v>
      </c>
    </row>
    <row r="58" spans="2:14">
      <c r="B58" s="9">
        <f t="shared" si="3"/>
        <v>518</v>
      </c>
      <c r="C58" s="9" t="str">
        <f t="shared" si="4"/>
        <v>Jun-1</v>
      </c>
      <c r="D58" s="10">
        <f>IFERROR(VLOOKUP(C58,Sheet1!$F$7:$U$4000,16,0),0)</f>
        <v>0</v>
      </c>
      <c r="E58" s="10">
        <f>IFERROR(VLOOKUP(C58,Sheet1!$F$7:$V$4000,17,0),0)</f>
        <v>0</v>
      </c>
      <c r="F58" s="10">
        <f t="shared" si="5"/>
        <v>0</v>
      </c>
      <c r="G58" s="46">
        <f>IFERROR(D58/SUMIF(Sheet1!$F$7:$F$4000,C58,Sheet1!$X$7:$X$4000),0)</f>
        <v>0</v>
      </c>
      <c r="H58" s="43">
        <f>IFERROR(G58*(SUMIF(Sheet1!$F$7:$F$4000,C58,Sheet1!$Y$7:$Y$4000)/SUMIF(Sheet1!$F$7:$F$4000,C58,Sheet1!$X$7:$X$4000)),0)</f>
        <v>0</v>
      </c>
      <c r="I58" s="44" t="str">
        <f t="shared" si="6"/>
        <v/>
      </c>
      <c r="J58" s="43">
        <f>IFERROR(G58*(SUMIF(Sheet1!$F$7:$F$4000,C58,Sheet1!$N$7:$N$4000)/SUMIF(Sheet1!$F$7:$F$4000,C58,Sheet1!$X$7:$X$4000)),0)</f>
        <v>0</v>
      </c>
      <c r="K58" s="44" t="str">
        <f t="shared" si="7"/>
        <v/>
      </c>
      <c r="L58" s="34"/>
      <c r="M58">
        <v>6</v>
      </c>
      <c r="N58">
        <f>Sheet1!$A$1</f>
        <v>1</v>
      </c>
    </row>
    <row r="59" spans="2:14">
      <c r="B59" s="9">
        <f t="shared" si="3"/>
        <v>548</v>
      </c>
      <c r="C59" s="9" t="str">
        <f t="shared" si="4"/>
        <v>Jul-1</v>
      </c>
      <c r="D59" s="10">
        <f>IFERROR(VLOOKUP(C59,Sheet1!$F$7:$U$4000,16,0),0)</f>
        <v>0</v>
      </c>
      <c r="E59" s="10">
        <f>IFERROR(VLOOKUP(C59,Sheet1!$F$7:$V$4000,17,0),0)</f>
        <v>0</v>
      </c>
      <c r="F59" s="10">
        <f t="shared" si="5"/>
        <v>0</v>
      </c>
      <c r="G59" s="46">
        <f>IFERROR(D59/SUMIF(Sheet1!$F$7:$F$4000,C59,Sheet1!$X$7:$X$4000),0)</f>
        <v>0</v>
      </c>
      <c r="H59" s="43">
        <f>IFERROR(G59*(SUMIF(Sheet1!$F$7:$F$4000,C59,Sheet1!$Y$7:$Y$4000)/SUMIF(Sheet1!$F$7:$F$4000,C59,Sheet1!$X$7:$X$4000)),0)</f>
        <v>0</v>
      </c>
      <c r="I59" s="44" t="str">
        <f t="shared" si="6"/>
        <v/>
      </c>
      <c r="J59" s="43">
        <f>IFERROR(G59*(SUMIF(Sheet1!$F$7:$F$4000,C59,Sheet1!$N$7:$N$4000)/SUMIF(Sheet1!$F$7:$F$4000,C59,Sheet1!$X$7:$X$4000)),0)</f>
        <v>0</v>
      </c>
      <c r="K59" s="44" t="str">
        <f t="shared" si="7"/>
        <v/>
      </c>
      <c r="L59" s="34"/>
      <c r="M59">
        <v>7</v>
      </c>
      <c r="N59">
        <f>Sheet1!$A$1</f>
        <v>1</v>
      </c>
    </row>
    <row r="60" spans="2:14">
      <c r="B60" s="9">
        <f t="shared" si="3"/>
        <v>579</v>
      </c>
      <c r="C60" s="9" t="str">
        <f t="shared" si="4"/>
        <v>Aug-1</v>
      </c>
      <c r="D60" s="10">
        <f>IFERROR(VLOOKUP(C60,Sheet1!$F$7:$U$4000,16,0),0)</f>
        <v>0</v>
      </c>
      <c r="E60" s="10">
        <f>IFERROR(VLOOKUP(C60,Sheet1!$F$7:$V$4000,17,0),0)</f>
        <v>0</v>
      </c>
      <c r="F60" s="10">
        <f t="shared" si="5"/>
        <v>0</v>
      </c>
      <c r="G60" s="46">
        <f>IFERROR(D60/SUMIF(Sheet1!$F$7:$F$4000,C60,Sheet1!$X$7:$X$4000),0)</f>
        <v>0</v>
      </c>
      <c r="H60" s="43">
        <f>IFERROR(G60*(SUMIF(Sheet1!$F$7:$F$4000,C60,Sheet1!$Y$7:$Y$4000)/SUMIF(Sheet1!$F$7:$F$4000,C60,Sheet1!$X$7:$X$4000)),0)</f>
        <v>0</v>
      </c>
      <c r="I60" s="44" t="str">
        <f t="shared" si="6"/>
        <v/>
      </c>
      <c r="J60" s="43">
        <f>IFERROR(G60*(SUMIF(Sheet1!$F$7:$F$4000,C60,Sheet1!$N$7:$N$4000)/SUMIF(Sheet1!$F$7:$F$4000,C60,Sheet1!$X$7:$X$4000)),0)</f>
        <v>0</v>
      </c>
      <c r="K60" s="44" t="str">
        <f t="shared" si="7"/>
        <v/>
      </c>
      <c r="L60" s="34"/>
      <c r="M60">
        <v>8</v>
      </c>
      <c r="N60">
        <f>Sheet1!$A$1</f>
        <v>1</v>
      </c>
    </row>
    <row r="61" spans="2:14">
      <c r="B61" s="9">
        <f t="shared" si="3"/>
        <v>610</v>
      </c>
      <c r="C61" s="9" t="str">
        <f t="shared" si="4"/>
        <v>Sep-1</v>
      </c>
      <c r="D61" s="10">
        <f>IFERROR(VLOOKUP(C61,Sheet1!$F$7:$U$4000,16,0),0)</f>
        <v>0</v>
      </c>
      <c r="E61" s="10">
        <f>IFERROR(VLOOKUP(C61,Sheet1!$F$7:$V$4000,17,0),0)</f>
        <v>0</v>
      </c>
      <c r="F61" s="10">
        <f t="shared" si="5"/>
        <v>0</v>
      </c>
      <c r="G61" s="46">
        <f>IFERROR(D61/SUMIF(Sheet1!$F$7:$F$4000,C61,Sheet1!$X$7:$X$4000),0)</f>
        <v>0</v>
      </c>
      <c r="H61" s="43">
        <f>IFERROR(G61*(SUMIF(Sheet1!$F$7:$F$4000,C61,Sheet1!$Y$7:$Y$4000)/SUMIF(Sheet1!$F$7:$F$4000,C61,Sheet1!$X$7:$X$4000)),0)</f>
        <v>0</v>
      </c>
      <c r="I61" s="44" t="str">
        <f t="shared" si="6"/>
        <v/>
      </c>
      <c r="J61" s="43">
        <f>IFERROR(G61*(SUMIF(Sheet1!$F$7:$F$4000,C61,Sheet1!$N$7:$N$4000)/SUMIF(Sheet1!$F$7:$F$4000,C61,Sheet1!$X$7:$X$4000)),0)</f>
        <v>0</v>
      </c>
      <c r="K61" s="44" t="str">
        <f t="shared" si="7"/>
        <v/>
      </c>
      <c r="L61" s="34"/>
      <c r="M61">
        <v>9</v>
      </c>
      <c r="N61">
        <f>Sheet1!$A$1</f>
        <v>1</v>
      </c>
    </row>
    <row r="62" spans="2:14">
      <c r="B62" s="9">
        <f t="shared" si="3"/>
        <v>640</v>
      </c>
      <c r="C62" s="9" t="str">
        <f t="shared" si="4"/>
        <v>Oct-1</v>
      </c>
      <c r="D62" s="10">
        <f>IFERROR(VLOOKUP(C62,Sheet1!$F$7:$U$4000,16,0),0)</f>
        <v>0</v>
      </c>
      <c r="E62" s="10">
        <f>IFERROR(VLOOKUP(C62,Sheet1!$F$7:$V$4000,17,0),0)</f>
        <v>0</v>
      </c>
      <c r="F62" s="10">
        <f t="shared" si="5"/>
        <v>0</v>
      </c>
      <c r="G62" s="46">
        <f>IFERROR(D62/SUMIF(Sheet1!$F$7:$F$4000,C62,Sheet1!$X$7:$X$4000),0)</f>
        <v>0</v>
      </c>
      <c r="H62" s="43">
        <f>IFERROR(G62*(SUMIF(Sheet1!$F$7:$F$4000,C62,Sheet1!$Y$7:$Y$4000)/SUMIF(Sheet1!$F$7:$F$4000,C62,Sheet1!$X$7:$X$4000)),0)</f>
        <v>0</v>
      </c>
      <c r="I62" s="44" t="str">
        <f t="shared" si="6"/>
        <v/>
      </c>
      <c r="J62" s="43">
        <f>IFERROR(G62*(SUMIF(Sheet1!$F$7:$F$4000,C62,Sheet1!$N$7:$N$4000)/SUMIF(Sheet1!$F$7:$F$4000,C62,Sheet1!$X$7:$X$4000)),0)</f>
        <v>0</v>
      </c>
      <c r="K62" s="44" t="str">
        <f t="shared" si="7"/>
        <v/>
      </c>
      <c r="L62" s="34"/>
      <c r="M62">
        <v>10</v>
      </c>
      <c r="N62">
        <f>Sheet1!$A$1</f>
        <v>1</v>
      </c>
    </row>
    <row r="63" spans="2:14">
      <c r="B63" s="9">
        <f t="shared" si="3"/>
        <v>671</v>
      </c>
      <c r="C63" s="9" t="str">
        <f t="shared" si="4"/>
        <v>Nov-1</v>
      </c>
      <c r="D63" s="10">
        <f>IFERROR(VLOOKUP(C63,Sheet1!$F$7:$U$4000,16,0),0)</f>
        <v>0</v>
      </c>
      <c r="E63" s="10">
        <f>IFERROR(VLOOKUP(C63,Sheet1!$F$7:$V$4000,17,0),0)</f>
        <v>0</v>
      </c>
      <c r="F63" s="10">
        <f t="shared" si="5"/>
        <v>0</v>
      </c>
      <c r="G63" s="46">
        <f>IFERROR(D63/SUMIF(Sheet1!$F$7:$F$4000,C63,Sheet1!$X$7:$X$4000),0)</f>
        <v>0</v>
      </c>
      <c r="H63" s="43">
        <f>IFERROR(G63*(SUMIF(Sheet1!$F$7:$F$4000,C63,Sheet1!$Y$7:$Y$4000)/SUMIF(Sheet1!$F$7:$F$4000,C63,Sheet1!$X$7:$X$4000)),0)</f>
        <v>0</v>
      </c>
      <c r="I63" s="44" t="str">
        <f t="shared" si="6"/>
        <v/>
      </c>
      <c r="J63" s="43">
        <f>IFERROR(G63*(SUMIF(Sheet1!$F$7:$F$4000,C63,Sheet1!$N$7:$N$4000)/SUMIF(Sheet1!$F$7:$F$4000,C63,Sheet1!$X$7:$X$4000)),0)</f>
        <v>0</v>
      </c>
      <c r="K63" s="44" t="str">
        <f t="shared" si="7"/>
        <v/>
      </c>
      <c r="L63" s="34"/>
      <c r="M63">
        <v>11</v>
      </c>
      <c r="N63">
        <f>Sheet1!$A$1</f>
        <v>1</v>
      </c>
    </row>
    <row r="64" spans="2:14">
      <c r="B64" s="9">
        <f t="shared" si="3"/>
        <v>701</v>
      </c>
      <c r="C64" s="9" t="str">
        <f t="shared" si="4"/>
        <v>Dec-1</v>
      </c>
      <c r="D64" s="10">
        <f>IFERROR(VLOOKUP(C64,Sheet1!$F$7:$U$4000,16,0),0)</f>
        <v>0</v>
      </c>
      <c r="E64" s="10">
        <f>IFERROR(VLOOKUP(C64,Sheet1!$F$7:$V$4000,17,0),0)</f>
        <v>0</v>
      </c>
      <c r="F64" s="10">
        <f t="shared" si="5"/>
        <v>0</v>
      </c>
      <c r="G64" s="46">
        <f>IFERROR(D64/SUMIF(Sheet1!$F$7:$F$4000,C64,Sheet1!$X$7:$X$4000),0)</f>
        <v>0</v>
      </c>
      <c r="H64" s="43">
        <f>IFERROR(G64*(SUMIF(Sheet1!$F$7:$F$4000,C64,Sheet1!$Y$7:$Y$4000)/SUMIF(Sheet1!$F$7:$F$4000,C64,Sheet1!$X$7:$X$4000)),0)</f>
        <v>0</v>
      </c>
      <c r="I64" s="44" t="str">
        <f t="shared" si="6"/>
        <v/>
      </c>
      <c r="J64" s="43">
        <f>IFERROR(G64*(SUMIF(Sheet1!$F$7:$F$4000,C64,Sheet1!$N$7:$N$4000)/SUMIF(Sheet1!$F$7:$F$4000,C64,Sheet1!$X$7:$X$4000)),0)</f>
        <v>0</v>
      </c>
      <c r="K64" s="44" t="str">
        <f t="shared" si="7"/>
        <v/>
      </c>
      <c r="L64" s="34"/>
      <c r="M64">
        <v>12</v>
      </c>
      <c r="N64">
        <f>Sheet1!$A$1</f>
        <v>1</v>
      </c>
    </row>
    <row r="65" spans="2:14">
      <c r="B65" s="9">
        <f t="shared" si="3"/>
        <v>732</v>
      </c>
      <c r="C65" s="9" t="str">
        <f t="shared" si="4"/>
        <v>Jan-2</v>
      </c>
      <c r="D65" s="10">
        <f>IFERROR(VLOOKUP(C65,Sheet1!$F$7:$U$4000,16,0),0)</f>
        <v>0</v>
      </c>
      <c r="E65" s="10">
        <f>IFERROR(VLOOKUP(C65,Sheet1!$F$7:$V$4000,17,0),0)</f>
        <v>0</v>
      </c>
      <c r="F65" s="10">
        <f t="shared" si="5"/>
        <v>0</v>
      </c>
      <c r="G65" s="46">
        <f>IFERROR(D65/SUMIF(Sheet1!$F$7:$F$4000,C65,Sheet1!$X$7:$X$4000),0)</f>
        <v>0</v>
      </c>
      <c r="H65" s="43">
        <f>IFERROR(G65*(SUMIF(Sheet1!$F$7:$F$4000,C65,Sheet1!$Y$7:$Y$4000)/SUMIF(Sheet1!$F$7:$F$4000,C65,Sheet1!$X$7:$X$4000)),0)</f>
        <v>0</v>
      </c>
      <c r="I65" s="44" t="str">
        <f t="shared" si="6"/>
        <v/>
      </c>
      <c r="J65" s="43">
        <f>IFERROR(G65*(SUMIF(Sheet1!$F$7:$F$4000,C65,Sheet1!$N$7:$N$4000)/SUMIF(Sheet1!$F$7:$F$4000,C65,Sheet1!$X$7:$X$4000)),0)</f>
        <v>0</v>
      </c>
      <c r="K65" s="44" t="str">
        <f t="shared" si="7"/>
        <v/>
      </c>
      <c r="L65" s="34"/>
      <c r="M65">
        <v>1</v>
      </c>
      <c r="N65">
        <f>Sheet1!$A$1+1</f>
        <v>2</v>
      </c>
    </row>
    <row r="66" spans="2:14">
      <c r="B66" s="9">
        <f t="shared" si="3"/>
        <v>763</v>
      </c>
      <c r="C66" s="9" t="str">
        <f t="shared" si="4"/>
        <v>Feb-2</v>
      </c>
      <c r="D66" s="10">
        <f>IFERROR(VLOOKUP(C66,Sheet1!$F$7:$U$4000,16,0),0)</f>
        <v>0</v>
      </c>
      <c r="E66" s="10">
        <f>IFERROR(VLOOKUP(C66,Sheet1!$F$7:$V$4000,17,0),0)</f>
        <v>0</v>
      </c>
      <c r="F66" s="10">
        <f t="shared" si="5"/>
        <v>0</v>
      </c>
      <c r="G66" s="46">
        <f>IFERROR(D66/SUMIF(Sheet1!$F$7:$F$4000,C66,Sheet1!$X$7:$X$4000),0)</f>
        <v>0</v>
      </c>
      <c r="H66" s="43">
        <f>IFERROR(G66*(SUMIF(Sheet1!$F$7:$F$4000,C66,Sheet1!$Y$7:$Y$4000)/SUMIF(Sheet1!$F$7:$F$4000,C66,Sheet1!$X$7:$X$4000)),0)</f>
        <v>0</v>
      </c>
      <c r="I66" s="44" t="str">
        <f t="shared" si="6"/>
        <v/>
      </c>
      <c r="J66" s="43">
        <f>IFERROR(G66*(SUMIF(Sheet1!$F$7:$F$4000,C66,Sheet1!$N$7:$N$4000)/SUMIF(Sheet1!$F$7:$F$4000,C66,Sheet1!$X$7:$X$4000)),0)</f>
        <v>0</v>
      </c>
      <c r="K66" s="44" t="str">
        <f t="shared" si="7"/>
        <v/>
      </c>
      <c r="L66" s="34"/>
      <c r="M66">
        <v>2</v>
      </c>
      <c r="N66">
        <f>Sheet1!$A$1+1</f>
        <v>2</v>
      </c>
    </row>
    <row r="67" spans="2:14">
      <c r="B67" s="9">
        <f t="shared" si="3"/>
        <v>791</v>
      </c>
      <c r="C67" s="9" t="str">
        <f t="shared" si="4"/>
        <v>Mar-2</v>
      </c>
      <c r="D67" s="10">
        <f>IFERROR(VLOOKUP(C67,Sheet1!$F$7:$U$4000,16,0),0)</f>
        <v>0</v>
      </c>
      <c r="E67" s="10">
        <f>IFERROR(VLOOKUP(C67,Sheet1!$F$7:$V$4000,17,0),0)</f>
        <v>0</v>
      </c>
      <c r="F67" s="10">
        <f t="shared" si="5"/>
        <v>0</v>
      </c>
      <c r="G67" s="46">
        <f>IFERROR(D67/SUMIF(Sheet1!$F$7:$F$4000,C67,Sheet1!$X$7:$X$4000),0)</f>
        <v>0</v>
      </c>
      <c r="H67" s="43">
        <f>IFERROR(G67*(SUMIF(Sheet1!$F$7:$F$4000,C67,Sheet1!$Y$7:$Y$4000)/SUMIF(Sheet1!$F$7:$F$4000,C67,Sheet1!$X$7:$X$4000)),0)</f>
        <v>0</v>
      </c>
      <c r="I67" s="44" t="str">
        <f t="shared" si="6"/>
        <v/>
      </c>
      <c r="J67" s="43">
        <f>IFERROR(G67*(SUMIF(Sheet1!$F$7:$F$4000,C67,Sheet1!$N$7:$N$4000)/SUMIF(Sheet1!$F$7:$F$4000,C67,Sheet1!$X$7:$X$4000)),0)</f>
        <v>0</v>
      </c>
      <c r="K67" s="44" t="str">
        <f t="shared" si="7"/>
        <v/>
      </c>
      <c r="L67" s="34"/>
      <c r="M67">
        <v>3</v>
      </c>
      <c r="N67">
        <f>Sheet1!$A$1+1</f>
        <v>2</v>
      </c>
    </row>
    <row r="68" spans="2:14">
      <c r="B68" s="9">
        <f t="shared" si="3"/>
        <v>822</v>
      </c>
      <c r="C68" s="9" t="str">
        <f t="shared" si="4"/>
        <v>Apr-2</v>
      </c>
      <c r="D68" s="10">
        <f>IFERROR(VLOOKUP(C68,Sheet1!$F$7:$U$4000,16,0),0)</f>
        <v>0</v>
      </c>
      <c r="E68" s="10">
        <f>IFERROR(VLOOKUP(C68,Sheet1!$F$7:$V$4000,17,0),0)</f>
        <v>0</v>
      </c>
      <c r="F68" s="10">
        <f t="shared" si="5"/>
        <v>0</v>
      </c>
      <c r="G68" s="46">
        <f>IFERROR(D68/SUMIF(Sheet1!$F$7:$F$4000,C68,Sheet1!$X$7:$X$4000),0)</f>
        <v>0</v>
      </c>
      <c r="H68" s="43">
        <f>IFERROR(G68*(SUMIF(Sheet1!$F$7:$F$4000,C68,Sheet1!$Y$7:$Y$4000)/SUMIF(Sheet1!$F$7:$F$4000,C68,Sheet1!$X$7:$X$4000)),0)</f>
        <v>0</v>
      </c>
      <c r="I68" s="44" t="str">
        <f t="shared" si="6"/>
        <v/>
      </c>
      <c r="J68" s="43">
        <f>IFERROR(G68*(SUMIF(Sheet1!$F$7:$F$4000,C68,Sheet1!$N$7:$N$4000)/SUMIF(Sheet1!$F$7:$F$4000,C68,Sheet1!$X$7:$X$4000)),0)</f>
        <v>0</v>
      </c>
      <c r="K68" s="44" t="str">
        <f t="shared" si="7"/>
        <v/>
      </c>
      <c r="L68" s="34"/>
      <c r="M68">
        <v>4</v>
      </c>
      <c r="N68">
        <f>Sheet1!$A$1+1</f>
        <v>2</v>
      </c>
    </row>
    <row r="69" spans="2:14">
      <c r="B69" s="9">
        <f t="shared" si="3"/>
        <v>852</v>
      </c>
      <c r="C69" s="9" t="str">
        <f t="shared" si="4"/>
        <v>May-2</v>
      </c>
      <c r="D69" s="10">
        <f>IFERROR(VLOOKUP(C69,Sheet1!$F$7:$U$4000,16,0),0)</f>
        <v>0</v>
      </c>
      <c r="E69" s="10">
        <f>IFERROR(VLOOKUP(C69,Sheet1!$F$7:$V$4000,17,0),0)</f>
        <v>0</v>
      </c>
      <c r="F69" s="10">
        <f t="shared" si="5"/>
        <v>0</v>
      </c>
      <c r="G69" s="46">
        <f>IFERROR(D69/SUMIF(Sheet1!$F$7:$F$4000,C69,Sheet1!$X$7:$X$4000),0)</f>
        <v>0</v>
      </c>
      <c r="H69" s="43">
        <f>IFERROR(G69*(SUMIF(Sheet1!$F$7:$F$4000,C69,Sheet1!$Y$7:$Y$4000)/SUMIF(Sheet1!$F$7:$F$4000,C69,Sheet1!$X$7:$X$4000)),0)</f>
        <v>0</v>
      </c>
      <c r="I69" s="44" t="str">
        <f t="shared" si="6"/>
        <v/>
      </c>
      <c r="J69" s="43">
        <f>IFERROR(G69*(SUMIF(Sheet1!$F$7:$F$4000,C69,Sheet1!$N$7:$N$4000)/SUMIF(Sheet1!$F$7:$F$4000,C69,Sheet1!$X$7:$X$4000)),0)</f>
        <v>0</v>
      </c>
      <c r="K69" s="44" t="str">
        <f t="shared" si="7"/>
        <v/>
      </c>
      <c r="L69" s="34"/>
      <c r="M69">
        <v>5</v>
      </c>
      <c r="N69">
        <f>Sheet1!$A$1+1</f>
        <v>2</v>
      </c>
    </row>
    <row r="70" spans="2:14">
      <c r="B70" s="9">
        <f t="shared" si="3"/>
        <v>883</v>
      </c>
      <c r="C70" s="9" t="str">
        <f t="shared" si="4"/>
        <v>Jun-2</v>
      </c>
      <c r="D70" s="10">
        <f>IFERROR(VLOOKUP(C70,Sheet1!$F$7:$U$4000,16,0),0)</f>
        <v>0</v>
      </c>
      <c r="E70" s="10">
        <f>IFERROR(VLOOKUP(C70,Sheet1!$F$7:$V$4000,17,0),0)</f>
        <v>0</v>
      </c>
      <c r="F70" s="10">
        <f t="shared" si="5"/>
        <v>0</v>
      </c>
      <c r="G70" s="46">
        <f>IFERROR(D70/SUMIF(Sheet1!$F$7:$F$4000,C70,Sheet1!$X$7:$X$4000),0)</f>
        <v>0</v>
      </c>
      <c r="H70" s="43">
        <f>IFERROR(G70*(SUMIF(Sheet1!$F$7:$F$4000,C70,Sheet1!$Y$7:$Y$4000)/SUMIF(Sheet1!$F$7:$F$4000,C70,Sheet1!$X$7:$X$4000)),0)</f>
        <v>0</v>
      </c>
      <c r="I70" s="44" t="str">
        <f t="shared" si="6"/>
        <v/>
      </c>
      <c r="J70" s="43">
        <f>IFERROR(G70*(SUMIF(Sheet1!$F$7:$F$4000,C70,Sheet1!$N$7:$N$4000)/SUMIF(Sheet1!$F$7:$F$4000,C70,Sheet1!$X$7:$X$4000)),0)</f>
        <v>0</v>
      </c>
      <c r="K70" s="44" t="str">
        <f t="shared" si="7"/>
        <v/>
      </c>
      <c r="L70" s="34"/>
      <c r="M70">
        <v>6</v>
      </c>
      <c r="N70">
        <f>Sheet1!$A$1+1</f>
        <v>2</v>
      </c>
    </row>
    <row r="71" spans="2:14">
      <c r="B71" s="9">
        <f t="shared" si="3"/>
        <v>913</v>
      </c>
      <c r="C71" s="9" t="str">
        <f t="shared" si="4"/>
        <v>Jul-2</v>
      </c>
      <c r="D71" s="10">
        <f>IFERROR(VLOOKUP(C71,Sheet1!$F$7:$U$4000,16,0),0)</f>
        <v>0</v>
      </c>
      <c r="E71" s="10">
        <f>IFERROR(VLOOKUP(C71,Sheet1!$F$7:$V$4000,17,0),0)</f>
        <v>0</v>
      </c>
      <c r="F71" s="10">
        <f t="shared" si="5"/>
        <v>0</v>
      </c>
      <c r="G71" s="46">
        <f>IFERROR(D71/SUMIF(Sheet1!$F$7:$F$4000,C71,Sheet1!$X$7:$X$4000),0)</f>
        <v>0</v>
      </c>
      <c r="H71" s="43">
        <f>IFERROR(G71*(SUMIF(Sheet1!$F$7:$F$4000,C71,Sheet1!$Y$7:$Y$4000)/SUMIF(Sheet1!$F$7:$F$4000,C71,Sheet1!$X$7:$X$4000)),0)</f>
        <v>0</v>
      </c>
      <c r="I71" s="44" t="str">
        <f t="shared" si="6"/>
        <v/>
      </c>
      <c r="J71" s="43">
        <f>IFERROR(G71*(SUMIF(Sheet1!$F$7:$F$4000,C71,Sheet1!$N$7:$N$4000)/SUMIF(Sheet1!$F$7:$F$4000,C71,Sheet1!$X$7:$X$4000)),0)</f>
        <v>0</v>
      </c>
      <c r="K71" s="44" t="str">
        <f t="shared" si="7"/>
        <v/>
      </c>
      <c r="L71" s="34"/>
      <c r="M71">
        <v>7</v>
      </c>
      <c r="N71">
        <f>Sheet1!$A$1+1</f>
        <v>2</v>
      </c>
    </row>
    <row r="72" spans="2:14">
      <c r="B72" s="9">
        <f t="shared" si="3"/>
        <v>944</v>
      </c>
      <c r="C72" s="9" t="str">
        <f t="shared" si="4"/>
        <v>Aug-2</v>
      </c>
      <c r="D72" s="10">
        <f>IFERROR(VLOOKUP(C72,Sheet1!$F$7:$U$4000,16,0),0)</f>
        <v>0</v>
      </c>
      <c r="E72" s="10">
        <f>IFERROR(VLOOKUP(C72,Sheet1!$F$7:$V$4000,17,0),0)</f>
        <v>0</v>
      </c>
      <c r="F72" s="10">
        <f t="shared" si="5"/>
        <v>0</v>
      </c>
      <c r="G72" s="46">
        <f>IFERROR(D72/SUMIF(Sheet1!$F$7:$F$4000,C72,Sheet1!$X$7:$X$4000),0)</f>
        <v>0</v>
      </c>
      <c r="H72" s="43">
        <f>IFERROR(G72*(SUMIF(Sheet1!$F$7:$F$4000,C72,Sheet1!$Y$7:$Y$4000)/SUMIF(Sheet1!$F$7:$F$4000,C72,Sheet1!$X$7:$X$4000)),0)</f>
        <v>0</v>
      </c>
      <c r="I72" s="44" t="str">
        <f t="shared" si="6"/>
        <v/>
      </c>
      <c r="J72" s="43">
        <f>IFERROR(G72*(SUMIF(Sheet1!$F$7:$F$4000,C72,Sheet1!$N$7:$N$4000)/SUMIF(Sheet1!$F$7:$F$4000,C72,Sheet1!$X$7:$X$4000)),0)</f>
        <v>0</v>
      </c>
      <c r="K72" s="44" t="str">
        <f t="shared" si="7"/>
        <v/>
      </c>
      <c r="L72" s="34"/>
      <c r="M72">
        <v>8</v>
      </c>
      <c r="N72">
        <f>Sheet1!$A$1+1</f>
        <v>2</v>
      </c>
    </row>
    <row r="73" spans="2:14">
      <c r="B73" s="9">
        <f t="shared" si="3"/>
        <v>975</v>
      </c>
      <c r="C73" s="9" t="str">
        <f t="shared" si="4"/>
        <v>Sep-2</v>
      </c>
      <c r="D73" s="10">
        <f>IFERROR(VLOOKUP(C73,Sheet1!$F$7:$U$4000,16,0),0)</f>
        <v>0</v>
      </c>
      <c r="E73" s="10">
        <f>IFERROR(VLOOKUP(C73,Sheet1!$F$7:$V$4000,17,0),0)</f>
        <v>0</v>
      </c>
      <c r="F73" s="10">
        <f t="shared" si="5"/>
        <v>0</v>
      </c>
      <c r="G73" s="46">
        <f>IFERROR(D73/SUMIF(Sheet1!$F$7:$F$4000,C73,Sheet1!$X$7:$X$4000),0)</f>
        <v>0</v>
      </c>
      <c r="H73" s="43">
        <f>IFERROR(G73*(SUMIF(Sheet1!$F$7:$F$4000,C73,Sheet1!$Y$7:$Y$4000)/SUMIF(Sheet1!$F$7:$F$4000,C73,Sheet1!$X$7:$X$4000)),0)</f>
        <v>0</v>
      </c>
      <c r="I73" s="44" t="str">
        <f t="shared" si="6"/>
        <v/>
      </c>
      <c r="J73" s="43">
        <f>IFERROR(G73*(SUMIF(Sheet1!$F$7:$F$4000,C73,Sheet1!$N$7:$N$4000)/SUMIF(Sheet1!$F$7:$F$4000,C73,Sheet1!$X$7:$X$4000)),0)</f>
        <v>0</v>
      </c>
      <c r="K73" s="44" t="str">
        <f t="shared" si="7"/>
        <v/>
      </c>
      <c r="L73" s="34"/>
      <c r="M73">
        <v>9</v>
      </c>
      <c r="N73">
        <f>Sheet1!$A$1+1</f>
        <v>2</v>
      </c>
    </row>
    <row r="74" spans="2:14">
      <c r="B74" s="9">
        <f t="shared" si="3"/>
        <v>1005</v>
      </c>
      <c r="C74" s="9" t="str">
        <f t="shared" si="4"/>
        <v>Oct-2</v>
      </c>
      <c r="D74" s="10">
        <f>IFERROR(VLOOKUP(C74,Sheet1!$F$7:$U$4000,16,0),0)</f>
        <v>0</v>
      </c>
      <c r="E74" s="10">
        <f>IFERROR(VLOOKUP(C74,Sheet1!$F$7:$V$4000,17,0),0)</f>
        <v>0</v>
      </c>
      <c r="F74" s="10">
        <f t="shared" si="5"/>
        <v>0</v>
      </c>
      <c r="G74" s="46">
        <f>IFERROR(D74/SUMIF(Sheet1!$F$7:$F$4000,C74,Sheet1!$X$7:$X$4000),0)</f>
        <v>0</v>
      </c>
      <c r="H74" s="43">
        <f>IFERROR(G74*(SUMIF(Sheet1!$F$7:$F$4000,C74,Sheet1!$Y$7:$Y$4000)/SUMIF(Sheet1!$F$7:$F$4000,C74,Sheet1!$X$7:$X$4000)),0)</f>
        <v>0</v>
      </c>
      <c r="I74" s="44" t="str">
        <f t="shared" si="6"/>
        <v/>
      </c>
      <c r="J74" s="43">
        <f>IFERROR(G74*(SUMIF(Sheet1!$F$7:$F$4000,C74,Sheet1!$N$7:$N$4000)/SUMIF(Sheet1!$F$7:$F$4000,C74,Sheet1!$X$7:$X$4000)),0)</f>
        <v>0</v>
      </c>
      <c r="K74" s="44" t="str">
        <f t="shared" si="7"/>
        <v/>
      </c>
      <c r="L74" s="34"/>
      <c r="M74">
        <v>10</v>
      </c>
      <c r="N74">
        <f>Sheet1!$A$1+1</f>
        <v>2</v>
      </c>
    </row>
    <row r="75" spans="2:14">
      <c r="B75" s="9">
        <f t="shared" si="3"/>
        <v>1036</v>
      </c>
      <c r="C75" s="9" t="str">
        <f t="shared" si="4"/>
        <v>Nov-2</v>
      </c>
      <c r="D75" s="10">
        <f>IFERROR(VLOOKUP(C75,Sheet1!$F$7:$U$4000,16,0),0)</f>
        <v>0</v>
      </c>
      <c r="E75" s="10">
        <f>IFERROR(VLOOKUP(C75,Sheet1!$F$7:$V$4000,17,0),0)</f>
        <v>0</v>
      </c>
      <c r="F75" s="10">
        <f t="shared" si="5"/>
        <v>0</v>
      </c>
      <c r="G75" s="46">
        <f>IFERROR(D75/SUMIF(Sheet1!$F$7:$F$4000,C75,Sheet1!$X$7:$X$4000),0)</f>
        <v>0</v>
      </c>
      <c r="H75" s="43">
        <f>IFERROR(G75*(SUMIF(Sheet1!$F$7:$F$4000,C75,Sheet1!$Y$7:$Y$4000)/SUMIF(Sheet1!$F$7:$F$4000,C75,Sheet1!$X$7:$X$4000)),0)</f>
        <v>0</v>
      </c>
      <c r="I75" s="44" t="str">
        <f t="shared" si="6"/>
        <v/>
      </c>
      <c r="J75" s="43">
        <f>IFERROR(G75*(SUMIF(Sheet1!$F$7:$F$4000,C75,Sheet1!$N$7:$N$4000)/SUMIF(Sheet1!$F$7:$F$4000,C75,Sheet1!$X$7:$X$4000)),0)</f>
        <v>0</v>
      </c>
      <c r="K75" s="44" t="str">
        <f t="shared" si="7"/>
        <v/>
      </c>
      <c r="L75" s="34"/>
      <c r="M75">
        <v>11</v>
      </c>
      <c r="N75">
        <f>Sheet1!$A$1+1</f>
        <v>2</v>
      </c>
    </row>
    <row r="76" spans="2:14">
      <c r="B76" s="9">
        <f t="shared" si="3"/>
        <v>1066</v>
      </c>
      <c r="C76" s="9" t="str">
        <f t="shared" si="4"/>
        <v>Dec-2</v>
      </c>
      <c r="D76" s="10">
        <f>IFERROR(VLOOKUP(C76,Sheet1!$F$7:$U$4000,16,0),0)</f>
        <v>0</v>
      </c>
      <c r="E76" s="10">
        <f>IFERROR(VLOOKUP(C76,Sheet1!$F$7:$V$4000,17,0),0)</f>
        <v>0</v>
      </c>
      <c r="F76" s="10">
        <f t="shared" si="5"/>
        <v>0</v>
      </c>
      <c r="G76" s="46">
        <f>IFERROR(D76/SUMIF(Sheet1!$F$7:$F$4000,C76,Sheet1!$X$7:$X$4000),0)</f>
        <v>0</v>
      </c>
      <c r="H76" s="43">
        <f>IFERROR(G76*(SUMIF(Sheet1!$F$7:$F$4000,C76,Sheet1!$Y$7:$Y$4000)/SUMIF(Sheet1!$F$7:$F$4000,C76,Sheet1!$X$7:$X$4000)),0)</f>
        <v>0</v>
      </c>
      <c r="I76" s="44" t="str">
        <f t="shared" si="6"/>
        <v/>
      </c>
      <c r="J76" s="43">
        <f>IFERROR(G76*(SUMIF(Sheet1!$F$7:$F$4000,C76,Sheet1!$N$7:$N$4000)/SUMIF(Sheet1!$F$7:$F$4000,C76,Sheet1!$X$7:$X$4000)),0)</f>
        <v>0</v>
      </c>
      <c r="K76" s="44" t="str">
        <f t="shared" si="7"/>
        <v/>
      </c>
      <c r="L76" s="34"/>
      <c r="M76">
        <v>12</v>
      </c>
      <c r="N76">
        <f>Sheet1!$A$1+1</f>
        <v>2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2"/>
  <sheetViews>
    <sheetView workbookViewId="0">
      <selection activeCell="C12" sqref="C12:C19"/>
    </sheetView>
  </sheetViews>
  <sheetFormatPr defaultRowHeight="15"/>
  <cols>
    <col min="2" max="2" width="7.85546875" customWidth="1"/>
    <col min="3" max="3" width="15" customWidth="1"/>
    <col min="4" max="4" width="48" bestFit="1" customWidth="1"/>
    <col min="5" max="8" width="15.140625" customWidth="1"/>
    <col min="9" max="9" width="15.140625" style="72" customWidth="1"/>
    <col min="10" max="10" width="49.42578125" customWidth="1"/>
    <col min="11" max="14" width="0" hidden="1" customWidth="1"/>
  </cols>
  <sheetData>
    <row r="1" spans="1:14" ht="20.25" thickBot="1">
      <c r="A1" s="51" t="s">
        <v>111</v>
      </c>
      <c r="B1" s="39"/>
      <c r="C1" s="39"/>
      <c r="D1" s="39"/>
      <c r="E1" s="39"/>
      <c r="F1" s="39"/>
      <c r="G1" s="39"/>
      <c r="H1" s="39"/>
      <c r="I1" s="73"/>
      <c r="J1" s="39"/>
    </row>
    <row r="2" spans="1:14" ht="60.75" thickBot="1">
      <c r="A2" s="39"/>
      <c r="B2" s="52" t="s">
        <v>112</v>
      </c>
      <c r="C2" s="53" t="s">
        <v>113</v>
      </c>
      <c r="D2" s="53" t="s">
        <v>114</v>
      </c>
      <c r="E2" s="54" t="str">
        <f>RIGHT(L3,2) &amp; "년"</f>
        <v>0년</v>
      </c>
      <c r="F2" s="54" t="str">
        <f t="shared" ref="F2:G2" si="0">RIGHT(M3,2) &amp; "년"</f>
        <v>1년</v>
      </c>
      <c r="G2" s="54" t="str">
        <f t="shared" si="0"/>
        <v>2년</v>
      </c>
      <c r="H2" s="53" t="s">
        <v>115</v>
      </c>
      <c r="I2" s="74" t="s">
        <v>116</v>
      </c>
      <c r="J2" s="55" t="s">
        <v>117</v>
      </c>
    </row>
    <row r="3" spans="1:14">
      <c r="A3" s="39"/>
      <c r="B3" s="83" t="s">
        <v>118</v>
      </c>
      <c r="C3" s="84"/>
      <c r="D3" s="56" t="s">
        <v>119</v>
      </c>
      <c r="E3" s="57">
        <f>IFERROR(VLOOKUP($K$3 &amp; L3,'Sales per employees'!$B$18:$F$20,5,0),0)</f>
        <v>0</v>
      </c>
      <c r="F3" s="57">
        <f>IFERROR(VLOOKUP($K$3 &amp; M3,'Sales per employees'!$B$18:$F$20,5,0),0)</f>
        <v>0</v>
      </c>
      <c r="G3" s="57">
        <f>IFERROR(VLOOKUP($K$3 &amp; N3,'Sales per employees'!$B$18:$F$20,5,0),0)</f>
        <v>0</v>
      </c>
      <c r="H3" s="57">
        <f>F3-E3</f>
        <v>0</v>
      </c>
      <c r="I3" s="58">
        <f>IFERROR(H3/F3,0)</f>
        <v>0</v>
      </c>
      <c r="J3" s="87" t="s">
        <v>120</v>
      </c>
      <c r="K3" t="s">
        <v>148</v>
      </c>
      <c r="L3">
        <f>M3-1</f>
        <v>0</v>
      </c>
      <c r="M3">
        <f>Sheet1!A1</f>
        <v>1</v>
      </c>
      <c r="N3">
        <f>M3+1</f>
        <v>2</v>
      </c>
    </row>
    <row r="4" spans="1:14">
      <c r="A4" s="39"/>
      <c r="B4" s="85"/>
      <c r="C4" s="86"/>
      <c r="D4" s="59" t="s">
        <v>121</v>
      </c>
      <c r="E4" s="60">
        <f>IFERROR(E5+E10,0)</f>
        <v>0</v>
      </c>
      <c r="F4" s="60">
        <f>IFERROR(F5+F10,0)</f>
        <v>0</v>
      </c>
      <c r="G4" s="60">
        <f>IFERROR(G5+G10,0)</f>
        <v>0</v>
      </c>
      <c r="H4" s="71">
        <f>F4-E4</f>
        <v>0</v>
      </c>
      <c r="I4" s="66">
        <f>IFERROR(H4/F4,0)</f>
        <v>0</v>
      </c>
      <c r="J4" s="88"/>
    </row>
    <row r="5" spans="1:14">
      <c r="A5" s="39"/>
      <c r="B5" s="85"/>
      <c r="C5" s="86"/>
      <c r="D5" s="59" t="s">
        <v>122</v>
      </c>
      <c r="E5" s="62">
        <f>IFERROR(AVERAGEIFS('월별 기본데이터 합계'!$W$5:$W$28,'월별 기본데이터 합계'!$C$5:$C$28,L3,'월별 기본데이터 합계'!$W$5:$W$28,"&gt;0"),0)</f>
        <v>0</v>
      </c>
      <c r="F5" s="62">
        <f>IFERROR(AVERAGEIFS('월별 기본데이터 합계'!$W$5:$W$28,'월별 기본데이터 합계'!$C$5:$C$28,M3,'월별 기본데이터 합계'!$W$5:$W$28,"&gt;0"),0)</f>
        <v>0</v>
      </c>
      <c r="G5" s="62">
        <f>IFERROR(AVERAGEIFS('월별 기본데이터 합계'!$W$5:$W$28,'월별 기본데이터 합계'!$C$5:$C$28,N3,'월별 기본데이터 합계'!$W$5:$W$28,"&gt;0"),0)</f>
        <v>0</v>
      </c>
      <c r="H5" s="71">
        <f t="shared" ref="H5:H11" si="1">F5-E5</f>
        <v>0</v>
      </c>
      <c r="I5" s="66">
        <f t="shared" ref="I5:I10" si="2">IFERROR(H5/F5,0)</f>
        <v>0</v>
      </c>
      <c r="J5" s="88"/>
    </row>
    <row r="6" spans="1:14">
      <c r="A6" s="39"/>
      <c r="B6" s="85"/>
      <c r="C6" s="86"/>
      <c r="D6" s="59" t="s">
        <v>123</v>
      </c>
      <c r="E6" s="62">
        <f>IFERROR(E4-E8-E10,0)</f>
        <v>0</v>
      </c>
      <c r="F6" s="62">
        <f t="shared" ref="F6:G6" si="3">F4-F8-F10</f>
        <v>0</v>
      </c>
      <c r="G6" s="62">
        <f t="shared" si="3"/>
        <v>0</v>
      </c>
      <c r="H6" s="71">
        <f t="shared" si="1"/>
        <v>0</v>
      </c>
      <c r="I6" s="66">
        <f t="shared" si="2"/>
        <v>0</v>
      </c>
      <c r="J6" s="88"/>
    </row>
    <row r="7" spans="1:14">
      <c r="A7" s="39"/>
      <c r="B7" s="85"/>
      <c r="C7" s="86"/>
      <c r="D7" s="59" t="s">
        <v>124</v>
      </c>
      <c r="E7" s="61">
        <f>IFERROR(E6/E4,0)</f>
        <v>0</v>
      </c>
      <c r="F7" s="61">
        <f t="shared" ref="F7:G7" si="4">IFERROR(F6/F4,0)</f>
        <v>0</v>
      </c>
      <c r="G7" s="61">
        <f t="shared" si="4"/>
        <v>0</v>
      </c>
      <c r="H7" s="71">
        <f t="shared" si="1"/>
        <v>0</v>
      </c>
      <c r="I7" s="66"/>
      <c r="J7" s="88"/>
    </row>
    <row r="8" spans="1:14">
      <c r="A8" s="39"/>
      <c r="B8" s="85"/>
      <c r="C8" s="86"/>
      <c r="D8" s="59" t="s">
        <v>125</v>
      </c>
      <c r="E8" s="62">
        <f>IFERROR(AVERAGEIFS('월별 기본데이터 합계'!$R$5:$R$28,'월별 기본데이터 합계'!$C$5:$C$28,L3,'월별 기본데이터 합계'!$R$5:$R$28,"&gt;0"),0)</f>
        <v>0</v>
      </c>
      <c r="F8" s="62">
        <f>IFERROR(AVERAGEIFS('월별 기본데이터 합계'!$R$5:$R$28,'월별 기본데이터 합계'!$C$5:$C$28,M3,'월별 기본데이터 합계'!$R$5:$R$28,"&gt;0"),0)</f>
        <v>0</v>
      </c>
      <c r="G8" s="62">
        <f>IFERROR(AVERAGEIFS('월별 기본데이터 합계'!$R$5:$R$28,'월별 기본데이터 합계'!$C$5:$C$28,N3,'월별 기본데이터 합계'!$R$5:$R$28,"&gt;0"),0)</f>
        <v>0</v>
      </c>
      <c r="H8" s="71">
        <f t="shared" si="1"/>
        <v>0</v>
      </c>
      <c r="I8" s="66">
        <f t="shared" si="2"/>
        <v>0</v>
      </c>
      <c r="J8" s="88"/>
    </row>
    <row r="9" spans="1:14">
      <c r="A9" s="39"/>
      <c r="B9" s="85"/>
      <c r="C9" s="86"/>
      <c r="D9" s="59" t="s">
        <v>126</v>
      </c>
      <c r="E9" s="61">
        <f>IFERROR(E8/E4,0)</f>
        <v>0</v>
      </c>
      <c r="F9" s="61">
        <f t="shared" ref="F9:G9" si="5">IFERROR(F8/F4,0)</f>
        <v>0</v>
      </c>
      <c r="G9" s="61">
        <f t="shared" si="5"/>
        <v>0</v>
      </c>
      <c r="H9" s="71">
        <f t="shared" si="1"/>
        <v>0</v>
      </c>
      <c r="I9" s="66"/>
      <c r="J9" s="88"/>
    </row>
    <row r="10" spans="1:14">
      <c r="A10" s="39"/>
      <c r="B10" s="85"/>
      <c r="C10" s="86"/>
      <c r="D10" s="63" t="s">
        <v>127</v>
      </c>
      <c r="E10" s="62">
        <f>IFERROR(AVERAGEIFS('월별 기본데이터 합계'!$X$5:$X$28,'월별 기본데이터 합계'!$C$5:$C$28,L3,'월별 기본데이터 합계'!$X$5:$X$28,"&gt;0"),0)</f>
        <v>0</v>
      </c>
      <c r="F10" s="62">
        <f>IFERROR(AVERAGEIFS('월별 기본데이터 합계'!$X$5:$X$28,'월별 기본데이터 합계'!$C$5:$C$28,M3,'월별 기본데이터 합계'!$X$5:$X$28,"&gt;0"),0)</f>
        <v>0</v>
      </c>
      <c r="G10" s="62">
        <f>IFERROR(AVERAGEIFS('월별 기본데이터 합계'!$X$5:$X$28,'월별 기본데이터 합계'!$C$5:$C$28,N3,'월별 기본데이터 합계'!$X$5:$X$28,"&gt;0"),0)</f>
        <v>0</v>
      </c>
      <c r="H10" s="71">
        <f t="shared" si="1"/>
        <v>0</v>
      </c>
      <c r="I10" s="66">
        <f t="shared" si="2"/>
        <v>0</v>
      </c>
      <c r="J10" s="88"/>
    </row>
    <row r="11" spans="1:14" ht="15.75" thickBot="1">
      <c r="A11" s="39"/>
      <c r="B11" s="85"/>
      <c r="C11" s="86"/>
      <c r="D11" s="63" t="s">
        <v>128</v>
      </c>
      <c r="E11" s="64">
        <f>IFERROR(E10/E4,0)</f>
        <v>0</v>
      </c>
      <c r="F11" s="64">
        <f t="shared" ref="F11:G11" si="6">IFERROR(F10/F4,0)</f>
        <v>0</v>
      </c>
      <c r="G11" s="64">
        <f t="shared" si="6"/>
        <v>0</v>
      </c>
      <c r="H11" s="71">
        <f t="shared" si="1"/>
        <v>0</v>
      </c>
      <c r="I11" s="66"/>
      <c r="J11" s="88"/>
    </row>
    <row r="12" spans="1:14" ht="15" customHeight="1">
      <c r="A12" s="39"/>
      <c r="B12" s="91" t="s">
        <v>129</v>
      </c>
      <c r="C12" s="81" t="s">
        <v>144</v>
      </c>
      <c r="D12" s="59" t="s">
        <v>121</v>
      </c>
      <c r="E12" s="65">
        <f>IFERROR(E13+E18,0)</f>
        <v>0</v>
      </c>
      <c r="F12" s="65">
        <f t="shared" ref="F12:G12" si="7">IFERROR(F13+F18,0)</f>
        <v>0</v>
      </c>
      <c r="G12" s="65">
        <f t="shared" si="7"/>
        <v>0</v>
      </c>
      <c r="H12" s="65">
        <f>F12-E12</f>
        <v>0</v>
      </c>
      <c r="I12" s="58">
        <f>IFERROR((F12-E12)/E12,0)</f>
        <v>0</v>
      </c>
      <c r="J12" s="89"/>
      <c r="K12" t="s">
        <v>39</v>
      </c>
    </row>
    <row r="13" spans="1:14">
      <c r="A13" s="39"/>
      <c r="B13" s="92"/>
      <c r="C13" s="78"/>
      <c r="D13" s="59" t="s">
        <v>122</v>
      </c>
      <c r="E13" s="62">
        <f>IFERROR(AVERAGEIFS('업무월별분석 Phân tích CV theo tháng'!$C$55:$C$78,'업무월별분석 Phân tích CV theo tháng'!$P$55:$P$78,L3,'업무월별분석 Phân tích CV theo tháng'!$C$55:$C$78,"&gt;0"),0)</f>
        <v>0</v>
      </c>
      <c r="F13" s="62">
        <f>IFERROR(AVERAGEIFS('업무월별분석 Phân tích CV theo tháng'!$C$55:$C$78,'업무월별분석 Phân tích CV theo tháng'!$P$55:$P$78,M3,'업무월별분석 Phân tích CV theo tháng'!$C$55:$C$78,"&gt;0"),0)</f>
        <v>0</v>
      </c>
      <c r="G13" s="62">
        <f>IFERROR(AVERAGEIFS('업무월별분석 Phân tích CV theo tháng'!$C$55:$C$78,'업무월별분석 Phân tích CV theo tháng'!$P$55:$P$78,N3,'업무월별분석 Phân tích CV theo tháng'!$C$55:$C$78,"&gt;0"),0)</f>
        <v>0</v>
      </c>
      <c r="H13" s="62">
        <f>F13-E13</f>
        <v>0</v>
      </c>
      <c r="I13" s="61">
        <f>IFERROR((F13-E13)/F13,0)</f>
        <v>0</v>
      </c>
      <c r="J13" s="80"/>
    </row>
    <row r="14" spans="1:14">
      <c r="A14" s="39"/>
      <c r="B14" s="92"/>
      <c r="C14" s="78"/>
      <c r="D14" s="59" t="s">
        <v>123</v>
      </c>
      <c r="E14" s="62">
        <f>IFERROR(E13-E16,0)</f>
        <v>0</v>
      </c>
      <c r="F14" s="62">
        <f t="shared" ref="F14:G14" si="8">IFERROR(F13-F16,0)</f>
        <v>0</v>
      </c>
      <c r="G14" s="62">
        <f t="shared" si="8"/>
        <v>0</v>
      </c>
      <c r="H14" s="62">
        <f t="shared" ref="H14:H19" si="9">F14-E14</f>
        <v>0</v>
      </c>
      <c r="I14" s="61">
        <f t="shared" ref="I14:I18" si="10">IFERROR((F14-E14)/F14,0)</f>
        <v>0</v>
      </c>
      <c r="J14" s="80"/>
    </row>
    <row r="15" spans="1:14">
      <c r="A15" s="39"/>
      <c r="B15" s="92"/>
      <c r="C15" s="78"/>
      <c r="D15" s="59" t="s">
        <v>124</v>
      </c>
      <c r="E15" s="61">
        <f>IFERROR(E14/E12,0)</f>
        <v>0</v>
      </c>
      <c r="F15" s="61">
        <f t="shared" ref="F15:G15" si="11">IFERROR(F14/F12,0)</f>
        <v>0</v>
      </c>
      <c r="G15" s="61">
        <f t="shared" si="11"/>
        <v>0</v>
      </c>
      <c r="H15" s="62">
        <f t="shared" si="9"/>
        <v>0</v>
      </c>
      <c r="I15" s="61"/>
      <c r="J15" s="80"/>
    </row>
    <row r="16" spans="1:14">
      <c r="A16" s="39"/>
      <c r="B16" s="92"/>
      <c r="C16" s="78"/>
      <c r="D16" s="59" t="s">
        <v>125</v>
      </c>
      <c r="E16" s="62">
        <f>IFERROR(AVERAGEIFS('업무월별분석 Phân tích CV theo tháng'!$F$55:$F$78,'업무월별분석 Phân tích CV theo tháng'!$P$55:$P$78,L3,'업무월별분석 Phân tích CV theo tháng'!$F$55:$F$78,"&gt;0"),0)</f>
        <v>0</v>
      </c>
      <c r="F16" s="62">
        <f>IFERROR(AVERAGEIFS('업무월별분석 Phân tích CV theo tháng'!$F$55:$F$78,'업무월별분석 Phân tích CV theo tháng'!$P$55:$P$78,M3,'업무월별분석 Phân tích CV theo tháng'!$F$55:$F$78,"&gt;0"),0)</f>
        <v>0</v>
      </c>
      <c r="G16" s="62">
        <f>IFERROR(AVERAGEIFS('업무월별분석 Phân tích CV theo tháng'!$F$55:$F$78,'업무월별분석 Phân tích CV theo tháng'!$P$55:$P$78,N3,'업무월별분석 Phân tích CV theo tháng'!$F$55:$F$78,"&gt;0"),0)</f>
        <v>0</v>
      </c>
      <c r="H16" s="62">
        <f t="shared" si="9"/>
        <v>0</v>
      </c>
      <c r="I16" s="61">
        <f t="shared" si="10"/>
        <v>0</v>
      </c>
      <c r="J16" s="80"/>
    </row>
    <row r="17" spans="1:11">
      <c r="A17" s="39"/>
      <c r="B17" s="92"/>
      <c r="C17" s="78"/>
      <c r="D17" s="59" t="s">
        <v>126</v>
      </c>
      <c r="E17" s="61">
        <f>IFERROR(E16/E12,0)</f>
        <v>0</v>
      </c>
      <c r="F17" s="61">
        <f t="shared" ref="F17:G17" si="12">IFERROR(F16/F12,0)</f>
        <v>0</v>
      </c>
      <c r="G17" s="61">
        <f t="shared" si="12"/>
        <v>0</v>
      </c>
      <c r="H17" s="62">
        <f t="shared" si="9"/>
        <v>0</v>
      </c>
      <c r="I17" s="61"/>
      <c r="J17" s="80"/>
    </row>
    <row r="18" spans="1:11">
      <c r="A18" s="39"/>
      <c r="B18" s="92"/>
      <c r="C18" s="78"/>
      <c r="D18" s="63" t="s">
        <v>127</v>
      </c>
      <c r="E18" s="62">
        <f>IFERROR(AVERAGEIFS('업무월별분석 Phân tích CV theo tháng'!$G$55:$G$78,'업무월별분석 Phân tích CV theo tháng'!$P$55:$P$78,L3,'업무월별분석 Phân tích CV theo tháng'!$G$55:$G$78,"&gt;0"),0)</f>
        <v>0</v>
      </c>
      <c r="F18" s="62">
        <f>IFERROR(AVERAGEIFS('업무월별분석 Phân tích CV theo tháng'!$G$55:$G$78,'업무월별분석 Phân tích CV theo tháng'!$P$55:$P$78,M3,'업무월별분석 Phân tích CV theo tháng'!$G$55:$G$78,"&gt;0"),0)</f>
        <v>0</v>
      </c>
      <c r="G18" s="62">
        <f>IFERROR(AVERAGEIFS('업무월별분석 Phân tích CV theo tháng'!$G$55:$G$78,'업무월별분석 Phân tích CV theo tháng'!$P$55:$P$78,N3,'업무월별분석 Phân tích CV theo tháng'!$G$55:$G$78,"&gt;0"),0)</f>
        <v>0</v>
      </c>
      <c r="H18" s="62">
        <f t="shared" si="9"/>
        <v>0</v>
      </c>
      <c r="I18" s="61">
        <f t="shared" si="10"/>
        <v>0</v>
      </c>
      <c r="J18" s="80"/>
    </row>
    <row r="19" spans="1:11" ht="15.75" thickBot="1">
      <c r="A19" s="39"/>
      <c r="B19" s="92"/>
      <c r="C19" s="78"/>
      <c r="D19" s="63" t="s">
        <v>128</v>
      </c>
      <c r="E19" s="61">
        <f>IFERROR(E18/E12,0)</f>
        <v>0</v>
      </c>
      <c r="F19" s="61">
        <f t="shared" ref="F19:G19" si="13">IFERROR(F18/F12,0)</f>
        <v>0</v>
      </c>
      <c r="G19" s="61">
        <f t="shared" si="13"/>
        <v>0</v>
      </c>
      <c r="H19" s="62">
        <f t="shared" si="9"/>
        <v>0</v>
      </c>
      <c r="I19" s="61"/>
      <c r="J19" s="80"/>
    </row>
    <row r="20" spans="1:11">
      <c r="A20" s="39"/>
      <c r="B20" s="92"/>
      <c r="C20" s="81" t="s">
        <v>145</v>
      </c>
      <c r="D20" s="59" t="s">
        <v>121</v>
      </c>
      <c r="E20" s="65">
        <f>IFERROR(E21+E26,0)</f>
        <v>0</v>
      </c>
      <c r="F20" s="65">
        <f t="shared" ref="F20:G20" si="14">IFERROR(F21+F26,0)</f>
        <v>0</v>
      </c>
      <c r="G20" s="65">
        <f t="shared" si="14"/>
        <v>0</v>
      </c>
      <c r="H20" s="65">
        <f>F20-E20</f>
        <v>0</v>
      </c>
      <c r="I20" s="58">
        <f>IFERROR((F20-E20)/E20,0)</f>
        <v>0</v>
      </c>
      <c r="J20" s="89"/>
      <c r="K20" t="s">
        <v>143</v>
      </c>
    </row>
    <row r="21" spans="1:11">
      <c r="A21" s="39"/>
      <c r="B21" s="92"/>
      <c r="C21" s="78"/>
      <c r="D21" s="59" t="s">
        <v>122</v>
      </c>
      <c r="E21" s="62">
        <f>IFERROR(AVERAGEIFS('업무월별분석 Phân tích CV theo tháng'!$C$82:$C$105,'업무월별분석 Phân tích CV theo tháng'!$P$82:$P$105,L3,'업무월별분석 Phân tích CV theo tháng'!$C$82:$C$105,"&gt;0"),0)</f>
        <v>0</v>
      </c>
      <c r="F21" s="62">
        <f>IFERROR(AVERAGEIFS('업무월별분석 Phân tích CV theo tháng'!$C$82:$C$105,'업무월별분석 Phân tích CV theo tháng'!$P$82:$P$105,M3,'업무월별분석 Phân tích CV theo tháng'!$C$82:$C$105,"&gt;0"),0)</f>
        <v>0</v>
      </c>
      <c r="G21" s="62">
        <f>IFERROR(AVERAGEIFS('업무월별분석 Phân tích CV theo tháng'!$C$82:$C$105,'업무월별분석 Phân tích CV theo tháng'!$P$82:$P$105,N3,'업무월별분석 Phân tích CV theo tháng'!$C$82:$C$105,"&gt;0"),0)</f>
        <v>0</v>
      </c>
      <c r="H21" s="62">
        <f>F21-E21</f>
        <v>0</v>
      </c>
      <c r="I21" s="61">
        <f>IFERROR((F21-E21)/F21,0)</f>
        <v>0</v>
      </c>
      <c r="J21" s="80"/>
    </row>
    <row r="22" spans="1:11">
      <c r="A22" s="39"/>
      <c r="B22" s="92"/>
      <c r="C22" s="78"/>
      <c r="D22" s="59" t="s">
        <v>123</v>
      </c>
      <c r="E22" s="62">
        <f>IFERROR(E21-E24,0)</f>
        <v>0</v>
      </c>
      <c r="F22" s="62">
        <f t="shared" ref="F22:G22" si="15">IFERROR(F21-F24,0)</f>
        <v>0</v>
      </c>
      <c r="G22" s="62">
        <f t="shared" si="15"/>
        <v>0</v>
      </c>
      <c r="H22" s="62">
        <f t="shared" ref="H22:H27" si="16">F22-E22</f>
        <v>0</v>
      </c>
      <c r="I22" s="61">
        <f t="shared" ref="I22:I26" si="17">IFERROR((F22-E22)/F22,0)</f>
        <v>0</v>
      </c>
      <c r="J22" s="80"/>
    </row>
    <row r="23" spans="1:11">
      <c r="A23" s="39"/>
      <c r="B23" s="92"/>
      <c r="C23" s="78"/>
      <c r="D23" s="59" t="s">
        <v>124</v>
      </c>
      <c r="E23" s="61">
        <f>IFERROR(E22/E20,0)</f>
        <v>0</v>
      </c>
      <c r="F23" s="61">
        <f t="shared" ref="F23:G23" si="18">IFERROR(F22/F20,0)</f>
        <v>0</v>
      </c>
      <c r="G23" s="61">
        <f t="shared" si="18"/>
        <v>0</v>
      </c>
      <c r="H23" s="62">
        <f t="shared" si="16"/>
        <v>0</v>
      </c>
      <c r="I23" s="61"/>
      <c r="J23" s="80"/>
    </row>
    <row r="24" spans="1:11">
      <c r="A24" s="39"/>
      <c r="B24" s="92"/>
      <c r="C24" s="78"/>
      <c r="D24" s="59" t="s">
        <v>125</v>
      </c>
      <c r="E24" s="62">
        <f>IFERROR(AVERAGEIFS('업무월별분석 Phân tích CV theo tháng'!$F$82:$F$105,'업무월별분석 Phân tích CV theo tháng'!$P$82:$P$105,L3,'업무월별분석 Phân tích CV theo tháng'!$F$82:$F$105,"&gt;0"),0)</f>
        <v>0</v>
      </c>
      <c r="F24" s="62">
        <f>IFERROR(AVERAGEIF('업무월별분석 Phân tích CV theo tháng'!$P$82:$P$105,M3,'업무월별분석 Phân tích CV theo tháng'!$F$82:$F$105),0)</f>
        <v>0</v>
      </c>
      <c r="G24" s="62">
        <f>IFERROR(AVERAGEIF('업무월별분석 Phân tích CV theo tháng'!$P$82:$P$105,N3,'업무월별분석 Phân tích CV theo tháng'!$F$82:$F$105),0)</f>
        <v>0</v>
      </c>
      <c r="H24" s="62">
        <f t="shared" si="16"/>
        <v>0</v>
      </c>
      <c r="I24" s="61">
        <f t="shared" si="17"/>
        <v>0</v>
      </c>
      <c r="J24" s="80"/>
    </row>
    <row r="25" spans="1:11">
      <c r="A25" s="39"/>
      <c r="B25" s="92"/>
      <c r="C25" s="78"/>
      <c r="D25" s="59" t="s">
        <v>126</v>
      </c>
      <c r="E25" s="61">
        <f>IFERROR(E24/E20,0)</f>
        <v>0</v>
      </c>
      <c r="F25" s="61">
        <f t="shared" ref="F25:G25" si="19">IFERROR(F24/F20,0)</f>
        <v>0</v>
      </c>
      <c r="G25" s="61">
        <f t="shared" si="19"/>
        <v>0</v>
      </c>
      <c r="H25" s="62">
        <f t="shared" si="16"/>
        <v>0</v>
      </c>
      <c r="I25" s="61"/>
      <c r="J25" s="80"/>
    </row>
    <row r="26" spans="1:11">
      <c r="A26" s="39"/>
      <c r="B26" s="92"/>
      <c r="C26" s="78"/>
      <c r="D26" s="63" t="s">
        <v>127</v>
      </c>
      <c r="E26" s="62">
        <f>IFERROR(AVERAGEIFS('업무월별분석 Phân tích CV theo tháng'!$G$82:$G$105,'업무월별분석 Phân tích CV theo tháng'!$P$82:$P$105,L3,'업무월별분석 Phân tích CV theo tháng'!$G$82:$G$105,"&gt;0"),0)</f>
        <v>0</v>
      </c>
      <c r="F26" s="62">
        <f>IFERROR(AVERAGEIFS('업무월별분석 Phân tích CV theo tháng'!$G$82:$G$105,'업무월별분석 Phân tích CV theo tháng'!$P$82:$P$105,M3,'업무월별분석 Phân tích CV theo tháng'!$G$82:$G$105,"&gt;0"),0)</f>
        <v>0</v>
      </c>
      <c r="G26" s="62">
        <f>IFERROR(AVERAGEIFS('업무월별분석 Phân tích CV theo tháng'!$G$82:$G$105,'업무월별분석 Phân tích CV theo tháng'!$P$82:$P$105,N3,'업무월별분석 Phân tích CV theo tháng'!$G$82:$G$105,"&gt;0"),0)</f>
        <v>0</v>
      </c>
      <c r="H26" s="62">
        <f t="shared" si="16"/>
        <v>0</v>
      </c>
      <c r="I26" s="61">
        <f t="shared" si="17"/>
        <v>0</v>
      </c>
      <c r="J26" s="80"/>
    </row>
    <row r="27" spans="1:11" ht="15.75" thickBot="1">
      <c r="A27" s="39"/>
      <c r="B27" s="92"/>
      <c r="C27" s="78"/>
      <c r="D27" s="63" t="s">
        <v>128</v>
      </c>
      <c r="E27" s="64">
        <f>IFERROR(E26/E20,0)</f>
        <v>0</v>
      </c>
      <c r="F27" s="64">
        <f t="shared" ref="F27:G27" si="20">IFERROR(F26/F20,0)</f>
        <v>0</v>
      </c>
      <c r="G27" s="64">
        <f t="shared" si="20"/>
        <v>0</v>
      </c>
      <c r="H27" s="75">
        <f t="shared" si="16"/>
        <v>0</v>
      </c>
      <c r="I27" s="64"/>
      <c r="J27" s="90"/>
    </row>
    <row r="28" spans="1:11">
      <c r="A28" s="39"/>
      <c r="B28" s="92"/>
      <c r="C28" s="77" t="s">
        <v>70</v>
      </c>
      <c r="D28" s="59" t="s">
        <v>121</v>
      </c>
      <c r="E28" s="65">
        <f>IFERROR(E29+E34,0)</f>
        <v>0</v>
      </c>
      <c r="F28" s="65">
        <f t="shared" ref="F28" si="21">IFERROR(F29+F34,0)</f>
        <v>0</v>
      </c>
      <c r="G28" s="65">
        <f t="shared" ref="G28" si="22">IFERROR(G29+G34,0)</f>
        <v>0</v>
      </c>
      <c r="H28" s="65">
        <f>F28-E28</f>
        <v>0</v>
      </c>
      <c r="I28" s="58">
        <f>IFERROR((F28-E28)/E28,0)</f>
        <v>0</v>
      </c>
      <c r="J28" s="79"/>
      <c r="K28" t="s">
        <v>33</v>
      </c>
    </row>
    <row r="29" spans="1:11">
      <c r="A29" s="39"/>
      <c r="B29" s="92"/>
      <c r="C29" s="78"/>
      <c r="D29" s="59" t="s">
        <v>122</v>
      </c>
      <c r="E29" s="62">
        <f>IFERROR(AVERAGEIF('업무월별분석 Phân tích CV theo tháng'!$P$109:$P$132,L3,'업무월별분석 Phân tích CV theo tháng'!$C$109:$C$132),0)</f>
        <v>0</v>
      </c>
      <c r="F29" s="62">
        <f>IFERROR(AVERAGEIF('업무월별분석 Phân tích CV theo tháng'!$P$109:$P$132,M3,'업무월별분석 Phân tích CV theo tháng'!$C$109:$C$132),0)</f>
        <v>0</v>
      </c>
      <c r="G29" s="62">
        <f>IFERROR(AVERAGEIF('업무월별분석 Phân tích CV theo tháng'!$P$109:$P$132,N3,'업무월별분석 Phân tích CV theo tháng'!$C$109:$C$132),0)</f>
        <v>0</v>
      </c>
      <c r="H29" s="62">
        <f>F29-E29</f>
        <v>0</v>
      </c>
      <c r="I29" s="61">
        <f>IFERROR((F29-E29)/F29,0)</f>
        <v>0</v>
      </c>
      <c r="J29" s="80"/>
    </row>
    <row r="30" spans="1:11">
      <c r="A30" s="39"/>
      <c r="B30" s="92"/>
      <c r="C30" s="78"/>
      <c r="D30" s="59" t="s">
        <v>123</v>
      </c>
      <c r="E30" s="62">
        <f>IFERROR(E29-E32,0)</f>
        <v>0</v>
      </c>
      <c r="F30" s="62">
        <f t="shared" ref="F30" si="23">IFERROR(F29-F32,0)</f>
        <v>0</v>
      </c>
      <c r="G30" s="62">
        <f t="shared" ref="G30" si="24">IFERROR(G29-G32,0)</f>
        <v>0</v>
      </c>
      <c r="H30" s="62">
        <f t="shared" ref="H30:H35" si="25">F30-E30</f>
        <v>0</v>
      </c>
      <c r="I30" s="61">
        <f t="shared" ref="I30" si="26">IFERROR((F30-E30)/F30,0)</f>
        <v>0</v>
      </c>
      <c r="J30" s="80"/>
    </row>
    <row r="31" spans="1:11">
      <c r="A31" s="39"/>
      <c r="B31" s="92"/>
      <c r="C31" s="78"/>
      <c r="D31" s="59" t="s">
        <v>124</v>
      </c>
      <c r="E31" s="61">
        <f>IFERROR(E30/E28,0)</f>
        <v>0</v>
      </c>
      <c r="F31" s="61">
        <f t="shared" ref="F31" si="27">IFERROR(F30/F28,0)</f>
        <v>0</v>
      </c>
      <c r="G31" s="61">
        <f t="shared" ref="G31" si="28">IFERROR(G30/G28,0)</f>
        <v>0</v>
      </c>
      <c r="H31" s="62">
        <f t="shared" si="25"/>
        <v>0</v>
      </c>
      <c r="I31" s="61"/>
      <c r="J31" s="80"/>
    </row>
    <row r="32" spans="1:11">
      <c r="A32" s="39"/>
      <c r="B32" s="92"/>
      <c r="C32" s="78"/>
      <c r="D32" s="59" t="s">
        <v>125</v>
      </c>
      <c r="E32" s="62">
        <f>IFERROR(AVERAGEIFS('업무월별분석 Phân tích CV theo tháng'!$F$109:$F$132,'업무월별분석 Phân tích CV theo tháng'!$P$109:$P$132,L3,'업무월별분석 Phân tích CV theo tháng'!$F$109:$F$132,"&gt;0"),0)</f>
        <v>0</v>
      </c>
      <c r="F32" s="62">
        <f>IFERROR(AVERAGEIFS('업무월별분석 Phân tích CV theo tháng'!$F$109:$F$132,'업무월별분석 Phân tích CV theo tháng'!$P$109:$P$132,M3,'업무월별분석 Phân tích CV theo tháng'!$F$109:$F$132,"&gt;0"),0)</f>
        <v>0</v>
      </c>
      <c r="G32" s="62">
        <f>IFERROR(AVERAGEIFS('업무월별분석 Phân tích CV theo tháng'!$F$109:$F$132,'업무월별분석 Phân tích CV theo tháng'!$P$109:$P$132,N3,'업무월별분석 Phân tích CV theo tháng'!$F$109:$F$132,"&gt;0"),0)</f>
        <v>0</v>
      </c>
      <c r="H32" s="62">
        <f t="shared" si="25"/>
        <v>0</v>
      </c>
      <c r="I32" s="61">
        <f t="shared" ref="I32" si="29">IFERROR((F32-E32)/F32,0)</f>
        <v>0</v>
      </c>
      <c r="J32" s="80"/>
    </row>
    <row r="33" spans="1:11">
      <c r="A33" s="39"/>
      <c r="B33" s="92"/>
      <c r="C33" s="78"/>
      <c r="D33" s="59" t="s">
        <v>126</v>
      </c>
      <c r="E33" s="61">
        <f>IFERROR(E32/E28,0)</f>
        <v>0</v>
      </c>
      <c r="F33" s="61">
        <f t="shared" ref="F33" si="30">IFERROR(F32/F28,0)</f>
        <v>0</v>
      </c>
      <c r="G33" s="61">
        <f t="shared" ref="G33" si="31">IFERROR(G32/G28,0)</f>
        <v>0</v>
      </c>
      <c r="H33" s="62">
        <f t="shared" si="25"/>
        <v>0</v>
      </c>
      <c r="I33" s="61"/>
      <c r="J33" s="80"/>
    </row>
    <row r="34" spans="1:11">
      <c r="A34" s="39"/>
      <c r="B34" s="92"/>
      <c r="C34" s="78"/>
      <c r="D34" s="63" t="s">
        <v>127</v>
      </c>
      <c r="E34" s="62">
        <f>IFERROR(AVERAGEIFS('업무월별분석 Phân tích CV theo tháng'!$G$109:$G$132,'업무월별분석 Phân tích CV theo tháng'!$P$109:$P$132,L3,'업무월별분석 Phân tích CV theo tháng'!$G$109:$G$132,"&gt;0"),0)</f>
        <v>0</v>
      </c>
      <c r="F34" s="62">
        <f>IFERROR(AVERAGEIFS('업무월별분석 Phân tích CV theo tháng'!$G$109:$G$132,'업무월별분석 Phân tích CV theo tháng'!$P$109:$P$132,M3,'업무월별분석 Phân tích CV theo tháng'!$G$109:$G$132,"&gt;0"),0)</f>
        <v>0</v>
      </c>
      <c r="G34" s="62">
        <f>IFERROR(AVERAGEIFS('업무월별분석 Phân tích CV theo tháng'!$G$109:$G$132,'업무월별분석 Phân tích CV theo tháng'!$P$109:$P$132,N3,'업무월별분석 Phân tích CV theo tháng'!$G$109:$G$132,"&gt;0"),0)</f>
        <v>0</v>
      </c>
      <c r="H34" s="62">
        <f t="shared" si="25"/>
        <v>0</v>
      </c>
      <c r="I34" s="61">
        <f t="shared" ref="I34" si="32">IFERROR((F34-E34)/F34,0)</f>
        <v>0</v>
      </c>
      <c r="J34" s="80"/>
    </row>
    <row r="35" spans="1:11" ht="15.75" thickBot="1">
      <c r="A35" s="39"/>
      <c r="B35" s="92"/>
      <c r="C35" s="78"/>
      <c r="D35" s="63" t="s">
        <v>128</v>
      </c>
      <c r="E35" s="64">
        <f>IFERROR(E34/E28,0)</f>
        <v>0</v>
      </c>
      <c r="F35" s="64">
        <f t="shared" ref="F35" si="33">IFERROR(F34/F28,0)</f>
        <v>0</v>
      </c>
      <c r="G35" s="64">
        <f t="shared" ref="G35" si="34">IFERROR(G34/G28,0)</f>
        <v>0</v>
      </c>
      <c r="H35" s="75">
        <f t="shared" si="25"/>
        <v>0</v>
      </c>
      <c r="I35" s="64"/>
      <c r="J35" s="80"/>
    </row>
    <row r="36" spans="1:11">
      <c r="A36" s="39"/>
      <c r="B36" s="92"/>
      <c r="C36" s="81" t="s">
        <v>146</v>
      </c>
      <c r="D36" s="59" t="s">
        <v>121</v>
      </c>
      <c r="E36" s="65">
        <f>IFERROR(E37+E42,0)</f>
        <v>0</v>
      </c>
      <c r="F36" s="65">
        <f t="shared" ref="F36:G36" si="35">IFERROR(F37+F42,0)</f>
        <v>0</v>
      </c>
      <c r="G36" s="65">
        <f t="shared" si="35"/>
        <v>0</v>
      </c>
      <c r="H36" s="65">
        <f>F36-E36</f>
        <v>0</v>
      </c>
      <c r="I36" s="58">
        <f>IFERROR((F36-E36)/E36,0)</f>
        <v>0</v>
      </c>
      <c r="J36" s="89"/>
      <c r="K36" t="s">
        <v>34</v>
      </c>
    </row>
    <row r="37" spans="1:11">
      <c r="A37" s="39"/>
      <c r="B37" s="92"/>
      <c r="C37" s="78"/>
      <c r="D37" s="59" t="s">
        <v>122</v>
      </c>
      <c r="E37" s="62">
        <f>IFERROR(AVERAGEIFS('업무월별분석 Phân tích CV theo tháng'!$C$136:$C$159,'업무월별분석 Phân tích CV theo tháng'!$P$136:$P$159,L3,'업무월별분석 Phân tích CV theo tháng'!$C$136:$C$159,"&gt;0"),0)</f>
        <v>0</v>
      </c>
      <c r="F37" s="62">
        <f>IFERROR(AVERAGEIFS('업무월별분석 Phân tích CV theo tháng'!$C$136:$C$159,'업무월별분석 Phân tích CV theo tháng'!$P$136:$P$159,M3,'업무월별분석 Phân tích CV theo tháng'!$C$136:$C$159,"&gt;0"),0)</f>
        <v>0</v>
      </c>
      <c r="G37" s="62">
        <f>IFERROR(AVERAGEIFS('업무월별분석 Phân tích CV theo tháng'!$C$136:$C$159,'업무월별분석 Phân tích CV theo tháng'!$P$136:$P$159,N3,'업무월별분석 Phân tích CV theo tháng'!$C$136:$C$159,"&gt;0"),0)</f>
        <v>0</v>
      </c>
      <c r="H37" s="62">
        <f>F37-E37</f>
        <v>0</v>
      </c>
      <c r="I37" s="61">
        <f>IFERROR((F37-E37)/F37,0)</f>
        <v>0</v>
      </c>
      <c r="J37" s="80"/>
    </row>
    <row r="38" spans="1:11">
      <c r="A38" s="39"/>
      <c r="B38" s="92"/>
      <c r="C38" s="78"/>
      <c r="D38" s="59" t="s">
        <v>123</v>
      </c>
      <c r="E38" s="62">
        <f>IFERROR(E37-E40,0)</f>
        <v>0</v>
      </c>
      <c r="F38" s="62">
        <f t="shared" ref="F38:G38" si="36">IFERROR(F37-F40,0)</f>
        <v>0</v>
      </c>
      <c r="G38" s="62">
        <f t="shared" si="36"/>
        <v>0</v>
      </c>
      <c r="H38" s="62">
        <f t="shared" ref="H38:H43" si="37">F38-E38</f>
        <v>0</v>
      </c>
      <c r="I38" s="61">
        <f t="shared" ref="I38" si="38">IFERROR((F38-E38)/F38,0)</f>
        <v>0</v>
      </c>
      <c r="J38" s="80"/>
    </row>
    <row r="39" spans="1:11">
      <c r="A39" s="39"/>
      <c r="B39" s="92"/>
      <c r="C39" s="78"/>
      <c r="D39" s="59" t="s">
        <v>124</v>
      </c>
      <c r="E39" s="61">
        <f>IFERROR(E38/E36,0)</f>
        <v>0</v>
      </c>
      <c r="F39" s="61">
        <f t="shared" ref="F39:G39" si="39">IFERROR(F38/F36,0)</f>
        <v>0</v>
      </c>
      <c r="G39" s="61">
        <f t="shared" si="39"/>
        <v>0</v>
      </c>
      <c r="H39" s="62">
        <f t="shared" si="37"/>
        <v>0</v>
      </c>
      <c r="I39" s="61"/>
      <c r="J39" s="80"/>
    </row>
    <row r="40" spans="1:11">
      <c r="A40" s="39"/>
      <c r="B40" s="92"/>
      <c r="C40" s="78"/>
      <c r="D40" s="59" t="s">
        <v>125</v>
      </c>
      <c r="E40" s="62">
        <f>IFERROR(AVERAGEIFS('업무월별분석 Phân tích CV theo tháng'!$F$136:$F$159,'업무월별분석 Phân tích CV theo tháng'!$P$136:$P$159,L3,'업무월별분석 Phân tích CV theo tháng'!$F$136:$F$159,"&gt;0"),0)</f>
        <v>0</v>
      </c>
      <c r="F40" s="62">
        <f>IFERROR(AVERAGEIFS('업무월별분석 Phân tích CV theo tháng'!$F$136:$F$159,'업무월별분석 Phân tích CV theo tháng'!$P$136:$P$159,M3,'업무월별분석 Phân tích CV theo tháng'!$F$136:$F$159,"&gt;0"),0)</f>
        <v>0</v>
      </c>
      <c r="G40" s="62">
        <f>IFERROR(AVERAGEIFS('업무월별분석 Phân tích CV theo tháng'!$F$136:$F$159,'업무월별분석 Phân tích CV theo tháng'!$P$136:$P$159,N3,'업무월별분석 Phân tích CV theo tháng'!$F$136:$F$159,"&gt;0"),0)</f>
        <v>0</v>
      </c>
      <c r="H40" s="62">
        <f t="shared" si="37"/>
        <v>0</v>
      </c>
      <c r="I40" s="61">
        <f t="shared" ref="I40" si="40">IFERROR((F40-E40)/F40,0)</f>
        <v>0</v>
      </c>
      <c r="J40" s="80"/>
    </row>
    <row r="41" spans="1:11">
      <c r="A41" s="39"/>
      <c r="B41" s="92"/>
      <c r="C41" s="78"/>
      <c r="D41" s="59" t="s">
        <v>126</v>
      </c>
      <c r="E41" s="61">
        <f>IFERROR(E40/E36,0)</f>
        <v>0</v>
      </c>
      <c r="F41" s="61">
        <f t="shared" ref="F41:G41" si="41">IFERROR(F40/F36,0)</f>
        <v>0</v>
      </c>
      <c r="G41" s="61">
        <f t="shared" si="41"/>
        <v>0</v>
      </c>
      <c r="H41" s="62">
        <f t="shared" si="37"/>
        <v>0</v>
      </c>
      <c r="I41" s="61"/>
      <c r="J41" s="80"/>
    </row>
    <row r="42" spans="1:11">
      <c r="A42" s="39"/>
      <c r="B42" s="92"/>
      <c r="C42" s="78"/>
      <c r="D42" s="63" t="s">
        <v>127</v>
      </c>
      <c r="E42" s="62">
        <f>IFERROR(AVERAGEIFS('업무월별분석 Phân tích CV theo tháng'!$G$136:$G$159,'업무월별분석 Phân tích CV theo tháng'!$P$136:$P$159,L3,'업무월별분석 Phân tích CV theo tháng'!$G$136:$G$159,"&gt;0"),0)</f>
        <v>0</v>
      </c>
      <c r="F42" s="62">
        <f>IFERROR(AVERAGEIFS('업무월별분석 Phân tích CV theo tháng'!$G$136:$G$159,'업무월별분석 Phân tích CV theo tháng'!$P$136:$P$159,M3,'업무월별분석 Phân tích CV theo tháng'!$G$136:$G$159,"&gt;0"),0)</f>
        <v>0</v>
      </c>
      <c r="G42" s="62">
        <f>IFERROR(AVERAGEIFS('업무월별분석 Phân tích CV theo tháng'!$G$136:$G$159,'업무월별분석 Phân tích CV theo tháng'!$P$136:$P$159,N3,'업무월별분석 Phân tích CV theo tháng'!$G$136:$G$159,"&gt;0"),0)</f>
        <v>0</v>
      </c>
      <c r="H42" s="62">
        <f t="shared" si="37"/>
        <v>0</v>
      </c>
      <c r="I42" s="61">
        <f t="shared" ref="I42" si="42">IFERROR((F42-E42)/F42,0)</f>
        <v>0</v>
      </c>
      <c r="J42" s="80"/>
    </row>
    <row r="43" spans="1:11" ht="15.75" thickBot="1">
      <c r="A43" s="39"/>
      <c r="B43" s="92"/>
      <c r="C43" s="82"/>
      <c r="D43" s="63" t="s">
        <v>128</v>
      </c>
      <c r="E43" s="64">
        <f>IFERROR(E42/E36,0)</f>
        <v>0</v>
      </c>
      <c r="F43" s="64">
        <f t="shared" ref="F43:G43" si="43">IFERROR(F42/F36,0)</f>
        <v>0</v>
      </c>
      <c r="G43" s="64">
        <f t="shared" si="43"/>
        <v>0</v>
      </c>
      <c r="H43" s="75">
        <f t="shared" si="37"/>
        <v>0</v>
      </c>
      <c r="I43" s="64"/>
      <c r="J43" s="90"/>
    </row>
    <row r="44" spans="1:11">
      <c r="B44" s="92"/>
      <c r="C44" s="81" t="s">
        <v>71</v>
      </c>
      <c r="D44" s="59" t="s">
        <v>121</v>
      </c>
      <c r="E44" s="65">
        <f>IFERROR(E45+E50,0)</f>
        <v>0</v>
      </c>
      <c r="F44" s="65">
        <f t="shared" ref="F44:G44" si="44">IFERROR(F45+F50,0)</f>
        <v>0</v>
      </c>
      <c r="G44" s="65">
        <f t="shared" si="44"/>
        <v>0</v>
      </c>
      <c r="H44" s="65">
        <f>F44-E44</f>
        <v>0</v>
      </c>
      <c r="I44" s="58">
        <f>IFERROR((F44-E44)/E44,0)</f>
        <v>0</v>
      </c>
      <c r="J44" s="89"/>
    </row>
    <row r="45" spans="1:11">
      <c r="B45" s="92"/>
      <c r="C45" s="78"/>
      <c r="D45" s="59" t="s">
        <v>122</v>
      </c>
      <c r="E45" s="62">
        <f>IFERROR(AVERAGEIFS('업무월별분석 Phân tích CV theo tháng'!$C$163:$C$186,'업무월별분석 Phân tích CV theo tháng'!$P$163:$P$186,L3,'업무월별분석 Phân tích CV theo tháng'!$C$163:$C$186,"&gt;0"),0)</f>
        <v>0</v>
      </c>
      <c r="F45" s="62">
        <f>IFERROR(AVERAGEIFS('업무월별분석 Phân tích CV theo tháng'!$C$163:$C$186,'업무월별분석 Phân tích CV theo tháng'!$P$163:$P$186,M3,'업무월별분석 Phân tích CV theo tháng'!$C$163:$C$186,"&gt;0"),0)</f>
        <v>0</v>
      </c>
      <c r="G45" s="62">
        <f>IFERROR(AVERAGEIFS('업무월별분석 Phân tích CV theo tháng'!$C$163:$C$186,'업무월별분석 Phân tích CV theo tháng'!$P$163:$P$186,N3,'업무월별분석 Phân tích CV theo tháng'!$C$163:$C$186,"&gt;0"),0)</f>
        <v>0</v>
      </c>
      <c r="H45" s="62">
        <f>F45-E45</f>
        <v>0</v>
      </c>
      <c r="I45" s="61">
        <f>IFERROR((F45-E45)/F45,0)</f>
        <v>0</v>
      </c>
      <c r="J45" s="80"/>
    </row>
    <row r="46" spans="1:11">
      <c r="B46" s="92"/>
      <c r="C46" s="78"/>
      <c r="D46" s="59" t="s">
        <v>123</v>
      </c>
      <c r="E46" s="62">
        <f>IFERROR(E45-E48,0)</f>
        <v>0</v>
      </c>
      <c r="F46" s="62">
        <f t="shared" ref="F46:G46" si="45">IFERROR(F45-F48,0)</f>
        <v>0</v>
      </c>
      <c r="G46" s="62">
        <f t="shared" si="45"/>
        <v>0</v>
      </c>
      <c r="H46" s="62">
        <f t="shared" ref="H46:H51" si="46">F46-E46</f>
        <v>0</v>
      </c>
      <c r="I46" s="61">
        <f t="shared" ref="I46" si="47">IFERROR((F46-E46)/F46,0)</f>
        <v>0</v>
      </c>
      <c r="J46" s="80"/>
    </row>
    <row r="47" spans="1:11">
      <c r="B47" s="92"/>
      <c r="C47" s="78"/>
      <c r="D47" s="59" t="s">
        <v>124</v>
      </c>
      <c r="E47" s="61">
        <f>IFERROR(E46/E44,0)</f>
        <v>0</v>
      </c>
      <c r="F47" s="61">
        <f t="shared" ref="F47:G47" si="48">IFERROR(F46/F44,0)</f>
        <v>0</v>
      </c>
      <c r="G47" s="61">
        <f t="shared" si="48"/>
        <v>0</v>
      </c>
      <c r="H47" s="62">
        <f t="shared" si="46"/>
        <v>0</v>
      </c>
      <c r="I47" s="61"/>
      <c r="J47" s="80"/>
    </row>
    <row r="48" spans="1:11">
      <c r="B48" s="92"/>
      <c r="C48" s="78"/>
      <c r="D48" s="59" t="s">
        <v>125</v>
      </c>
      <c r="E48" s="62">
        <f>IFERROR(AVERAGEIFS('업무월별분석 Phân tích CV theo tháng'!$F$163:$F$186,'업무월별분석 Phân tích CV theo tháng'!$P$163:$P$186,L3,'업무월별분석 Phân tích CV theo tháng'!$F$163:$F$186,"&gt;0"),0)</f>
        <v>0</v>
      </c>
      <c r="F48" s="62">
        <f>IFERROR(AVERAGEIFS('업무월별분석 Phân tích CV theo tháng'!$F$163:$F$186,'업무월별분석 Phân tích CV theo tháng'!$P$163:$P$186,M3,'업무월별분석 Phân tích CV theo tháng'!$F$163:$F$186,"&gt;0"),0)</f>
        <v>0</v>
      </c>
      <c r="G48" s="62">
        <f>IFERROR(AVERAGEIFS('업무월별분석 Phân tích CV theo tháng'!$F$163:$F$186,'업무월별분석 Phân tích CV theo tháng'!$P$163:$P$186,N3,'업무월별분석 Phân tích CV theo tháng'!$F$163:$F$186,"&gt;0"),0)</f>
        <v>0</v>
      </c>
      <c r="H48" s="62">
        <f t="shared" si="46"/>
        <v>0</v>
      </c>
      <c r="I48" s="61">
        <f t="shared" ref="I48" si="49">IFERROR((F48-E48)/F48,0)</f>
        <v>0</v>
      </c>
      <c r="J48" s="80"/>
    </row>
    <row r="49" spans="2:10">
      <c r="B49" s="92"/>
      <c r="C49" s="78"/>
      <c r="D49" s="59" t="s">
        <v>126</v>
      </c>
      <c r="E49" s="61">
        <f>IFERROR(E48/E44,0)</f>
        <v>0</v>
      </c>
      <c r="F49" s="61">
        <f t="shared" ref="F49:G49" si="50">IFERROR(F48/F44,0)</f>
        <v>0</v>
      </c>
      <c r="G49" s="61">
        <f t="shared" si="50"/>
        <v>0</v>
      </c>
      <c r="H49" s="62">
        <f t="shared" si="46"/>
        <v>0</v>
      </c>
      <c r="I49" s="61"/>
      <c r="J49" s="80"/>
    </row>
    <row r="50" spans="2:10">
      <c r="B50" s="92"/>
      <c r="C50" s="78"/>
      <c r="D50" s="63" t="s">
        <v>127</v>
      </c>
      <c r="E50" s="62">
        <f>IFERROR(AVERAGEIFS('업무월별분석 Phân tích CV theo tháng'!$G$163:$G$186,'업무월별분석 Phân tích CV theo tháng'!$P$163:$P$186,L3,'업무월별분석 Phân tích CV theo tháng'!$G$163:$G$186,"&gt;0"),0)</f>
        <v>0</v>
      </c>
      <c r="F50" s="62">
        <f>IFERROR(AVERAGEIFS('업무월별분석 Phân tích CV theo tháng'!$G$163:$G$186,'업무월별분석 Phân tích CV theo tháng'!$P$163:$P$186,M3,'업무월별분석 Phân tích CV theo tháng'!$G$163:$G$186,"&gt;0"),0)</f>
        <v>0</v>
      </c>
      <c r="G50" s="62">
        <f>IFERROR(AVERAGEIFS('업무월별분석 Phân tích CV theo tháng'!$G$163:$G$186,'업무월별분석 Phân tích CV theo tháng'!$P$163:$P$186,N3,'업무월별분석 Phân tích CV theo tháng'!$G$163:$G$186,"&gt;0"),0)</f>
        <v>0</v>
      </c>
      <c r="H50" s="62">
        <f t="shared" si="46"/>
        <v>0</v>
      </c>
      <c r="I50" s="61">
        <f t="shared" ref="I50" si="51">IFERROR((F50-E50)/F50,0)</f>
        <v>0</v>
      </c>
      <c r="J50" s="80"/>
    </row>
    <row r="51" spans="2:10" ht="15.75" thickBot="1">
      <c r="B51" s="92"/>
      <c r="C51" s="78"/>
      <c r="D51" s="63" t="s">
        <v>128</v>
      </c>
      <c r="E51" s="64">
        <f>IFERROR(E50/E44,0)</f>
        <v>0</v>
      </c>
      <c r="F51" s="64">
        <f t="shared" ref="F51:G51" si="52">IFERROR(F50/F44,0)</f>
        <v>0</v>
      </c>
      <c r="G51" s="64">
        <f t="shared" si="52"/>
        <v>0</v>
      </c>
      <c r="H51" s="75">
        <f t="shared" si="46"/>
        <v>0</v>
      </c>
      <c r="I51" s="64"/>
      <c r="J51" s="80"/>
    </row>
    <row r="52" spans="2:10">
      <c r="B52" s="92"/>
      <c r="C52" s="81" t="s">
        <v>74</v>
      </c>
      <c r="D52" s="59" t="s">
        <v>121</v>
      </c>
      <c r="E52" s="65">
        <f>IFERROR(E53+E58,0)</f>
        <v>0</v>
      </c>
      <c r="F52" s="65">
        <f t="shared" ref="F52:G52" si="53">IFERROR(F53+F58,0)</f>
        <v>0</v>
      </c>
      <c r="G52" s="65">
        <f t="shared" si="53"/>
        <v>0</v>
      </c>
      <c r="H52" s="65">
        <f>F52-E52</f>
        <v>0</v>
      </c>
      <c r="I52" s="58">
        <f>IFERROR((F52-E52)/E52,0)</f>
        <v>0</v>
      </c>
      <c r="J52" s="89"/>
    </row>
    <row r="53" spans="2:10">
      <c r="B53" s="92"/>
      <c r="C53" s="78"/>
      <c r="D53" s="59" t="s">
        <v>122</v>
      </c>
      <c r="E53" s="62">
        <f>IFERROR(AVERAGEIFS('업무월별분석 Phân tích CV theo tháng'!$C$190:$C$213,'업무월별분석 Phân tích CV theo tháng'!$P$190:$P$213,L3,'업무월별분석 Phân tích CV theo tháng'!$C$190:$C$213,"&gt;0"),0)</f>
        <v>0</v>
      </c>
      <c r="F53" s="62">
        <f>IFERROR(AVERAGEIFS('업무월별분석 Phân tích CV theo tháng'!$C$190:$C$213,'업무월별분석 Phân tích CV theo tháng'!$P$190:$P$213,M3,'업무월별분석 Phân tích CV theo tháng'!$C$190:$C$213,"&gt;0"),0)</f>
        <v>0</v>
      </c>
      <c r="G53" s="62">
        <f>IFERROR(AVERAGEIFS('업무월별분석 Phân tích CV theo tháng'!$C$190:$C$213,'업무월별분석 Phân tích CV theo tháng'!$P$190:$P$213,N3,'업무월별분석 Phân tích CV theo tháng'!$C$190:$C$213,"&gt;0"),0)</f>
        <v>0</v>
      </c>
      <c r="H53" s="62">
        <f>F53-E53</f>
        <v>0</v>
      </c>
      <c r="I53" s="61">
        <f>IFERROR((F53-E53)/F53,0)</f>
        <v>0</v>
      </c>
      <c r="J53" s="80"/>
    </row>
    <row r="54" spans="2:10">
      <c r="B54" s="92"/>
      <c r="C54" s="78"/>
      <c r="D54" s="59" t="s">
        <v>123</v>
      </c>
      <c r="E54" s="62">
        <f>IFERROR(E53-E56,0)</f>
        <v>0</v>
      </c>
      <c r="F54" s="62">
        <f t="shared" ref="F54:G54" si="54">IFERROR(F53-F56,0)</f>
        <v>0</v>
      </c>
      <c r="G54" s="62">
        <f t="shared" si="54"/>
        <v>0</v>
      </c>
      <c r="H54" s="62">
        <f t="shared" ref="H54:H59" si="55">F54-E54</f>
        <v>0</v>
      </c>
      <c r="I54" s="61">
        <f t="shared" ref="I54" si="56">IFERROR((F54-E54)/F54,0)</f>
        <v>0</v>
      </c>
      <c r="J54" s="80"/>
    </row>
    <row r="55" spans="2:10">
      <c r="B55" s="92"/>
      <c r="C55" s="78"/>
      <c r="D55" s="59" t="s">
        <v>124</v>
      </c>
      <c r="E55" s="61">
        <f>IFERROR(E54/E52,0)</f>
        <v>0</v>
      </c>
      <c r="F55" s="61">
        <f t="shared" ref="F55:G55" si="57">IFERROR(F54/F52,0)</f>
        <v>0</v>
      </c>
      <c r="G55" s="61">
        <f t="shared" si="57"/>
        <v>0</v>
      </c>
      <c r="H55" s="62">
        <f t="shared" si="55"/>
        <v>0</v>
      </c>
      <c r="I55" s="61"/>
      <c r="J55" s="80"/>
    </row>
    <row r="56" spans="2:10">
      <c r="B56" s="92"/>
      <c r="C56" s="78"/>
      <c r="D56" s="59" t="s">
        <v>125</v>
      </c>
      <c r="E56" s="62">
        <f>IFERROR(AVERAGEIFS('업무월별분석 Phân tích CV theo tháng'!$F$190:$F$213,'업무월별분석 Phân tích CV theo tháng'!$P$190:$P$213,L3,'업무월별분석 Phân tích CV theo tháng'!$F$190:$F$213,"&gt;0"),0)</f>
        <v>0</v>
      </c>
      <c r="F56" s="62">
        <f>IFERROR(AVERAGEIFS('업무월별분석 Phân tích CV theo tháng'!$F$190:$F$213,'업무월별분석 Phân tích CV theo tháng'!$P$190:$P$213,M3,'업무월별분석 Phân tích CV theo tháng'!$F$190:$F$213,"&gt;0"),0)</f>
        <v>0</v>
      </c>
      <c r="G56" s="62">
        <f>IFERROR(AVERAGEIFS('업무월별분석 Phân tích CV theo tháng'!$F$190:$F$213,'업무월별분석 Phân tích CV theo tháng'!$P$190:$P$213,N3,'업무월별분석 Phân tích CV theo tháng'!$F$190:$F$213,"&gt;0"),0)</f>
        <v>0</v>
      </c>
      <c r="H56" s="62">
        <f t="shared" si="55"/>
        <v>0</v>
      </c>
      <c r="I56" s="61">
        <f t="shared" ref="I56" si="58">IFERROR((F56-E56)/F56,0)</f>
        <v>0</v>
      </c>
      <c r="J56" s="80"/>
    </row>
    <row r="57" spans="2:10">
      <c r="B57" s="92"/>
      <c r="C57" s="78"/>
      <c r="D57" s="59" t="s">
        <v>126</v>
      </c>
      <c r="E57" s="61">
        <f>IFERROR(E56/E52,0)</f>
        <v>0</v>
      </c>
      <c r="F57" s="61">
        <f t="shared" ref="F57:G57" si="59">IFERROR(F56/F52,0)</f>
        <v>0</v>
      </c>
      <c r="G57" s="61">
        <f t="shared" si="59"/>
        <v>0</v>
      </c>
      <c r="H57" s="62">
        <f t="shared" si="55"/>
        <v>0</v>
      </c>
      <c r="I57" s="61"/>
      <c r="J57" s="80"/>
    </row>
    <row r="58" spans="2:10">
      <c r="B58" s="92"/>
      <c r="C58" s="78"/>
      <c r="D58" s="63" t="s">
        <v>127</v>
      </c>
      <c r="E58" s="62">
        <f>IFERROR(AVERAGEIFS('업무월별분석 Phân tích CV theo tháng'!$G$190:$G$213,'업무월별분석 Phân tích CV theo tháng'!$P$190:$P$213,L3,'업무월별분석 Phân tích CV theo tháng'!$G$190:$G$213,"&gt;0"),0)</f>
        <v>0</v>
      </c>
      <c r="F58" s="62">
        <f>IFERROR(AVERAGEIFS('업무월별분석 Phân tích CV theo tháng'!$G$190:$G$213,'업무월별분석 Phân tích CV theo tháng'!$P$190:$P$213,M3,'업무월별분석 Phân tích CV theo tháng'!$G$190:$G$213,"&gt;0"),0)</f>
        <v>0</v>
      </c>
      <c r="G58" s="62">
        <f>IFERROR(AVERAGEIFS('업무월별분석 Phân tích CV theo tháng'!$G$190:$G$213,'업무월별분석 Phân tích CV theo tháng'!$P$190:$P$213,N3,'업무월별분석 Phân tích CV theo tháng'!$G$190:$G$213,"&gt;0"),0)</f>
        <v>0</v>
      </c>
      <c r="H58" s="62">
        <f t="shared" si="55"/>
        <v>0</v>
      </c>
      <c r="I58" s="61">
        <f t="shared" ref="I58" si="60">IFERROR((F58-E58)/F58,0)</f>
        <v>0</v>
      </c>
      <c r="J58" s="80"/>
    </row>
    <row r="59" spans="2:10" ht="15.75" thickBot="1">
      <c r="B59" s="92"/>
      <c r="C59" s="82"/>
      <c r="D59" s="63" t="s">
        <v>128</v>
      </c>
      <c r="E59" s="64">
        <f>IFERROR(E58/E52,0)</f>
        <v>0</v>
      </c>
      <c r="F59" s="64">
        <f t="shared" ref="F59:G59" si="61">IFERROR(F58/F52,0)</f>
        <v>0</v>
      </c>
      <c r="G59" s="64">
        <f t="shared" si="61"/>
        <v>0</v>
      </c>
      <c r="H59" s="75">
        <f t="shared" si="55"/>
        <v>0</v>
      </c>
      <c r="I59" s="64"/>
      <c r="J59" s="90"/>
    </row>
    <row r="60" spans="2:10">
      <c r="B60" s="92"/>
      <c r="C60" s="77" t="s">
        <v>72</v>
      </c>
      <c r="D60" s="59" t="s">
        <v>121</v>
      </c>
      <c r="E60" s="65">
        <f>IFERROR(E61+E66,0)</f>
        <v>0</v>
      </c>
      <c r="F60" s="65">
        <f t="shared" ref="F60:G60" si="62">IFERROR(F61+F66,0)</f>
        <v>0</v>
      </c>
      <c r="G60" s="65">
        <f t="shared" si="62"/>
        <v>0</v>
      </c>
      <c r="H60" s="65">
        <f>F60-E60</f>
        <v>0</v>
      </c>
      <c r="I60" s="58">
        <f>IFERROR((F60-E60)/E60,0)</f>
        <v>0</v>
      </c>
      <c r="J60" s="79"/>
    </row>
    <row r="61" spans="2:10">
      <c r="B61" s="92"/>
      <c r="C61" s="78"/>
      <c r="D61" s="59" t="s">
        <v>122</v>
      </c>
      <c r="E61" s="62">
        <f>IFERROR(AVERAGEIFS('업무월별분석 Phân tích CV theo tháng'!$C$217:$C$240,'업무월별분석 Phân tích CV theo tháng'!$P$217:$P$240,L3,'업무월별분석 Phân tích CV theo tháng'!$C$217:$C$240,"&gt;0"),0)</f>
        <v>0</v>
      </c>
      <c r="F61" s="62">
        <f>IFERROR(AVERAGEIFS('업무월별분석 Phân tích CV theo tháng'!$C$217:$C$240,'업무월별분석 Phân tích CV theo tháng'!$P$217:$P$240,M3,'업무월별분석 Phân tích CV theo tháng'!$C$217:$C$240,"&gt;0"),0)</f>
        <v>0</v>
      </c>
      <c r="G61" s="62">
        <f>IFERROR(AVERAGEIFS('업무월별분석 Phân tích CV theo tháng'!$C$217:$C$240,'업무월별분석 Phân tích CV theo tháng'!$P$217:$P$240,N3,'업무월별분석 Phân tích CV theo tháng'!$C$217:$C$240,"&gt;0"),0)</f>
        <v>0</v>
      </c>
      <c r="H61" s="62">
        <f>F61-E61</f>
        <v>0</v>
      </c>
      <c r="I61" s="61">
        <f>IFERROR((F61-E61)/F61,0)</f>
        <v>0</v>
      </c>
      <c r="J61" s="80"/>
    </row>
    <row r="62" spans="2:10">
      <c r="B62" s="92"/>
      <c r="C62" s="78"/>
      <c r="D62" s="59" t="s">
        <v>123</v>
      </c>
      <c r="E62" s="62">
        <f>IFERROR(E61-E64,0)</f>
        <v>0</v>
      </c>
      <c r="F62" s="62">
        <f t="shared" ref="F62:G62" si="63">IFERROR(F61-F64,0)</f>
        <v>0</v>
      </c>
      <c r="G62" s="62">
        <f t="shared" si="63"/>
        <v>0</v>
      </c>
      <c r="H62" s="62">
        <f t="shared" ref="H62:H67" si="64">F62-E62</f>
        <v>0</v>
      </c>
      <c r="I62" s="61">
        <f t="shared" ref="I62" si="65">IFERROR((F62-E62)/F62,0)</f>
        <v>0</v>
      </c>
      <c r="J62" s="80"/>
    </row>
    <row r="63" spans="2:10">
      <c r="B63" s="92"/>
      <c r="C63" s="78"/>
      <c r="D63" s="59" t="s">
        <v>124</v>
      </c>
      <c r="E63" s="61">
        <f>IFERROR(E62/E60,0)</f>
        <v>0</v>
      </c>
      <c r="F63" s="61">
        <f t="shared" ref="F63:G63" si="66">IFERROR(F62/F60,0)</f>
        <v>0</v>
      </c>
      <c r="G63" s="61">
        <f t="shared" si="66"/>
        <v>0</v>
      </c>
      <c r="H63" s="62">
        <f t="shared" si="64"/>
        <v>0</v>
      </c>
      <c r="I63" s="61"/>
      <c r="J63" s="80"/>
    </row>
    <row r="64" spans="2:10">
      <c r="B64" s="92"/>
      <c r="C64" s="78"/>
      <c r="D64" s="59" t="s">
        <v>125</v>
      </c>
      <c r="E64" s="62">
        <f>IFERROR(AVERAGEIFS('업무월별분석 Phân tích CV theo tháng'!$F$217:$F$240,'업무월별분석 Phân tích CV theo tháng'!$P$217:$P$240,L3,'업무월별분석 Phân tích CV theo tháng'!$F$217:$F$240,"&gt;0"),0)</f>
        <v>0</v>
      </c>
      <c r="F64" s="62">
        <f>IFERROR(AVERAGEIFS('업무월별분석 Phân tích CV theo tháng'!$F$217:$F$240,'업무월별분석 Phân tích CV theo tháng'!$P$217:$P$240,M3,'업무월별분석 Phân tích CV theo tháng'!$F$217:$F$240,"&gt;0"),0)</f>
        <v>0</v>
      </c>
      <c r="G64" s="62">
        <f>IFERROR(AVERAGEIFS('업무월별분석 Phân tích CV theo tháng'!$F$217:$F$240,'업무월별분석 Phân tích CV theo tháng'!$P$217:$P$240,N3,'업무월별분석 Phân tích CV theo tháng'!$F$217:$F$240,"&gt;0"),0)</f>
        <v>0</v>
      </c>
      <c r="H64" s="62">
        <f t="shared" si="64"/>
        <v>0</v>
      </c>
      <c r="I64" s="61">
        <f t="shared" ref="I64" si="67">IFERROR((F64-E64)/F64,0)</f>
        <v>0</v>
      </c>
      <c r="J64" s="80"/>
    </row>
    <row r="65" spans="2:10">
      <c r="B65" s="92"/>
      <c r="C65" s="78"/>
      <c r="D65" s="59" t="s">
        <v>126</v>
      </c>
      <c r="E65" s="61">
        <f>IFERROR(E64/E60,0)</f>
        <v>0</v>
      </c>
      <c r="F65" s="61">
        <f t="shared" ref="F65:G65" si="68">IFERROR(F64/F60,0)</f>
        <v>0</v>
      </c>
      <c r="G65" s="61">
        <f t="shared" si="68"/>
        <v>0</v>
      </c>
      <c r="H65" s="62">
        <f t="shared" si="64"/>
        <v>0</v>
      </c>
      <c r="I65" s="61"/>
      <c r="J65" s="80"/>
    </row>
    <row r="66" spans="2:10">
      <c r="B66" s="92"/>
      <c r="C66" s="78"/>
      <c r="D66" s="63" t="s">
        <v>127</v>
      </c>
      <c r="E66" s="62">
        <f>IFERROR(AVERAGEIFS('업무월별분석 Phân tích CV theo tháng'!$G$217:$G$240,'업무월별분석 Phân tích CV theo tháng'!$P$217:$P$240,L3,'업무월별분석 Phân tích CV theo tháng'!$G$217:$G$240,"&gt;0"),0)</f>
        <v>0</v>
      </c>
      <c r="F66" s="62">
        <f>IFERROR(AVERAGEIFS('업무월별분석 Phân tích CV theo tháng'!$G$217:$G$240,'업무월별분석 Phân tích CV theo tháng'!$P$217:$P$240,M3,'업무월별분석 Phân tích CV theo tháng'!$G$217:$G$240,"&gt;0"),0)</f>
        <v>0</v>
      </c>
      <c r="G66" s="62">
        <f>IFERROR(AVERAGEIFS('업무월별분석 Phân tích CV theo tháng'!$G$217:$G$240,'업무월별분석 Phân tích CV theo tháng'!$P$217:$P$240,N3,'업무월별분석 Phân tích CV theo tháng'!$G$217:$G$240,"&gt;0"),0)</f>
        <v>0</v>
      </c>
      <c r="H66" s="62">
        <f t="shared" si="64"/>
        <v>0</v>
      </c>
      <c r="I66" s="61">
        <f t="shared" ref="I66" si="69">IFERROR((F66-E66)/F66,0)</f>
        <v>0</v>
      </c>
      <c r="J66" s="80"/>
    </row>
    <row r="67" spans="2:10" ht="15.75" thickBot="1">
      <c r="B67" s="92"/>
      <c r="C67" s="78"/>
      <c r="D67" s="63" t="s">
        <v>128</v>
      </c>
      <c r="E67" s="64">
        <f>IFERROR(E66/E60,0)</f>
        <v>0</v>
      </c>
      <c r="F67" s="64">
        <f t="shared" ref="F67:G67" si="70">IFERROR(F66/F60,0)</f>
        <v>0</v>
      </c>
      <c r="G67" s="64">
        <f t="shared" si="70"/>
        <v>0</v>
      </c>
      <c r="H67" s="75">
        <f t="shared" si="64"/>
        <v>0</v>
      </c>
      <c r="I67" s="64"/>
      <c r="J67" s="80"/>
    </row>
    <row r="68" spans="2:10">
      <c r="B68" s="92"/>
      <c r="C68" s="81" t="s">
        <v>130</v>
      </c>
      <c r="D68" s="59" t="s">
        <v>121</v>
      </c>
      <c r="E68" s="65">
        <f>IFERROR(E69+E74,0)</f>
        <v>0</v>
      </c>
      <c r="F68" s="65">
        <f t="shared" ref="F68:G68" si="71">IFERROR(F69+F74,0)</f>
        <v>0</v>
      </c>
      <c r="G68" s="65">
        <f t="shared" si="71"/>
        <v>0</v>
      </c>
      <c r="H68" s="65">
        <f>F68-E68</f>
        <v>0</v>
      </c>
      <c r="I68" s="58">
        <f>IFERROR((F68-E68)/E68,0)</f>
        <v>0</v>
      </c>
      <c r="J68" s="89"/>
    </row>
    <row r="69" spans="2:10">
      <c r="B69" s="92"/>
      <c r="C69" s="78"/>
      <c r="D69" s="59" t="s">
        <v>122</v>
      </c>
      <c r="E69" s="62">
        <f>IFERROR(AVERAGEIFS('업무월별분석 Phân tích CV theo tháng'!$C$244:$C$267,'업무월별분석 Phân tích CV theo tháng'!$P$244:$P$267,L3,'업무월별분석 Phân tích CV theo tháng'!$C$44:$C$267,"&gt;0"),0)</f>
        <v>0</v>
      </c>
      <c r="F69" s="62">
        <f>IFERROR(AVERAGEIFS('업무월별분석 Phân tích CV theo tháng'!$C$244:$C$267,'업무월별분석 Phân tích CV theo tháng'!$P$244:$P$267,M3,'업무월별분석 Phân tích CV theo tháng'!$C$44:$C$267,"&gt;0"),0)</f>
        <v>0</v>
      </c>
      <c r="G69" s="62">
        <f>IFERROR(AVERAGEIFS('업무월별분석 Phân tích CV theo tháng'!$C$244:$C$267,'업무월별분석 Phân tích CV theo tháng'!$P$244:$P$267,N3,'업무월별분석 Phân tích CV theo tháng'!$C$44:$C$267,"&gt;0"),0)</f>
        <v>0</v>
      </c>
      <c r="H69" s="62">
        <f>F69-E69</f>
        <v>0</v>
      </c>
      <c r="I69" s="61">
        <f>IFERROR((F69-E69)/F69,0)</f>
        <v>0</v>
      </c>
      <c r="J69" s="80"/>
    </row>
    <row r="70" spans="2:10">
      <c r="B70" s="92"/>
      <c r="C70" s="78"/>
      <c r="D70" s="59" t="s">
        <v>123</v>
      </c>
      <c r="E70" s="62">
        <f>IFERROR(E69-E72,0)</f>
        <v>0</v>
      </c>
      <c r="F70" s="62">
        <f t="shared" ref="F70:G70" si="72">IFERROR(F69-F72,0)</f>
        <v>0</v>
      </c>
      <c r="G70" s="62">
        <f t="shared" si="72"/>
        <v>0</v>
      </c>
      <c r="H70" s="62">
        <f t="shared" ref="H70:H75" si="73">F70-E70</f>
        <v>0</v>
      </c>
      <c r="I70" s="61">
        <f t="shared" ref="I70" si="74">IFERROR((F70-E70)/F70,0)</f>
        <v>0</v>
      </c>
      <c r="J70" s="80"/>
    </row>
    <row r="71" spans="2:10">
      <c r="B71" s="92"/>
      <c r="C71" s="78"/>
      <c r="D71" s="59" t="s">
        <v>124</v>
      </c>
      <c r="E71" s="61">
        <f>IFERROR(E70/E68,0)</f>
        <v>0</v>
      </c>
      <c r="F71" s="61">
        <f t="shared" ref="F71:G71" si="75">IFERROR(F70/F68,0)</f>
        <v>0</v>
      </c>
      <c r="G71" s="61">
        <f t="shared" si="75"/>
        <v>0</v>
      </c>
      <c r="H71" s="62">
        <f t="shared" si="73"/>
        <v>0</v>
      </c>
      <c r="I71" s="61"/>
      <c r="J71" s="80"/>
    </row>
    <row r="72" spans="2:10">
      <c r="B72" s="92"/>
      <c r="C72" s="78"/>
      <c r="D72" s="59" t="s">
        <v>125</v>
      </c>
      <c r="E72" s="62">
        <f>IFERROR(AVERAGEIFS('업무월별분석 Phân tích CV theo tháng'!$F$244:$F$267,'업무월별분석 Phân tích CV theo tháng'!$P$244:$P$267,L3,'업무월별분석 Phân tích CV theo tháng'!$F$244:$F$267,"&gt;0"),0)</f>
        <v>0</v>
      </c>
      <c r="F72" s="62">
        <f>IFERROR(AVERAGEIFS('업무월별분석 Phân tích CV theo tháng'!$F$244:$F$267,'업무월별분석 Phân tích CV theo tháng'!$P$244:$P$267,M3,'업무월별분석 Phân tích CV theo tháng'!$F$244:$F$267,"&gt;0"),0)</f>
        <v>0</v>
      </c>
      <c r="G72" s="62">
        <f>IFERROR(AVERAGEIFS('업무월별분석 Phân tích CV theo tháng'!$F$244:$F$267,'업무월별분석 Phân tích CV theo tháng'!$P$244:$P$267,N3,'업무월별분석 Phân tích CV theo tháng'!$F$244:$F$267,"&gt;0"),0)</f>
        <v>0</v>
      </c>
      <c r="H72" s="62">
        <f t="shared" si="73"/>
        <v>0</v>
      </c>
      <c r="I72" s="61">
        <f t="shared" ref="I72" si="76">IFERROR((F72-E72)/F72,0)</f>
        <v>0</v>
      </c>
      <c r="J72" s="80"/>
    </row>
    <row r="73" spans="2:10">
      <c r="B73" s="92"/>
      <c r="C73" s="78"/>
      <c r="D73" s="59" t="s">
        <v>126</v>
      </c>
      <c r="E73" s="61">
        <f>IFERROR(E72/E68,0)</f>
        <v>0</v>
      </c>
      <c r="F73" s="61">
        <f t="shared" ref="F73:G73" si="77">IFERROR(F72/F68,0)</f>
        <v>0</v>
      </c>
      <c r="G73" s="61">
        <f t="shared" si="77"/>
        <v>0</v>
      </c>
      <c r="H73" s="62">
        <f t="shared" si="73"/>
        <v>0</v>
      </c>
      <c r="I73" s="61"/>
      <c r="J73" s="80"/>
    </row>
    <row r="74" spans="2:10">
      <c r="B74" s="92"/>
      <c r="C74" s="78"/>
      <c r="D74" s="63" t="s">
        <v>127</v>
      </c>
      <c r="E74" s="62">
        <f>IFERROR(AVERAGEIFS('업무월별분석 Phân tích CV theo tháng'!$G$244:$G$260,'업무월별분석 Phân tích CV theo tháng'!$P$244:$P$260,L3,'업무월별분석 Phân tích CV theo tháng'!$G$244:$G$260,"&gt;0"),0)</f>
        <v>0</v>
      </c>
      <c r="F74" s="62">
        <f>IFERROR(AVERAGEIFS('업무월별분석 Phân tích CV theo tháng'!$G$244:$G$260,'업무월별분석 Phân tích CV theo tháng'!$P$244:$P$260,M3,'업무월별분석 Phân tích CV theo tháng'!$G$244:$G$260,"&gt;0"),0)</f>
        <v>0</v>
      </c>
      <c r="G74" s="62">
        <f>IFERROR(AVERAGEIFS('업무월별분석 Phân tích CV theo tháng'!$G$244:$G$260,'업무월별분석 Phân tích CV theo tháng'!$P$244:$P$260,N3,'업무월별분석 Phân tích CV theo tháng'!$G$244:$G$260,"&gt;0"),0)</f>
        <v>0</v>
      </c>
      <c r="H74" s="62">
        <f t="shared" si="73"/>
        <v>0</v>
      </c>
      <c r="I74" s="61">
        <f t="shared" ref="I74" si="78">IFERROR((F74-E74)/F74,0)</f>
        <v>0</v>
      </c>
      <c r="J74" s="80"/>
    </row>
    <row r="75" spans="2:10" ht="15.75" thickBot="1">
      <c r="B75" s="92"/>
      <c r="C75" s="82"/>
      <c r="D75" s="63" t="s">
        <v>128</v>
      </c>
      <c r="E75" s="64">
        <f>IFERROR(E74/E68,0)</f>
        <v>0</v>
      </c>
      <c r="F75" s="64">
        <f t="shared" ref="F75:G75" si="79">IFERROR(F74/F68,0)</f>
        <v>0</v>
      </c>
      <c r="G75" s="64">
        <f t="shared" si="79"/>
        <v>0</v>
      </c>
      <c r="H75" s="75">
        <f t="shared" si="73"/>
        <v>0</v>
      </c>
      <c r="I75" s="64"/>
      <c r="J75" s="90"/>
    </row>
    <row r="76" spans="2:10">
      <c r="B76" s="92"/>
      <c r="C76" s="77" t="s">
        <v>131</v>
      </c>
      <c r="D76" s="59" t="s">
        <v>121</v>
      </c>
      <c r="E76" s="65">
        <f>IFERROR(E77+E82,0)</f>
        <v>0</v>
      </c>
      <c r="F76" s="65">
        <f t="shared" ref="F76:G76" si="80">IFERROR(F77+F82,0)</f>
        <v>0</v>
      </c>
      <c r="G76" s="65">
        <f t="shared" si="80"/>
        <v>0</v>
      </c>
      <c r="H76" s="65">
        <f>F76-E76</f>
        <v>0</v>
      </c>
      <c r="I76" s="58">
        <f>IFERROR((F76-E76)/E76,0)</f>
        <v>0</v>
      </c>
      <c r="J76" s="79"/>
    </row>
    <row r="77" spans="2:10">
      <c r="B77" s="92"/>
      <c r="C77" s="78"/>
      <c r="D77" s="59" t="s">
        <v>122</v>
      </c>
      <c r="E77" s="62">
        <f>IFERROR(AVERAGEIFS('업무월별분석 Phân tích CV theo tháng'!$C$271:$C$294,'업무월별분석 Phân tích CV theo tháng'!$P$271:$P$294,L3,'업무월별분석 Phân tích CV theo tháng'!$C$271:$C$294,"&gt;0"),0)</f>
        <v>0</v>
      </c>
      <c r="F77" s="62">
        <f>IFERROR(AVERAGEIFS('업무월별분석 Phân tích CV theo tháng'!$C$271:$C$294,'업무월별분석 Phân tích CV theo tháng'!$P$271:$P$294,M3,'업무월별분석 Phân tích CV theo tháng'!$C$271:$C$294,"&gt;0"),0)</f>
        <v>0</v>
      </c>
      <c r="G77" s="62">
        <f>IFERROR(AVERAGEIFS('업무월별분석 Phân tích CV theo tháng'!$C$271:$C$294,'업무월별분석 Phân tích CV theo tháng'!$P$271:$P$294,N3,'업무월별분석 Phân tích CV theo tháng'!$C$271:$C$294,"&gt;0"),0)</f>
        <v>0</v>
      </c>
      <c r="H77" s="62">
        <f>F77-E77</f>
        <v>0</v>
      </c>
      <c r="I77" s="61">
        <f>IFERROR((F77-E77)/F77,0)</f>
        <v>0</v>
      </c>
      <c r="J77" s="80"/>
    </row>
    <row r="78" spans="2:10">
      <c r="B78" s="92"/>
      <c r="C78" s="78"/>
      <c r="D78" s="59" t="s">
        <v>123</v>
      </c>
      <c r="E78" s="62">
        <f>IFERROR(E77-E80,0)</f>
        <v>0</v>
      </c>
      <c r="F78" s="62">
        <f t="shared" ref="F78:G78" si="81">IFERROR(F77-F80,0)</f>
        <v>0</v>
      </c>
      <c r="G78" s="62">
        <f t="shared" si="81"/>
        <v>0</v>
      </c>
      <c r="H78" s="62">
        <f t="shared" ref="H78:H83" si="82">F78-E78</f>
        <v>0</v>
      </c>
      <c r="I78" s="61">
        <f t="shared" ref="I78" si="83">IFERROR((F78-E78)/F78,0)</f>
        <v>0</v>
      </c>
      <c r="J78" s="80"/>
    </row>
    <row r="79" spans="2:10">
      <c r="B79" s="92"/>
      <c r="C79" s="78"/>
      <c r="D79" s="59" t="s">
        <v>124</v>
      </c>
      <c r="E79" s="61">
        <f>IFERROR(E78/E76,0)</f>
        <v>0</v>
      </c>
      <c r="F79" s="61">
        <f t="shared" ref="F79:G79" si="84">IFERROR(F78/F76,0)</f>
        <v>0</v>
      </c>
      <c r="G79" s="61">
        <f t="shared" si="84"/>
        <v>0</v>
      </c>
      <c r="H79" s="62">
        <f t="shared" si="82"/>
        <v>0</v>
      </c>
      <c r="I79" s="61"/>
      <c r="J79" s="80"/>
    </row>
    <row r="80" spans="2:10">
      <c r="B80" s="92"/>
      <c r="C80" s="78"/>
      <c r="D80" s="59" t="s">
        <v>125</v>
      </c>
      <c r="E80" s="62">
        <f>IFERROR(AVERAGEIFS('업무월별분석 Phân tích CV theo tháng'!$F$271:$F$294,'업무월별분석 Phân tích CV theo tháng'!$P$271:$P$294,L3,'업무월별분석 Phân tích CV theo tháng'!$F$271:$F$294,"&gt;0"),0)</f>
        <v>0</v>
      </c>
      <c r="F80" s="62">
        <f>IFERROR(AVERAGEIFS('업무월별분석 Phân tích CV theo tháng'!$F$271:$F$294,'업무월별분석 Phân tích CV theo tháng'!$P$271:$P$294,M3,'업무월별분석 Phân tích CV theo tháng'!$F$271:$F$294,"&gt;0"),0)</f>
        <v>0</v>
      </c>
      <c r="G80" s="62">
        <f>IFERROR(AVERAGEIFS('업무월별분석 Phân tích CV theo tháng'!$F$271:$F$294,'업무월별분석 Phân tích CV theo tháng'!$P$271:$P$294,N3,'업무월별분석 Phân tích CV theo tháng'!$F$271:$F$294,"&gt;0"),0)</f>
        <v>0</v>
      </c>
      <c r="H80" s="62">
        <f t="shared" si="82"/>
        <v>0</v>
      </c>
      <c r="I80" s="61">
        <f t="shared" ref="I80" si="85">IFERROR((F80-E80)/F80,0)</f>
        <v>0</v>
      </c>
      <c r="J80" s="80"/>
    </row>
    <row r="81" spans="2:10">
      <c r="B81" s="92"/>
      <c r="C81" s="78"/>
      <c r="D81" s="59" t="s">
        <v>126</v>
      </c>
      <c r="E81" s="61">
        <f>IFERROR(E80/E76,0)</f>
        <v>0</v>
      </c>
      <c r="F81" s="61">
        <f t="shared" ref="F81:G81" si="86">IFERROR(F80/F76,0)</f>
        <v>0</v>
      </c>
      <c r="G81" s="61">
        <f t="shared" si="86"/>
        <v>0</v>
      </c>
      <c r="H81" s="62">
        <f t="shared" si="82"/>
        <v>0</v>
      </c>
      <c r="I81" s="61"/>
      <c r="J81" s="80"/>
    </row>
    <row r="82" spans="2:10">
      <c r="B82" s="92"/>
      <c r="C82" s="78"/>
      <c r="D82" s="63" t="s">
        <v>127</v>
      </c>
      <c r="E82" s="62">
        <f>IFERROR(AVERAGEIFS('업무월별분석 Phân tích CV theo tháng'!$G$271:$G$294,'업무월별분석 Phân tích CV theo tháng'!$P$271:$P$294,L3,'업무월별분석 Phân tích CV theo tháng'!$G$271:$G$294,"&gt;0"),0)</f>
        <v>0</v>
      </c>
      <c r="F82" s="62">
        <f>IFERROR(AVERAGEIFS('업무월별분석 Phân tích CV theo tháng'!$G$271:$G$294,'업무월별분석 Phân tích CV theo tháng'!$P$271:$P$294,M3,'업무월별분석 Phân tích CV theo tháng'!$G$271:$G$294,"&gt;0"),0)</f>
        <v>0</v>
      </c>
      <c r="G82" s="62">
        <f>IFERROR(AVERAGEIFS('업무월별분석 Phân tích CV theo tháng'!$G$271:$G$294,'업무월별분석 Phân tích CV theo tháng'!$P$271:$P$294,N3,'업무월별분석 Phân tích CV theo tháng'!$G$271:$G$294,"&gt;0"),0)</f>
        <v>0</v>
      </c>
      <c r="H82" s="62">
        <f t="shared" si="82"/>
        <v>0</v>
      </c>
      <c r="I82" s="61">
        <f t="shared" ref="I82" si="87">IFERROR((F82-E82)/F82,0)</f>
        <v>0</v>
      </c>
      <c r="J82" s="80"/>
    </row>
    <row r="83" spans="2:10" ht="15.75" thickBot="1">
      <c r="B83" s="92"/>
      <c r="C83" s="78"/>
      <c r="D83" s="63" t="s">
        <v>128</v>
      </c>
      <c r="E83" s="64">
        <f>IFERROR(E82/E76,0)</f>
        <v>0</v>
      </c>
      <c r="F83" s="64">
        <f t="shared" ref="F83:G83" si="88">IFERROR(F82/F76,0)</f>
        <v>0</v>
      </c>
      <c r="G83" s="64">
        <f t="shared" si="88"/>
        <v>0</v>
      </c>
      <c r="H83" s="75">
        <f t="shared" si="82"/>
        <v>0</v>
      </c>
      <c r="I83" s="64"/>
      <c r="J83" s="80"/>
    </row>
    <row r="84" spans="2:10">
      <c r="B84" s="92"/>
      <c r="C84" s="81" t="s">
        <v>73</v>
      </c>
      <c r="D84" s="59" t="s">
        <v>121</v>
      </c>
      <c r="E84" s="65">
        <f>IFERROR(E85+E90,0)</f>
        <v>0</v>
      </c>
      <c r="F84" s="65">
        <f t="shared" ref="F84:G84" si="89">IFERROR(F85+F90,0)</f>
        <v>0</v>
      </c>
      <c r="G84" s="65">
        <f t="shared" si="89"/>
        <v>0</v>
      </c>
      <c r="H84" s="65">
        <f>F84-E84</f>
        <v>0</v>
      </c>
      <c r="I84" s="58">
        <f>IFERROR((F84-E84)/E84,0)</f>
        <v>0</v>
      </c>
      <c r="J84" s="89"/>
    </row>
    <row r="85" spans="2:10">
      <c r="B85" s="92"/>
      <c r="C85" s="78"/>
      <c r="D85" s="59" t="s">
        <v>122</v>
      </c>
      <c r="E85" s="62">
        <f>IFERROR(AVERAGEIFS('업무월별분석 Phân tích CV theo tháng'!$C$298:$C$321,'업무월별분석 Phân tích CV theo tháng'!$P$298:$P$321,L3,'업무월별분석 Phân tích CV theo tháng'!$C$298:$C$321,"&gt;0"),0)</f>
        <v>0</v>
      </c>
      <c r="F85" s="62">
        <f>IFERROR(AVERAGEIFS('업무월별분석 Phân tích CV theo tháng'!$C$298:$C$321,'업무월별분석 Phân tích CV theo tháng'!$P$298:$P$321,M3,'업무월별분석 Phân tích CV theo tháng'!$C$298:$C$321,"&gt;0"),0)</f>
        <v>0</v>
      </c>
      <c r="G85" s="62">
        <f>IFERROR(AVERAGEIFS('업무월별분석 Phân tích CV theo tháng'!$C$298:$C$321,'업무월별분석 Phân tích CV theo tháng'!$P$298:$P$321,N3,'업무월별분석 Phân tích CV theo tháng'!$C$298:$C$321,"&gt;0"),0)</f>
        <v>0</v>
      </c>
      <c r="H85" s="62">
        <f>F85-E85</f>
        <v>0</v>
      </c>
      <c r="I85" s="61">
        <f>IFERROR((F85-E85)/F85,0)</f>
        <v>0</v>
      </c>
      <c r="J85" s="80"/>
    </row>
    <row r="86" spans="2:10">
      <c r="B86" s="92"/>
      <c r="C86" s="78"/>
      <c r="D86" s="59" t="s">
        <v>123</v>
      </c>
      <c r="E86" s="62">
        <f>IFERROR(E85-E88,0)</f>
        <v>0</v>
      </c>
      <c r="F86" s="62">
        <f t="shared" ref="F86:G86" si="90">IFERROR(F85-F88,0)</f>
        <v>0</v>
      </c>
      <c r="G86" s="62">
        <f t="shared" si="90"/>
        <v>0</v>
      </c>
      <c r="H86" s="62">
        <f t="shared" ref="H86:H91" si="91">F86-E86</f>
        <v>0</v>
      </c>
      <c r="I86" s="61">
        <f t="shared" ref="I86" si="92">IFERROR((F86-E86)/F86,0)</f>
        <v>0</v>
      </c>
      <c r="J86" s="80"/>
    </row>
    <row r="87" spans="2:10">
      <c r="B87" s="92"/>
      <c r="C87" s="78"/>
      <c r="D87" s="59" t="s">
        <v>124</v>
      </c>
      <c r="E87" s="61">
        <f>IFERROR(E86/E84,0)</f>
        <v>0</v>
      </c>
      <c r="F87" s="61">
        <f t="shared" ref="F87:G87" si="93">IFERROR(F86/F84,0)</f>
        <v>0</v>
      </c>
      <c r="G87" s="61">
        <f t="shared" si="93"/>
        <v>0</v>
      </c>
      <c r="H87" s="62">
        <f t="shared" si="91"/>
        <v>0</v>
      </c>
      <c r="I87" s="61"/>
      <c r="J87" s="80"/>
    </row>
    <row r="88" spans="2:10">
      <c r="B88" s="92"/>
      <c r="C88" s="78"/>
      <c r="D88" s="59" t="s">
        <v>125</v>
      </c>
      <c r="E88" s="62">
        <f>IFERROR(AVERAGEIFS('업무월별분석 Phân tích CV theo tháng'!$F$298:$F$321,'업무월별분석 Phân tích CV theo tháng'!$P$298:$P$321,L3,'업무월별분석 Phân tích CV theo tháng'!$F$298:$F$321,"&gt;0"),0)</f>
        <v>0</v>
      </c>
      <c r="F88" s="62">
        <f>IFERROR(AVERAGEIFS('업무월별분석 Phân tích CV theo tháng'!$F$298:$F$321,'업무월별분석 Phân tích CV theo tháng'!$P$298:$P$321,M3,'업무월별분석 Phân tích CV theo tháng'!$F$298:$F$321,"&gt;0"),0)</f>
        <v>0</v>
      </c>
      <c r="G88" s="62">
        <f>IFERROR(AVERAGEIFS('업무월별분석 Phân tích CV theo tháng'!$F$298:$F$321,'업무월별분석 Phân tích CV theo tháng'!$P$298:$P$321,N3,'업무월별분석 Phân tích CV theo tháng'!$F$298:$F$321,"&gt;0"),0)</f>
        <v>0</v>
      </c>
      <c r="H88" s="62">
        <f t="shared" si="91"/>
        <v>0</v>
      </c>
      <c r="I88" s="61">
        <f t="shared" ref="I88" si="94">IFERROR((F88-E88)/F88,0)</f>
        <v>0</v>
      </c>
      <c r="J88" s="80"/>
    </row>
    <row r="89" spans="2:10">
      <c r="B89" s="92"/>
      <c r="C89" s="78"/>
      <c r="D89" s="59" t="s">
        <v>126</v>
      </c>
      <c r="E89" s="61">
        <f>IFERROR(E88/E84,0)</f>
        <v>0</v>
      </c>
      <c r="F89" s="61">
        <f t="shared" ref="F89:G89" si="95">IFERROR(F88/F84,0)</f>
        <v>0</v>
      </c>
      <c r="G89" s="61">
        <f t="shared" si="95"/>
        <v>0</v>
      </c>
      <c r="H89" s="62">
        <f t="shared" si="91"/>
        <v>0</v>
      </c>
      <c r="I89" s="61"/>
      <c r="J89" s="80"/>
    </row>
    <row r="90" spans="2:10">
      <c r="B90" s="92"/>
      <c r="C90" s="78"/>
      <c r="D90" s="63" t="s">
        <v>127</v>
      </c>
      <c r="E90" s="62">
        <f>IFERROR(AVERAGEIFS('업무월별분석 Phân tích CV theo tháng'!$G$298:$G$321,'업무월별분석 Phân tích CV theo tháng'!$P$298:$P$321,L3,'업무월별분석 Phân tích CV theo tháng'!$G$298:$G$321,"&gt;0"),0)</f>
        <v>0</v>
      </c>
      <c r="F90" s="62">
        <f>IFERROR(AVERAGEIFS('업무월별분석 Phân tích CV theo tháng'!$G$298:$G$321,'업무월별분석 Phân tích CV theo tháng'!$P$298:$P$321,M3,'업무월별분석 Phân tích CV theo tháng'!$G$298:$G$321,"&gt;0"),0)</f>
        <v>0</v>
      </c>
      <c r="G90" s="62">
        <f>IFERROR(AVERAGEIFS('업무월별분석 Phân tích CV theo tháng'!$G$298:$G$321,'업무월별분석 Phân tích CV theo tháng'!$P$298:$P$321,N3,'업무월별분석 Phân tích CV theo tháng'!$G$298:$G$321,"&gt;0"),0)</f>
        <v>0</v>
      </c>
      <c r="H90" s="62">
        <f t="shared" si="91"/>
        <v>0</v>
      </c>
      <c r="I90" s="61">
        <f t="shared" ref="I90" si="96">IFERROR((F90-E90)/F90,0)</f>
        <v>0</v>
      </c>
      <c r="J90" s="80"/>
    </row>
    <row r="91" spans="2:10" ht="15.75" thickBot="1">
      <c r="B91" s="93"/>
      <c r="C91" s="82"/>
      <c r="D91" s="63" t="s">
        <v>128</v>
      </c>
      <c r="E91" s="64">
        <f>IFERROR(E90/E84,0)</f>
        <v>0</v>
      </c>
      <c r="F91" s="64">
        <f t="shared" ref="F91:G91" si="97">IFERROR(F90/F84,0)</f>
        <v>0</v>
      </c>
      <c r="G91" s="64">
        <f t="shared" si="97"/>
        <v>0</v>
      </c>
      <c r="H91" s="75">
        <f t="shared" si="91"/>
        <v>0</v>
      </c>
      <c r="I91" s="64"/>
      <c r="J91" s="90"/>
    </row>
    <row r="92" spans="2:10">
      <c r="B92" s="67"/>
    </row>
  </sheetData>
  <mergeCells count="23">
    <mergeCell ref="C28:C35"/>
    <mergeCell ref="J28:J35"/>
    <mergeCell ref="J44:J51"/>
    <mergeCell ref="C52:C59"/>
    <mergeCell ref="J52:J59"/>
    <mergeCell ref="J36:J43"/>
    <mergeCell ref="C44:C51"/>
    <mergeCell ref="C60:C67"/>
    <mergeCell ref="J60:J67"/>
    <mergeCell ref="C36:C43"/>
    <mergeCell ref="B3:C11"/>
    <mergeCell ref="J3:J11"/>
    <mergeCell ref="C12:C19"/>
    <mergeCell ref="J12:J19"/>
    <mergeCell ref="C20:C27"/>
    <mergeCell ref="J20:J27"/>
    <mergeCell ref="B12:B91"/>
    <mergeCell ref="C68:C75"/>
    <mergeCell ref="J68:J75"/>
    <mergeCell ref="C76:C83"/>
    <mergeCell ref="J76:J83"/>
    <mergeCell ref="C84:C91"/>
    <mergeCell ref="J84:J9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E3" sqref="E3"/>
    </sheetView>
  </sheetViews>
  <sheetFormatPr defaultRowHeight="15"/>
  <cols>
    <col min="1" max="1" width="12.5703125" customWidth="1"/>
    <col min="8" max="9" width="0" hidden="1" customWidth="1"/>
  </cols>
  <sheetData>
    <row r="1" spans="1:9" ht="38.25">
      <c r="A1" s="27" t="s">
        <v>75</v>
      </c>
      <c r="B1" s="94" t="s">
        <v>76</v>
      </c>
      <c r="C1" s="94"/>
      <c r="D1" s="94"/>
      <c r="E1" s="94"/>
      <c r="F1" s="94"/>
    </row>
    <row r="2" spans="1:9" ht="102">
      <c r="A2" s="47" t="s">
        <v>77</v>
      </c>
      <c r="B2" s="27" t="s">
        <v>78</v>
      </c>
      <c r="C2" s="27" t="s">
        <v>79</v>
      </c>
      <c r="D2" s="27" t="s">
        <v>80</v>
      </c>
      <c r="E2" s="27" t="s">
        <v>81</v>
      </c>
      <c r="F2" s="27" t="s">
        <v>82</v>
      </c>
    </row>
    <row r="3" spans="1:9">
      <c r="A3" s="13">
        <f>DATE(I3,H3,1)</f>
        <v>1</v>
      </c>
      <c r="B3" s="11">
        <f>VLOOKUP(A3,'월별 기본데이터 합계'!$A$5:$AD$28,30,0)</f>
        <v>0</v>
      </c>
      <c r="C3" s="11">
        <f>VLOOKUP(A3,'월별 기본데이터 합계'!$A$5:$AE$28,31,0)</f>
        <v>0</v>
      </c>
      <c r="D3" s="11">
        <f>VLOOKUP(A3,'월별 기본데이터 합계'!$A$5:$AF$28,32,0)</f>
        <v>0</v>
      </c>
      <c r="E3" s="12">
        <f>VLOOKUP(A3,'월별 기본데이터 합계'!$A$5:$AG$28,33,0)</f>
        <v>0</v>
      </c>
      <c r="F3" s="12">
        <f>IFERROR(B3+C3,"")</f>
        <v>0</v>
      </c>
      <c r="H3">
        <v>1</v>
      </c>
      <c r="I3">
        <f>Sheet1!$A$1-1</f>
        <v>0</v>
      </c>
    </row>
    <row r="4" spans="1:9">
      <c r="A4" s="13">
        <f t="shared" ref="A4:A26" si="0">DATE(I4,H4,1)</f>
        <v>32</v>
      </c>
      <c r="B4" s="11">
        <f>VLOOKUP(A4,'월별 기본데이터 합계'!$A$5:$AD$28,30,0)</f>
        <v>0</v>
      </c>
      <c r="C4" s="11">
        <f>VLOOKUP(A4,'월별 기본데이터 합계'!$A$5:$AE$28,31,0)</f>
        <v>0</v>
      </c>
      <c r="D4" s="11">
        <f>VLOOKUP(A4,'월별 기본데이터 합계'!$A$5:$AF$28,32,0)</f>
        <v>0</v>
      </c>
      <c r="E4" s="12">
        <f>VLOOKUP(A4,'월별 기본데이터 합계'!$A$5:$AG$28,33,0)</f>
        <v>0</v>
      </c>
      <c r="F4" s="12">
        <f t="shared" ref="F4:F26" si="1">IFERROR(B4+C4,"")</f>
        <v>0</v>
      </c>
      <c r="H4">
        <v>2</v>
      </c>
      <c r="I4">
        <f>Sheet1!$A$1-1</f>
        <v>0</v>
      </c>
    </row>
    <row r="5" spans="1:9">
      <c r="A5" s="13">
        <f t="shared" si="0"/>
        <v>61</v>
      </c>
      <c r="B5" s="11">
        <f>VLOOKUP(A5,'월별 기본데이터 합계'!$A$5:$AD$28,30,0)</f>
        <v>0</v>
      </c>
      <c r="C5" s="11">
        <f>VLOOKUP(A5,'월별 기본데이터 합계'!$A$5:$AE$28,31,0)</f>
        <v>0</v>
      </c>
      <c r="D5" s="11">
        <f>VLOOKUP(A5,'월별 기본데이터 합계'!$A$5:$AF$28,32,0)</f>
        <v>0</v>
      </c>
      <c r="E5" s="12">
        <f>VLOOKUP(A5,'월별 기본데이터 합계'!$A$5:$AG$28,33,0)</f>
        <v>0</v>
      </c>
      <c r="F5" s="12">
        <f t="shared" si="1"/>
        <v>0</v>
      </c>
      <c r="H5">
        <v>3</v>
      </c>
      <c r="I5">
        <f>Sheet1!$A$1-1</f>
        <v>0</v>
      </c>
    </row>
    <row r="6" spans="1:9">
      <c r="A6" s="13">
        <f t="shared" si="0"/>
        <v>92</v>
      </c>
      <c r="B6" s="11">
        <f>VLOOKUP(A6,'월별 기본데이터 합계'!$A$5:$AD$28,30,0)</f>
        <v>0</v>
      </c>
      <c r="C6" s="11">
        <f>VLOOKUP(A6,'월별 기본데이터 합계'!$A$5:$AE$28,31,0)</f>
        <v>0</v>
      </c>
      <c r="D6" s="11">
        <f>VLOOKUP(A6,'월별 기본데이터 합계'!$A$5:$AF$28,32,0)</f>
        <v>0</v>
      </c>
      <c r="E6" s="12">
        <f>VLOOKUP(A6,'월별 기본데이터 합계'!$A$5:$AG$28,33,0)</f>
        <v>0</v>
      </c>
      <c r="F6" s="12">
        <f t="shared" si="1"/>
        <v>0</v>
      </c>
      <c r="H6">
        <v>4</v>
      </c>
      <c r="I6">
        <f>Sheet1!$A$1-1</f>
        <v>0</v>
      </c>
    </row>
    <row r="7" spans="1:9">
      <c r="A7" s="13">
        <f t="shared" si="0"/>
        <v>122</v>
      </c>
      <c r="B7" s="11">
        <f>VLOOKUP(A7,'월별 기본데이터 합계'!$A$5:$AD$28,30,0)</f>
        <v>0</v>
      </c>
      <c r="C7" s="11">
        <f>VLOOKUP(A7,'월별 기본데이터 합계'!$A$5:$AE$28,31,0)</f>
        <v>0</v>
      </c>
      <c r="D7" s="11">
        <f>VLOOKUP(A7,'월별 기본데이터 합계'!$A$5:$AF$28,32,0)</f>
        <v>0</v>
      </c>
      <c r="E7" s="12">
        <f>VLOOKUP(A7,'월별 기본데이터 합계'!$A$5:$AG$28,33,0)</f>
        <v>0</v>
      </c>
      <c r="F7" s="12">
        <f t="shared" si="1"/>
        <v>0</v>
      </c>
      <c r="H7">
        <v>5</v>
      </c>
      <c r="I7">
        <f>Sheet1!$A$1-1</f>
        <v>0</v>
      </c>
    </row>
    <row r="8" spans="1:9">
      <c r="A8" s="13">
        <f t="shared" si="0"/>
        <v>153</v>
      </c>
      <c r="B8" s="11">
        <f>VLOOKUP(A8,'월별 기본데이터 합계'!$A$5:$AD$28,30,0)</f>
        <v>0</v>
      </c>
      <c r="C8" s="11">
        <f>VLOOKUP(A8,'월별 기본데이터 합계'!$A$5:$AE$28,31,0)</f>
        <v>0</v>
      </c>
      <c r="D8" s="11">
        <f>VLOOKUP(A8,'월별 기본데이터 합계'!$A$5:$AF$28,32,0)</f>
        <v>0</v>
      </c>
      <c r="E8" s="12">
        <f>VLOOKUP(A8,'월별 기본데이터 합계'!$A$5:$AG$28,33,0)</f>
        <v>0</v>
      </c>
      <c r="F8" s="12">
        <f t="shared" si="1"/>
        <v>0</v>
      </c>
      <c r="H8">
        <v>6</v>
      </c>
      <c r="I8">
        <f>Sheet1!$A$1-1</f>
        <v>0</v>
      </c>
    </row>
    <row r="9" spans="1:9">
      <c r="A9" s="13">
        <f t="shared" si="0"/>
        <v>183</v>
      </c>
      <c r="B9" s="11">
        <f>VLOOKUP(A9,'월별 기본데이터 합계'!$A$5:$AD$28,30,0)</f>
        <v>0</v>
      </c>
      <c r="C9" s="11">
        <f>VLOOKUP(A9,'월별 기본데이터 합계'!$A$5:$AE$28,31,0)</f>
        <v>0</v>
      </c>
      <c r="D9" s="11">
        <f>VLOOKUP(A9,'월별 기본데이터 합계'!$A$5:$AF$28,32,0)</f>
        <v>0</v>
      </c>
      <c r="E9" s="12">
        <f>VLOOKUP(A9,'월별 기본데이터 합계'!$A$5:$AG$28,33,0)</f>
        <v>0</v>
      </c>
      <c r="F9" s="12">
        <f t="shared" si="1"/>
        <v>0</v>
      </c>
      <c r="H9">
        <v>7</v>
      </c>
      <c r="I9">
        <f>Sheet1!$A$1-1</f>
        <v>0</v>
      </c>
    </row>
    <row r="10" spans="1:9">
      <c r="A10" s="13">
        <f t="shared" si="0"/>
        <v>214</v>
      </c>
      <c r="B10" s="11">
        <f>VLOOKUP(A10,'월별 기본데이터 합계'!$A$5:$AD$28,30,0)</f>
        <v>0</v>
      </c>
      <c r="C10" s="11">
        <f>VLOOKUP(A10,'월별 기본데이터 합계'!$A$5:$AE$28,31,0)</f>
        <v>0</v>
      </c>
      <c r="D10" s="11">
        <f>VLOOKUP(A10,'월별 기본데이터 합계'!$A$5:$AF$28,32,0)</f>
        <v>0</v>
      </c>
      <c r="E10" s="12">
        <f>VLOOKUP(A10,'월별 기본데이터 합계'!$A$5:$AG$28,33,0)</f>
        <v>0</v>
      </c>
      <c r="F10" s="12">
        <f t="shared" si="1"/>
        <v>0</v>
      </c>
      <c r="H10">
        <v>8</v>
      </c>
      <c r="I10">
        <f>Sheet1!$A$1-1</f>
        <v>0</v>
      </c>
    </row>
    <row r="11" spans="1:9">
      <c r="A11" s="13">
        <f t="shared" si="0"/>
        <v>245</v>
      </c>
      <c r="B11" s="11">
        <f>VLOOKUP(A11,'월별 기본데이터 합계'!$A$5:$AD$28,30,0)</f>
        <v>0</v>
      </c>
      <c r="C11" s="11">
        <f>VLOOKUP(A11,'월별 기본데이터 합계'!$A$5:$AE$28,31,0)</f>
        <v>0</v>
      </c>
      <c r="D11" s="11">
        <f>VLOOKUP(A11,'월별 기본데이터 합계'!$A$5:$AF$28,32,0)</f>
        <v>0</v>
      </c>
      <c r="E11" s="12">
        <f>VLOOKUP(A11,'월별 기본데이터 합계'!$A$5:$AG$28,33,0)</f>
        <v>0</v>
      </c>
      <c r="F11" s="12">
        <f t="shared" si="1"/>
        <v>0</v>
      </c>
      <c r="H11">
        <v>9</v>
      </c>
      <c r="I11">
        <f>Sheet1!$A$1-1</f>
        <v>0</v>
      </c>
    </row>
    <row r="12" spans="1:9">
      <c r="A12" s="13">
        <f t="shared" si="0"/>
        <v>275</v>
      </c>
      <c r="B12" s="11">
        <f>VLOOKUP(A12,'월별 기본데이터 합계'!$A$5:$AD$28,30,0)</f>
        <v>0</v>
      </c>
      <c r="C12" s="11">
        <f>VLOOKUP(A12,'월별 기본데이터 합계'!$A$5:$AE$28,31,0)</f>
        <v>0</v>
      </c>
      <c r="D12" s="11">
        <f>VLOOKUP(A12,'월별 기본데이터 합계'!$A$5:$AF$28,32,0)</f>
        <v>0</v>
      </c>
      <c r="E12" s="12">
        <f>VLOOKUP(A12,'월별 기본데이터 합계'!$A$5:$AG$28,33,0)</f>
        <v>0</v>
      </c>
      <c r="F12" s="12">
        <f t="shared" si="1"/>
        <v>0</v>
      </c>
      <c r="H12">
        <v>10</v>
      </c>
      <c r="I12">
        <f>Sheet1!$A$1-1</f>
        <v>0</v>
      </c>
    </row>
    <row r="13" spans="1:9">
      <c r="A13" s="13">
        <f t="shared" si="0"/>
        <v>306</v>
      </c>
      <c r="B13" s="11">
        <f>VLOOKUP(A13,'월별 기본데이터 합계'!$A$5:$AD$28,30,0)</f>
        <v>0</v>
      </c>
      <c r="C13" s="11">
        <f>VLOOKUP(A13,'월별 기본데이터 합계'!$A$5:$AE$28,31,0)</f>
        <v>0</v>
      </c>
      <c r="D13" s="11">
        <f>VLOOKUP(A13,'월별 기본데이터 합계'!$A$5:$AF$28,32,0)</f>
        <v>0</v>
      </c>
      <c r="E13" s="12">
        <f>VLOOKUP(A13,'월별 기본데이터 합계'!$A$5:$AG$28,33,0)</f>
        <v>0</v>
      </c>
      <c r="F13" s="12">
        <f t="shared" si="1"/>
        <v>0</v>
      </c>
      <c r="H13">
        <v>11</v>
      </c>
      <c r="I13">
        <f>Sheet1!$A$1-1</f>
        <v>0</v>
      </c>
    </row>
    <row r="14" spans="1:9">
      <c r="A14" s="13">
        <f t="shared" si="0"/>
        <v>336</v>
      </c>
      <c r="B14" s="11">
        <f>VLOOKUP(A14,'월별 기본데이터 합계'!$A$5:$AD$28,30,0)</f>
        <v>0</v>
      </c>
      <c r="C14" s="11">
        <f>VLOOKUP(A14,'월별 기본데이터 합계'!$A$5:$AE$28,31,0)</f>
        <v>0</v>
      </c>
      <c r="D14" s="11">
        <f>VLOOKUP(A14,'월별 기본데이터 합계'!$A$5:$AF$28,32,0)</f>
        <v>0</v>
      </c>
      <c r="E14" s="12">
        <f>VLOOKUP(A14,'월별 기본데이터 합계'!$A$5:$AG$28,33,0)</f>
        <v>0</v>
      </c>
      <c r="F14" s="12">
        <f t="shared" si="1"/>
        <v>0</v>
      </c>
      <c r="H14">
        <v>12</v>
      </c>
      <c r="I14">
        <f>Sheet1!$A$1-1</f>
        <v>0</v>
      </c>
    </row>
    <row r="15" spans="1:9">
      <c r="A15" s="13">
        <f t="shared" si="0"/>
        <v>367</v>
      </c>
      <c r="B15" s="11">
        <f>VLOOKUP(A15,'월별 기본데이터 합계'!$A$5:$AD$28,30,0)</f>
        <v>0</v>
      </c>
      <c r="C15" s="11">
        <f>VLOOKUP(A15,'월별 기본데이터 합계'!$A$5:$AE$28,31,0)</f>
        <v>0</v>
      </c>
      <c r="D15" s="11">
        <f>VLOOKUP(A15,'월별 기본데이터 합계'!$A$5:$AF$28,32,0)</f>
        <v>0</v>
      </c>
      <c r="E15" s="12">
        <f>VLOOKUP(A15,'월별 기본데이터 합계'!$A$5:$AG$28,33,0)</f>
        <v>0</v>
      </c>
      <c r="F15" s="12">
        <f t="shared" si="1"/>
        <v>0</v>
      </c>
      <c r="H15">
        <v>1</v>
      </c>
      <c r="I15">
        <f>Sheet1!$A$1</f>
        <v>1</v>
      </c>
    </row>
    <row r="16" spans="1:9">
      <c r="A16" s="13">
        <f t="shared" si="0"/>
        <v>398</v>
      </c>
      <c r="B16" s="11">
        <f>VLOOKUP(A16,'월별 기본데이터 합계'!$A$5:$AD$28,30,0)</f>
        <v>0</v>
      </c>
      <c r="C16" s="11">
        <f>VLOOKUP(A16,'월별 기본데이터 합계'!$A$5:$AE$28,31,0)</f>
        <v>0</v>
      </c>
      <c r="D16" s="11">
        <f>VLOOKUP(A16,'월별 기본데이터 합계'!$A$5:$AF$28,32,0)</f>
        <v>0</v>
      </c>
      <c r="E16" s="12">
        <f>VLOOKUP(A16,'월별 기본데이터 합계'!$A$5:$AG$28,33,0)</f>
        <v>0</v>
      </c>
      <c r="F16" s="12">
        <f t="shared" si="1"/>
        <v>0</v>
      </c>
      <c r="H16">
        <v>2</v>
      </c>
      <c r="I16">
        <f>Sheet1!$A$1</f>
        <v>1</v>
      </c>
    </row>
    <row r="17" spans="1:9">
      <c r="A17" s="13">
        <f t="shared" si="0"/>
        <v>426</v>
      </c>
      <c r="B17" s="11">
        <f>VLOOKUP(A17,'월별 기본데이터 합계'!$A$5:$AD$28,30,0)</f>
        <v>0</v>
      </c>
      <c r="C17" s="11">
        <f>VLOOKUP(A17,'월별 기본데이터 합계'!$A$5:$AE$28,31,0)</f>
        <v>0</v>
      </c>
      <c r="D17" s="11">
        <f>VLOOKUP(A17,'월별 기본데이터 합계'!$A$5:$AF$28,32,0)</f>
        <v>0</v>
      </c>
      <c r="E17" s="12">
        <f>VLOOKUP(A17,'월별 기본데이터 합계'!$A$5:$AG$28,33,0)</f>
        <v>0</v>
      </c>
      <c r="F17" s="12">
        <f t="shared" si="1"/>
        <v>0</v>
      </c>
      <c r="H17">
        <v>3</v>
      </c>
      <c r="I17">
        <f>Sheet1!$A$1</f>
        <v>1</v>
      </c>
    </row>
    <row r="18" spans="1:9">
      <c r="A18" s="13">
        <f t="shared" si="0"/>
        <v>457</v>
      </c>
      <c r="B18" s="11">
        <f>VLOOKUP(A18,'월별 기본데이터 합계'!$A$5:$AD$28,30,0)</f>
        <v>0</v>
      </c>
      <c r="C18" s="11">
        <f>VLOOKUP(A18,'월별 기본데이터 합계'!$A$5:$AE$28,31,0)</f>
        <v>0</v>
      </c>
      <c r="D18" s="11">
        <f>VLOOKUP(A18,'월별 기본데이터 합계'!$A$5:$AF$28,32,0)</f>
        <v>0</v>
      </c>
      <c r="E18" s="12">
        <f>VLOOKUP(A18,'월별 기본데이터 합계'!$A$5:$AG$28,33,0)</f>
        <v>0</v>
      </c>
      <c r="F18" s="12">
        <f t="shared" si="1"/>
        <v>0</v>
      </c>
      <c r="H18">
        <v>4</v>
      </c>
      <c r="I18">
        <f>Sheet1!$A$1</f>
        <v>1</v>
      </c>
    </row>
    <row r="19" spans="1:9">
      <c r="A19" s="13">
        <f t="shared" si="0"/>
        <v>487</v>
      </c>
      <c r="B19" s="11">
        <f>VLOOKUP(A19,'월별 기본데이터 합계'!$A$5:$AD$28,30,0)</f>
        <v>0</v>
      </c>
      <c r="C19" s="11">
        <f>VLOOKUP(A19,'월별 기본데이터 합계'!$A$5:$AE$28,31,0)</f>
        <v>0</v>
      </c>
      <c r="D19" s="11">
        <f>VLOOKUP(A19,'월별 기본데이터 합계'!$A$5:$AF$28,32,0)</f>
        <v>0</v>
      </c>
      <c r="E19" s="12">
        <f>VLOOKUP(A19,'월별 기본데이터 합계'!$A$5:$AG$28,33,0)</f>
        <v>0</v>
      </c>
      <c r="F19" s="12">
        <f t="shared" si="1"/>
        <v>0</v>
      </c>
      <c r="H19">
        <v>5</v>
      </c>
      <c r="I19">
        <f>Sheet1!$A$1</f>
        <v>1</v>
      </c>
    </row>
    <row r="20" spans="1:9">
      <c r="A20" s="13">
        <f t="shared" si="0"/>
        <v>518</v>
      </c>
      <c r="B20" s="11">
        <f>VLOOKUP(A20,'월별 기본데이터 합계'!$A$5:$AD$28,30,0)</f>
        <v>0</v>
      </c>
      <c r="C20" s="11">
        <f>VLOOKUP(A20,'월별 기본데이터 합계'!$A$5:$AE$28,31,0)</f>
        <v>0</v>
      </c>
      <c r="D20" s="11">
        <f>VLOOKUP(A20,'월별 기본데이터 합계'!$A$5:$AF$28,32,0)</f>
        <v>0</v>
      </c>
      <c r="E20" s="12">
        <f>VLOOKUP(A20,'월별 기본데이터 합계'!$A$5:$AG$28,33,0)</f>
        <v>0</v>
      </c>
      <c r="F20" s="12">
        <f t="shared" si="1"/>
        <v>0</v>
      </c>
      <c r="H20">
        <v>6</v>
      </c>
      <c r="I20">
        <f>Sheet1!$A$1</f>
        <v>1</v>
      </c>
    </row>
    <row r="21" spans="1:9">
      <c r="A21" s="13">
        <f t="shared" si="0"/>
        <v>548</v>
      </c>
      <c r="B21" s="11">
        <f>VLOOKUP(A21,'월별 기본데이터 합계'!$A$5:$AD$28,30,0)</f>
        <v>0</v>
      </c>
      <c r="C21" s="11">
        <f>VLOOKUP(A21,'월별 기본데이터 합계'!$A$5:$AE$28,31,0)</f>
        <v>0</v>
      </c>
      <c r="D21" s="11">
        <f>VLOOKUP(A21,'월별 기본데이터 합계'!$A$5:$AF$28,32,0)</f>
        <v>0</v>
      </c>
      <c r="E21" s="12">
        <f>VLOOKUP(A21,'월별 기본데이터 합계'!$A$5:$AG$28,33,0)</f>
        <v>0</v>
      </c>
      <c r="F21" s="12">
        <f t="shared" si="1"/>
        <v>0</v>
      </c>
      <c r="H21">
        <v>7</v>
      </c>
      <c r="I21">
        <f>Sheet1!$A$1</f>
        <v>1</v>
      </c>
    </row>
    <row r="22" spans="1:9">
      <c r="A22" s="13">
        <f t="shared" si="0"/>
        <v>579</v>
      </c>
      <c r="B22" s="11">
        <f>VLOOKUP(A22,'월별 기본데이터 합계'!$A$5:$AD$28,30,0)</f>
        <v>0</v>
      </c>
      <c r="C22" s="11">
        <f>VLOOKUP(A22,'월별 기본데이터 합계'!$A$5:$AE$28,31,0)</f>
        <v>0</v>
      </c>
      <c r="D22" s="11">
        <f>VLOOKUP(A22,'월별 기본데이터 합계'!$A$5:$AF$28,32,0)</f>
        <v>0</v>
      </c>
      <c r="E22" s="12">
        <f>VLOOKUP(A22,'월별 기본데이터 합계'!$A$5:$AG$28,33,0)</f>
        <v>0</v>
      </c>
      <c r="F22" s="12">
        <f t="shared" si="1"/>
        <v>0</v>
      </c>
      <c r="H22">
        <v>8</v>
      </c>
      <c r="I22">
        <f>Sheet1!$A$1</f>
        <v>1</v>
      </c>
    </row>
    <row r="23" spans="1:9">
      <c r="A23" s="13">
        <f t="shared" si="0"/>
        <v>610</v>
      </c>
      <c r="B23" s="11">
        <f>VLOOKUP(A23,'월별 기본데이터 합계'!$A$5:$AD$28,30,0)</f>
        <v>0</v>
      </c>
      <c r="C23" s="11">
        <f>VLOOKUP(A23,'월별 기본데이터 합계'!$A$5:$AE$28,31,0)</f>
        <v>0</v>
      </c>
      <c r="D23" s="11">
        <f>VLOOKUP(A23,'월별 기본데이터 합계'!$A$5:$AF$28,32,0)</f>
        <v>0</v>
      </c>
      <c r="E23" s="12">
        <f>VLOOKUP(A23,'월별 기본데이터 합계'!$A$5:$AG$28,33,0)</f>
        <v>0</v>
      </c>
      <c r="F23" s="12">
        <f t="shared" si="1"/>
        <v>0</v>
      </c>
      <c r="H23">
        <v>9</v>
      </c>
      <c r="I23">
        <f>Sheet1!$A$1</f>
        <v>1</v>
      </c>
    </row>
    <row r="24" spans="1:9">
      <c r="A24" s="13">
        <f t="shared" si="0"/>
        <v>640</v>
      </c>
      <c r="B24" s="11">
        <f>VLOOKUP(A24,'월별 기본데이터 합계'!$A$5:$AD$28,30,0)</f>
        <v>0</v>
      </c>
      <c r="C24" s="11">
        <f>VLOOKUP(A24,'월별 기본데이터 합계'!$A$5:$AE$28,31,0)</f>
        <v>0</v>
      </c>
      <c r="D24" s="11">
        <f>VLOOKUP(A24,'월별 기본데이터 합계'!$A$5:$AF$28,32,0)</f>
        <v>0</v>
      </c>
      <c r="E24" s="12">
        <f>VLOOKUP(A24,'월별 기본데이터 합계'!$A$5:$AG$28,33,0)</f>
        <v>0</v>
      </c>
      <c r="F24" s="12">
        <f t="shared" si="1"/>
        <v>0</v>
      </c>
      <c r="H24">
        <v>10</v>
      </c>
      <c r="I24">
        <f>Sheet1!$A$1</f>
        <v>1</v>
      </c>
    </row>
    <row r="25" spans="1:9">
      <c r="A25" s="13">
        <f t="shared" si="0"/>
        <v>671</v>
      </c>
      <c r="B25" s="11">
        <f>VLOOKUP(A25,'월별 기본데이터 합계'!$A$5:$AD$28,30,0)</f>
        <v>0</v>
      </c>
      <c r="C25" s="11">
        <f>VLOOKUP(A25,'월별 기본데이터 합계'!$A$5:$AE$28,31,0)</f>
        <v>0</v>
      </c>
      <c r="D25" s="11">
        <f>VLOOKUP(A25,'월별 기본데이터 합계'!$A$5:$AF$28,32,0)</f>
        <v>0</v>
      </c>
      <c r="E25" s="12">
        <f>VLOOKUP(A25,'월별 기본데이터 합계'!$A$5:$AG$28,33,0)</f>
        <v>0</v>
      </c>
      <c r="F25" s="12">
        <f t="shared" si="1"/>
        <v>0</v>
      </c>
      <c r="H25">
        <v>11</v>
      </c>
      <c r="I25">
        <f>Sheet1!$A$1</f>
        <v>1</v>
      </c>
    </row>
    <row r="26" spans="1:9">
      <c r="A26" s="13">
        <f t="shared" si="0"/>
        <v>701</v>
      </c>
      <c r="B26" s="11">
        <f>VLOOKUP(A26,'월별 기본데이터 합계'!$A$5:$AD$28,30,0)</f>
        <v>0</v>
      </c>
      <c r="C26" s="11">
        <f>VLOOKUP(A26,'월별 기본데이터 합계'!$A$5:$AE$28,31,0)</f>
        <v>0</v>
      </c>
      <c r="D26" s="11">
        <f>VLOOKUP(A26,'월별 기본데이터 합계'!$A$5:$AF$28,32,0)</f>
        <v>0</v>
      </c>
      <c r="E26" s="12">
        <f>VLOOKUP(A26,'월별 기본데이터 합계'!$A$5:$AG$28,33,0)</f>
        <v>0</v>
      </c>
      <c r="F26" s="12">
        <f t="shared" si="1"/>
        <v>0</v>
      </c>
      <c r="H26">
        <v>12</v>
      </c>
      <c r="I26">
        <f>Sheet1!$A$1</f>
        <v>1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0"/>
  <sheetViews>
    <sheetView zoomScale="80" zoomScaleNormal="80" workbookViewId="0">
      <selection activeCell="B1" sqref="B1:B1048576"/>
    </sheetView>
  </sheetViews>
  <sheetFormatPr defaultRowHeight="15"/>
  <cols>
    <col min="1" max="1" width="15.85546875" customWidth="1"/>
    <col min="2" max="2" width="12.7109375" hidden="1" customWidth="1"/>
    <col min="3" max="13" width="9.85546875" customWidth="1"/>
    <col min="15" max="15" width="0" hidden="1" customWidth="1"/>
    <col min="16" max="16" width="9.140625" hidden="1" customWidth="1"/>
  </cols>
  <sheetData>
    <row r="1" spans="1:16">
      <c r="A1" s="3" t="s">
        <v>28</v>
      </c>
      <c r="B1" s="3"/>
      <c r="C1" s="4"/>
      <c r="D1" s="4"/>
      <c r="E1" s="4"/>
      <c r="F1" s="4"/>
      <c r="G1" s="4"/>
      <c r="H1" s="4"/>
      <c r="I1" s="5"/>
      <c r="J1" s="5"/>
      <c r="K1" s="5"/>
      <c r="L1" s="5"/>
      <c r="M1" s="5"/>
    </row>
    <row r="2" spans="1:16">
      <c r="A2" s="4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</row>
    <row r="3" spans="1:16" ht="30.75" customHeight="1">
      <c r="A3" s="6" t="s">
        <v>29</v>
      </c>
      <c r="B3" s="20"/>
      <c r="C3" s="95" t="s">
        <v>30</v>
      </c>
      <c r="D3" s="96"/>
      <c r="E3" s="96"/>
      <c r="F3" s="96"/>
      <c r="G3" s="96"/>
      <c r="H3" s="97"/>
      <c r="I3" s="98" t="s">
        <v>31</v>
      </c>
      <c r="J3" s="99"/>
      <c r="K3" s="99"/>
      <c r="L3" s="99"/>
      <c r="M3" s="100"/>
      <c r="O3">
        <v>1</v>
      </c>
      <c r="P3" t="s">
        <v>32</v>
      </c>
    </row>
    <row r="4" spans="1:16" ht="102">
      <c r="A4" s="7" t="s">
        <v>89</v>
      </c>
      <c r="B4" s="7"/>
      <c r="C4" s="8" t="s">
        <v>132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137</v>
      </c>
      <c r="I4" s="27" t="s">
        <v>138</v>
      </c>
      <c r="J4" s="27" t="s">
        <v>139</v>
      </c>
      <c r="K4" s="27" t="s">
        <v>140</v>
      </c>
      <c r="L4" s="27" t="s">
        <v>136</v>
      </c>
      <c r="M4" s="27" t="s">
        <v>141</v>
      </c>
    </row>
    <row r="5" spans="1:16">
      <c r="A5" s="9">
        <f>DATE(P5,O5,1)</f>
        <v>1</v>
      </c>
      <c r="B5" s="9" t="str">
        <f>TEXT(O5*29,"mmm")&amp; "-" &amp;P5</f>
        <v>Jan-0</v>
      </c>
      <c r="C5" s="7">
        <f>SUM(D5:G5)</f>
        <v>0</v>
      </c>
      <c r="D5" s="10">
        <f>SUMIF(Sheet1!F:F,B5,Sheet1!J:J)</f>
        <v>0</v>
      </c>
      <c r="E5" s="10">
        <f>SUMIF(Sheet1!F:F,B5,Sheet1!K:K)</f>
        <v>0</v>
      </c>
      <c r="F5" s="10">
        <f>SUMIF(Sheet1!F:F,B5,Sheet1!N:N)</f>
        <v>0</v>
      </c>
      <c r="G5" s="10">
        <f>SUMIF(Sheet1!F:F,B5,Sheet1!Z:Z)</f>
        <v>0</v>
      </c>
      <c r="H5" s="7">
        <f>D5+E5</f>
        <v>0</v>
      </c>
      <c r="I5" s="11" t="str">
        <f>IFERROR(D5/C5*100%,"")</f>
        <v/>
      </c>
      <c r="J5" s="11" t="str">
        <f>IFERROR(E5/C5*100%,"")</f>
        <v/>
      </c>
      <c r="K5" s="11" t="str">
        <f>IFERROR(F5/C5*100%,"")</f>
        <v/>
      </c>
      <c r="L5" s="11" t="str">
        <f>IFERROR(G5/C5*100%,"")</f>
        <v/>
      </c>
      <c r="M5" s="12" t="str">
        <f>IFERROR(I5+J5,"")</f>
        <v/>
      </c>
      <c r="O5">
        <v>1</v>
      </c>
      <c r="P5">
        <f>Sheet1!$A$1-1</f>
        <v>0</v>
      </c>
    </row>
    <row r="6" spans="1:16">
      <c r="A6" s="9">
        <f t="shared" ref="A6:A27" si="0">DATE(P6,O6,1)</f>
        <v>32</v>
      </c>
      <c r="B6" s="9" t="str">
        <f t="shared" ref="B6:B28" si="1">TEXT(O6*29,"mmm")&amp; "-" &amp;P6</f>
        <v>Feb-0</v>
      </c>
      <c r="C6" s="7">
        <f t="shared" ref="C6:C16" si="2">SUM(D6:G6)</f>
        <v>0</v>
      </c>
      <c r="D6" s="10">
        <f>SUMIF(Sheet1!F:F,B6,Sheet1!J:J)</f>
        <v>0</v>
      </c>
      <c r="E6" s="10">
        <f>SUMIF(Sheet1!F:F,B6,Sheet1!K:K)</f>
        <v>0</v>
      </c>
      <c r="F6" s="10">
        <f>SUMIF(Sheet1!F:F,B6,Sheet1!N:N)</f>
        <v>0</v>
      </c>
      <c r="G6" s="10">
        <f>SUMIF(Sheet1!F:F,B6,Sheet1!Z:Z)</f>
        <v>0</v>
      </c>
      <c r="H6" s="7">
        <f t="shared" ref="H6:H16" si="3">D6+E6</f>
        <v>0</v>
      </c>
      <c r="I6" s="11" t="str">
        <f t="shared" ref="I6:I16" si="4">IFERROR(D6/C6*100%,"")</f>
        <v/>
      </c>
      <c r="J6" s="11" t="str">
        <f t="shared" ref="J6:J16" si="5">IFERROR(E6/C6*100%,"")</f>
        <v/>
      </c>
      <c r="K6" s="11" t="str">
        <f t="shared" ref="K6:K16" si="6">IFERROR(F6/C6*100%,"")</f>
        <v/>
      </c>
      <c r="L6" s="11" t="str">
        <f t="shared" ref="L6:L16" si="7">IFERROR(G6/C6*100%,"")</f>
        <v/>
      </c>
      <c r="M6" s="12" t="str">
        <f t="shared" ref="M6:M16" si="8">IFERROR(I6+J6,"")</f>
        <v/>
      </c>
      <c r="O6">
        <v>2</v>
      </c>
      <c r="P6">
        <f>Sheet1!$A$1-1</f>
        <v>0</v>
      </c>
    </row>
    <row r="7" spans="1:16">
      <c r="A7" s="9">
        <f t="shared" si="0"/>
        <v>61</v>
      </c>
      <c r="B7" s="9" t="str">
        <f t="shared" si="1"/>
        <v>Mar-0</v>
      </c>
      <c r="C7" s="7">
        <f t="shared" si="2"/>
        <v>0</v>
      </c>
      <c r="D7" s="10">
        <f>SUMIF(Sheet1!F:F,B7,Sheet1!J:J)</f>
        <v>0</v>
      </c>
      <c r="E7" s="10">
        <f>SUMIF(Sheet1!F:F,B7,Sheet1!K:K)</f>
        <v>0</v>
      </c>
      <c r="F7" s="10">
        <f>SUMIF(Sheet1!F:F,B7,Sheet1!N:N)</f>
        <v>0</v>
      </c>
      <c r="G7" s="10">
        <f>SUMIF(Sheet1!F:F,B7,Sheet1!Z:Z)</f>
        <v>0</v>
      </c>
      <c r="H7" s="7">
        <f t="shared" si="3"/>
        <v>0</v>
      </c>
      <c r="I7" s="11" t="str">
        <f t="shared" si="4"/>
        <v/>
      </c>
      <c r="J7" s="11" t="str">
        <f t="shared" si="5"/>
        <v/>
      </c>
      <c r="K7" s="11" t="str">
        <f t="shared" si="6"/>
        <v/>
      </c>
      <c r="L7" s="11" t="str">
        <f t="shared" si="7"/>
        <v/>
      </c>
      <c r="M7" s="12" t="str">
        <f t="shared" si="8"/>
        <v/>
      </c>
      <c r="O7">
        <v>3</v>
      </c>
      <c r="P7">
        <f>Sheet1!$A$1-1</f>
        <v>0</v>
      </c>
    </row>
    <row r="8" spans="1:16">
      <c r="A8" s="9">
        <f t="shared" si="0"/>
        <v>92</v>
      </c>
      <c r="B8" s="9" t="str">
        <f t="shared" si="1"/>
        <v>Apr-0</v>
      </c>
      <c r="C8" s="7">
        <f t="shared" si="2"/>
        <v>0</v>
      </c>
      <c r="D8" s="10">
        <f>SUMIF(Sheet1!F:F,B8,Sheet1!J:J)</f>
        <v>0</v>
      </c>
      <c r="E8" s="10">
        <f>SUMIF(Sheet1!F:F,B8,Sheet1!K:K)</f>
        <v>0</v>
      </c>
      <c r="F8" s="10">
        <f>SUMIF(Sheet1!F:F,B8,Sheet1!N:N)</f>
        <v>0</v>
      </c>
      <c r="G8" s="10">
        <f>SUMIF(Sheet1!F:F,B8,Sheet1!Z:Z)</f>
        <v>0</v>
      </c>
      <c r="H8" s="7">
        <f t="shared" si="3"/>
        <v>0</v>
      </c>
      <c r="I8" s="11" t="str">
        <f t="shared" si="4"/>
        <v/>
      </c>
      <c r="J8" s="11" t="str">
        <f t="shared" si="5"/>
        <v/>
      </c>
      <c r="K8" s="11" t="str">
        <f t="shared" si="6"/>
        <v/>
      </c>
      <c r="L8" s="11" t="str">
        <f t="shared" si="7"/>
        <v/>
      </c>
      <c r="M8" s="12" t="str">
        <f t="shared" si="8"/>
        <v/>
      </c>
      <c r="O8">
        <v>4</v>
      </c>
      <c r="P8">
        <f>Sheet1!$A$1-1</f>
        <v>0</v>
      </c>
    </row>
    <row r="9" spans="1:16">
      <c r="A9" s="9">
        <f t="shared" si="0"/>
        <v>122</v>
      </c>
      <c r="B9" s="9" t="str">
        <f t="shared" si="1"/>
        <v>May-0</v>
      </c>
      <c r="C9" s="7">
        <f t="shared" si="2"/>
        <v>0</v>
      </c>
      <c r="D9" s="10">
        <f>SUMIF(Sheet1!F:F,B9,Sheet1!J:J)</f>
        <v>0</v>
      </c>
      <c r="E9" s="10">
        <f>SUMIF(Sheet1!F:F,B9,Sheet1!K:K)</f>
        <v>0</v>
      </c>
      <c r="F9" s="10">
        <f>SUMIF(Sheet1!F:F,B9,Sheet1!N:N)</f>
        <v>0</v>
      </c>
      <c r="G9" s="10">
        <f>SUMIF(Sheet1!F:F,B9,Sheet1!Z:Z)</f>
        <v>0</v>
      </c>
      <c r="H9" s="7">
        <f t="shared" si="3"/>
        <v>0</v>
      </c>
      <c r="I9" s="11" t="str">
        <f t="shared" si="4"/>
        <v/>
      </c>
      <c r="J9" s="11" t="str">
        <f t="shared" si="5"/>
        <v/>
      </c>
      <c r="K9" s="11" t="str">
        <f t="shared" si="6"/>
        <v/>
      </c>
      <c r="L9" s="11" t="str">
        <f t="shared" si="7"/>
        <v/>
      </c>
      <c r="M9" s="12" t="str">
        <f t="shared" si="8"/>
        <v/>
      </c>
      <c r="O9">
        <v>5</v>
      </c>
      <c r="P9">
        <f>Sheet1!$A$1-1</f>
        <v>0</v>
      </c>
    </row>
    <row r="10" spans="1:16">
      <c r="A10" s="9">
        <f t="shared" si="0"/>
        <v>153</v>
      </c>
      <c r="B10" s="9" t="str">
        <f t="shared" si="1"/>
        <v>Jun-0</v>
      </c>
      <c r="C10" s="7">
        <f t="shared" si="2"/>
        <v>0</v>
      </c>
      <c r="D10" s="10">
        <f>SUMIF(Sheet1!F:F,B10,Sheet1!J:J)</f>
        <v>0</v>
      </c>
      <c r="E10" s="10">
        <f>SUMIF(Sheet1!F:F,B10,Sheet1!K:K)</f>
        <v>0</v>
      </c>
      <c r="F10" s="10">
        <f>SUMIF(Sheet1!F:F,B10,Sheet1!N:N)</f>
        <v>0</v>
      </c>
      <c r="G10" s="10">
        <f>SUMIF(Sheet1!F:F,B10,Sheet1!Z:Z)</f>
        <v>0</v>
      </c>
      <c r="H10" s="7">
        <f t="shared" si="3"/>
        <v>0</v>
      </c>
      <c r="I10" s="11" t="str">
        <f t="shared" si="4"/>
        <v/>
      </c>
      <c r="J10" s="11" t="str">
        <f t="shared" si="5"/>
        <v/>
      </c>
      <c r="K10" s="11" t="str">
        <f t="shared" si="6"/>
        <v/>
      </c>
      <c r="L10" s="11" t="str">
        <f t="shared" si="7"/>
        <v/>
      </c>
      <c r="M10" s="12" t="str">
        <f t="shared" si="8"/>
        <v/>
      </c>
      <c r="O10">
        <v>6</v>
      </c>
      <c r="P10">
        <f>Sheet1!$A$1-1</f>
        <v>0</v>
      </c>
    </row>
    <row r="11" spans="1:16">
      <c r="A11" s="9">
        <f t="shared" si="0"/>
        <v>183</v>
      </c>
      <c r="B11" s="9" t="str">
        <f t="shared" si="1"/>
        <v>Jul-0</v>
      </c>
      <c r="C11" s="7">
        <f t="shared" si="2"/>
        <v>0</v>
      </c>
      <c r="D11" s="10">
        <f>SUMIF(Sheet1!F:F,B11,Sheet1!J:J)</f>
        <v>0</v>
      </c>
      <c r="E11" s="10">
        <f>SUMIF(Sheet1!F:F,B11,Sheet1!K:K)</f>
        <v>0</v>
      </c>
      <c r="F11" s="10">
        <f>SUMIF(Sheet1!F:F,B11,Sheet1!N:N)</f>
        <v>0</v>
      </c>
      <c r="G11" s="10">
        <f>SUMIF(Sheet1!F:F,B11,Sheet1!Z:Z)</f>
        <v>0</v>
      </c>
      <c r="H11" s="7">
        <f t="shared" si="3"/>
        <v>0</v>
      </c>
      <c r="I11" s="11" t="str">
        <f t="shared" si="4"/>
        <v/>
      </c>
      <c r="J11" s="11" t="str">
        <f t="shared" si="5"/>
        <v/>
      </c>
      <c r="K11" s="11" t="str">
        <f t="shared" si="6"/>
        <v/>
      </c>
      <c r="L11" s="11" t="str">
        <f t="shared" si="7"/>
        <v/>
      </c>
      <c r="M11" s="12" t="str">
        <f t="shared" si="8"/>
        <v/>
      </c>
      <c r="O11">
        <v>7</v>
      </c>
      <c r="P11">
        <f>Sheet1!$A$1-1</f>
        <v>0</v>
      </c>
    </row>
    <row r="12" spans="1:16">
      <c r="A12" s="9">
        <f t="shared" si="0"/>
        <v>214</v>
      </c>
      <c r="B12" s="9" t="str">
        <f t="shared" si="1"/>
        <v>Aug-0</v>
      </c>
      <c r="C12" s="7">
        <f t="shared" si="2"/>
        <v>0</v>
      </c>
      <c r="D12" s="10">
        <f>SUMIF(Sheet1!F:F,B12,Sheet1!J:J)</f>
        <v>0</v>
      </c>
      <c r="E12" s="10">
        <f>SUMIF(Sheet1!F:F,B12,Sheet1!K:K)</f>
        <v>0</v>
      </c>
      <c r="F12" s="10">
        <f>SUMIF(Sheet1!F:F,B12,Sheet1!N:N)</f>
        <v>0</v>
      </c>
      <c r="G12" s="10">
        <f>SUMIF(Sheet1!F:F,B12,Sheet1!Z:Z)</f>
        <v>0</v>
      </c>
      <c r="H12" s="7">
        <f t="shared" si="3"/>
        <v>0</v>
      </c>
      <c r="I12" s="11" t="str">
        <f t="shared" si="4"/>
        <v/>
      </c>
      <c r="J12" s="11" t="str">
        <f t="shared" si="5"/>
        <v/>
      </c>
      <c r="K12" s="11" t="str">
        <f t="shared" si="6"/>
        <v/>
      </c>
      <c r="L12" s="11" t="str">
        <f t="shared" si="7"/>
        <v/>
      </c>
      <c r="M12" s="12" t="str">
        <f t="shared" si="8"/>
        <v/>
      </c>
      <c r="O12">
        <v>8</v>
      </c>
      <c r="P12">
        <f>Sheet1!$A$1-1</f>
        <v>0</v>
      </c>
    </row>
    <row r="13" spans="1:16">
      <c r="A13" s="9">
        <f t="shared" si="0"/>
        <v>245</v>
      </c>
      <c r="B13" s="9" t="str">
        <f t="shared" si="1"/>
        <v>Sep-0</v>
      </c>
      <c r="C13" s="7">
        <f t="shared" si="2"/>
        <v>0</v>
      </c>
      <c r="D13" s="10">
        <f>SUMIF(Sheet1!F:F,B13,Sheet1!J:J)</f>
        <v>0</v>
      </c>
      <c r="E13" s="10">
        <f>SUMIF(Sheet1!F:F,B13,Sheet1!K:K)</f>
        <v>0</v>
      </c>
      <c r="F13" s="10">
        <f>SUMIF(Sheet1!F:F,B13,Sheet1!N:N)</f>
        <v>0</v>
      </c>
      <c r="G13" s="10">
        <f>SUMIF(Sheet1!F:F,B13,Sheet1!Z:Z)</f>
        <v>0</v>
      </c>
      <c r="H13" s="7">
        <f t="shared" si="3"/>
        <v>0</v>
      </c>
      <c r="I13" s="11" t="str">
        <f t="shared" si="4"/>
        <v/>
      </c>
      <c r="J13" s="11" t="str">
        <f t="shared" si="5"/>
        <v/>
      </c>
      <c r="K13" s="11" t="str">
        <f t="shared" si="6"/>
        <v/>
      </c>
      <c r="L13" s="11" t="str">
        <f t="shared" si="7"/>
        <v/>
      </c>
      <c r="M13" s="12" t="str">
        <f t="shared" si="8"/>
        <v/>
      </c>
      <c r="O13">
        <v>9</v>
      </c>
      <c r="P13">
        <f>Sheet1!$A$1-1</f>
        <v>0</v>
      </c>
    </row>
    <row r="14" spans="1:16">
      <c r="A14" s="9">
        <f t="shared" si="0"/>
        <v>275</v>
      </c>
      <c r="B14" s="9" t="str">
        <f t="shared" si="1"/>
        <v>Oct-0</v>
      </c>
      <c r="C14" s="7">
        <f t="shared" si="2"/>
        <v>0</v>
      </c>
      <c r="D14" s="10">
        <f>SUMIF(Sheet1!F:F,B14,Sheet1!J:J)</f>
        <v>0</v>
      </c>
      <c r="E14" s="10">
        <f>SUMIF(Sheet1!F:F,B14,Sheet1!K:K)</f>
        <v>0</v>
      </c>
      <c r="F14" s="10">
        <f>SUMIF(Sheet1!F:F,B14,Sheet1!N:N)</f>
        <v>0</v>
      </c>
      <c r="G14" s="10">
        <f>SUMIF(Sheet1!F:F,B14,Sheet1!Z:Z)</f>
        <v>0</v>
      </c>
      <c r="H14" s="7">
        <f t="shared" si="3"/>
        <v>0</v>
      </c>
      <c r="I14" s="11" t="str">
        <f t="shared" si="4"/>
        <v/>
      </c>
      <c r="J14" s="11" t="str">
        <f t="shared" si="5"/>
        <v/>
      </c>
      <c r="K14" s="11" t="str">
        <f t="shared" si="6"/>
        <v/>
      </c>
      <c r="L14" s="11" t="str">
        <f t="shared" si="7"/>
        <v/>
      </c>
      <c r="M14" s="12" t="str">
        <f t="shared" si="8"/>
        <v/>
      </c>
      <c r="O14">
        <v>10</v>
      </c>
      <c r="P14">
        <f>Sheet1!$A$1-1</f>
        <v>0</v>
      </c>
    </row>
    <row r="15" spans="1:16">
      <c r="A15" s="9">
        <f t="shared" si="0"/>
        <v>306</v>
      </c>
      <c r="B15" s="9" t="str">
        <f t="shared" si="1"/>
        <v>Nov-0</v>
      </c>
      <c r="C15" s="7">
        <f t="shared" si="2"/>
        <v>0</v>
      </c>
      <c r="D15" s="10">
        <f>SUMIF(Sheet1!F:F,B15,Sheet1!J:J)</f>
        <v>0</v>
      </c>
      <c r="E15" s="10">
        <f>SUMIF(Sheet1!F:F,B15,Sheet1!K:K)</f>
        <v>0</v>
      </c>
      <c r="F15" s="10">
        <f>SUMIF(Sheet1!F:F,B15,Sheet1!N:N)</f>
        <v>0</v>
      </c>
      <c r="G15" s="10">
        <f>SUMIF(Sheet1!F:F,B15,Sheet1!Z:Z)</f>
        <v>0</v>
      </c>
      <c r="H15" s="7">
        <f t="shared" si="3"/>
        <v>0</v>
      </c>
      <c r="I15" s="11" t="str">
        <f t="shared" si="4"/>
        <v/>
      </c>
      <c r="J15" s="11" t="str">
        <f t="shared" si="5"/>
        <v/>
      </c>
      <c r="K15" s="11" t="str">
        <f t="shared" si="6"/>
        <v/>
      </c>
      <c r="L15" s="11" t="str">
        <f t="shared" si="7"/>
        <v/>
      </c>
      <c r="M15" s="12" t="str">
        <f t="shared" si="8"/>
        <v/>
      </c>
      <c r="O15">
        <v>11</v>
      </c>
      <c r="P15">
        <f>Sheet1!$A$1-1</f>
        <v>0</v>
      </c>
    </row>
    <row r="16" spans="1:16">
      <c r="A16" s="9">
        <f t="shared" si="0"/>
        <v>336</v>
      </c>
      <c r="B16" s="9" t="str">
        <f t="shared" si="1"/>
        <v>Dec-0</v>
      </c>
      <c r="C16" s="7">
        <f t="shared" si="2"/>
        <v>0</v>
      </c>
      <c r="D16" s="10">
        <f>SUMIF(Sheet1!F:F,B16,Sheet1!J:J)</f>
        <v>0</v>
      </c>
      <c r="E16" s="10">
        <f>SUMIF(Sheet1!F:F,B16,Sheet1!K:K)</f>
        <v>0</v>
      </c>
      <c r="F16" s="10">
        <f>SUMIF(Sheet1!F:F,B16,Sheet1!N:N)</f>
        <v>0</v>
      </c>
      <c r="G16" s="10">
        <f>SUMIF(Sheet1!F:F,B16,Sheet1!Z:Z)</f>
        <v>0</v>
      </c>
      <c r="H16" s="7">
        <f t="shared" si="3"/>
        <v>0</v>
      </c>
      <c r="I16" s="11" t="str">
        <f t="shared" si="4"/>
        <v/>
      </c>
      <c r="J16" s="11" t="str">
        <f t="shared" si="5"/>
        <v/>
      </c>
      <c r="K16" s="11" t="str">
        <f t="shared" si="6"/>
        <v/>
      </c>
      <c r="L16" s="11" t="str">
        <f t="shared" si="7"/>
        <v/>
      </c>
      <c r="M16" s="12" t="str">
        <f t="shared" si="8"/>
        <v/>
      </c>
      <c r="O16">
        <v>12</v>
      </c>
      <c r="P16">
        <f>Sheet1!$A$1-1</f>
        <v>0</v>
      </c>
    </row>
    <row r="17" spans="1:16">
      <c r="A17" s="9">
        <f t="shared" si="0"/>
        <v>367</v>
      </c>
      <c r="B17" s="9" t="str">
        <f t="shared" si="1"/>
        <v>Jan-1</v>
      </c>
      <c r="C17" s="7">
        <f>SUM(D17:G17)</f>
        <v>0</v>
      </c>
      <c r="D17" s="10">
        <f>SUMIF(Sheet1!F:F,B17,Sheet1!J:J)</f>
        <v>0</v>
      </c>
      <c r="E17" s="10">
        <f>SUMIF(Sheet1!F:F,B17,Sheet1!K:K)</f>
        <v>0</v>
      </c>
      <c r="F17" s="10">
        <f>SUMIF(Sheet1!F:F,B17,Sheet1!N:N)</f>
        <v>0</v>
      </c>
      <c r="G17" s="10">
        <f>SUMIF(Sheet1!F:F,B17,Sheet1!Z:Z)</f>
        <v>0</v>
      </c>
      <c r="H17" s="7">
        <f>D17+E17</f>
        <v>0</v>
      </c>
      <c r="I17" s="11" t="str">
        <f>IFERROR(D17/C17*100%,"")</f>
        <v/>
      </c>
      <c r="J17" s="11" t="str">
        <f>IFERROR(E17/C17*100%,"")</f>
        <v/>
      </c>
      <c r="K17" s="11" t="str">
        <f>IFERROR(F17/C17*100%,"")</f>
        <v/>
      </c>
      <c r="L17" s="11" t="str">
        <f>IFERROR(G17/C17*100%,"")</f>
        <v/>
      </c>
      <c r="M17" s="12" t="str">
        <f>IFERROR(I17+J17,"")</f>
        <v/>
      </c>
      <c r="O17">
        <v>1</v>
      </c>
      <c r="P17">
        <f>Sheet1!$A$1</f>
        <v>1</v>
      </c>
    </row>
    <row r="18" spans="1:16">
      <c r="A18" s="9">
        <f t="shared" si="0"/>
        <v>398</v>
      </c>
      <c r="B18" s="9" t="str">
        <f t="shared" si="1"/>
        <v>Feb-1</v>
      </c>
      <c r="C18" s="7">
        <f t="shared" ref="C18:C28" si="9">SUM(D18:G18)</f>
        <v>0</v>
      </c>
      <c r="D18" s="10">
        <f>SUMIF(Sheet1!F:F,B18,Sheet1!J:J)</f>
        <v>0</v>
      </c>
      <c r="E18" s="10">
        <f>SUMIF(Sheet1!F:F,B18,Sheet1!K:K)</f>
        <v>0</v>
      </c>
      <c r="F18" s="10">
        <f>SUMIF(Sheet1!F:F,B18,Sheet1!N:N)</f>
        <v>0</v>
      </c>
      <c r="G18" s="10">
        <f>SUMIF(Sheet1!F:F,B18,Sheet1!Z:Z)</f>
        <v>0</v>
      </c>
      <c r="H18" s="7">
        <f t="shared" ref="H18:H28" si="10">D18+E18</f>
        <v>0</v>
      </c>
      <c r="I18" s="11" t="str">
        <f t="shared" ref="I18:I28" si="11">IFERROR(D18/C18*100%,"")</f>
        <v/>
      </c>
      <c r="J18" s="11" t="str">
        <f t="shared" ref="J18:J28" si="12">IFERROR(E18/C18*100%,"")</f>
        <v/>
      </c>
      <c r="K18" s="11" t="str">
        <f t="shared" ref="K18:K28" si="13">IFERROR(F18/C18*100%,"")</f>
        <v/>
      </c>
      <c r="L18" s="11" t="str">
        <f t="shared" ref="L18:L28" si="14">IFERROR(G18/C18*100%,"")</f>
        <v/>
      </c>
      <c r="M18" s="12" t="str">
        <f t="shared" ref="M18:M28" si="15">IFERROR(I18+J18,"")</f>
        <v/>
      </c>
      <c r="O18">
        <v>2</v>
      </c>
      <c r="P18">
        <f>Sheet1!$A$1</f>
        <v>1</v>
      </c>
    </row>
    <row r="19" spans="1:16">
      <c r="A19" s="9">
        <f t="shared" si="0"/>
        <v>426</v>
      </c>
      <c r="B19" s="9" t="str">
        <f t="shared" si="1"/>
        <v>Mar-1</v>
      </c>
      <c r="C19" s="7">
        <f t="shared" si="9"/>
        <v>0</v>
      </c>
      <c r="D19" s="10">
        <f>SUMIF(Sheet1!F:F,B19,Sheet1!J:J)</f>
        <v>0</v>
      </c>
      <c r="E19" s="10">
        <f>SUMIF(Sheet1!F:F,B19,Sheet1!K:K)</f>
        <v>0</v>
      </c>
      <c r="F19" s="10">
        <f>SUMIF(Sheet1!F:F,B19,Sheet1!N:N)</f>
        <v>0</v>
      </c>
      <c r="G19" s="10">
        <f>SUMIF(Sheet1!F:F,B19,Sheet1!Z:Z)</f>
        <v>0</v>
      </c>
      <c r="H19" s="7">
        <f t="shared" si="10"/>
        <v>0</v>
      </c>
      <c r="I19" s="11" t="str">
        <f t="shared" si="11"/>
        <v/>
      </c>
      <c r="J19" s="11" t="str">
        <f t="shared" si="12"/>
        <v/>
      </c>
      <c r="K19" s="11" t="str">
        <f t="shared" si="13"/>
        <v/>
      </c>
      <c r="L19" s="11" t="str">
        <f t="shared" si="14"/>
        <v/>
      </c>
      <c r="M19" s="12" t="str">
        <f t="shared" si="15"/>
        <v/>
      </c>
      <c r="O19">
        <v>3</v>
      </c>
      <c r="P19">
        <f>Sheet1!$A$1</f>
        <v>1</v>
      </c>
    </row>
    <row r="20" spans="1:16">
      <c r="A20" s="9">
        <f t="shared" si="0"/>
        <v>457</v>
      </c>
      <c r="B20" s="9" t="str">
        <f t="shared" si="1"/>
        <v>Apr-1</v>
      </c>
      <c r="C20" s="7">
        <f t="shared" si="9"/>
        <v>0</v>
      </c>
      <c r="D20" s="10">
        <f>SUMIF(Sheet1!F:F,B20,Sheet1!J:J)</f>
        <v>0</v>
      </c>
      <c r="E20" s="10">
        <f>SUMIF(Sheet1!F:F,B20,Sheet1!K:K)</f>
        <v>0</v>
      </c>
      <c r="F20" s="10">
        <f>SUMIF(Sheet1!F:F,B20,Sheet1!N:N)</f>
        <v>0</v>
      </c>
      <c r="G20" s="10">
        <f>SUMIF(Sheet1!F:F,B20,Sheet1!Z:Z)</f>
        <v>0</v>
      </c>
      <c r="H20" s="7">
        <f t="shared" si="10"/>
        <v>0</v>
      </c>
      <c r="I20" s="11" t="str">
        <f t="shared" si="11"/>
        <v/>
      </c>
      <c r="J20" s="11" t="str">
        <f t="shared" si="12"/>
        <v/>
      </c>
      <c r="K20" s="11" t="str">
        <f t="shared" si="13"/>
        <v/>
      </c>
      <c r="L20" s="11" t="str">
        <f t="shared" si="14"/>
        <v/>
      </c>
      <c r="M20" s="12" t="str">
        <f t="shared" si="15"/>
        <v/>
      </c>
      <c r="O20">
        <v>4</v>
      </c>
      <c r="P20">
        <f>Sheet1!$A$1</f>
        <v>1</v>
      </c>
    </row>
    <row r="21" spans="1:16">
      <c r="A21" s="9">
        <f t="shared" si="0"/>
        <v>487</v>
      </c>
      <c r="B21" s="9" t="str">
        <f t="shared" si="1"/>
        <v>May-1</v>
      </c>
      <c r="C21" s="7">
        <f t="shared" si="9"/>
        <v>0</v>
      </c>
      <c r="D21" s="10">
        <f>SUMIF(Sheet1!F:F,B21,Sheet1!J:J)</f>
        <v>0</v>
      </c>
      <c r="E21" s="10">
        <f>SUMIF(Sheet1!F:F,B21,Sheet1!K:K)</f>
        <v>0</v>
      </c>
      <c r="F21" s="10">
        <f>SUMIF(Sheet1!F:F,B21,Sheet1!N:N)</f>
        <v>0</v>
      </c>
      <c r="G21" s="10">
        <f>SUMIF(Sheet1!F:F,B21,Sheet1!Z:Z)</f>
        <v>0</v>
      </c>
      <c r="H21" s="7">
        <f t="shared" si="10"/>
        <v>0</v>
      </c>
      <c r="I21" s="11" t="str">
        <f t="shared" si="11"/>
        <v/>
      </c>
      <c r="J21" s="11" t="str">
        <f t="shared" si="12"/>
        <v/>
      </c>
      <c r="K21" s="11" t="str">
        <f t="shared" si="13"/>
        <v/>
      </c>
      <c r="L21" s="11" t="str">
        <f t="shared" si="14"/>
        <v/>
      </c>
      <c r="M21" s="12" t="str">
        <f t="shared" si="15"/>
        <v/>
      </c>
      <c r="O21">
        <v>5</v>
      </c>
      <c r="P21">
        <f>Sheet1!$A$1</f>
        <v>1</v>
      </c>
    </row>
    <row r="22" spans="1:16">
      <c r="A22" s="9">
        <f t="shared" si="0"/>
        <v>518</v>
      </c>
      <c r="B22" s="9" t="str">
        <f t="shared" si="1"/>
        <v>Jun-1</v>
      </c>
      <c r="C22" s="7">
        <f t="shared" si="9"/>
        <v>0</v>
      </c>
      <c r="D22" s="10">
        <f>SUMIF(Sheet1!F:F,B22,Sheet1!J:J)</f>
        <v>0</v>
      </c>
      <c r="E22" s="10">
        <f>SUMIF(Sheet1!F:F,B22,Sheet1!K:K)</f>
        <v>0</v>
      </c>
      <c r="F22" s="10">
        <f>SUMIF(Sheet1!F:F,B22,Sheet1!N:N)</f>
        <v>0</v>
      </c>
      <c r="G22" s="10">
        <f>SUMIF(Sheet1!F:F,B22,Sheet1!Z:Z)</f>
        <v>0</v>
      </c>
      <c r="H22" s="7">
        <f t="shared" si="10"/>
        <v>0</v>
      </c>
      <c r="I22" s="11" t="str">
        <f t="shared" si="11"/>
        <v/>
      </c>
      <c r="J22" s="11" t="str">
        <f t="shared" si="12"/>
        <v/>
      </c>
      <c r="K22" s="11" t="str">
        <f t="shared" si="13"/>
        <v/>
      </c>
      <c r="L22" s="11" t="str">
        <f t="shared" si="14"/>
        <v/>
      </c>
      <c r="M22" s="12" t="str">
        <f t="shared" si="15"/>
        <v/>
      </c>
      <c r="O22">
        <v>6</v>
      </c>
      <c r="P22">
        <f>Sheet1!$A$1</f>
        <v>1</v>
      </c>
    </row>
    <row r="23" spans="1:16">
      <c r="A23" s="9">
        <f t="shared" si="0"/>
        <v>548</v>
      </c>
      <c r="B23" s="9" t="str">
        <f t="shared" si="1"/>
        <v>Jul-1</v>
      </c>
      <c r="C23" s="7">
        <f t="shared" si="9"/>
        <v>0</v>
      </c>
      <c r="D23" s="10">
        <f>SUMIF(Sheet1!F:F,B23,Sheet1!J:J)</f>
        <v>0</v>
      </c>
      <c r="E23" s="10">
        <f>SUMIF(Sheet1!F:F,B23,Sheet1!K:K)</f>
        <v>0</v>
      </c>
      <c r="F23" s="10">
        <f>SUMIF(Sheet1!F:F,B23,Sheet1!N:N)</f>
        <v>0</v>
      </c>
      <c r="G23" s="10">
        <f>SUMIF(Sheet1!F:F,B23,Sheet1!Z:Z)</f>
        <v>0</v>
      </c>
      <c r="H23" s="7">
        <f t="shared" si="10"/>
        <v>0</v>
      </c>
      <c r="I23" s="11" t="str">
        <f t="shared" si="11"/>
        <v/>
      </c>
      <c r="J23" s="11" t="str">
        <f t="shared" si="12"/>
        <v/>
      </c>
      <c r="K23" s="11" t="str">
        <f t="shared" si="13"/>
        <v/>
      </c>
      <c r="L23" s="11" t="str">
        <f t="shared" si="14"/>
        <v/>
      </c>
      <c r="M23" s="12" t="str">
        <f t="shared" si="15"/>
        <v/>
      </c>
      <c r="O23">
        <v>7</v>
      </c>
      <c r="P23">
        <f>Sheet1!$A$1</f>
        <v>1</v>
      </c>
    </row>
    <row r="24" spans="1:16">
      <c r="A24" s="9">
        <f t="shared" si="0"/>
        <v>579</v>
      </c>
      <c r="B24" s="9" t="str">
        <f t="shared" si="1"/>
        <v>Aug-1</v>
      </c>
      <c r="C24" s="7">
        <f t="shared" si="9"/>
        <v>0</v>
      </c>
      <c r="D24" s="10">
        <f>SUMIF(Sheet1!F:F,B24,Sheet1!J:J)</f>
        <v>0</v>
      </c>
      <c r="E24" s="10">
        <f>SUMIF(Sheet1!F:F,B24,Sheet1!K:K)</f>
        <v>0</v>
      </c>
      <c r="F24" s="10">
        <f>SUMIF(Sheet1!F:F,B24,Sheet1!N:N)</f>
        <v>0</v>
      </c>
      <c r="G24" s="10">
        <f>SUMIF(Sheet1!F:F,B24,Sheet1!Z:Z)</f>
        <v>0</v>
      </c>
      <c r="H24" s="7">
        <f t="shared" si="10"/>
        <v>0</v>
      </c>
      <c r="I24" s="11" t="str">
        <f t="shared" si="11"/>
        <v/>
      </c>
      <c r="J24" s="11" t="str">
        <f t="shared" si="12"/>
        <v/>
      </c>
      <c r="K24" s="11" t="str">
        <f t="shared" si="13"/>
        <v/>
      </c>
      <c r="L24" s="11" t="str">
        <f t="shared" si="14"/>
        <v/>
      </c>
      <c r="M24" s="12" t="str">
        <f t="shared" si="15"/>
        <v/>
      </c>
      <c r="O24">
        <v>8</v>
      </c>
      <c r="P24">
        <f>Sheet1!$A$1</f>
        <v>1</v>
      </c>
    </row>
    <row r="25" spans="1:16">
      <c r="A25" s="9">
        <f t="shared" si="0"/>
        <v>610</v>
      </c>
      <c r="B25" s="9" t="str">
        <f t="shared" si="1"/>
        <v>Sep-1</v>
      </c>
      <c r="C25" s="7">
        <f t="shared" si="9"/>
        <v>0</v>
      </c>
      <c r="D25" s="10">
        <f>SUMIF(Sheet1!F:F,B25,Sheet1!J:J)</f>
        <v>0</v>
      </c>
      <c r="E25" s="10">
        <f>SUMIF(Sheet1!F:F,B25,Sheet1!K:K)</f>
        <v>0</v>
      </c>
      <c r="F25" s="10">
        <f>SUMIF(Sheet1!F:F,B25,Sheet1!N:N)</f>
        <v>0</v>
      </c>
      <c r="G25" s="10">
        <f>SUMIF(Sheet1!F:F,B25,Sheet1!Z:Z)</f>
        <v>0</v>
      </c>
      <c r="H25" s="7">
        <f t="shared" si="10"/>
        <v>0</v>
      </c>
      <c r="I25" s="11" t="str">
        <f t="shared" si="11"/>
        <v/>
      </c>
      <c r="J25" s="11" t="str">
        <f t="shared" si="12"/>
        <v/>
      </c>
      <c r="K25" s="11" t="str">
        <f t="shared" si="13"/>
        <v/>
      </c>
      <c r="L25" s="11" t="str">
        <f t="shared" si="14"/>
        <v/>
      </c>
      <c r="M25" s="12" t="str">
        <f t="shared" si="15"/>
        <v/>
      </c>
      <c r="O25">
        <v>9</v>
      </c>
      <c r="P25">
        <f>Sheet1!$A$1</f>
        <v>1</v>
      </c>
    </row>
    <row r="26" spans="1:16">
      <c r="A26" s="9">
        <f t="shared" si="0"/>
        <v>640</v>
      </c>
      <c r="B26" s="9" t="str">
        <f t="shared" si="1"/>
        <v>Oct-1</v>
      </c>
      <c r="C26" s="7">
        <f t="shared" si="9"/>
        <v>0</v>
      </c>
      <c r="D26" s="10">
        <f>SUMIF(Sheet1!F:F,B26,Sheet1!J:J)</f>
        <v>0</v>
      </c>
      <c r="E26" s="10">
        <f>SUMIF(Sheet1!F:F,B26,Sheet1!K:K)</f>
        <v>0</v>
      </c>
      <c r="F26" s="10">
        <f>SUMIF(Sheet1!F:F,B26,Sheet1!N:N)</f>
        <v>0</v>
      </c>
      <c r="G26" s="10">
        <f>SUMIF(Sheet1!F:F,B26,Sheet1!Z:Z)</f>
        <v>0</v>
      </c>
      <c r="H26" s="7">
        <f t="shared" si="10"/>
        <v>0</v>
      </c>
      <c r="I26" s="11" t="str">
        <f t="shared" si="11"/>
        <v/>
      </c>
      <c r="J26" s="11" t="str">
        <f t="shared" si="12"/>
        <v/>
      </c>
      <c r="K26" s="11" t="str">
        <f t="shared" si="13"/>
        <v/>
      </c>
      <c r="L26" s="11" t="str">
        <f t="shared" si="14"/>
        <v/>
      </c>
      <c r="M26" s="12" t="str">
        <f t="shared" si="15"/>
        <v/>
      </c>
      <c r="O26">
        <v>10</v>
      </c>
      <c r="P26">
        <f>Sheet1!$A$1</f>
        <v>1</v>
      </c>
    </row>
    <row r="27" spans="1:16">
      <c r="A27" s="9">
        <f t="shared" si="0"/>
        <v>671</v>
      </c>
      <c r="B27" s="9" t="str">
        <f t="shared" si="1"/>
        <v>Nov-1</v>
      </c>
      <c r="C27" s="7">
        <f t="shared" si="9"/>
        <v>0</v>
      </c>
      <c r="D27" s="10">
        <f>SUMIF(Sheet1!F:F,B27,Sheet1!J:J)</f>
        <v>0</v>
      </c>
      <c r="E27" s="10">
        <f>SUMIF(Sheet1!F:F,B27,Sheet1!K:K)</f>
        <v>0</v>
      </c>
      <c r="F27" s="10">
        <f>SUMIF(Sheet1!F:F,B27,Sheet1!N:N)</f>
        <v>0</v>
      </c>
      <c r="G27" s="10">
        <f>SUMIF(Sheet1!F:F,B27,Sheet1!Z:Z)</f>
        <v>0</v>
      </c>
      <c r="H27" s="7">
        <f t="shared" si="10"/>
        <v>0</v>
      </c>
      <c r="I27" s="11" t="str">
        <f t="shared" si="11"/>
        <v/>
      </c>
      <c r="J27" s="11" t="str">
        <f t="shared" si="12"/>
        <v/>
      </c>
      <c r="K27" s="11" t="str">
        <f t="shared" si="13"/>
        <v/>
      </c>
      <c r="L27" s="11" t="str">
        <f t="shared" si="14"/>
        <v/>
      </c>
      <c r="M27" s="12" t="str">
        <f t="shared" si="15"/>
        <v/>
      </c>
      <c r="O27">
        <v>11</v>
      </c>
      <c r="P27">
        <f>Sheet1!$A$1</f>
        <v>1</v>
      </c>
    </row>
    <row r="28" spans="1:16">
      <c r="A28" s="9">
        <f>DATE(P28,O28,1)</f>
        <v>701</v>
      </c>
      <c r="B28" s="9" t="str">
        <f t="shared" si="1"/>
        <v>Dec-1</v>
      </c>
      <c r="C28" s="7">
        <f t="shared" si="9"/>
        <v>0</v>
      </c>
      <c r="D28" s="10">
        <f>SUMIF(Sheet1!F:F,B28,Sheet1!J:J)</f>
        <v>0</v>
      </c>
      <c r="E28" s="10">
        <f>SUMIF(Sheet1!F:F,B28,Sheet1!K:K)</f>
        <v>0</v>
      </c>
      <c r="F28" s="10">
        <f>SUMIF(Sheet1!F:F,B28,Sheet1!N:N)</f>
        <v>0</v>
      </c>
      <c r="G28" s="10">
        <f>SUMIF(Sheet1!F:F,B28,Sheet1!Z:Z)</f>
        <v>0</v>
      </c>
      <c r="H28" s="7">
        <f t="shared" si="10"/>
        <v>0</v>
      </c>
      <c r="I28" s="11" t="str">
        <f t="shared" si="11"/>
        <v/>
      </c>
      <c r="J28" s="11" t="str">
        <f t="shared" si="12"/>
        <v/>
      </c>
      <c r="K28" s="11" t="str">
        <f t="shared" si="13"/>
        <v/>
      </c>
      <c r="L28" s="11" t="str">
        <f t="shared" si="14"/>
        <v/>
      </c>
      <c r="M28" s="12" t="str">
        <f t="shared" si="15"/>
        <v/>
      </c>
      <c r="O28">
        <v>12</v>
      </c>
      <c r="P28">
        <f>Sheet1!$A$1</f>
        <v>1</v>
      </c>
    </row>
    <row r="29" spans="1:16">
      <c r="C29" s="4"/>
      <c r="D29" s="4"/>
      <c r="E29" s="4"/>
      <c r="F29" s="4"/>
      <c r="G29" s="4"/>
      <c r="H29" s="4"/>
      <c r="I29" s="5"/>
      <c r="J29" s="5"/>
      <c r="K29" s="5"/>
      <c r="L29" s="5"/>
      <c r="M29" s="5"/>
    </row>
    <row r="30" spans="1:16">
      <c r="A30" s="4"/>
      <c r="B30" s="4"/>
      <c r="C30" s="4"/>
      <c r="D30" s="4"/>
      <c r="E30" s="4"/>
      <c r="F30" s="4"/>
      <c r="G30" s="4"/>
      <c r="H30" s="4"/>
      <c r="I30" s="5"/>
      <c r="J30" s="5"/>
      <c r="K30" s="5"/>
      <c r="L30" s="5"/>
      <c r="M30" s="5"/>
    </row>
    <row r="31" spans="1:16">
      <c r="A31" s="4"/>
      <c r="B31" s="4"/>
      <c r="C31" s="4"/>
      <c r="D31" s="4"/>
      <c r="E31" s="4"/>
      <c r="F31" s="4"/>
      <c r="G31" s="4"/>
      <c r="H31" s="4"/>
      <c r="I31" s="5"/>
      <c r="J31" s="5"/>
      <c r="K31" s="5"/>
      <c r="L31" s="5"/>
      <c r="M31" s="5"/>
    </row>
    <row r="32" spans="1:16">
      <c r="A32" s="4"/>
      <c r="B32" s="4"/>
      <c r="C32" s="4"/>
      <c r="D32" s="4"/>
      <c r="E32" s="4"/>
      <c r="F32" s="4"/>
      <c r="G32" s="4"/>
      <c r="H32" s="4"/>
      <c r="I32" s="5"/>
      <c r="J32" s="5"/>
      <c r="K32" s="5"/>
      <c r="L32" s="5"/>
      <c r="M32" s="5"/>
    </row>
    <row r="33" spans="1:13">
      <c r="A33" s="4"/>
      <c r="B33" s="4"/>
      <c r="C33" s="4"/>
      <c r="D33" s="4"/>
      <c r="E33" s="4"/>
      <c r="F33" s="4"/>
      <c r="G33" s="4"/>
      <c r="H33" s="4"/>
      <c r="I33" s="5"/>
      <c r="J33" s="5"/>
      <c r="K33" s="5"/>
      <c r="L33" s="5"/>
      <c r="M33" s="5"/>
    </row>
    <row r="34" spans="1:13">
      <c r="A34" s="4"/>
      <c r="B34" s="4"/>
      <c r="C34" s="4"/>
      <c r="D34" s="4"/>
      <c r="E34" s="4"/>
      <c r="F34" s="4"/>
      <c r="G34" s="4"/>
      <c r="H34" s="4"/>
      <c r="I34" s="5"/>
      <c r="J34" s="5"/>
      <c r="K34" s="5"/>
      <c r="L34" s="5"/>
      <c r="M34" s="5"/>
    </row>
    <row r="35" spans="1:13">
      <c r="A35" s="4"/>
      <c r="B35" s="4"/>
      <c r="C35" s="4"/>
      <c r="D35" s="4"/>
      <c r="E35" s="4"/>
      <c r="F35" s="4"/>
      <c r="G35" s="4"/>
      <c r="H35" s="4"/>
      <c r="I35" s="5"/>
      <c r="J35" s="5"/>
      <c r="K35" s="5"/>
      <c r="L35" s="5"/>
      <c r="M35" s="5"/>
    </row>
    <row r="36" spans="1:13">
      <c r="A36" s="4"/>
      <c r="B36" s="4"/>
      <c r="C36" s="4"/>
      <c r="D36" s="4"/>
      <c r="E36" s="4"/>
      <c r="F36" s="4"/>
      <c r="G36" s="4"/>
      <c r="H36" s="4"/>
      <c r="I36" s="5"/>
      <c r="J36" s="5"/>
      <c r="K36" s="5"/>
      <c r="L36" s="5"/>
      <c r="M36" s="5"/>
    </row>
    <row r="37" spans="1:13">
      <c r="A37" s="4"/>
      <c r="B37" s="4"/>
      <c r="C37" s="4"/>
      <c r="D37" s="4"/>
      <c r="E37" s="4"/>
      <c r="F37" s="4"/>
      <c r="G37" s="4"/>
      <c r="H37" s="4"/>
      <c r="I37" s="5"/>
      <c r="J37" s="5"/>
      <c r="K37" s="5"/>
      <c r="L37" s="5"/>
      <c r="M37" s="5"/>
    </row>
    <row r="38" spans="1:13">
      <c r="A38" s="4"/>
      <c r="B38" s="4"/>
      <c r="C38" s="4"/>
      <c r="D38" s="4"/>
      <c r="E38" s="4"/>
      <c r="F38" s="4"/>
      <c r="G38" s="4"/>
      <c r="H38" s="4"/>
      <c r="I38" s="5"/>
      <c r="J38" s="5"/>
      <c r="K38" s="5"/>
      <c r="L38" s="5"/>
      <c r="M38" s="5"/>
    </row>
    <row r="39" spans="1:13">
      <c r="A39" s="4"/>
      <c r="B39" s="4"/>
      <c r="C39" s="4"/>
      <c r="D39" s="4"/>
      <c r="E39" s="4"/>
      <c r="F39" s="4"/>
      <c r="G39" s="4"/>
      <c r="H39" s="4"/>
      <c r="I39" s="5"/>
      <c r="J39" s="5"/>
      <c r="K39" s="5"/>
      <c r="L39" s="5"/>
      <c r="M39" s="5"/>
    </row>
    <row r="40" spans="1:13">
      <c r="A40" s="4"/>
      <c r="B40" s="4"/>
      <c r="C40" s="4"/>
      <c r="D40" s="4"/>
      <c r="E40" s="4"/>
      <c r="F40" s="4"/>
      <c r="G40" s="4"/>
      <c r="H40" s="4"/>
      <c r="I40" s="5"/>
      <c r="J40" s="5"/>
      <c r="K40" s="5"/>
      <c r="L40" s="5"/>
      <c r="M40" s="5"/>
    </row>
    <row r="41" spans="1:13">
      <c r="A41" s="4"/>
      <c r="B41" s="4"/>
      <c r="C41" s="4"/>
      <c r="D41" s="4"/>
      <c r="E41" s="4"/>
      <c r="F41" s="4"/>
      <c r="G41" s="4"/>
      <c r="H41" s="4"/>
      <c r="I41" s="5"/>
      <c r="J41" s="5"/>
      <c r="K41" s="5"/>
      <c r="L41" s="5"/>
      <c r="M41" s="5"/>
    </row>
    <row r="42" spans="1:13">
      <c r="A42" s="4"/>
      <c r="B42" s="4"/>
      <c r="C42" s="4"/>
      <c r="D42" s="4"/>
      <c r="E42" s="4"/>
      <c r="F42" s="4"/>
      <c r="G42" s="4"/>
      <c r="H42" s="4"/>
      <c r="I42" s="5"/>
      <c r="J42" s="5"/>
      <c r="K42" s="5"/>
      <c r="L42" s="5"/>
      <c r="M42" s="5"/>
    </row>
    <row r="43" spans="1:13">
      <c r="A43" s="4"/>
      <c r="B43" s="4"/>
      <c r="C43" s="4"/>
      <c r="D43" s="4"/>
      <c r="E43" s="4"/>
      <c r="F43" s="4"/>
      <c r="G43" s="4"/>
      <c r="H43" s="4"/>
      <c r="I43" s="5"/>
      <c r="J43" s="5"/>
      <c r="K43" s="5"/>
      <c r="L43" s="5"/>
      <c r="M43" s="5"/>
    </row>
    <row r="44" spans="1:13">
      <c r="A44" s="4"/>
      <c r="B44" s="4"/>
      <c r="C44" s="4"/>
      <c r="D44" s="4"/>
      <c r="E44" s="4"/>
      <c r="F44" s="4"/>
      <c r="G44" s="4"/>
      <c r="H44" s="4"/>
      <c r="I44" s="5"/>
      <c r="J44" s="5"/>
      <c r="K44" s="5"/>
      <c r="L44" s="5"/>
      <c r="M44" s="5"/>
    </row>
    <row r="45" spans="1:13">
      <c r="A45" s="4"/>
      <c r="B45" s="4"/>
      <c r="C45" s="4"/>
      <c r="D45" s="4"/>
      <c r="E45" s="4"/>
      <c r="F45" s="4"/>
      <c r="G45" s="4"/>
      <c r="H45" s="4"/>
      <c r="I45" s="5"/>
      <c r="J45" s="5"/>
      <c r="K45" s="5"/>
      <c r="L45" s="5"/>
      <c r="M45" s="5"/>
    </row>
    <row r="46" spans="1:13">
      <c r="A46" s="4"/>
      <c r="B46" s="4"/>
      <c r="C46" s="4"/>
      <c r="D46" s="4"/>
      <c r="E46" s="4"/>
      <c r="F46" s="4"/>
      <c r="G46" s="4"/>
      <c r="H46" s="4"/>
      <c r="I46" s="5"/>
      <c r="J46" s="5"/>
      <c r="K46" s="5"/>
      <c r="L46" s="5"/>
      <c r="M46" s="5"/>
    </row>
    <row r="47" spans="1:13">
      <c r="A47" s="4"/>
      <c r="B47" s="4"/>
      <c r="C47" s="4"/>
      <c r="D47" s="4"/>
      <c r="E47" s="4"/>
      <c r="F47" s="4"/>
      <c r="G47" s="4"/>
      <c r="H47" s="4"/>
      <c r="I47" s="5"/>
      <c r="J47" s="5"/>
      <c r="K47" s="5"/>
      <c r="L47" s="5"/>
      <c r="M47" s="5"/>
    </row>
    <row r="48" spans="1:13">
      <c r="A48" s="4"/>
      <c r="B48" s="4"/>
      <c r="C48" s="4"/>
      <c r="D48" s="4"/>
      <c r="E48" s="4"/>
      <c r="F48" s="4"/>
      <c r="G48" s="4"/>
      <c r="H48" s="4"/>
      <c r="I48" s="5"/>
      <c r="J48" s="5"/>
      <c r="K48" s="5"/>
      <c r="L48" s="5"/>
      <c r="M48" s="5"/>
    </row>
    <row r="49" spans="1:16">
      <c r="A49" s="4"/>
      <c r="B49" s="4"/>
      <c r="C49" s="4"/>
      <c r="D49" s="4"/>
      <c r="E49" s="4"/>
      <c r="F49" s="4"/>
      <c r="G49" s="4"/>
      <c r="H49" s="4"/>
      <c r="I49" s="5"/>
      <c r="J49" s="5"/>
      <c r="K49" s="5"/>
      <c r="L49" s="5"/>
      <c r="M49" s="5"/>
    </row>
    <row r="50" spans="1:16">
      <c r="A50" s="4"/>
      <c r="B50" s="4"/>
      <c r="C50" s="4"/>
      <c r="D50" s="4"/>
      <c r="E50" s="4"/>
      <c r="F50" s="4"/>
      <c r="G50" s="4"/>
      <c r="H50" s="4"/>
      <c r="I50" s="5"/>
      <c r="J50" s="5"/>
      <c r="K50" s="5"/>
      <c r="L50" s="5"/>
      <c r="M50" s="5"/>
    </row>
    <row r="51" spans="1:16">
      <c r="A51" s="4"/>
      <c r="B51" s="4"/>
      <c r="C51" s="4"/>
      <c r="D51" s="4"/>
      <c r="E51" s="4"/>
      <c r="F51" s="4"/>
      <c r="G51" s="4"/>
      <c r="H51" s="4"/>
      <c r="I51" s="5"/>
      <c r="J51" s="5"/>
      <c r="K51" s="5"/>
      <c r="L51" s="5"/>
      <c r="M51" s="5"/>
    </row>
    <row r="52" spans="1:16">
      <c r="A52" s="4"/>
      <c r="B52" s="4"/>
      <c r="C52" s="4"/>
      <c r="D52" s="4"/>
      <c r="E52" s="4"/>
      <c r="F52" s="4"/>
      <c r="G52" s="4"/>
      <c r="H52" s="4"/>
      <c r="I52" s="5"/>
      <c r="J52" s="5"/>
      <c r="K52" s="5"/>
      <c r="L52" s="5"/>
      <c r="M52" s="5"/>
    </row>
    <row r="53" spans="1:16" ht="30.75" customHeight="1">
      <c r="A53" s="70" t="s">
        <v>144</v>
      </c>
      <c r="B53" s="20"/>
      <c r="C53" s="95" t="s">
        <v>30</v>
      </c>
      <c r="D53" s="96"/>
      <c r="E53" s="96"/>
      <c r="F53" s="96"/>
      <c r="G53" s="96"/>
      <c r="H53" s="97"/>
      <c r="I53" s="98" t="s">
        <v>31</v>
      </c>
      <c r="J53" s="99"/>
      <c r="K53" s="99"/>
      <c r="L53" s="99"/>
      <c r="M53" s="100"/>
      <c r="O53">
        <v>2</v>
      </c>
      <c r="P53" t="s">
        <v>39</v>
      </c>
    </row>
    <row r="54" spans="1:16" ht="102">
      <c r="A54" s="7" t="s">
        <v>89</v>
      </c>
      <c r="B54" s="7"/>
      <c r="C54" s="8" t="s">
        <v>132</v>
      </c>
      <c r="D54" s="8" t="s">
        <v>133</v>
      </c>
      <c r="E54" s="8" t="s">
        <v>134</v>
      </c>
      <c r="F54" s="8" t="s">
        <v>135</v>
      </c>
      <c r="G54" s="8" t="s">
        <v>136</v>
      </c>
      <c r="H54" s="8" t="s">
        <v>137</v>
      </c>
      <c r="I54" s="27" t="s">
        <v>138</v>
      </c>
      <c r="J54" s="27" t="s">
        <v>139</v>
      </c>
      <c r="K54" s="27" t="s">
        <v>140</v>
      </c>
      <c r="L54" s="27" t="s">
        <v>136</v>
      </c>
      <c r="M54" s="27" t="s">
        <v>141</v>
      </c>
    </row>
    <row r="55" spans="1:16">
      <c r="A55" s="9">
        <f>DATE(P55,O55,1)</f>
        <v>1</v>
      </c>
      <c r="B55" s="13" t="str">
        <f>TEXT(O55*29,"mmm")&amp;"-" &amp; P55&amp;"-"&amp;$P$53</f>
        <v>Jan-0-GA</v>
      </c>
      <c r="C55" s="7">
        <f>SUM(D55:G55)</f>
        <v>0</v>
      </c>
      <c r="D55" s="10">
        <f>IFERROR(VLOOKUP(B55,Sheet1!$G$7:$J$4000,4,0),0)</f>
        <v>0</v>
      </c>
      <c r="E55" s="10">
        <f>IFERROR(VLOOKUP(B55,Sheet1!$G$7:$K$4000,5,0),0)</f>
        <v>0</v>
      </c>
      <c r="F55" s="10">
        <f>IFERROR(VLOOKUP(B55,Sheet1!$G$7:$N$4000,8,0),0)</f>
        <v>0</v>
      </c>
      <c r="G55" s="10">
        <f>IFERROR(VLOOKUP(B55,Sheet1!$G$7:$Q$4000,11,0),0)</f>
        <v>0</v>
      </c>
      <c r="H55" s="7">
        <f>IFERROR(D55+E55,0)</f>
        <v>0</v>
      </c>
      <c r="I55" s="11" t="str">
        <f>IFERROR(D55/C55*100%,"")</f>
        <v/>
      </c>
      <c r="J55" s="11" t="str">
        <f>IFERROR(E55/C55*100%,"")</f>
        <v/>
      </c>
      <c r="K55" s="11" t="str">
        <f>IFERROR(F55/C55*100%,"")</f>
        <v/>
      </c>
      <c r="L55" s="11" t="str">
        <f>IFERROR(G55/C55*100%,"")</f>
        <v/>
      </c>
      <c r="M55" s="12" t="str">
        <f t="shared" ref="M55:M66" si="16">IFERROR(I55+J55,"")</f>
        <v/>
      </c>
      <c r="O55">
        <v>1</v>
      </c>
      <c r="P55">
        <f>Sheet1!$A$1-1</f>
        <v>0</v>
      </c>
    </row>
    <row r="56" spans="1:16">
      <c r="A56" s="9">
        <f t="shared" ref="A56:A78" si="17">DATE(P56,O56,1)</f>
        <v>32</v>
      </c>
      <c r="B56" s="13" t="str">
        <f t="shared" ref="B56:B78" si="18">TEXT(O56*29,"mmm")&amp;"-" &amp; P56&amp;"-"&amp;$P$53</f>
        <v>Feb-0-GA</v>
      </c>
      <c r="C56" s="7">
        <f t="shared" ref="C56:C66" si="19">SUM(D56:G56)</f>
        <v>0</v>
      </c>
      <c r="D56" s="10">
        <f>IFERROR(VLOOKUP(B56,Sheet1!$G$7:$J$4000,4,0),0)</f>
        <v>0</v>
      </c>
      <c r="E56" s="10">
        <f>IFERROR(VLOOKUP(B56,Sheet1!$G$7:$K$4000,5,0),0)</f>
        <v>0</v>
      </c>
      <c r="F56" s="10">
        <f>IFERROR(VLOOKUP(B56,Sheet1!$G$7:$N$4000,8,0),0)</f>
        <v>0</v>
      </c>
      <c r="G56" s="10">
        <f>IFERROR(VLOOKUP(B56,Sheet1!$G$7:$Q$4000,11,0),0)</f>
        <v>0</v>
      </c>
      <c r="H56" s="7">
        <f t="shared" ref="H56:H66" si="20">IFERROR(D56+E56,0)</f>
        <v>0</v>
      </c>
      <c r="I56" s="11" t="str">
        <f t="shared" ref="I56:I66" si="21">IFERROR(D56/C56*100%,"")</f>
        <v/>
      </c>
      <c r="J56" s="11" t="str">
        <f t="shared" ref="J56:J66" si="22">IFERROR(E56/C56*100%,"")</f>
        <v/>
      </c>
      <c r="K56" s="11" t="str">
        <f t="shared" ref="K56:K66" si="23">IFERROR(F56/C56*100%,"")</f>
        <v/>
      </c>
      <c r="L56" s="11" t="str">
        <f t="shared" ref="L56:L66" si="24">IFERROR(G56/C56*100%,"")</f>
        <v/>
      </c>
      <c r="M56" s="12" t="str">
        <f t="shared" si="16"/>
        <v/>
      </c>
      <c r="O56">
        <v>2</v>
      </c>
      <c r="P56">
        <f>Sheet1!$A$1-1</f>
        <v>0</v>
      </c>
    </row>
    <row r="57" spans="1:16">
      <c r="A57" s="9">
        <f t="shared" si="17"/>
        <v>61</v>
      </c>
      <c r="B57" s="13" t="str">
        <f t="shared" si="18"/>
        <v>Mar-0-GA</v>
      </c>
      <c r="C57" s="7">
        <f t="shared" si="19"/>
        <v>0</v>
      </c>
      <c r="D57" s="10">
        <f>IFERROR(VLOOKUP(B57,Sheet1!$G$7:$J$4000,4,0),0)</f>
        <v>0</v>
      </c>
      <c r="E57" s="10">
        <f>IFERROR(VLOOKUP(B57,Sheet1!$G$7:$K$4000,5,0),0)</f>
        <v>0</v>
      </c>
      <c r="F57" s="10">
        <f>IFERROR(VLOOKUP(B57,Sheet1!$G$7:$N$4000,8,0),0)</f>
        <v>0</v>
      </c>
      <c r="G57" s="10">
        <f>IFERROR(VLOOKUP(B57,Sheet1!$G$7:$Q$4000,11,0),0)</f>
        <v>0</v>
      </c>
      <c r="H57" s="7">
        <f t="shared" si="20"/>
        <v>0</v>
      </c>
      <c r="I57" s="11" t="str">
        <f t="shared" si="21"/>
        <v/>
      </c>
      <c r="J57" s="11" t="str">
        <f t="shared" si="22"/>
        <v/>
      </c>
      <c r="K57" s="11" t="str">
        <f t="shared" si="23"/>
        <v/>
      </c>
      <c r="L57" s="11" t="str">
        <f t="shared" si="24"/>
        <v/>
      </c>
      <c r="M57" s="12" t="str">
        <f t="shared" si="16"/>
        <v/>
      </c>
      <c r="O57">
        <v>3</v>
      </c>
      <c r="P57">
        <f>Sheet1!$A$1-1</f>
        <v>0</v>
      </c>
    </row>
    <row r="58" spans="1:16">
      <c r="A58" s="9">
        <f t="shared" si="17"/>
        <v>92</v>
      </c>
      <c r="B58" s="13" t="str">
        <f t="shared" si="18"/>
        <v>Apr-0-GA</v>
      </c>
      <c r="C58" s="7">
        <f t="shared" si="19"/>
        <v>0</v>
      </c>
      <c r="D58" s="10">
        <f>IFERROR(VLOOKUP(B58,Sheet1!$G$7:$J$4000,4,0),0)</f>
        <v>0</v>
      </c>
      <c r="E58" s="10">
        <f>IFERROR(VLOOKUP(B58,Sheet1!$G$7:$K$4000,5,0),0)</f>
        <v>0</v>
      </c>
      <c r="F58" s="10">
        <f>IFERROR(VLOOKUP(B58,Sheet1!$G$7:$N$4000,8,0),0)</f>
        <v>0</v>
      </c>
      <c r="G58" s="10">
        <f>IFERROR(VLOOKUP(B58,Sheet1!$G$7:$Q$4000,11,0),0)</f>
        <v>0</v>
      </c>
      <c r="H58" s="7">
        <f t="shared" si="20"/>
        <v>0</v>
      </c>
      <c r="I58" s="11" t="str">
        <f t="shared" si="21"/>
        <v/>
      </c>
      <c r="J58" s="11" t="str">
        <f t="shared" si="22"/>
        <v/>
      </c>
      <c r="K58" s="11" t="str">
        <f t="shared" si="23"/>
        <v/>
      </c>
      <c r="L58" s="11" t="str">
        <f t="shared" si="24"/>
        <v/>
      </c>
      <c r="M58" s="12" t="str">
        <f t="shared" si="16"/>
        <v/>
      </c>
      <c r="O58">
        <v>4</v>
      </c>
      <c r="P58">
        <f>Sheet1!$A$1-1</f>
        <v>0</v>
      </c>
    </row>
    <row r="59" spans="1:16">
      <c r="A59" s="9">
        <f t="shared" si="17"/>
        <v>122</v>
      </c>
      <c r="B59" s="13" t="str">
        <f t="shared" si="18"/>
        <v>May-0-GA</v>
      </c>
      <c r="C59" s="7">
        <f t="shared" si="19"/>
        <v>0</v>
      </c>
      <c r="D59" s="10">
        <f>IFERROR(VLOOKUP(B59,Sheet1!$G$7:$J$4000,4,0),0)</f>
        <v>0</v>
      </c>
      <c r="E59" s="10">
        <f>IFERROR(VLOOKUP(B59,Sheet1!$G$7:$K$4000,5,0),0)</f>
        <v>0</v>
      </c>
      <c r="F59" s="10">
        <f>IFERROR(VLOOKUP(B59,Sheet1!$G$7:$N$4000,8,0),0)</f>
        <v>0</v>
      </c>
      <c r="G59" s="10">
        <f>IFERROR(VLOOKUP(B59,Sheet1!$G$7:$Q$4000,11,0),0)</f>
        <v>0</v>
      </c>
      <c r="H59" s="7">
        <f t="shared" si="20"/>
        <v>0</v>
      </c>
      <c r="I59" s="11" t="str">
        <f t="shared" si="21"/>
        <v/>
      </c>
      <c r="J59" s="11" t="str">
        <f t="shared" si="22"/>
        <v/>
      </c>
      <c r="K59" s="11" t="str">
        <f t="shared" si="23"/>
        <v/>
      </c>
      <c r="L59" s="11" t="str">
        <f t="shared" si="24"/>
        <v/>
      </c>
      <c r="M59" s="12" t="str">
        <f t="shared" si="16"/>
        <v/>
      </c>
      <c r="O59">
        <v>5</v>
      </c>
      <c r="P59">
        <f>Sheet1!$A$1-1</f>
        <v>0</v>
      </c>
    </row>
    <row r="60" spans="1:16">
      <c r="A60" s="9">
        <f t="shared" si="17"/>
        <v>153</v>
      </c>
      <c r="B60" s="13" t="str">
        <f t="shared" si="18"/>
        <v>Jun-0-GA</v>
      </c>
      <c r="C60" s="7">
        <f t="shared" si="19"/>
        <v>0</v>
      </c>
      <c r="D60" s="10">
        <f>IFERROR(VLOOKUP(B60,Sheet1!$G$7:$J$4000,4,0),0)</f>
        <v>0</v>
      </c>
      <c r="E60" s="10">
        <f>IFERROR(VLOOKUP(B60,Sheet1!$G$7:$K$4000,5,0),0)</f>
        <v>0</v>
      </c>
      <c r="F60" s="10">
        <f>IFERROR(VLOOKUP(B60,Sheet1!$G$7:$N$4000,8,0),0)</f>
        <v>0</v>
      </c>
      <c r="G60" s="10">
        <f>IFERROR(VLOOKUP(B60,Sheet1!$G$7:$Q$4000,11,0),0)</f>
        <v>0</v>
      </c>
      <c r="H60" s="7">
        <f t="shared" si="20"/>
        <v>0</v>
      </c>
      <c r="I60" s="11" t="str">
        <f t="shared" si="21"/>
        <v/>
      </c>
      <c r="J60" s="11" t="str">
        <f t="shared" si="22"/>
        <v/>
      </c>
      <c r="K60" s="11" t="str">
        <f t="shared" si="23"/>
        <v/>
      </c>
      <c r="L60" s="11" t="str">
        <f t="shared" si="24"/>
        <v/>
      </c>
      <c r="M60" s="12" t="str">
        <f t="shared" si="16"/>
        <v/>
      </c>
      <c r="O60">
        <v>6</v>
      </c>
      <c r="P60">
        <f>Sheet1!$A$1-1</f>
        <v>0</v>
      </c>
    </row>
    <row r="61" spans="1:16">
      <c r="A61" s="9">
        <f t="shared" si="17"/>
        <v>183</v>
      </c>
      <c r="B61" s="13" t="str">
        <f t="shared" si="18"/>
        <v>Jul-0-GA</v>
      </c>
      <c r="C61" s="7">
        <f t="shared" si="19"/>
        <v>0</v>
      </c>
      <c r="D61" s="10">
        <f>IFERROR(VLOOKUP(B61,Sheet1!$G$7:$J$4000,4,0),0)</f>
        <v>0</v>
      </c>
      <c r="E61" s="10">
        <f>IFERROR(VLOOKUP(B61,Sheet1!$G$7:$K$4000,5,0),0)</f>
        <v>0</v>
      </c>
      <c r="F61" s="10">
        <f>IFERROR(VLOOKUP(B61,Sheet1!$G$7:$N$4000,8,0),0)</f>
        <v>0</v>
      </c>
      <c r="G61" s="10">
        <f>IFERROR(VLOOKUP(B61,Sheet1!$G$7:$Q$4000,11,0),0)</f>
        <v>0</v>
      </c>
      <c r="H61" s="7">
        <f t="shared" si="20"/>
        <v>0</v>
      </c>
      <c r="I61" s="11" t="str">
        <f t="shared" si="21"/>
        <v/>
      </c>
      <c r="J61" s="11" t="str">
        <f t="shared" si="22"/>
        <v/>
      </c>
      <c r="K61" s="11" t="str">
        <f t="shared" si="23"/>
        <v/>
      </c>
      <c r="L61" s="11" t="str">
        <f t="shared" si="24"/>
        <v/>
      </c>
      <c r="M61" s="12" t="str">
        <f t="shared" si="16"/>
        <v/>
      </c>
      <c r="O61">
        <v>7</v>
      </c>
      <c r="P61">
        <f>Sheet1!$A$1-1</f>
        <v>0</v>
      </c>
    </row>
    <row r="62" spans="1:16">
      <c r="A62" s="9">
        <f t="shared" si="17"/>
        <v>214</v>
      </c>
      <c r="B62" s="13" t="str">
        <f t="shared" si="18"/>
        <v>Aug-0-GA</v>
      </c>
      <c r="C62" s="7">
        <f t="shared" si="19"/>
        <v>0</v>
      </c>
      <c r="D62" s="10">
        <f>IFERROR(VLOOKUP(B62,Sheet1!$G$7:$J$4000,4,0),0)</f>
        <v>0</v>
      </c>
      <c r="E62" s="10">
        <f>IFERROR(VLOOKUP(B62,Sheet1!$G$7:$K$4000,5,0),0)</f>
        <v>0</v>
      </c>
      <c r="F62" s="10">
        <f>IFERROR(VLOOKUP(B62,Sheet1!$G$7:$N$4000,8,0),0)</f>
        <v>0</v>
      </c>
      <c r="G62" s="10">
        <f>IFERROR(VLOOKUP(B62,Sheet1!$G$7:$Q$4000,11,0),0)</f>
        <v>0</v>
      </c>
      <c r="H62" s="7">
        <f t="shared" si="20"/>
        <v>0</v>
      </c>
      <c r="I62" s="11" t="str">
        <f t="shared" si="21"/>
        <v/>
      </c>
      <c r="J62" s="11" t="str">
        <f t="shared" si="22"/>
        <v/>
      </c>
      <c r="K62" s="11" t="str">
        <f t="shared" si="23"/>
        <v/>
      </c>
      <c r="L62" s="11" t="str">
        <f t="shared" si="24"/>
        <v/>
      </c>
      <c r="M62" s="12" t="str">
        <f t="shared" si="16"/>
        <v/>
      </c>
      <c r="O62">
        <v>8</v>
      </c>
      <c r="P62">
        <f>Sheet1!$A$1-1</f>
        <v>0</v>
      </c>
    </row>
    <row r="63" spans="1:16">
      <c r="A63" s="9">
        <f t="shared" si="17"/>
        <v>245</v>
      </c>
      <c r="B63" s="13" t="str">
        <f t="shared" si="18"/>
        <v>Sep-0-GA</v>
      </c>
      <c r="C63" s="7">
        <f t="shared" si="19"/>
        <v>0</v>
      </c>
      <c r="D63" s="10">
        <f>IFERROR(VLOOKUP(B63,Sheet1!$G$7:$J$4000,4,0),0)</f>
        <v>0</v>
      </c>
      <c r="E63" s="10">
        <f>IFERROR(VLOOKUP(B63,Sheet1!$G$7:$K$4000,5,0),0)</f>
        <v>0</v>
      </c>
      <c r="F63" s="10">
        <f>IFERROR(VLOOKUP(B63,Sheet1!$G$7:$N$4000,8,0),0)</f>
        <v>0</v>
      </c>
      <c r="G63" s="10">
        <f>IFERROR(VLOOKUP(B63,Sheet1!$G$7:$Q$4000,11,0),0)</f>
        <v>0</v>
      </c>
      <c r="H63" s="7">
        <f t="shared" si="20"/>
        <v>0</v>
      </c>
      <c r="I63" s="11" t="str">
        <f t="shared" si="21"/>
        <v/>
      </c>
      <c r="J63" s="11" t="str">
        <f t="shared" si="22"/>
        <v/>
      </c>
      <c r="K63" s="11" t="str">
        <f t="shared" si="23"/>
        <v/>
      </c>
      <c r="L63" s="11" t="str">
        <f t="shared" si="24"/>
        <v/>
      </c>
      <c r="M63" s="12" t="str">
        <f t="shared" si="16"/>
        <v/>
      </c>
      <c r="O63">
        <v>9</v>
      </c>
      <c r="P63">
        <f>Sheet1!$A$1-1</f>
        <v>0</v>
      </c>
    </row>
    <row r="64" spans="1:16">
      <c r="A64" s="9">
        <f t="shared" si="17"/>
        <v>275</v>
      </c>
      <c r="B64" s="13" t="str">
        <f t="shared" si="18"/>
        <v>Oct-0-GA</v>
      </c>
      <c r="C64" s="7">
        <f t="shared" si="19"/>
        <v>0</v>
      </c>
      <c r="D64" s="10">
        <f>IFERROR(VLOOKUP(B64,Sheet1!$G$7:$J$4000,4,0),0)</f>
        <v>0</v>
      </c>
      <c r="E64" s="10">
        <f>IFERROR(VLOOKUP(B64,Sheet1!$G$7:$K$4000,5,0),0)</f>
        <v>0</v>
      </c>
      <c r="F64" s="10">
        <f>IFERROR(VLOOKUP(B64,Sheet1!$G$7:$N$4000,8,0),0)</f>
        <v>0</v>
      </c>
      <c r="G64" s="10">
        <f>IFERROR(VLOOKUP(B64,Sheet1!$G$7:$Q$4000,11,0),0)</f>
        <v>0</v>
      </c>
      <c r="H64" s="7">
        <f t="shared" si="20"/>
        <v>0</v>
      </c>
      <c r="I64" s="11" t="str">
        <f t="shared" si="21"/>
        <v/>
      </c>
      <c r="J64" s="11" t="str">
        <f t="shared" si="22"/>
        <v/>
      </c>
      <c r="K64" s="11" t="str">
        <f t="shared" si="23"/>
        <v/>
      </c>
      <c r="L64" s="11" t="str">
        <f t="shared" si="24"/>
        <v/>
      </c>
      <c r="M64" s="12" t="str">
        <f t="shared" si="16"/>
        <v/>
      </c>
      <c r="O64">
        <v>10</v>
      </c>
      <c r="P64">
        <f>Sheet1!$A$1-1</f>
        <v>0</v>
      </c>
    </row>
    <row r="65" spans="1:16">
      <c r="A65" s="9">
        <f t="shared" si="17"/>
        <v>306</v>
      </c>
      <c r="B65" s="13" t="str">
        <f t="shared" si="18"/>
        <v>Nov-0-GA</v>
      </c>
      <c r="C65" s="7">
        <f t="shared" si="19"/>
        <v>0</v>
      </c>
      <c r="D65" s="10">
        <f>IFERROR(VLOOKUP(B65,Sheet1!$G$7:$J$4000,4,0),0)</f>
        <v>0</v>
      </c>
      <c r="E65" s="10">
        <f>IFERROR(VLOOKUP(B65,Sheet1!$G$7:$K$4000,5,0),0)</f>
        <v>0</v>
      </c>
      <c r="F65" s="10">
        <f>IFERROR(VLOOKUP(B65,Sheet1!$G$7:$N$4000,8,0),0)</f>
        <v>0</v>
      </c>
      <c r="G65" s="10">
        <f>IFERROR(VLOOKUP(B65,Sheet1!$G$7:$Q$4000,11,0),0)</f>
        <v>0</v>
      </c>
      <c r="H65" s="7">
        <f t="shared" si="20"/>
        <v>0</v>
      </c>
      <c r="I65" s="11" t="str">
        <f t="shared" si="21"/>
        <v/>
      </c>
      <c r="J65" s="11" t="str">
        <f t="shared" si="22"/>
        <v/>
      </c>
      <c r="K65" s="11" t="str">
        <f t="shared" si="23"/>
        <v/>
      </c>
      <c r="L65" s="11" t="str">
        <f t="shared" si="24"/>
        <v/>
      </c>
      <c r="M65" s="12" t="str">
        <f t="shared" si="16"/>
        <v/>
      </c>
      <c r="O65">
        <v>11</v>
      </c>
      <c r="P65">
        <f>Sheet1!$A$1-1</f>
        <v>0</v>
      </c>
    </row>
    <row r="66" spans="1:16">
      <c r="A66" s="9">
        <f t="shared" si="17"/>
        <v>336</v>
      </c>
      <c r="B66" s="13" t="str">
        <f t="shared" si="18"/>
        <v>Dec-0-GA</v>
      </c>
      <c r="C66" s="7">
        <f t="shared" si="19"/>
        <v>0</v>
      </c>
      <c r="D66" s="10">
        <f>IFERROR(VLOOKUP(B66,Sheet1!$G$7:$J$4000,4,0),0)</f>
        <v>0</v>
      </c>
      <c r="E66" s="10">
        <f>IFERROR(VLOOKUP(B66,Sheet1!$G$7:$K$4000,5,0),0)</f>
        <v>0</v>
      </c>
      <c r="F66" s="10">
        <f>IFERROR(VLOOKUP(B66,Sheet1!$G$7:$N$4000,8,0),0)</f>
        <v>0</v>
      </c>
      <c r="G66" s="10">
        <f>IFERROR(VLOOKUP(B66,Sheet1!$G$7:$Q$4000,11,0),0)</f>
        <v>0</v>
      </c>
      <c r="H66" s="7">
        <f t="shared" si="20"/>
        <v>0</v>
      </c>
      <c r="I66" s="11" t="str">
        <f t="shared" si="21"/>
        <v/>
      </c>
      <c r="J66" s="11" t="str">
        <f t="shared" si="22"/>
        <v/>
      </c>
      <c r="K66" s="11" t="str">
        <f t="shared" si="23"/>
        <v/>
      </c>
      <c r="L66" s="11" t="str">
        <f t="shared" si="24"/>
        <v/>
      </c>
      <c r="M66" s="12" t="str">
        <f t="shared" si="16"/>
        <v/>
      </c>
      <c r="O66">
        <v>12</v>
      </c>
      <c r="P66">
        <f>Sheet1!$A$1-1</f>
        <v>0</v>
      </c>
    </row>
    <row r="67" spans="1:16">
      <c r="A67" s="9">
        <f t="shared" si="17"/>
        <v>367</v>
      </c>
      <c r="B67" s="13" t="str">
        <f t="shared" si="18"/>
        <v>Jan-1-GA</v>
      </c>
      <c r="C67" s="7">
        <f>SUM(D67:G67)</f>
        <v>0</v>
      </c>
      <c r="D67" s="10">
        <f>IFERROR(VLOOKUP(B67,Sheet1!$G$7:$J$4000,4,0),0)</f>
        <v>0</v>
      </c>
      <c r="E67" s="10">
        <f>IFERROR(VLOOKUP(B67,Sheet1!$G$7:$K$4000,5,0),0)</f>
        <v>0</v>
      </c>
      <c r="F67" s="10">
        <f>IFERROR(VLOOKUP(B67,Sheet1!$G$7:$N$4000,8,0),0)</f>
        <v>0</v>
      </c>
      <c r="G67" s="10">
        <f>IFERROR(VLOOKUP(B67,Sheet1!$G$7:$Q$4000,11,0),0)</f>
        <v>0</v>
      </c>
      <c r="H67" s="7">
        <f>IFERROR(D67+E67,0)</f>
        <v>0</v>
      </c>
      <c r="I67" s="11" t="str">
        <f>IFERROR(D67/C67*100%,"")</f>
        <v/>
      </c>
      <c r="J67" s="11" t="str">
        <f>IFERROR(E67/C67*100%,"")</f>
        <v/>
      </c>
      <c r="K67" s="11" t="str">
        <f>IFERROR(F67/C67*100%,"")</f>
        <v/>
      </c>
      <c r="L67" s="11" t="str">
        <f>IFERROR(G67/C67*100%,"")</f>
        <v/>
      </c>
      <c r="M67" s="12" t="str">
        <f t="shared" ref="M67:M78" si="25">IFERROR(I67+J67,"")</f>
        <v/>
      </c>
      <c r="O67">
        <v>1</v>
      </c>
      <c r="P67">
        <f>Sheet1!$A$1</f>
        <v>1</v>
      </c>
    </row>
    <row r="68" spans="1:16">
      <c r="A68" s="9">
        <f t="shared" si="17"/>
        <v>398</v>
      </c>
      <c r="B68" s="13" t="str">
        <f t="shared" si="18"/>
        <v>Feb-1-GA</v>
      </c>
      <c r="C68" s="7">
        <f t="shared" ref="C68:C78" si="26">SUM(D68:G68)</f>
        <v>0</v>
      </c>
      <c r="D68" s="10">
        <f>IFERROR(VLOOKUP(B68,Sheet1!$G$7:$J$4000,4,0),0)</f>
        <v>0</v>
      </c>
      <c r="E68" s="10">
        <f>IFERROR(VLOOKUP(B68,Sheet1!$G$7:$K$4000,5,0),0)</f>
        <v>0</v>
      </c>
      <c r="F68" s="10">
        <f>IFERROR(VLOOKUP(B68,Sheet1!$G$7:$N$4000,8,0),0)</f>
        <v>0</v>
      </c>
      <c r="G68" s="10">
        <f>IFERROR(VLOOKUP(B68,Sheet1!$G$7:$Q$4000,11,0),0)</f>
        <v>0</v>
      </c>
      <c r="H68" s="7">
        <f t="shared" ref="H68:H78" si="27">IFERROR(D68+E68,0)</f>
        <v>0</v>
      </c>
      <c r="I68" s="11" t="str">
        <f t="shared" ref="I68:I78" si="28">IFERROR(D68/C68*100%,"")</f>
        <v/>
      </c>
      <c r="J68" s="11" t="str">
        <f t="shared" ref="J68:J78" si="29">IFERROR(E68/C68*100%,"")</f>
        <v/>
      </c>
      <c r="K68" s="11" t="str">
        <f t="shared" ref="K68:K78" si="30">IFERROR(F68/C68*100%,"")</f>
        <v/>
      </c>
      <c r="L68" s="11" t="str">
        <f t="shared" ref="L68:L78" si="31">IFERROR(G68/C68*100%,"")</f>
        <v/>
      </c>
      <c r="M68" s="12" t="str">
        <f t="shared" si="25"/>
        <v/>
      </c>
      <c r="O68">
        <v>2</v>
      </c>
      <c r="P68">
        <f>Sheet1!$A$1</f>
        <v>1</v>
      </c>
    </row>
    <row r="69" spans="1:16">
      <c r="A69" s="9">
        <f t="shared" si="17"/>
        <v>426</v>
      </c>
      <c r="B69" s="13" t="str">
        <f t="shared" si="18"/>
        <v>Mar-1-GA</v>
      </c>
      <c r="C69" s="7">
        <f t="shared" si="26"/>
        <v>0</v>
      </c>
      <c r="D69" s="10">
        <f>IFERROR(VLOOKUP(B69,Sheet1!$G$7:$J$4000,4,0),0)</f>
        <v>0</v>
      </c>
      <c r="E69" s="10">
        <f>IFERROR(VLOOKUP(B69,Sheet1!$G$7:$K$4000,5,0),0)</f>
        <v>0</v>
      </c>
      <c r="F69" s="10">
        <f>IFERROR(VLOOKUP(B69,Sheet1!$G$7:$N$4000,8,0),0)</f>
        <v>0</v>
      </c>
      <c r="G69" s="10">
        <f>IFERROR(VLOOKUP(B69,Sheet1!$G$7:$Q$4000,11,0),0)</f>
        <v>0</v>
      </c>
      <c r="H69" s="7">
        <f t="shared" si="27"/>
        <v>0</v>
      </c>
      <c r="I69" s="11" t="str">
        <f t="shared" si="28"/>
        <v/>
      </c>
      <c r="J69" s="11" t="str">
        <f t="shared" si="29"/>
        <v/>
      </c>
      <c r="K69" s="11" t="str">
        <f t="shared" si="30"/>
        <v/>
      </c>
      <c r="L69" s="11" t="str">
        <f t="shared" si="31"/>
        <v/>
      </c>
      <c r="M69" s="12" t="str">
        <f t="shared" si="25"/>
        <v/>
      </c>
      <c r="O69">
        <v>3</v>
      </c>
      <c r="P69">
        <f>Sheet1!$A$1</f>
        <v>1</v>
      </c>
    </row>
    <row r="70" spans="1:16">
      <c r="A70" s="9">
        <f t="shared" si="17"/>
        <v>457</v>
      </c>
      <c r="B70" s="13" t="str">
        <f t="shared" si="18"/>
        <v>Apr-1-GA</v>
      </c>
      <c r="C70" s="7">
        <f t="shared" si="26"/>
        <v>0</v>
      </c>
      <c r="D70" s="10">
        <f>IFERROR(VLOOKUP(B70,Sheet1!$G$7:$J$4000,4,0),0)</f>
        <v>0</v>
      </c>
      <c r="E70" s="10">
        <f>IFERROR(VLOOKUP(B70,Sheet1!$G$7:$K$4000,5,0),0)</f>
        <v>0</v>
      </c>
      <c r="F70" s="10">
        <f>IFERROR(VLOOKUP(B70,Sheet1!$G$7:$N$4000,8,0),0)</f>
        <v>0</v>
      </c>
      <c r="G70" s="10">
        <f>IFERROR(VLOOKUP(B70,Sheet1!$G$7:$Q$4000,11,0),0)</f>
        <v>0</v>
      </c>
      <c r="H70" s="7">
        <f t="shared" si="27"/>
        <v>0</v>
      </c>
      <c r="I70" s="11" t="str">
        <f t="shared" si="28"/>
        <v/>
      </c>
      <c r="J70" s="11" t="str">
        <f t="shared" si="29"/>
        <v/>
      </c>
      <c r="K70" s="11" t="str">
        <f t="shared" si="30"/>
        <v/>
      </c>
      <c r="L70" s="11" t="str">
        <f t="shared" si="31"/>
        <v/>
      </c>
      <c r="M70" s="12" t="str">
        <f t="shared" si="25"/>
        <v/>
      </c>
      <c r="O70">
        <v>4</v>
      </c>
      <c r="P70">
        <f>Sheet1!$A$1</f>
        <v>1</v>
      </c>
    </row>
    <row r="71" spans="1:16">
      <c r="A71" s="9">
        <f t="shared" si="17"/>
        <v>487</v>
      </c>
      <c r="B71" s="13" t="str">
        <f t="shared" si="18"/>
        <v>May-1-GA</v>
      </c>
      <c r="C71" s="7">
        <f t="shared" si="26"/>
        <v>0</v>
      </c>
      <c r="D71" s="10">
        <f>IFERROR(VLOOKUP(B71,Sheet1!$G$7:$J$4000,4,0),0)</f>
        <v>0</v>
      </c>
      <c r="E71" s="10">
        <f>IFERROR(VLOOKUP(B71,Sheet1!$G$7:$K$4000,5,0),0)</f>
        <v>0</v>
      </c>
      <c r="F71" s="10">
        <f>IFERROR(VLOOKUP(B71,Sheet1!$G$7:$N$4000,8,0),0)</f>
        <v>0</v>
      </c>
      <c r="G71" s="10">
        <f>IFERROR(VLOOKUP(B71,Sheet1!$G$7:$Q$4000,11,0),0)</f>
        <v>0</v>
      </c>
      <c r="H71" s="7">
        <f t="shared" si="27"/>
        <v>0</v>
      </c>
      <c r="I71" s="11" t="str">
        <f t="shared" si="28"/>
        <v/>
      </c>
      <c r="J71" s="11" t="str">
        <f t="shared" si="29"/>
        <v/>
      </c>
      <c r="K71" s="11" t="str">
        <f t="shared" si="30"/>
        <v/>
      </c>
      <c r="L71" s="11" t="str">
        <f t="shared" si="31"/>
        <v/>
      </c>
      <c r="M71" s="12" t="str">
        <f t="shared" si="25"/>
        <v/>
      </c>
      <c r="O71">
        <v>5</v>
      </c>
      <c r="P71">
        <f>Sheet1!$A$1</f>
        <v>1</v>
      </c>
    </row>
    <row r="72" spans="1:16">
      <c r="A72" s="9">
        <f t="shared" si="17"/>
        <v>518</v>
      </c>
      <c r="B72" s="13" t="str">
        <f t="shared" si="18"/>
        <v>Jun-1-GA</v>
      </c>
      <c r="C72" s="7">
        <f t="shared" si="26"/>
        <v>0</v>
      </c>
      <c r="D72" s="10">
        <f>IFERROR(VLOOKUP(B72,Sheet1!$G$7:$J$4000,4,0),0)</f>
        <v>0</v>
      </c>
      <c r="E72" s="10">
        <f>IFERROR(VLOOKUP(B72,Sheet1!$G$7:$K$4000,5,0),0)</f>
        <v>0</v>
      </c>
      <c r="F72" s="10">
        <f>IFERROR(VLOOKUP(B72,Sheet1!$G$7:$N$4000,8,0),0)</f>
        <v>0</v>
      </c>
      <c r="G72" s="10">
        <f>IFERROR(VLOOKUP(B72,Sheet1!$G$7:$Q$4000,11,0),0)</f>
        <v>0</v>
      </c>
      <c r="H72" s="7">
        <f t="shared" si="27"/>
        <v>0</v>
      </c>
      <c r="I72" s="11" t="str">
        <f t="shared" si="28"/>
        <v/>
      </c>
      <c r="J72" s="11" t="str">
        <f t="shared" si="29"/>
        <v/>
      </c>
      <c r="K72" s="11" t="str">
        <f t="shared" si="30"/>
        <v/>
      </c>
      <c r="L72" s="11" t="str">
        <f t="shared" si="31"/>
        <v/>
      </c>
      <c r="M72" s="12" t="str">
        <f t="shared" si="25"/>
        <v/>
      </c>
      <c r="O72">
        <v>6</v>
      </c>
      <c r="P72">
        <f>Sheet1!$A$1</f>
        <v>1</v>
      </c>
    </row>
    <row r="73" spans="1:16">
      <c r="A73" s="9">
        <f t="shared" si="17"/>
        <v>548</v>
      </c>
      <c r="B73" s="13" t="str">
        <f t="shared" si="18"/>
        <v>Jul-1-GA</v>
      </c>
      <c r="C73" s="7">
        <f t="shared" si="26"/>
        <v>0</v>
      </c>
      <c r="D73" s="10">
        <f>IFERROR(VLOOKUP(B73,Sheet1!$G$7:$J$4000,4,0),0)</f>
        <v>0</v>
      </c>
      <c r="E73" s="10">
        <f>IFERROR(VLOOKUP(B73,Sheet1!$G$7:$K$4000,5,0),0)</f>
        <v>0</v>
      </c>
      <c r="F73" s="10">
        <f>IFERROR(VLOOKUP(B73,Sheet1!$G$7:$N$4000,8,0),0)</f>
        <v>0</v>
      </c>
      <c r="G73" s="10">
        <f>IFERROR(VLOOKUP(B73,Sheet1!$G$7:$Q$4000,11,0),0)</f>
        <v>0</v>
      </c>
      <c r="H73" s="7">
        <f t="shared" si="27"/>
        <v>0</v>
      </c>
      <c r="I73" s="11" t="str">
        <f t="shared" si="28"/>
        <v/>
      </c>
      <c r="J73" s="11" t="str">
        <f t="shared" si="29"/>
        <v/>
      </c>
      <c r="K73" s="11" t="str">
        <f t="shared" si="30"/>
        <v/>
      </c>
      <c r="L73" s="11" t="str">
        <f t="shared" si="31"/>
        <v/>
      </c>
      <c r="M73" s="12" t="str">
        <f t="shared" si="25"/>
        <v/>
      </c>
      <c r="O73">
        <v>7</v>
      </c>
      <c r="P73">
        <f>Sheet1!$A$1</f>
        <v>1</v>
      </c>
    </row>
    <row r="74" spans="1:16">
      <c r="A74" s="9">
        <f t="shared" si="17"/>
        <v>579</v>
      </c>
      <c r="B74" s="13" t="str">
        <f t="shared" si="18"/>
        <v>Aug-1-GA</v>
      </c>
      <c r="C74" s="7">
        <f t="shared" si="26"/>
        <v>0</v>
      </c>
      <c r="D74" s="10">
        <f>IFERROR(VLOOKUP(B74,Sheet1!$G$7:$J$4000,4,0),0)</f>
        <v>0</v>
      </c>
      <c r="E74" s="10">
        <f>IFERROR(VLOOKUP(B74,Sheet1!$G$7:$K$4000,5,0),0)</f>
        <v>0</v>
      </c>
      <c r="F74" s="10">
        <f>IFERROR(VLOOKUP(B74,Sheet1!$G$7:$N$4000,8,0),0)</f>
        <v>0</v>
      </c>
      <c r="G74" s="10">
        <f>IFERROR(VLOOKUP(B74,Sheet1!$G$7:$Q$4000,11,0),0)</f>
        <v>0</v>
      </c>
      <c r="H74" s="7">
        <f t="shared" si="27"/>
        <v>0</v>
      </c>
      <c r="I74" s="11" t="str">
        <f t="shared" si="28"/>
        <v/>
      </c>
      <c r="J74" s="11" t="str">
        <f t="shared" si="29"/>
        <v/>
      </c>
      <c r="K74" s="11" t="str">
        <f t="shared" si="30"/>
        <v/>
      </c>
      <c r="L74" s="11" t="str">
        <f t="shared" si="31"/>
        <v/>
      </c>
      <c r="M74" s="12" t="str">
        <f t="shared" si="25"/>
        <v/>
      </c>
      <c r="O74">
        <v>8</v>
      </c>
      <c r="P74">
        <f>Sheet1!$A$1</f>
        <v>1</v>
      </c>
    </row>
    <row r="75" spans="1:16">
      <c r="A75" s="9">
        <f t="shared" si="17"/>
        <v>610</v>
      </c>
      <c r="B75" s="13" t="str">
        <f t="shared" si="18"/>
        <v>Sep-1-GA</v>
      </c>
      <c r="C75" s="7">
        <f t="shared" si="26"/>
        <v>0</v>
      </c>
      <c r="D75" s="10">
        <f>IFERROR(VLOOKUP(B75,Sheet1!$G$7:$J$4000,4,0),0)</f>
        <v>0</v>
      </c>
      <c r="E75" s="10">
        <f>IFERROR(VLOOKUP(B75,Sheet1!$G$7:$K$4000,5,0),0)</f>
        <v>0</v>
      </c>
      <c r="F75" s="10">
        <f>IFERROR(VLOOKUP(B75,Sheet1!$G$7:$N$4000,8,0),0)</f>
        <v>0</v>
      </c>
      <c r="G75" s="10">
        <f>IFERROR(VLOOKUP(B75,Sheet1!$G$7:$Q$4000,11,0),0)</f>
        <v>0</v>
      </c>
      <c r="H75" s="7">
        <f t="shared" si="27"/>
        <v>0</v>
      </c>
      <c r="I75" s="11" t="str">
        <f t="shared" si="28"/>
        <v/>
      </c>
      <c r="J75" s="11" t="str">
        <f t="shared" si="29"/>
        <v/>
      </c>
      <c r="K75" s="11" t="str">
        <f t="shared" si="30"/>
        <v/>
      </c>
      <c r="L75" s="11" t="str">
        <f t="shared" si="31"/>
        <v/>
      </c>
      <c r="M75" s="12" t="str">
        <f t="shared" si="25"/>
        <v/>
      </c>
      <c r="O75">
        <v>9</v>
      </c>
      <c r="P75">
        <f>Sheet1!$A$1</f>
        <v>1</v>
      </c>
    </row>
    <row r="76" spans="1:16">
      <c r="A76" s="9">
        <f t="shared" si="17"/>
        <v>640</v>
      </c>
      <c r="B76" s="13" t="str">
        <f t="shared" si="18"/>
        <v>Oct-1-GA</v>
      </c>
      <c r="C76" s="7">
        <f t="shared" si="26"/>
        <v>0</v>
      </c>
      <c r="D76" s="10">
        <f>IFERROR(VLOOKUP(B76,Sheet1!$G$7:$J$4000,4,0),0)</f>
        <v>0</v>
      </c>
      <c r="E76" s="10">
        <f>IFERROR(VLOOKUP(B76,Sheet1!$G$7:$K$4000,5,0),0)</f>
        <v>0</v>
      </c>
      <c r="F76" s="10">
        <f>IFERROR(VLOOKUP(B76,Sheet1!$G$7:$N$4000,8,0),0)</f>
        <v>0</v>
      </c>
      <c r="G76" s="10">
        <f>IFERROR(VLOOKUP(B76,Sheet1!$G$7:$Q$4000,11,0),0)</f>
        <v>0</v>
      </c>
      <c r="H76" s="7">
        <f t="shared" si="27"/>
        <v>0</v>
      </c>
      <c r="I76" s="11" t="str">
        <f t="shared" si="28"/>
        <v/>
      </c>
      <c r="J76" s="11" t="str">
        <f t="shared" si="29"/>
        <v/>
      </c>
      <c r="K76" s="11" t="str">
        <f t="shared" si="30"/>
        <v/>
      </c>
      <c r="L76" s="11" t="str">
        <f t="shared" si="31"/>
        <v/>
      </c>
      <c r="M76" s="12" t="str">
        <f t="shared" si="25"/>
        <v/>
      </c>
      <c r="O76">
        <v>10</v>
      </c>
      <c r="P76">
        <f>Sheet1!$A$1</f>
        <v>1</v>
      </c>
    </row>
    <row r="77" spans="1:16">
      <c r="A77" s="9">
        <f t="shared" si="17"/>
        <v>671</v>
      </c>
      <c r="B77" s="13" t="str">
        <f t="shared" si="18"/>
        <v>Nov-1-GA</v>
      </c>
      <c r="C77" s="7">
        <f t="shared" si="26"/>
        <v>0</v>
      </c>
      <c r="D77" s="10">
        <f>IFERROR(VLOOKUP(B77,Sheet1!$G$7:$J$4000,4,0),0)</f>
        <v>0</v>
      </c>
      <c r="E77" s="10">
        <f>IFERROR(VLOOKUP(B77,Sheet1!$G$7:$K$4000,5,0),0)</f>
        <v>0</v>
      </c>
      <c r="F77" s="10">
        <f>IFERROR(VLOOKUP(B77,Sheet1!$G$7:$N$4000,8,0),0)</f>
        <v>0</v>
      </c>
      <c r="G77" s="10">
        <f>IFERROR(VLOOKUP(B77,Sheet1!$G$7:$Q$4000,11,0),0)</f>
        <v>0</v>
      </c>
      <c r="H77" s="7">
        <f t="shared" si="27"/>
        <v>0</v>
      </c>
      <c r="I77" s="11" t="str">
        <f t="shared" si="28"/>
        <v/>
      </c>
      <c r="J77" s="11" t="str">
        <f t="shared" si="29"/>
        <v/>
      </c>
      <c r="K77" s="11" t="str">
        <f t="shared" si="30"/>
        <v/>
      </c>
      <c r="L77" s="11" t="str">
        <f t="shared" si="31"/>
        <v/>
      </c>
      <c r="M77" s="12" t="str">
        <f t="shared" si="25"/>
        <v/>
      </c>
      <c r="O77">
        <v>11</v>
      </c>
      <c r="P77">
        <f>Sheet1!$A$1</f>
        <v>1</v>
      </c>
    </row>
    <row r="78" spans="1:16">
      <c r="A78" s="9">
        <f t="shared" si="17"/>
        <v>701</v>
      </c>
      <c r="B78" s="13" t="str">
        <f t="shared" si="18"/>
        <v>Dec-1-GA</v>
      </c>
      <c r="C78" s="7">
        <f t="shared" si="26"/>
        <v>0</v>
      </c>
      <c r="D78" s="10">
        <f>IFERROR(VLOOKUP(B78,Sheet1!$G$7:$J$4000,4,0),0)</f>
        <v>0</v>
      </c>
      <c r="E78" s="10">
        <f>IFERROR(VLOOKUP(B78,Sheet1!$G$7:$K$4000,5,0),0)</f>
        <v>0</v>
      </c>
      <c r="F78" s="10">
        <f>IFERROR(VLOOKUP(B78,Sheet1!$G$7:$N$4000,8,0),0)</f>
        <v>0</v>
      </c>
      <c r="G78" s="10">
        <f>IFERROR(VLOOKUP(B78,Sheet1!$G$7:$Q$4000,11,0),0)</f>
        <v>0</v>
      </c>
      <c r="H78" s="7">
        <f t="shared" si="27"/>
        <v>0</v>
      </c>
      <c r="I78" s="11" t="str">
        <f t="shared" si="28"/>
        <v/>
      </c>
      <c r="J78" s="11" t="str">
        <f t="shared" si="29"/>
        <v/>
      </c>
      <c r="K78" s="11" t="str">
        <f t="shared" si="30"/>
        <v/>
      </c>
      <c r="L78" s="11" t="str">
        <f t="shared" si="31"/>
        <v/>
      </c>
      <c r="M78" s="12" t="str">
        <f t="shared" si="25"/>
        <v/>
      </c>
      <c r="O78">
        <v>12</v>
      </c>
      <c r="P78">
        <f>Sheet1!$A$1</f>
        <v>1</v>
      </c>
    </row>
    <row r="79" spans="1:16">
      <c r="A79" s="4"/>
      <c r="B79" s="4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</row>
    <row r="80" spans="1:16" ht="30" customHeight="1">
      <c r="A80" s="70" t="s">
        <v>145</v>
      </c>
      <c r="B80" s="20"/>
      <c r="C80" s="95" t="s">
        <v>30</v>
      </c>
      <c r="D80" s="96"/>
      <c r="E80" s="96"/>
      <c r="F80" s="96"/>
      <c r="G80" s="96"/>
      <c r="H80" s="97"/>
      <c r="I80" s="94" t="s">
        <v>31</v>
      </c>
      <c r="J80" s="94"/>
      <c r="K80" s="94"/>
      <c r="L80" s="94"/>
      <c r="M80" s="94"/>
      <c r="O80">
        <v>3</v>
      </c>
      <c r="P80" t="s">
        <v>143</v>
      </c>
    </row>
    <row r="81" spans="1:16" ht="102">
      <c r="A81" s="7" t="s">
        <v>89</v>
      </c>
      <c r="B81" s="7"/>
      <c r="C81" s="8" t="s">
        <v>132</v>
      </c>
      <c r="D81" s="8" t="s">
        <v>133</v>
      </c>
      <c r="E81" s="8" t="s">
        <v>134</v>
      </c>
      <c r="F81" s="8" t="s">
        <v>135</v>
      </c>
      <c r="G81" s="8" t="s">
        <v>136</v>
      </c>
      <c r="H81" s="8" t="s">
        <v>137</v>
      </c>
      <c r="I81" s="27" t="s">
        <v>138</v>
      </c>
      <c r="J81" s="27" t="s">
        <v>139</v>
      </c>
      <c r="K81" s="27" t="s">
        <v>140</v>
      </c>
      <c r="L81" s="27" t="s">
        <v>136</v>
      </c>
      <c r="M81" s="27" t="s">
        <v>141</v>
      </c>
    </row>
    <row r="82" spans="1:16">
      <c r="A82" s="9">
        <f>DATE(P82,O82,1)</f>
        <v>1</v>
      </c>
      <c r="B82" s="13" t="str">
        <f>TEXT(O82*29,"mmm")&amp;"-" &amp; P82&amp;"-"&amp;$P$80</f>
        <v>Jan-0-PM</v>
      </c>
      <c r="C82" s="7">
        <f t="shared" ref="C82" si="32">SUM(D82:G82)</f>
        <v>0</v>
      </c>
      <c r="D82" s="10">
        <f>IFERROR(VLOOKUP(B82,Sheet1!$G$7:$J$4000,4,0),0)</f>
        <v>0</v>
      </c>
      <c r="E82" s="10">
        <f>IFERROR(VLOOKUP(B82,Sheet1!$G$7:$K$4000,5,0),0)</f>
        <v>0</v>
      </c>
      <c r="F82" s="10">
        <f>IFERROR(VLOOKUP(B82,Sheet1!$G$7:$N$4000,8,0),0)</f>
        <v>0</v>
      </c>
      <c r="G82" s="10">
        <f>IFERROR(VLOOKUP(B82,Sheet1!$G$7:$Q$4000,11,0),0)</f>
        <v>0</v>
      </c>
      <c r="H82" s="7">
        <f>IFERROR(D82+E82,0)</f>
        <v>0</v>
      </c>
      <c r="I82" s="11" t="str">
        <f>IFERROR(D82/C82*100%,"")</f>
        <v/>
      </c>
      <c r="J82" s="11" t="str">
        <f>IFERROR(E82/C82*100%,"")</f>
        <v/>
      </c>
      <c r="K82" s="11" t="str">
        <f>IFERROR(F82/C82*100%,"")</f>
        <v/>
      </c>
      <c r="L82" s="11" t="str">
        <f>IFERROR(G82/C82*100%,"")</f>
        <v/>
      </c>
      <c r="M82" s="12" t="str">
        <f t="shared" ref="M82" si="33">IFERROR(I82+J82,"")</f>
        <v/>
      </c>
      <c r="O82">
        <v>1</v>
      </c>
      <c r="P82">
        <f>Sheet1!$A$1-1</f>
        <v>0</v>
      </c>
    </row>
    <row r="83" spans="1:16">
      <c r="A83" s="9">
        <f t="shared" ref="A83:A105" si="34">DATE(P83,O83,1)</f>
        <v>32</v>
      </c>
      <c r="B83" s="13" t="str">
        <f t="shared" ref="B83:B105" si="35">TEXT(O83*29,"mmm")&amp;"-" &amp; P83&amp;"-"&amp;$P$80</f>
        <v>Feb-0-PM</v>
      </c>
      <c r="C83" s="7">
        <f t="shared" ref="C83:C94" si="36">SUM(D83:G83)</f>
        <v>0</v>
      </c>
      <c r="D83" s="10">
        <f>IFERROR(VLOOKUP(B83,Sheet1!$G$7:$J$4000,4,0),0)</f>
        <v>0</v>
      </c>
      <c r="E83" s="10">
        <f>IFERROR(VLOOKUP(B83,Sheet1!$G$7:$K$4000,5,0),0)</f>
        <v>0</v>
      </c>
      <c r="F83" s="10">
        <f>IFERROR(VLOOKUP(B83,Sheet1!$G$7:$N$4000,8,0),0)</f>
        <v>0</v>
      </c>
      <c r="G83" s="10">
        <f>IFERROR(VLOOKUP(B83,Sheet1!$G$7:$Q$4000,11,0),0)</f>
        <v>0</v>
      </c>
      <c r="H83" s="7">
        <f t="shared" ref="H83:H93" si="37">IFERROR(D83+E83,0)</f>
        <v>0</v>
      </c>
      <c r="I83" s="11" t="str">
        <f t="shared" ref="I83:I93" si="38">IFERROR(D83/C83*100%,"")</f>
        <v/>
      </c>
      <c r="J83" s="11" t="str">
        <f t="shared" ref="J83:J93" si="39">IFERROR(E83/C83*100%,"")</f>
        <v/>
      </c>
      <c r="K83" s="11" t="str">
        <f t="shared" ref="K83:K93" si="40">IFERROR(F83/C83*100%,"")</f>
        <v/>
      </c>
      <c r="L83" s="11" t="str">
        <f t="shared" ref="L83:L93" si="41">IFERROR(G83/C83*100%,"")</f>
        <v/>
      </c>
      <c r="M83" s="12" t="str">
        <f t="shared" ref="M83:M94" si="42">IFERROR(I83+J83,"")</f>
        <v/>
      </c>
      <c r="O83">
        <v>2</v>
      </c>
      <c r="P83">
        <f>Sheet1!$A$1-1</f>
        <v>0</v>
      </c>
    </row>
    <row r="84" spans="1:16">
      <c r="A84" s="9">
        <f t="shared" si="34"/>
        <v>61</v>
      </c>
      <c r="B84" s="13" t="str">
        <f t="shared" si="35"/>
        <v>Mar-0-PM</v>
      </c>
      <c r="C84" s="7">
        <f t="shared" si="36"/>
        <v>0</v>
      </c>
      <c r="D84" s="10">
        <f>IFERROR(VLOOKUP(B84,Sheet1!$G$7:$J$4000,4,0),0)</f>
        <v>0</v>
      </c>
      <c r="E84" s="10">
        <f>IFERROR(VLOOKUP(B84,Sheet1!$G$7:$K$4000,5,0),0)</f>
        <v>0</v>
      </c>
      <c r="F84" s="10">
        <f>IFERROR(VLOOKUP(B84,Sheet1!$G$7:$N$4000,8,0),0)</f>
        <v>0</v>
      </c>
      <c r="G84" s="10">
        <f>IFERROR(VLOOKUP(B84,Sheet1!$G$7:$Q$4000,11,0),0)</f>
        <v>0</v>
      </c>
      <c r="H84" s="7">
        <f t="shared" si="37"/>
        <v>0</v>
      </c>
      <c r="I84" s="11" t="str">
        <f t="shared" si="38"/>
        <v/>
      </c>
      <c r="J84" s="11" t="str">
        <f t="shared" si="39"/>
        <v/>
      </c>
      <c r="K84" s="11" t="str">
        <f t="shared" si="40"/>
        <v/>
      </c>
      <c r="L84" s="11" t="str">
        <f t="shared" si="41"/>
        <v/>
      </c>
      <c r="M84" s="12" t="str">
        <f t="shared" si="42"/>
        <v/>
      </c>
      <c r="O84">
        <v>3</v>
      </c>
      <c r="P84">
        <f>Sheet1!$A$1-1</f>
        <v>0</v>
      </c>
    </row>
    <row r="85" spans="1:16">
      <c r="A85" s="9">
        <f t="shared" si="34"/>
        <v>92</v>
      </c>
      <c r="B85" s="13" t="str">
        <f t="shared" si="35"/>
        <v>Apr-0-PM</v>
      </c>
      <c r="C85" s="7">
        <f t="shared" si="36"/>
        <v>0</v>
      </c>
      <c r="D85" s="10">
        <f>IFERROR(VLOOKUP(B85,Sheet1!$G$7:$J$4000,4,0),0)</f>
        <v>0</v>
      </c>
      <c r="E85" s="10">
        <f>IFERROR(VLOOKUP(B85,Sheet1!$G$7:$K$4000,5,0),0)</f>
        <v>0</v>
      </c>
      <c r="F85" s="10">
        <f>IFERROR(VLOOKUP(B85,Sheet1!$G$7:$N$4000,8,0),0)</f>
        <v>0</v>
      </c>
      <c r="G85" s="10">
        <f>IFERROR(VLOOKUP(B85,Sheet1!$G$7:$Q$4000,11,0),0)</f>
        <v>0</v>
      </c>
      <c r="H85" s="7">
        <f t="shared" si="37"/>
        <v>0</v>
      </c>
      <c r="I85" s="11" t="str">
        <f t="shared" si="38"/>
        <v/>
      </c>
      <c r="J85" s="11" t="str">
        <f t="shared" si="39"/>
        <v/>
      </c>
      <c r="K85" s="11" t="str">
        <f t="shared" si="40"/>
        <v/>
      </c>
      <c r="L85" s="11" t="str">
        <f t="shared" si="41"/>
        <v/>
      </c>
      <c r="M85" s="12" t="str">
        <f t="shared" si="42"/>
        <v/>
      </c>
      <c r="O85">
        <v>4</v>
      </c>
      <c r="P85">
        <f>Sheet1!$A$1-1</f>
        <v>0</v>
      </c>
    </row>
    <row r="86" spans="1:16">
      <c r="A86" s="9">
        <f t="shared" si="34"/>
        <v>122</v>
      </c>
      <c r="B86" s="13" t="str">
        <f t="shared" si="35"/>
        <v>May-0-PM</v>
      </c>
      <c r="C86" s="7">
        <f t="shared" si="36"/>
        <v>0</v>
      </c>
      <c r="D86" s="10">
        <f>IFERROR(VLOOKUP(B86,Sheet1!$G$7:$J$4000,4,0),0)</f>
        <v>0</v>
      </c>
      <c r="E86" s="10">
        <f>IFERROR(VLOOKUP(B86,Sheet1!$G$7:$K$4000,5,0),0)</f>
        <v>0</v>
      </c>
      <c r="F86" s="10">
        <f>IFERROR(VLOOKUP(B86,Sheet1!$G$7:$N$4000,8,0),0)</f>
        <v>0</v>
      </c>
      <c r="G86" s="10">
        <f>IFERROR(VLOOKUP(B86,Sheet1!$G$7:$Q$4000,11,0),0)</f>
        <v>0</v>
      </c>
      <c r="H86" s="7">
        <f t="shared" si="37"/>
        <v>0</v>
      </c>
      <c r="I86" s="11" t="str">
        <f t="shared" si="38"/>
        <v/>
      </c>
      <c r="J86" s="11" t="str">
        <f t="shared" si="39"/>
        <v/>
      </c>
      <c r="K86" s="11" t="str">
        <f t="shared" si="40"/>
        <v/>
      </c>
      <c r="L86" s="11" t="str">
        <f t="shared" si="41"/>
        <v/>
      </c>
      <c r="M86" s="12" t="str">
        <f t="shared" si="42"/>
        <v/>
      </c>
      <c r="O86">
        <v>5</v>
      </c>
      <c r="P86">
        <f>Sheet1!$A$1-1</f>
        <v>0</v>
      </c>
    </row>
    <row r="87" spans="1:16">
      <c r="A87" s="9">
        <f t="shared" si="34"/>
        <v>153</v>
      </c>
      <c r="B87" s="13" t="str">
        <f t="shared" si="35"/>
        <v>Jun-0-PM</v>
      </c>
      <c r="C87" s="7">
        <f t="shared" si="36"/>
        <v>0</v>
      </c>
      <c r="D87" s="10">
        <f>IFERROR(VLOOKUP(B87,Sheet1!$G$7:$J$4000,4,0),0)</f>
        <v>0</v>
      </c>
      <c r="E87" s="10">
        <f>IFERROR(VLOOKUP(B87,Sheet1!$G$7:$K$4000,5,0),0)</f>
        <v>0</v>
      </c>
      <c r="F87" s="10">
        <f>IFERROR(VLOOKUP(B87,Sheet1!$G$7:$N$4000,8,0),0)</f>
        <v>0</v>
      </c>
      <c r="G87" s="10">
        <f>IFERROR(VLOOKUP(B87,Sheet1!$G$7:$Q$4000,11,0),0)</f>
        <v>0</v>
      </c>
      <c r="H87" s="7">
        <f t="shared" si="37"/>
        <v>0</v>
      </c>
      <c r="I87" s="11" t="str">
        <f t="shared" si="38"/>
        <v/>
      </c>
      <c r="J87" s="11" t="str">
        <f t="shared" si="39"/>
        <v/>
      </c>
      <c r="K87" s="11" t="str">
        <f t="shared" si="40"/>
        <v/>
      </c>
      <c r="L87" s="11" t="str">
        <f t="shared" si="41"/>
        <v/>
      </c>
      <c r="M87" s="12" t="str">
        <f t="shared" si="42"/>
        <v/>
      </c>
      <c r="O87">
        <v>6</v>
      </c>
      <c r="P87">
        <f>Sheet1!$A$1-1</f>
        <v>0</v>
      </c>
    </row>
    <row r="88" spans="1:16">
      <c r="A88" s="9">
        <f t="shared" si="34"/>
        <v>183</v>
      </c>
      <c r="B88" s="13" t="str">
        <f t="shared" si="35"/>
        <v>Jul-0-PM</v>
      </c>
      <c r="C88" s="7">
        <f t="shared" si="36"/>
        <v>0</v>
      </c>
      <c r="D88" s="10">
        <f>IFERROR(VLOOKUP(B88,Sheet1!$G$7:$J$4000,4,0),0)</f>
        <v>0</v>
      </c>
      <c r="E88" s="10">
        <f>IFERROR(VLOOKUP(B88,Sheet1!$G$7:$K$4000,5,0),0)</f>
        <v>0</v>
      </c>
      <c r="F88" s="10">
        <f>IFERROR(VLOOKUP(B88,Sheet1!$G$7:$N$4000,8,0),0)</f>
        <v>0</v>
      </c>
      <c r="G88" s="10">
        <f>IFERROR(VLOOKUP(B88,Sheet1!$G$7:$Q$4000,11,0),0)</f>
        <v>0</v>
      </c>
      <c r="H88" s="7">
        <f t="shared" si="37"/>
        <v>0</v>
      </c>
      <c r="I88" s="11" t="str">
        <f t="shared" si="38"/>
        <v/>
      </c>
      <c r="J88" s="11" t="str">
        <f t="shared" si="39"/>
        <v/>
      </c>
      <c r="K88" s="11" t="str">
        <f t="shared" si="40"/>
        <v/>
      </c>
      <c r="L88" s="11" t="str">
        <f t="shared" si="41"/>
        <v/>
      </c>
      <c r="M88" s="12" t="str">
        <f t="shared" si="42"/>
        <v/>
      </c>
      <c r="O88">
        <v>7</v>
      </c>
      <c r="P88">
        <f>Sheet1!$A$1-1</f>
        <v>0</v>
      </c>
    </row>
    <row r="89" spans="1:16">
      <c r="A89" s="9">
        <f t="shared" si="34"/>
        <v>214</v>
      </c>
      <c r="B89" s="13" t="str">
        <f t="shared" si="35"/>
        <v>Aug-0-PM</v>
      </c>
      <c r="C89" s="7">
        <f t="shared" si="36"/>
        <v>0</v>
      </c>
      <c r="D89" s="10">
        <f>IFERROR(VLOOKUP(B89,Sheet1!$G$7:$J$4000,4,0),0)</f>
        <v>0</v>
      </c>
      <c r="E89" s="10">
        <f>IFERROR(VLOOKUP(B89,Sheet1!$G$7:$K$4000,5,0),0)</f>
        <v>0</v>
      </c>
      <c r="F89" s="10">
        <f>IFERROR(VLOOKUP(B89,Sheet1!$G$7:$N$4000,8,0),0)</f>
        <v>0</v>
      </c>
      <c r="G89" s="10">
        <f>IFERROR(VLOOKUP(B89,Sheet1!$G$7:$Q$4000,11,0),0)</f>
        <v>0</v>
      </c>
      <c r="H89" s="7">
        <f t="shared" si="37"/>
        <v>0</v>
      </c>
      <c r="I89" s="11" t="str">
        <f t="shared" si="38"/>
        <v/>
      </c>
      <c r="J89" s="11" t="str">
        <f t="shared" si="39"/>
        <v/>
      </c>
      <c r="K89" s="11" t="str">
        <f t="shared" si="40"/>
        <v/>
      </c>
      <c r="L89" s="11" t="str">
        <f t="shared" si="41"/>
        <v/>
      </c>
      <c r="M89" s="12" t="str">
        <f t="shared" si="42"/>
        <v/>
      </c>
      <c r="O89">
        <v>8</v>
      </c>
      <c r="P89">
        <f>Sheet1!$A$1-1</f>
        <v>0</v>
      </c>
    </row>
    <row r="90" spans="1:16">
      <c r="A90" s="9">
        <f t="shared" si="34"/>
        <v>245</v>
      </c>
      <c r="B90" s="13" t="str">
        <f t="shared" si="35"/>
        <v>Sep-0-PM</v>
      </c>
      <c r="C90" s="7">
        <f t="shared" si="36"/>
        <v>0</v>
      </c>
      <c r="D90" s="10">
        <f>IFERROR(VLOOKUP(B90,Sheet1!$G$7:$J$4000,4,0),0)</f>
        <v>0</v>
      </c>
      <c r="E90" s="10">
        <f>IFERROR(VLOOKUP(B90,Sheet1!$G$7:$K$4000,5,0),0)</f>
        <v>0</v>
      </c>
      <c r="F90" s="10">
        <f>IFERROR(VLOOKUP(B90,Sheet1!$G$7:$N$4000,8,0),0)</f>
        <v>0</v>
      </c>
      <c r="G90" s="10">
        <f>IFERROR(VLOOKUP(B90,Sheet1!$G$7:$Q$4000,11,0),0)</f>
        <v>0</v>
      </c>
      <c r="H90" s="7">
        <f t="shared" si="37"/>
        <v>0</v>
      </c>
      <c r="I90" s="11" t="str">
        <f t="shared" si="38"/>
        <v/>
      </c>
      <c r="J90" s="11" t="str">
        <f t="shared" si="39"/>
        <v/>
      </c>
      <c r="K90" s="11" t="str">
        <f t="shared" si="40"/>
        <v/>
      </c>
      <c r="L90" s="11" t="str">
        <f t="shared" si="41"/>
        <v/>
      </c>
      <c r="M90" s="12" t="str">
        <f t="shared" si="42"/>
        <v/>
      </c>
      <c r="O90">
        <v>9</v>
      </c>
      <c r="P90">
        <f>Sheet1!$A$1-1</f>
        <v>0</v>
      </c>
    </row>
    <row r="91" spans="1:16">
      <c r="A91" s="9">
        <f t="shared" si="34"/>
        <v>275</v>
      </c>
      <c r="B91" s="13" t="str">
        <f t="shared" si="35"/>
        <v>Oct-0-PM</v>
      </c>
      <c r="C91" s="7">
        <f t="shared" si="36"/>
        <v>0</v>
      </c>
      <c r="D91" s="10">
        <f>IFERROR(VLOOKUP(B91,Sheet1!$G$7:$J$4000,4,0),0)</f>
        <v>0</v>
      </c>
      <c r="E91" s="10">
        <f>IFERROR(VLOOKUP(B91,Sheet1!$G$7:$K$4000,5,0),0)</f>
        <v>0</v>
      </c>
      <c r="F91" s="10">
        <f>IFERROR(VLOOKUP(B91,Sheet1!$G$7:$N$4000,8,0),0)</f>
        <v>0</v>
      </c>
      <c r="G91" s="10">
        <f>IFERROR(VLOOKUP(B91,Sheet1!$G$7:$Q$4000,11,0),0)</f>
        <v>0</v>
      </c>
      <c r="H91" s="7">
        <f t="shared" si="37"/>
        <v>0</v>
      </c>
      <c r="I91" s="11" t="str">
        <f t="shared" si="38"/>
        <v/>
      </c>
      <c r="J91" s="11" t="str">
        <f t="shared" si="39"/>
        <v/>
      </c>
      <c r="K91" s="11" t="str">
        <f t="shared" si="40"/>
        <v/>
      </c>
      <c r="L91" s="11" t="str">
        <f t="shared" si="41"/>
        <v/>
      </c>
      <c r="M91" s="12" t="str">
        <f t="shared" si="42"/>
        <v/>
      </c>
      <c r="O91">
        <v>10</v>
      </c>
      <c r="P91">
        <f>Sheet1!$A$1-1</f>
        <v>0</v>
      </c>
    </row>
    <row r="92" spans="1:16">
      <c r="A92" s="9">
        <f t="shared" si="34"/>
        <v>306</v>
      </c>
      <c r="B92" s="13" t="str">
        <f t="shared" si="35"/>
        <v>Nov-0-PM</v>
      </c>
      <c r="C92" s="7">
        <f t="shared" si="36"/>
        <v>0</v>
      </c>
      <c r="D92" s="10">
        <f>IFERROR(VLOOKUP(B92,Sheet1!$G$7:$J$4000,4,0),0)</f>
        <v>0</v>
      </c>
      <c r="E92" s="10">
        <f>IFERROR(VLOOKUP(B92,Sheet1!$G$7:$K$4000,5,0),0)</f>
        <v>0</v>
      </c>
      <c r="F92" s="10">
        <f>IFERROR(VLOOKUP(B92,Sheet1!$G$7:$N$4000,8,0),0)</f>
        <v>0</v>
      </c>
      <c r="G92" s="10">
        <f>IFERROR(VLOOKUP(B92,Sheet1!$G$7:$Q$4000,11,0),0)</f>
        <v>0</v>
      </c>
      <c r="H92" s="7">
        <f t="shared" si="37"/>
        <v>0</v>
      </c>
      <c r="I92" s="11" t="str">
        <f t="shared" si="38"/>
        <v/>
      </c>
      <c r="J92" s="11" t="str">
        <f t="shared" si="39"/>
        <v/>
      </c>
      <c r="K92" s="11" t="str">
        <f t="shared" si="40"/>
        <v/>
      </c>
      <c r="L92" s="11" t="str">
        <f t="shared" si="41"/>
        <v/>
      </c>
      <c r="M92" s="12" t="str">
        <f t="shared" si="42"/>
        <v/>
      </c>
      <c r="O92">
        <v>11</v>
      </c>
      <c r="P92">
        <f>Sheet1!$A$1-1</f>
        <v>0</v>
      </c>
    </row>
    <row r="93" spans="1:16">
      <c r="A93" s="9">
        <f t="shared" si="34"/>
        <v>336</v>
      </c>
      <c r="B93" s="13" t="str">
        <f t="shared" si="35"/>
        <v>Dec-0-PM</v>
      </c>
      <c r="C93" s="7">
        <f t="shared" si="36"/>
        <v>0</v>
      </c>
      <c r="D93" s="10">
        <f>IFERROR(VLOOKUP(B93,Sheet1!$G$7:$J$4000,4,0),0)</f>
        <v>0</v>
      </c>
      <c r="E93" s="10">
        <f>IFERROR(VLOOKUP(B93,Sheet1!$G$7:$K$4000,5,0),0)</f>
        <v>0</v>
      </c>
      <c r="F93" s="10">
        <f>IFERROR(VLOOKUP(B93,Sheet1!$G$7:$N$4000,8,0),0)</f>
        <v>0</v>
      </c>
      <c r="G93" s="10">
        <f>IFERROR(VLOOKUP(B93,Sheet1!$G$7:$Q$4000,11,0),0)</f>
        <v>0</v>
      </c>
      <c r="H93" s="7">
        <f t="shared" si="37"/>
        <v>0</v>
      </c>
      <c r="I93" s="11" t="str">
        <f t="shared" si="38"/>
        <v/>
      </c>
      <c r="J93" s="11" t="str">
        <f t="shared" si="39"/>
        <v/>
      </c>
      <c r="K93" s="11" t="str">
        <f t="shared" si="40"/>
        <v/>
      </c>
      <c r="L93" s="11" t="str">
        <f t="shared" si="41"/>
        <v/>
      </c>
      <c r="M93" s="12" t="str">
        <f t="shared" si="42"/>
        <v/>
      </c>
      <c r="O93">
        <v>12</v>
      </c>
      <c r="P93">
        <f>Sheet1!$A$1-1</f>
        <v>0</v>
      </c>
    </row>
    <row r="94" spans="1:16">
      <c r="A94" s="9">
        <f t="shared" si="34"/>
        <v>367</v>
      </c>
      <c r="B94" s="13" t="str">
        <f t="shared" si="35"/>
        <v>Jan-1-PM</v>
      </c>
      <c r="C94" s="7">
        <f t="shared" si="36"/>
        <v>0</v>
      </c>
      <c r="D94" s="10">
        <f>IFERROR(VLOOKUP(B94,Sheet1!$G$7:$J$4000,4,0),0)</f>
        <v>0</v>
      </c>
      <c r="E94" s="10">
        <f>IFERROR(VLOOKUP(B94,Sheet1!$G$7:$K$4000,5,0),0)</f>
        <v>0</v>
      </c>
      <c r="F94" s="10">
        <f>IFERROR(VLOOKUP(B94,Sheet1!$G$7:$N$4000,8,0),0)</f>
        <v>0</v>
      </c>
      <c r="G94" s="10">
        <f>IFERROR(VLOOKUP(B94,Sheet1!$G$7:$Q$4000,11,0),0)</f>
        <v>0</v>
      </c>
      <c r="H94" s="7">
        <f>IFERROR(D94+E94,0)</f>
        <v>0</v>
      </c>
      <c r="I94" s="11" t="str">
        <f>IFERROR(D94/C94*100%,"")</f>
        <v/>
      </c>
      <c r="J94" s="11" t="str">
        <f>IFERROR(E94/C94*100%,"")</f>
        <v/>
      </c>
      <c r="K94" s="11" t="str">
        <f>IFERROR(F94/C94*100%,"")</f>
        <v/>
      </c>
      <c r="L94" s="11" t="str">
        <f>IFERROR(G94/C94*100%,"")</f>
        <v/>
      </c>
      <c r="M94" s="12" t="str">
        <f t="shared" si="42"/>
        <v/>
      </c>
      <c r="O94">
        <v>1</v>
      </c>
      <c r="P94">
        <f>Sheet1!$A$1</f>
        <v>1</v>
      </c>
    </row>
    <row r="95" spans="1:16">
      <c r="A95" s="9">
        <f t="shared" si="34"/>
        <v>398</v>
      </c>
      <c r="B95" s="13" t="str">
        <f t="shared" si="35"/>
        <v>Feb-1-PM</v>
      </c>
      <c r="C95" s="7">
        <f t="shared" ref="C95:C105" si="43">SUM(D95:G95)</f>
        <v>0</v>
      </c>
      <c r="D95" s="10">
        <f>IFERROR(VLOOKUP(B95,Sheet1!$G$7:$J$4000,4,0),0)</f>
        <v>0</v>
      </c>
      <c r="E95" s="10">
        <f>IFERROR(VLOOKUP(B95,Sheet1!$G$7:$K$4000,5,0),0)</f>
        <v>0</v>
      </c>
      <c r="F95" s="10">
        <f>IFERROR(VLOOKUP(B95,Sheet1!$G$7:$N$4000,8,0),0)</f>
        <v>0</v>
      </c>
      <c r="G95" s="10">
        <f>IFERROR(VLOOKUP(B95,Sheet1!$G$7:$Q$4000,11,0),0)</f>
        <v>0</v>
      </c>
      <c r="H95" s="7">
        <f t="shared" ref="H95:H105" si="44">IFERROR(D95+E95,0)</f>
        <v>0</v>
      </c>
      <c r="I95" s="11" t="str">
        <f t="shared" ref="I95:I105" si="45">IFERROR(D95/C95*100%,"")</f>
        <v/>
      </c>
      <c r="J95" s="11" t="str">
        <f t="shared" ref="J95:J105" si="46">IFERROR(E95/C95*100%,"")</f>
        <v/>
      </c>
      <c r="K95" s="11" t="str">
        <f t="shared" ref="K95:K105" si="47">IFERROR(F95/C95*100%,"")</f>
        <v/>
      </c>
      <c r="L95" s="11" t="str">
        <f t="shared" ref="L95:L105" si="48">IFERROR(G95/C95*100%,"")</f>
        <v/>
      </c>
      <c r="M95" s="12" t="str">
        <f t="shared" ref="M95:M105" si="49">IFERROR(I95+J95,"")</f>
        <v/>
      </c>
      <c r="O95">
        <v>2</v>
      </c>
      <c r="P95">
        <f>Sheet1!$A$1</f>
        <v>1</v>
      </c>
    </row>
    <row r="96" spans="1:16">
      <c r="A96" s="9">
        <f t="shared" si="34"/>
        <v>426</v>
      </c>
      <c r="B96" s="13" t="str">
        <f t="shared" si="35"/>
        <v>Mar-1-PM</v>
      </c>
      <c r="C96" s="7">
        <f t="shared" si="43"/>
        <v>0</v>
      </c>
      <c r="D96" s="10">
        <f>IFERROR(VLOOKUP(B96,Sheet1!$G$7:$J$4000,4,0),0)</f>
        <v>0</v>
      </c>
      <c r="E96" s="10">
        <f>IFERROR(VLOOKUP(B96,Sheet1!$G$7:$K$4000,5,0),0)</f>
        <v>0</v>
      </c>
      <c r="F96" s="10">
        <f>IFERROR(VLOOKUP(B96,Sheet1!$G$7:$N$4000,8,0),0)</f>
        <v>0</v>
      </c>
      <c r="G96" s="10">
        <f>IFERROR(VLOOKUP(B96,Sheet1!$G$7:$Q$4000,11,0),0)</f>
        <v>0</v>
      </c>
      <c r="H96" s="7">
        <f t="shared" si="44"/>
        <v>0</v>
      </c>
      <c r="I96" s="11" t="str">
        <f t="shared" si="45"/>
        <v/>
      </c>
      <c r="J96" s="11" t="str">
        <f t="shared" si="46"/>
        <v/>
      </c>
      <c r="K96" s="11" t="str">
        <f t="shared" si="47"/>
        <v/>
      </c>
      <c r="L96" s="11" t="str">
        <f t="shared" si="48"/>
        <v/>
      </c>
      <c r="M96" s="12" t="str">
        <f t="shared" si="49"/>
        <v/>
      </c>
      <c r="O96">
        <v>3</v>
      </c>
      <c r="P96">
        <f>Sheet1!$A$1</f>
        <v>1</v>
      </c>
    </row>
    <row r="97" spans="1:16">
      <c r="A97" s="9">
        <f t="shared" si="34"/>
        <v>457</v>
      </c>
      <c r="B97" s="13" t="str">
        <f t="shared" si="35"/>
        <v>Apr-1-PM</v>
      </c>
      <c r="C97" s="7">
        <f t="shared" si="43"/>
        <v>0</v>
      </c>
      <c r="D97" s="10">
        <f>IFERROR(VLOOKUP(B97,Sheet1!$G$7:$J$4000,4,0),0)</f>
        <v>0</v>
      </c>
      <c r="E97" s="10">
        <f>IFERROR(VLOOKUP(B97,Sheet1!$G$7:$K$4000,5,0),0)</f>
        <v>0</v>
      </c>
      <c r="F97" s="10">
        <f>IFERROR(VLOOKUP(B97,Sheet1!$G$7:$N$4000,8,0),0)</f>
        <v>0</v>
      </c>
      <c r="G97" s="10">
        <f>IFERROR(VLOOKUP(B97,Sheet1!$G$7:$Q$4000,11,0),0)</f>
        <v>0</v>
      </c>
      <c r="H97" s="7">
        <f t="shared" si="44"/>
        <v>0</v>
      </c>
      <c r="I97" s="11" t="str">
        <f t="shared" si="45"/>
        <v/>
      </c>
      <c r="J97" s="11" t="str">
        <f t="shared" si="46"/>
        <v/>
      </c>
      <c r="K97" s="11" t="str">
        <f t="shared" si="47"/>
        <v/>
      </c>
      <c r="L97" s="11" t="str">
        <f t="shared" si="48"/>
        <v/>
      </c>
      <c r="M97" s="12" t="str">
        <f t="shared" si="49"/>
        <v/>
      </c>
      <c r="O97">
        <v>4</v>
      </c>
      <c r="P97">
        <f>Sheet1!$A$1</f>
        <v>1</v>
      </c>
    </row>
    <row r="98" spans="1:16">
      <c r="A98" s="9">
        <f t="shared" si="34"/>
        <v>487</v>
      </c>
      <c r="B98" s="13" t="str">
        <f t="shared" si="35"/>
        <v>May-1-PM</v>
      </c>
      <c r="C98" s="7">
        <f t="shared" si="43"/>
        <v>0</v>
      </c>
      <c r="D98" s="10">
        <f>IFERROR(VLOOKUP(B98,Sheet1!$G$7:$J$4000,4,0),0)</f>
        <v>0</v>
      </c>
      <c r="E98" s="10">
        <f>IFERROR(VLOOKUP(B98,Sheet1!$G$7:$K$4000,5,0),0)</f>
        <v>0</v>
      </c>
      <c r="F98" s="10">
        <f>IFERROR(VLOOKUP(B98,Sheet1!$G$7:$N$4000,8,0),0)</f>
        <v>0</v>
      </c>
      <c r="G98" s="10">
        <f>IFERROR(VLOOKUP(B98,Sheet1!$G$7:$Q$4000,11,0),0)</f>
        <v>0</v>
      </c>
      <c r="H98" s="7">
        <f t="shared" si="44"/>
        <v>0</v>
      </c>
      <c r="I98" s="11" t="str">
        <f t="shared" si="45"/>
        <v/>
      </c>
      <c r="J98" s="11" t="str">
        <f t="shared" si="46"/>
        <v/>
      </c>
      <c r="K98" s="11" t="str">
        <f t="shared" si="47"/>
        <v/>
      </c>
      <c r="L98" s="11" t="str">
        <f t="shared" si="48"/>
        <v/>
      </c>
      <c r="M98" s="12" t="str">
        <f t="shared" si="49"/>
        <v/>
      </c>
      <c r="O98">
        <v>5</v>
      </c>
      <c r="P98">
        <f>Sheet1!$A$1</f>
        <v>1</v>
      </c>
    </row>
    <row r="99" spans="1:16">
      <c r="A99" s="9">
        <f t="shared" si="34"/>
        <v>518</v>
      </c>
      <c r="B99" s="13" t="str">
        <f t="shared" si="35"/>
        <v>Jun-1-PM</v>
      </c>
      <c r="C99" s="7">
        <f t="shared" si="43"/>
        <v>0</v>
      </c>
      <c r="D99" s="10">
        <f>IFERROR(VLOOKUP(B99,Sheet1!$G$7:$J$4000,4,0),0)</f>
        <v>0</v>
      </c>
      <c r="E99" s="10">
        <f>IFERROR(VLOOKUP(B99,Sheet1!$G$7:$K$4000,5,0),0)</f>
        <v>0</v>
      </c>
      <c r="F99" s="10">
        <f>IFERROR(VLOOKUP(B99,Sheet1!$G$7:$N$4000,8,0),0)</f>
        <v>0</v>
      </c>
      <c r="G99" s="10">
        <f>IFERROR(VLOOKUP(B99,Sheet1!$G$7:$Q$4000,11,0),0)</f>
        <v>0</v>
      </c>
      <c r="H99" s="7">
        <f t="shared" si="44"/>
        <v>0</v>
      </c>
      <c r="I99" s="11" t="str">
        <f t="shared" si="45"/>
        <v/>
      </c>
      <c r="J99" s="11" t="str">
        <f t="shared" si="46"/>
        <v/>
      </c>
      <c r="K99" s="11" t="str">
        <f t="shared" si="47"/>
        <v/>
      </c>
      <c r="L99" s="11" t="str">
        <f t="shared" si="48"/>
        <v/>
      </c>
      <c r="M99" s="12" t="str">
        <f t="shared" si="49"/>
        <v/>
      </c>
      <c r="O99">
        <v>6</v>
      </c>
      <c r="P99">
        <f>Sheet1!$A$1</f>
        <v>1</v>
      </c>
    </row>
    <row r="100" spans="1:16">
      <c r="A100" s="9">
        <f t="shared" si="34"/>
        <v>548</v>
      </c>
      <c r="B100" s="13" t="str">
        <f t="shared" si="35"/>
        <v>Jul-1-PM</v>
      </c>
      <c r="C100" s="7">
        <f t="shared" si="43"/>
        <v>0</v>
      </c>
      <c r="D100" s="10">
        <f>IFERROR(VLOOKUP(B100,Sheet1!$G$7:$J$4000,4,0),0)</f>
        <v>0</v>
      </c>
      <c r="E100" s="10">
        <f>IFERROR(VLOOKUP(B100,Sheet1!$G$7:$K$4000,5,0),0)</f>
        <v>0</v>
      </c>
      <c r="F100" s="10">
        <f>IFERROR(VLOOKUP(B100,Sheet1!$G$7:$N$4000,8,0),0)</f>
        <v>0</v>
      </c>
      <c r="G100" s="10">
        <f>IFERROR(VLOOKUP(B100,Sheet1!$G$7:$Q$4000,11,0),0)</f>
        <v>0</v>
      </c>
      <c r="H100" s="7">
        <f t="shared" si="44"/>
        <v>0</v>
      </c>
      <c r="I100" s="11" t="str">
        <f t="shared" si="45"/>
        <v/>
      </c>
      <c r="J100" s="11" t="str">
        <f t="shared" si="46"/>
        <v/>
      </c>
      <c r="K100" s="11" t="str">
        <f t="shared" si="47"/>
        <v/>
      </c>
      <c r="L100" s="11" t="str">
        <f t="shared" si="48"/>
        <v/>
      </c>
      <c r="M100" s="12" t="str">
        <f t="shared" si="49"/>
        <v/>
      </c>
      <c r="O100">
        <v>7</v>
      </c>
      <c r="P100">
        <f>Sheet1!$A$1</f>
        <v>1</v>
      </c>
    </row>
    <row r="101" spans="1:16">
      <c r="A101" s="9">
        <f t="shared" si="34"/>
        <v>579</v>
      </c>
      <c r="B101" s="13" t="str">
        <f t="shared" si="35"/>
        <v>Aug-1-PM</v>
      </c>
      <c r="C101" s="7">
        <f t="shared" si="43"/>
        <v>0</v>
      </c>
      <c r="D101" s="10">
        <f>IFERROR(VLOOKUP(B101,Sheet1!$G$7:$J$4000,4,0),0)</f>
        <v>0</v>
      </c>
      <c r="E101" s="10">
        <f>IFERROR(VLOOKUP(B101,Sheet1!$G$7:$K$4000,5,0),0)</f>
        <v>0</v>
      </c>
      <c r="F101" s="10">
        <f>IFERROR(VLOOKUP(B101,Sheet1!$G$7:$N$4000,8,0),0)</f>
        <v>0</v>
      </c>
      <c r="G101" s="10">
        <f>IFERROR(VLOOKUP(B101,Sheet1!$G$7:$Q$4000,11,0),0)</f>
        <v>0</v>
      </c>
      <c r="H101" s="7">
        <f t="shared" si="44"/>
        <v>0</v>
      </c>
      <c r="I101" s="11" t="str">
        <f t="shared" si="45"/>
        <v/>
      </c>
      <c r="J101" s="11" t="str">
        <f t="shared" si="46"/>
        <v/>
      </c>
      <c r="K101" s="11" t="str">
        <f t="shared" si="47"/>
        <v/>
      </c>
      <c r="L101" s="11" t="str">
        <f t="shared" si="48"/>
        <v/>
      </c>
      <c r="M101" s="12" t="str">
        <f t="shared" si="49"/>
        <v/>
      </c>
      <c r="O101">
        <v>8</v>
      </c>
      <c r="P101">
        <f>Sheet1!$A$1</f>
        <v>1</v>
      </c>
    </row>
    <row r="102" spans="1:16">
      <c r="A102" s="9">
        <f t="shared" si="34"/>
        <v>610</v>
      </c>
      <c r="B102" s="13" t="str">
        <f t="shared" si="35"/>
        <v>Sep-1-PM</v>
      </c>
      <c r="C102" s="7">
        <f t="shared" si="43"/>
        <v>0</v>
      </c>
      <c r="D102" s="10">
        <f>IFERROR(VLOOKUP(B102,Sheet1!$G$7:$J$4000,4,0),0)</f>
        <v>0</v>
      </c>
      <c r="E102" s="10">
        <f>IFERROR(VLOOKUP(B102,Sheet1!$G$7:$K$4000,5,0),0)</f>
        <v>0</v>
      </c>
      <c r="F102" s="10">
        <f>IFERROR(VLOOKUP(B102,Sheet1!$G$7:$N$4000,8,0),0)</f>
        <v>0</v>
      </c>
      <c r="G102" s="10">
        <f>IFERROR(VLOOKUP(B102,Sheet1!$G$7:$Q$4000,11,0),0)</f>
        <v>0</v>
      </c>
      <c r="H102" s="7">
        <f t="shared" si="44"/>
        <v>0</v>
      </c>
      <c r="I102" s="11" t="str">
        <f t="shared" si="45"/>
        <v/>
      </c>
      <c r="J102" s="11" t="str">
        <f t="shared" si="46"/>
        <v/>
      </c>
      <c r="K102" s="11" t="str">
        <f t="shared" si="47"/>
        <v/>
      </c>
      <c r="L102" s="11" t="str">
        <f t="shared" si="48"/>
        <v/>
      </c>
      <c r="M102" s="12" t="str">
        <f t="shared" si="49"/>
        <v/>
      </c>
      <c r="O102">
        <v>9</v>
      </c>
      <c r="P102">
        <f>Sheet1!$A$1</f>
        <v>1</v>
      </c>
    </row>
    <row r="103" spans="1:16">
      <c r="A103" s="9">
        <f t="shared" si="34"/>
        <v>640</v>
      </c>
      <c r="B103" s="13" t="str">
        <f t="shared" si="35"/>
        <v>Oct-1-PM</v>
      </c>
      <c r="C103" s="7">
        <f t="shared" si="43"/>
        <v>0</v>
      </c>
      <c r="D103" s="10">
        <f>IFERROR(VLOOKUP(B103,Sheet1!$G$7:$J$4000,4,0),0)</f>
        <v>0</v>
      </c>
      <c r="E103" s="10">
        <f>IFERROR(VLOOKUP(B103,Sheet1!$G$7:$K$4000,5,0),0)</f>
        <v>0</v>
      </c>
      <c r="F103" s="10">
        <f>IFERROR(VLOOKUP(B103,Sheet1!$G$7:$N$4000,8,0),0)</f>
        <v>0</v>
      </c>
      <c r="G103" s="10">
        <f>IFERROR(VLOOKUP(B103,Sheet1!$G$7:$Q$4000,11,0),0)</f>
        <v>0</v>
      </c>
      <c r="H103" s="7">
        <f t="shared" si="44"/>
        <v>0</v>
      </c>
      <c r="I103" s="11" t="str">
        <f t="shared" si="45"/>
        <v/>
      </c>
      <c r="J103" s="11" t="str">
        <f t="shared" si="46"/>
        <v/>
      </c>
      <c r="K103" s="11" t="str">
        <f t="shared" si="47"/>
        <v/>
      </c>
      <c r="L103" s="11" t="str">
        <f t="shared" si="48"/>
        <v/>
      </c>
      <c r="M103" s="12" t="str">
        <f t="shared" si="49"/>
        <v/>
      </c>
      <c r="O103">
        <v>10</v>
      </c>
      <c r="P103">
        <f>Sheet1!$A$1</f>
        <v>1</v>
      </c>
    </row>
    <row r="104" spans="1:16">
      <c r="A104" s="9">
        <f t="shared" si="34"/>
        <v>671</v>
      </c>
      <c r="B104" s="13" t="str">
        <f t="shared" si="35"/>
        <v>Nov-1-PM</v>
      </c>
      <c r="C104" s="7">
        <f t="shared" si="43"/>
        <v>0</v>
      </c>
      <c r="D104" s="10">
        <f>IFERROR(VLOOKUP(B104,Sheet1!$G$7:$J$4000,4,0),0)</f>
        <v>0</v>
      </c>
      <c r="E104" s="10">
        <f>IFERROR(VLOOKUP(B104,Sheet1!$G$7:$K$4000,5,0),0)</f>
        <v>0</v>
      </c>
      <c r="F104" s="10">
        <f>IFERROR(VLOOKUP(B104,Sheet1!$G$7:$N$4000,8,0),0)</f>
        <v>0</v>
      </c>
      <c r="G104" s="10">
        <f>IFERROR(VLOOKUP(B104,Sheet1!$G$7:$Q$4000,11,0),0)</f>
        <v>0</v>
      </c>
      <c r="H104" s="7">
        <f t="shared" si="44"/>
        <v>0</v>
      </c>
      <c r="I104" s="11" t="str">
        <f t="shared" si="45"/>
        <v/>
      </c>
      <c r="J104" s="11" t="str">
        <f t="shared" si="46"/>
        <v/>
      </c>
      <c r="K104" s="11" t="str">
        <f t="shared" si="47"/>
        <v/>
      </c>
      <c r="L104" s="11" t="str">
        <f t="shared" si="48"/>
        <v/>
      </c>
      <c r="M104" s="12" t="str">
        <f t="shared" si="49"/>
        <v/>
      </c>
      <c r="O104">
        <v>11</v>
      </c>
      <c r="P104">
        <f>Sheet1!$A$1</f>
        <v>1</v>
      </c>
    </row>
    <row r="105" spans="1:16">
      <c r="A105" s="9">
        <f t="shared" si="34"/>
        <v>701</v>
      </c>
      <c r="B105" s="13" t="str">
        <f t="shared" si="35"/>
        <v>Dec-1-PM</v>
      </c>
      <c r="C105" s="7">
        <f t="shared" si="43"/>
        <v>0</v>
      </c>
      <c r="D105" s="10">
        <f>IFERROR(VLOOKUP(B105,Sheet1!$G$7:$J$4000,4,0),0)</f>
        <v>0</v>
      </c>
      <c r="E105" s="10">
        <f>IFERROR(VLOOKUP(B105,Sheet1!$G$7:$K$4000,5,0),0)</f>
        <v>0</v>
      </c>
      <c r="F105" s="10">
        <f>IFERROR(VLOOKUP(B105,Sheet1!$G$7:$N$4000,8,0),0)</f>
        <v>0</v>
      </c>
      <c r="G105" s="10">
        <f>IFERROR(VLOOKUP(B105,Sheet1!$G$7:$Q$4000,11,0),0)</f>
        <v>0</v>
      </c>
      <c r="H105" s="7">
        <f t="shared" si="44"/>
        <v>0</v>
      </c>
      <c r="I105" s="11" t="str">
        <f t="shared" si="45"/>
        <v/>
      </c>
      <c r="J105" s="11" t="str">
        <f t="shared" si="46"/>
        <v/>
      </c>
      <c r="K105" s="11" t="str">
        <f t="shared" si="47"/>
        <v/>
      </c>
      <c r="L105" s="11" t="str">
        <f t="shared" si="48"/>
        <v/>
      </c>
      <c r="M105" s="12" t="str">
        <f t="shared" si="49"/>
        <v/>
      </c>
      <c r="O105">
        <v>12</v>
      </c>
      <c r="P105">
        <f>Sheet1!$A$1</f>
        <v>1</v>
      </c>
    </row>
    <row r="106" spans="1:16">
      <c r="A106" s="15"/>
      <c r="B106" s="15"/>
      <c r="C106" s="16"/>
      <c r="D106" s="17"/>
      <c r="E106" s="17"/>
      <c r="F106" s="17"/>
      <c r="G106" s="17"/>
      <c r="H106" s="16"/>
      <c r="I106" s="18"/>
      <c r="J106" s="18"/>
      <c r="K106" s="18"/>
      <c r="L106" s="18"/>
      <c r="M106" s="19"/>
    </row>
    <row r="107" spans="1:16" ht="30" customHeight="1">
      <c r="A107" s="70" t="s">
        <v>70</v>
      </c>
      <c r="B107" s="20"/>
      <c r="C107" s="95" t="s">
        <v>35</v>
      </c>
      <c r="D107" s="96"/>
      <c r="E107" s="96"/>
      <c r="F107" s="96"/>
      <c r="G107" s="96"/>
      <c r="H107" s="97"/>
      <c r="I107" s="94" t="s">
        <v>36</v>
      </c>
      <c r="J107" s="94"/>
      <c r="K107" s="94"/>
      <c r="L107" s="94"/>
      <c r="M107" s="94"/>
      <c r="O107">
        <v>4</v>
      </c>
      <c r="P107" t="s">
        <v>33</v>
      </c>
    </row>
    <row r="108" spans="1:16" ht="102">
      <c r="A108" s="7" t="s">
        <v>89</v>
      </c>
      <c r="B108" s="7"/>
      <c r="C108" s="8" t="s">
        <v>132</v>
      </c>
      <c r="D108" s="8" t="s">
        <v>133</v>
      </c>
      <c r="E108" s="8" t="s">
        <v>134</v>
      </c>
      <c r="F108" s="8" t="s">
        <v>135</v>
      </c>
      <c r="G108" s="8" t="s">
        <v>136</v>
      </c>
      <c r="H108" s="8" t="s">
        <v>137</v>
      </c>
      <c r="I108" s="27" t="s">
        <v>138</v>
      </c>
      <c r="J108" s="27" t="s">
        <v>139</v>
      </c>
      <c r="K108" s="27" t="s">
        <v>140</v>
      </c>
      <c r="L108" s="27" t="s">
        <v>136</v>
      </c>
      <c r="M108" s="27" t="s">
        <v>141</v>
      </c>
    </row>
    <row r="109" spans="1:16">
      <c r="A109" s="9">
        <f>DATE(P109,O109,1)</f>
        <v>1</v>
      </c>
      <c r="B109" s="13" t="str">
        <f>TEXT(O109*29,"mmm")&amp;"-" &amp;P109&amp;"-"&amp;$P$107</f>
        <v>Jan-0-QD</v>
      </c>
      <c r="C109" s="7">
        <f t="shared" ref="C109" si="50">SUM(D109:G109)</f>
        <v>0</v>
      </c>
      <c r="D109" s="10">
        <f>IFERROR(VLOOKUP(B109,Sheet1!$G$7:$J$4000,4,0),0)</f>
        <v>0</v>
      </c>
      <c r="E109" s="10">
        <f>IFERROR(VLOOKUP(B109,Sheet1!$G$7:$K$4000,5,0),0)</f>
        <v>0</v>
      </c>
      <c r="F109" s="10">
        <f>IFERROR(VLOOKUP(B109,Sheet1!$G$7:$N$4000,8,0),0)</f>
        <v>0</v>
      </c>
      <c r="G109" s="10">
        <f>IFERROR(VLOOKUP(B109,Sheet1!$G$7:$Q$4000,11,0),0)</f>
        <v>0</v>
      </c>
      <c r="H109" s="7">
        <f>IFERROR(D109+E109,0)</f>
        <v>0</v>
      </c>
      <c r="I109" s="11" t="str">
        <f>IFERROR(D109/C109*100%,"")</f>
        <v/>
      </c>
      <c r="J109" s="11" t="str">
        <f>IFERROR(E109/C109*100%,"")</f>
        <v/>
      </c>
      <c r="K109" s="11" t="str">
        <f>IFERROR(F109/C109*100%,"")</f>
        <v/>
      </c>
      <c r="L109" s="11" t="str">
        <f>IFERROR(G109/C109*100%,"")</f>
        <v/>
      </c>
      <c r="M109" s="12" t="str">
        <f t="shared" ref="M109" si="51">IFERROR(I109+J109,"")</f>
        <v/>
      </c>
      <c r="O109">
        <v>1</v>
      </c>
      <c r="P109">
        <f>Sheet1!$A$1-1</f>
        <v>0</v>
      </c>
    </row>
    <row r="110" spans="1:16">
      <c r="A110" s="9">
        <f t="shared" ref="A110:A132" si="52">DATE(P110,O110,1)</f>
        <v>32</v>
      </c>
      <c r="B110" s="13" t="str">
        <f t="shared" ref="B110:B132" si="53">TEXT(O110*29,"mmm")&amp;"-" &amp;P110&amp;"-"&amp;$P$107</f>
        <v>Feb-0-QD</v>
      </c>
      <c r="C110" s="7">
        <f t="shared" ref="C110:C121" si="54">SUM(D110:G110)</f>
        <v>0</v>
      </c>
      <c r="D110" s="10">
        <f>IFERROR(VLOOKUP(B110,Sheet1!$G$7:$J$4000,4,0),0)</f>
        <v>0</v>
      </c>
      <c r="E110" s="10">
        <f>IFERROR(VLOOKUP(B110,Sheet1!$G$7:$K$4000,5,0),0)</f>
        <v>0</v>
      </c>
      <c r="F110" s="10">
        <f>IFERROR(VLOOKUP(B110,Sheet1!$G$7:$N$4000,8,0),0)</f>
        <v>0</v>
      </c>
      <c r="G110" s="10">
        <f>IFERROR(VLOOKUP(B110,Sheet1!$G$7:$Q$4000,11,0),0)</f>
        <v>0</v>
      </c>
      <c r="H110" s="7">
        <f t="shared" ref="H110:H120" si="55">IFERROR(D110+E110,0)</f>
        <v>0</v>
      </c>
      <c r="I110" s="11" t="str">
        <f t="shared" ref="I110:I120" si="56">IFERROR(D110/C110*100%,"")</f>
        <v/>
      </c>
      <c r="J110" s="11" t="str">
        <f t="shared" ref="J110:J120" si="57">IFERROR(E110/C110*100%,"")</f>
        <v/>
      </c>
      <c r="K110" s="11" t="str">
        <f t="shared" ref="K110:K120" si="58">IFERROR(F110/C110*100%,"")</f>
        <v/>
      </c>
      <c r="L110" s="11" t="str">
        <f t="shared" ref="L110:L120" si="59">IFERROR(G110/C110*100%,"")</f>
        <v/>
      </c>
      <c r="M110" s="12" t="str">
        <f t="shared" ref="M110:M121" si="60">IFERROR(I110+J110,"")</f>
        <v/>
      </c>
      <c r="O110">
        <v>2</v>
      </c>
      <c r="P110">
        <f>Sheet1!$A$1-1</f>
        <v>0</v>
      </c>
    </row>
    <row r="111" spans="1:16">
      <c r="A111" s="9">
        <f t="shared" si="52"/>
        <v>61</v>
      </c>
      <c r="B111" s="13" t="str">
        <f t="shared" si="53"/>
        <v>Mar-0-QD</v>
      </c>
      <c r="C111" s="7">
        <f t="shared" si="54"/>
        <v>0</v>
      </c>
      <c r="D111" s="10">
        <f>IFERROR(VLOOKUP(B111,Sheet1!$G$7:$J$4000,4,0),0)</f>
        <v>0</v>
      </c>
      <c r="E111" s="10">
        <f>IFERROR(VLOOKUP(B111,Sheet1!$G$7:$K$4000,5,0),0)</f>
        <v>0</v>
      </c>
      <c r="F111" s="10">
        <f>IFERROR(VLOOKUP(B111,Sheet1!$G$7:$N$4000,8,0),0)</f>
        <v>0</v>
      </c>
      <c r="G111" s="10">
        <f>IFERROR(VLOOKUP(B111,Sheet1!$G$7:$Q$4000,11,0),0)</f>
        <v>0</v>
      </c>
      <c r="H111" s="7">
        <f t="shared" si="55"/>
        <v>0</v>
      </c>
      <c r="I111" s="11" t="str">
        <f t="shared" si="56"/>
        <v/>
      </c>
      <c r="J111" s="11" t="str">
        <f t="shared" si="57"/>
        <v/>
      </c>
      <c r="K111" s="11" t="str">
        <f t="shared" si="58"/>
        <v/>
      </c>
      <c r="L111" s="11" t="str">
        <f t="shared" si="59"/>
        <v/>
      </c>
      <c r="M111" s="12" t="str">
        <f t="shared" si="60"/>
        <v/>
      </c>
      <c r="O111">
        <v>3</v>
      </c>
      <c r="P111">
        <f>Sheet1!$A$1-1</f>
        <v>0</v>
      </c>
    </row>
    <row r="112" spans="1:16">
      <c r="A112" s="9">
        <f t="shared" si="52"/>
        <v>92</v>
      </c>
      <c r="B112" s="13" t="str">
        <f t="shared" si="53"/>
        <v>Apr-0-QD</v>
      </c>
      <c r="C112" s="7">
        <f t="shared" si="54"/>
        <v>0</v>
      </c>
      <c r="D112" s="10">
        <f>IFERROR(VLOOKUP(B112,Sheet1!$G$7:$J$4000,4,0),0)</f>
        <v>0</v>
      </c>
      <c r="E112" s="10">
        <f>IFERROR(VLOOKUP(B112,Sheet1!$G$7:$K$4000,5,0),0)</f>
        <v>0</v>
      </c>
      <c r="F112" s="10">
        <f>IFERROR(VLOOKUP(B112,Sheet1!$G$7:$N$4000,8,0),0)</f>
        <v>0</v>
      </c>
      <c r="G112" s="10">
        <f>IFERROR(VLOOKUP(B112,Sheet1!$G$7:$Q$4000,11,0),0)</f>
        <v>0</v>
      </c>
      <c r="H112" s="7">
        <f t="shared" si="55"/>
        <v>0</v>
      </c>
      <c r="I112" s="11" t="str">
        <f t="shared" si="56"/>
        <v/>
      </c>
      <c r="J112" s="11" t="str">
        <f t="shared" si="57"/>
        <v/>
      </c>
      <c r="K112" s="11" t="str">
        <f t="shared" si="58"/>
        <v/>
      </c>
      <c r="L112" s="11" t="str">
        <f t="shared" si="59"/>
        <v/>
      </c>
      <c r="M112" s="12" t="str">
        <f t="shared" si="60"/>
        <v/>
      </c>
      <c r="O112">
        <v>4</v>
      </c>
      <c r="P112">
        <f>Sheet1!$A$1-1</f>
        <v>0</v>
      </c>
    </row>
    <row r="113" spans="1:16">
      <c r="A113" s="9">
        <f t="shared" si="52"/>
        <v>122</v>
      </c>
      <c r="B113" s="13" t="str">
        <f t="shared" si="53"/>
        <v>May-0-QD</v>
      </c>
      <c r="C113" s="7">
        <f t="shared" si="54"/>
        <v>0</v>
      </c>
      <c r="D113" s="10">
        <f>IFERROR(VLOOKUP(B113,Sheet1!$G$7:$J$4000,4,0),0)</f>
        <v>0</v>
      </c>
      <c r="E113" s="10">
        <f>IFERROR(VLOOKUP(B113,Sheet1!$G$7:$K$4000,5,0),0)</f>
        <v>0</v>
      </c>
      <c r="F113" s="10">
        <f>IFERROR(VLOOKUP(B113,Sheet1!$G$7:$N$4000,8,0),0)</f>
        <v>0</v>
      </c>
      <c r="G113" s="10">
        <f>IFERROR(VLOOKUP(B113,Sheet1!$G$7:$Q$4000,11,0),0)</f>
        <v>0</v>
      </c>
      <c r="H113" s="7">
        <f t="shared" si="55"/>
        <v>0</v>
      </c>
      <c r="I113" s="11" t="str">
        <f t="shared" si="56"/>
        <v/>
      </c>
      <c r="J113" s="11" t="str">
        <f t="shared" si="57"/>
        <v/>
      </c>
      <c r="K113" s="11" t="str">
        <f t="shared" si="58"/>
        <v/>
      </c>
      <c r="L113" s="11" t="str">
        <f t="shared" si="59"/>
        <v/>
      </c>
      <c r="M113" s="12" t="str">
        <f t="shared" si="60"/>
        <v/>
      </c>
      <c r="O113">
        <v>5</v>
      </c>
      <c r="P113">
        <f>Sheet1!$A$1-1</f>
        <v>0</v>
      </c>
    </row>
    <row r="114" spans="1:16">
      <c r="A114" s="9">
        <f t="shared" si="52"/>
        <v>153</v>
      </c>
      <c r="B114" s="13" t="str">
        <f t="shared" si="53"/>
        <v>Jun-0-QD</v>
      </c>
      <c r="C114" s="7">
        <f t="shared" si="54"/>
        <v>0</v>
      </c>
      <c r="D114" s="10">
        <f>IFERROR(VLOOKUP(B114,Sheet1!$G$7:$J$4000,4,0),0)</f>
        <v>0</v>
      </c>
      <c r="E114" s="10">
        <f>IFERROR(VLOOKUP(B114,Sheet1!$G$7:$K$4000,5,0),0)</f>
        <v>0</v>
      </c>
      <c r="F114" s="10">
        <f>IFERROR(VLOOKUP(B114,Sheet1!$G$7:$N$4000,8,0),0)</f>
        <v>0</v>
      </c>
      <c r="G114" s="10">
        <f>IFERROR(VLOOKUP(B114,Sheet1!$G$7:$Q$4000,11,0),0)</f>
        <v>0</v>
      </c>
      <c r="H114" s="7">
        <f t="shared" si="55"/>
        <v>0</v>
      </c>
      <c r="I114" s="11" t="str">
        <f t="shared" si="56"/>
        <v/>
      </c>
      <c r="J114" s="11" t="str">
        <f t="shared" si="57"/>
        <v/>
      </c>
      <c r="K114" s="11" t="str">
        <f t="shared" si="58"/>
        <v/>
      </c>
      <c r="L114" s="11" t="str">
        <f t="shared" si="59"/>
        <v/>
      </c>
      <c r="M114" s="12" t="str">
        <f t="shared" si="60"/>
        <v/>
      </c>
      <c r="O114">
        <v>6</v>
      </c>
      <c r="P114">
        <f>Sheet1!$A$1-1</f>
        <v>0</v>
      </c>
    </row>
    <row r="115" spans="1:16">
      <c r="A115" s="9">
        <f t="shared" si="52"/>
        <v>183</v>
      </c>
      <c r="B115" s="13" t="str">
        <f t="shared" si="53"/>
        <v>Jul-0-QD</v>
      </c>
      <c r="C115" s="7">
        <f t="shared" si="54"/>
        <v>0</v>
      </c>
      <c r="D115" s="10">
        <f>IFERROR(VLOOKUP(B115,Sheet1!$G$7:$J$4000,4,0),0)</f>
        <v>0</v>
      </c>
      <c r="E115" s="10">
        <f>IFERROR(VLOOKUP(B115,Sheet1!$G$7:$K$4000,5,0),0)</f>
        <v>0</v>
      </c>
      <c r="F115" s="10">
        <f>IFERROR(VLOOKUP(B115,Sheet1!$G$7:$N$4000,8,0),0)</f>
        <v>0</v>
      </c>
      <c r="G115" s="10">
        <f>IFERROR(VLOOKUP(B115,Sheet1!$G$7:$Q$4000,11,0),0)</f>
        <v>0</v>
      </c>
      <c r="H115" s="7">
        <f t="shared" si="55"/>
        <v>0</v>
      </c>
      <c r="I115" s="11" t="str">
        <f t="shared" si="56"/>
        <v/>
      </c>
      <c r="J115" s="11" t="str">
        <f t="shared" si="57"/>
        <v/>
      </c>
      <c r="K115" s="11" t="str">
        <f t="shared" si="58"/>
        <v/>
      </c>
      <c r="L115" s="11" t="str">
        <f t="shared" si="59"/>
        <v/>
      </c>
      <c r="M115" s="12" t="str">
        <f t="shared" si="60"/>
        <v/>
      </c>
      <c r="O115">
        <v>7</v>
      </c>
      <c r="P115">
        <f>Sheet1!$A$1-1</f>
        <v>0</v>
      </c>
    </row>
    <row r="116" spans="1:16">
      <c r="A116" s="9">
        <f t="shared" si="52"/>
        <v>214</v>
      </c>
      <c r="B116" s="13" t="str">
        <f t="shared" si="53"/>
        <v>Aug-0-QD</v>
      </c>
      <c r="C116" s="7">
        <f t="shared" si="54"/>
        <v>0</v>
      </c>
      <c r="D116" s="10">
        <f>IFERROR(VLOOKUP(B116,Sheet1!$G$7:$J$4000,4,0),0)</f>
        <v>0</v>
      </c>
      <c r="E116" s="10">
        <f>IFERROR(VLOOKUP(B116,Sheet1!$G$7:$K$4000,5,0),0)</f>
        <v>0</v>
      </c>
      <c r="F116" s="10">
        <f>IFERROR(VLOOKUP(B116,Sheet1!$G$7:$N$4000,8,0),0)</f>
        <v>0</v>
      </c>
      <c r="G116" s="10">
        <f>IFERROR(VLOOKUP(B116,Sheet1!$G$7:$Q$4000,11,0),0)</f>
        <v>0</v>
      </c>
      <c r="H116" s="7">
        <f t="shared" si="55"/>
        <v>0</v>
      </c>
      <c r="I116" s="11" t="str">
        <f t="shared" si="56"/>
        <v/>
      </c>
      <c r="J116" s="11" t="str">
        <f t="shared" si="57"/>
        <v/>
      </c>
      <c r="K116" s="11" t="str">
        <f t="shared" si="58"/>
        <v/>
      </c>
      <c r="L116" s="11" t="str">
        <f t="shared" si="59"/>
        <v/>
      </c>
      <c r="M116" s="12" t="str">
        <f t="shared" si="60"/>
        <v/>
      </c>
      <c r="O116">
        <v>8</v>
      </c>
      <c r="P116">
        <f>Sheet1!$A$1-1</f>
        <v>0</v>
      </c>
    </row>
    <row r="117" spans="1:16">
      <c r="A117" s="9">
        <f t="shared" si="52"/>
        <v>245</v>
      </c>
      <c r="B117" s="13" t="str">
        <f t="shared" si="53"/>
        <v>Sep-0-QD</v>
      </c>
      <c r="C117" s="7">
        <f t="shared" si="54"/>
        <v>0</v>
      </c>
      <c r="D117" s="10">
        <f>IFERROR(VLOOKUP(B117,Sheet1!$G$7:$J$4000,4,0),0)</f>
        <v>0</v>
      </c>
      <c r="E117" s="10">
        <f>IFERROR(VLOOKUP(B117,Sheet1!$G$7:$K$4000,5,0),0)</f>
        <v>0</v>
      </c>
      <c r="F117" s="10">
        <f>IFERROR(VLOOKUP(B117,Sheet1!$G$7:$N$4000,8,0),0)</f>
        <v>0</v>
      </c>
      <c r="G117" s="10">
        <f>IFERROR(VLOOKUP(B117,Sheet1!$G$7:$Q$4000,11,0),0)</f>
        <v>0</v>
      </c>
      <c r="H117" s="7">
        <f t="shared" si="55"/>
        <v>0</v>
      </c>
      <c r="I117" s="11" t="str">
        <f t="shared" si="56"/>
        <v/>
      </c>
      <c r="J117" s="11" t="str">
        <f t="shared" si="57"/>
        <v/>
      </c>
      <c r="K117" s="11" t="str">
        <f t="shared" si="58"/>
        <v/>
      </c>
      <c r="L117" s="11" t="str">
        <f t="shared" si="59"/>
        <v/>
      </c>
      <c r="M117" s="12" t="str">
        <f t="shared" si="60"/>
        <v/>
      </c>
      <c r="O117">
        <v>9</v>
      </c>
      <c r="P117">
        <f>Sheet1!$A$1-1</f>
        <v>0</v>
      </c>
    </row>
    <row r="118" spans="1:16">
      <c r="A118" s="9">
        <f t="shared" si="52"/>
        <v>275</v>
      </c>
      <c r="B118" s="13" t="str">
        <f t="shared" si="53"/>
        <v>Oct-0-QD</v>
      </c>
      <c r="C118" s="7">
        <f t="shared" si="54"/>
        <v>0</v>
      </c>
      <c r="D118" s="10">
        <f>IFERROR(VLOOKUP(B118,Sheet1!$G$7:$J$4000,4,0),0)</f>
        <v>0</v>
      </c>
      <c r="E118" s="10">
        <f>IFERROR(VLOOKUP(B118,Sheet1!$G$7:$K$4000,5,0),0)</f>
        <v>0</v>
      </c>
      <c r="F118" s="10">
        <f>IFERROR(VLOOKUP(B118,Sheet1!$G$7:$N$4000,8,0),0)</f>
        <v>0</v>
      </c>
      <c r="G118" s="10">
        <f>IFERROR(VLOOKUP(B118,Sheet1!$G$7:$Q$4000,11,0),0)</f>
        <v>0</v>
      </c>
      <c r="H118" s="7">
        <f t="shared" si="55"/>
        <v>0</v>
      </c>
      <c r="I118" s="11" t="str">
        <f t="shared" si="56"/>
        <v/>
      </c>
      <c r="J118" s="11" t="str">
        <f t="shared" si="57"/>
        <v/>
      </c>
      <c r="K118" s="11" t="str">
        <f t="shared" si="58"/>
        <v/>
      </c>
      <c r="L118" s="11" t="str">
        <f t="shared" si="59"/>
        <v/>
      </c>
      <c r="M118" s="12" t="str">
        <f t="shared" si="60"/>
        <v/>
      </c>
      <c r="O118">
        <v>10</v>
      </c>
      <c r="P118">
        <f>Sheet1!$A$1-1</f>
        <v>0</v>
      </c>
    </row>
    <row r="119" spans="1:16">
      <c r="A119" s="9">
        <f t="shared" si="52"/>
        <v>306</v>
      </c>
      <c r="B119" s="13" t="str">
        <f t="shared" si="53"/>
        <v>Nov-0-QD</v>
      </c>
      <c r="C119" s="7">
        <f t="shared" si="54"/>
        <v>0</v>
      </c>
      <c r="D119" s="10">
        <f>IFERROR(VLOOKUP(B119,Sheet1!$G$7:$J$4000,4,0),0)</f>
        <v>0</v>
      </c>
      <c r="E119" s="10">
        <f>IFERROR(VLOOKUP(B119,Sheet1!$G$7:$K$4000,5,0),0)</f>
        <v>0</v>
      </c>
      <c r="F119" s="10">
        <f>IFERROR(VLOOKUP(B119,Sheet1!$G$7:$N$4000,8,0),0)</f>
        <v>0</v>
      </c>
      <c r="G119" s="10">
        <f>IFERROR(VLOOKUP(B119,Sheet1!$G$7:$Q$4000,11,0),0)</f>
        <v>0</v>
      </c>
      <c r="H119" s="7">
        <f t="shared" si="55"/>
        <v>0</v>
      </c>
      <c r="I119" s="11" t="str">
        <f t="shared" si="56"/>
        <v/>
      </c>
      <c r="J119" s="11" t="str">
        <f t="shared" si="57"/>
        <v/>
      </c>
      <c r="K119" s="11" t="str">
        <f t="shared" si="58"/>
        <v/>
      </c>
      <c r="L119" s="11" t="str">
        <f t="shared" si="59"/>
        <v/>
      </c>
      <c r="M119" s="12" t="str">
        <f t="shared" si="60"/>
        <v/>
      </c>
      <c r="O119">
        <v>11</v>
      </c>
      <c r="P119">
        <f>Sheet1!$A$1-1</f>
        <v>0</v>
      </c>
    </row>
    <row r="120" spans="1:16">
      <c r="A120" s="9">
        <f t="shared" si="52"/>
        <v>336</v>
      </c>
      <c r="B120" s="13" t="str">
        <f t="shared" si="53"/>
        <v>Dec-0-QD</v>
      </c>
      <c r="C120" s="7">
        <f t="shared" si="54"/>
        <v>0</v>
      </c>
      <c r="D120" s="10">
        <f>IFERROR(VLOOKUP(B120,Sheet1!$G$7:$J$4000,4,0),0)</f>
        <v>0</v>
      </c>
      <c r="E120" s="10">
        <f>IFERROR(VLOOKUP(B120,Sheet1!$G$7:$K$4000,5,0),0)</f>
        <v>0</v>
      </c>
      <c r="F120" s="10">
        <f>IFERROR(VLOOKUP(B120,Sheet1!$G$7:$N$4000,8,0),0)</f>
        <v>0</v>
      </c>
      <c r="G120" s="10">
        <f>IFERROR(VLOOKUP(B120,Sheet1!$G$7:$Q$4000,11,0),0)</f>
        <v>0</v>
      </c>
      <c r="H120" s="7">
        <f t="shared" si="55"/>
        <v>0</v>
      </c>
      <c r="I120" s="11" t="str">
        <f t="shared" si="56"/>
        <v/>
      </c>
      <c r="J120" s="11" t="str">
        <f t="shared" si="57"/>
        <v/>
      </c>
      <c r="K120" s="11" t="str">
        <f t="shared" si="58"/>
        <v/>
      </c>
      <c r="L120" s="11" t="str">
        <f t="shared" si="59"/>
        <v/>
      </c>
      <c r="M120" s="12" t="str">
        <f t="shared" si="60"/>
        <v/>
      </c>
      <c r="O120">
        <v>12</v>
      </c>
      <c r="P120">
        <f>Sheet1!$A$1-1</f>
        <v>0</v>
      </c>
    </row>
    <row r="121" spans="1:16">
      <c r="A121" s="9">
        <f t="shared" si="52"/>
        <v>367</v>
      </c>
      <c r="B121" s="13" t="str">
        <f t="shared" si="53"/>
        <v>Jan-1-QD</v>
      </c>
      <c r="C121" s="7">
        <f t="shared" si="54"/>
        <v>0</v>
      </c>
      <c r="D121" s="10">
        <f>IFERROR(VLOOKUP(B121,Sheet1!$G$7:$J$4000,4,0),0)</f>
        <v>0</v>
      </c>
      <c r="E121" s="10">
        <f>IFERROR(VLOOKUP(B121,Sheet1!$G$7:$K$4000,5,0),0)</f>
        <v>0</v>
      </c>
      <c r="F121" s="10">
        <f>IFERROR(VLOOKUP(B121,Sheet1!$G$7:$N$4000,8,0),0)</f>
        <v>0</v>
      </c>
      <c r="G121" s="10">
        <f>IFERROR(VLOOKUP(B121,Sheet1!$G$7:$Q$4000,11,0),0)</f>
        <v>0</v>
      </c>
      <c r="H121" s="7">
        <f>IFERROR(D121+E121,0)</f>
        <v>0</v>
      </c>
      <c r="I121" s="11" t="str">
        <f>IFERROR(D121/C121*100%,"")</f>
        <v/>
      </c>
      <c r="J121" s="11" t="str">
        <f>IFERROR(E121/C121*100%,"")</f>
        <v/>
      </c>
      <c r="K121" s="11" t="str">
        <f>IFERROR(F121/C121*100%,"")</f>
        <v/>
      </c>
      <c r="L121" s="11" t="str">
        <f>IFERROR(G121/C121*100%,"")</f>
        <v/>
      </c>
      <c r="M121" s="12" t="str">
        <f t="shared" si="60"/>
        <v/>
      </c>
      <c r="O121">
        <v>1</v>
      </c>
      <c r="P121">
        <f>Sheet1!$A$1</f>
        <v>1</v>
      </c>
    </row>
    <row r="122" spans="1:16">
      <c r="A122" s="9">
        <f t="shared" si="52"/>
        <v>398</v>
      </c>
      <c r="B122" s="13" t="str">
        <f t="shared" si="53"/>
        <v>Feb-1-QD</v>
      </c>
      <c r="C122" s="7">
        <f t="shared" ref="C122:C132" si="61">SUM(D122:G122)</f>
        <v>0</v>
      </c>
      <c r="D122" s="10">
        <f>IFERROR(VLOOKUP(B122,Sheet1!$G$7:$J$4000,4,0),0)</f>
        <v>0</v>
      </c>
      <c r="E122" s="10">
        <f>IFERROR(VLOOKUP(B122,Sheet1!$G$7:$K$4000,5,0),0)</f>
        <v>0</v>
      </c>
      <c r="F122" s="10">
        <f>IFERROR(VLOOKUP(B122,Sheet1!$G$7:$N$4000,8,0),0)</f>
        <v>0</v>
      </c>
      <c r="G122" s="10">
        <f>IFERROR(VLOOKUP(B122,Sheet1!$G$7:$Q$4000,11,0),0)</f>
        <v>0</v>
      </c>
      <c r="H122" s="7">
        <f t="shared" ref="H122:H132" si="62">IFERROR(D122+E122,0)</f>
        <v>0</v>
      </c>
      <c r="I122" s="11" t="str">
        <f t="shared" ref="I122:I132" si="63">IFERROR(D122/C122*100%,"")</f>
        <v/>
      </c>
      <c r="J122" s="11" t="str">
        <f t="shared" ref="J122:J132" si="64">IFERROR(E122/C122*100%,"")</f>
        <v/>
      </c>
      <c r="K122" s="11" t="str">
        <f t="shared" ref="K122:K132" si="65">IFERROR(F122/C122*100%,"")</f>
        <v/>
      </c>
      <c r="L122" s="11" t="str">
        <f t="shared" ref="L122:L132" si="66">IFERROR(G122/C122*100%,"")</f>
        <v/>
      </c>
      <c r="M122" s="12" t="str">
        <f t="shared" ref="M122:M132" si="67">IFERROR(I122+J122,"")</f>
        <v/>
      </c>
      <c r="O122">
        <v>2</v>
      </c>
      <c r="P122">
        <f>Sheet1!$A$1</f>
        <v>1</v>
      </c>
    </row>
    <row r="123" spans="1:16">
      <c r="A123" s="9">
        <f t="shared" si="52"/>
        <v>426</v>
      </c>
      <c r="B123" s="13" t="str">
        <f t="shared" si="53"/>
        <v>Mar-1-QD</v>
      </c>
      <c r="C123" s="7">
        <f t="shared" si="61"/>
        <v>0</v>
      </c>
      <c r="D123" s="10">
        <f>IFERROR(VLOOKUP(B123,Sheet1!$G$7:$J$4000,4,0),0)</f>
        <v>0</v>
      </c>
      <c r="E123" s="10">
        <f>IFERROR(VLOOKUP(B123,Sheet1!$G$7:$K$4000,5,0),0)</f>
        <v>0</v>
      </c>
      <c r="F123" s="10">
        <f>IFERROR(VLOOKUP(B123,Sheet1!$G$7:$N$4000,8,0),0)</f>
        <v>0</v>
      </c>
      <c r="G123" s="10">
        <f>IFERROR(VLOOKUP(B123,Sheet1!$G$7:$Q$4000,11,0),0)</f>
        <v>0</v>
      </c>
      <c r="H123" s="7">
        <f t="shared" si="62"/>
        <v>0</v>
      </c>
      <c r="I123" s="11" t="str">
        <f t="shared" si="63"/>
        <v/>
      </c>
      <c r="J123" s="11" t="str">
        <f t="shared" si="64"/>
        <v/>
      </c>
      <c r="K123" s="11" t="str">
        <f t="shared" si="65"/>
        <v/>
      </c>
      <c r="L123" s="11" t="str">
        <f t="shared" si="66"/>
        <v/>
      </c>
      <c r="M123" s="12" t="str">
        <f t="shared" si="67"/>
        <v/>
      </c>
      <c r="O123">
        <v>3</v>
      </c>
      <c r="P123">
        <f>Sheet1!$A$1</f>
        <v>1</v>
      </c>
    </row>
    <row r="124" spans="1:16">
      <c r="A124" s="9">
        <f t="shared" si="52"/>
        <v>457</v>
      </c>
      <c r="B124" s="13" t="str">
        <f t="shared" si="53"/>
        <v>Apr-1-QD</v>
      </c>
      <c r="C124" s="7">
        <f t="shared" si="61"/>
        <v>0</v>
      </c>
      <c r="D124" s="10">
        <f>IFERROR(VLOOKUP(B124,Sheet1!$G$7:$J$4000,4,0),0)</f>
        <v>0</v>
      </c>
      <c r="E124" s="10">
        <f>IFERROR(VLOOKUP(B124,Sheet1!$G$7:$K$4000,5,0),0)</f>
        <v>0</v>
      </c>
      <c r="F124" s="10">
        <f>IFERROR(VLOOKUP(B124,Sheet1!$G$7:$N$4000,8,0),0)</f>
        <v>0</v>
      </c>
      <c r="G124" s="10">
        <f>IFERROR(VLOOKUP(B124,Sheet1!$G$7:$Q$4000,11,0),0)</f>
        <v>0</v>
      </c>
      <c r="H124" s="7">
        <f t="shared" si="62"/>
        <v>0</v>
      </c>
      <c r="I124" s="11" t="str">
        <f t="shared" si="63"/>
        <v/>
      </c>
      <c r="J124" s="11" t="str">
        <f t="shared" si="64"/>
        <v/>
      </c>
      <c r="K124" s="11" t="str">
        <f t="shared" si="65"/>
        <v/>
      </c>
      <c r="L124" s="11" t="str">
        <f t="shared" si="66"/>
        <v/>
      </c>
      <c r="M124" s="12" t="str">
        <f t="shared" si="67"/>
        <v/>
      </c>
      <c r="O124">
        <v>4</v>
      </c>
      <c r="P124">
        <f>Sheet1!$A$1</f>
        <v>1</v>
      </c>
    </row>
    <row r="125" spans="1:16">
      <c r="A125" s="9">
        <f t="shared" si="52"/>
        <v>487</v>
      </c>
      <c r="B125" s="13" t="str">
        <f t="shared" si="53"/>
        <v>May-1-QD</v>
      </c>
      <c r="C125" s="7">
        <f t="shared" si="61"/>
        <v>0</v>
      </c>
      <c r="D125" s="10">
        <f>IFERROR(VLOOKUP(B125,Sheet1!$G$7:$J$4000,4,0),0)</f>
        <v>0</v>
      </c>
      <c r="E125" s="10">
        <f>IFERROR(VLOOKUP(B125,Sheet1!$G$7:$K$4000,5,0),0)</f>
        <v>0</v>
      </c>
      <c r="F125" s="10">
        <f>IFERROR(VLOOKUP(B125,Sheet1!$G$7:$N$4000,8,0),0)</f>
        <v>0</v>
      </c>
      <c r="G125" s="10">
        <f>IFERROR(VLOOKUP(B125,Sheet1!$G$7:$Q$4000,11,0),0)</f>
        <v>0</v>
      </c>
      <c r="H125" s="7">
        <f t="shared" si="62"/>
        <v>0</v>
      </c>
      <c r="I125" s="11" t="str">
        <f t="shared" si="63"/>
        <v/>
      </c>
      <c r="J125" s="11" t="str">
        <f t="shared" si="64"/>
        <v/>
      </c>
      <c r="K125" s="11" t="str">
        <f t="shared" si="65"/>
        <v/>
      </c>
      <c r="L125" s="11" t="str">
        <f t="shared" si="66"/>
        <v/>
      </c>
      <c r="M125" s="12" t="str">
        <f t="shared" si="67"/>
        <v/>
      </c>
      <c r="O125">
        <v>5</v>
      </c>
      <c r="P125">
        <f>Sheet1!$A$1</f>
        <v>1</v>
      </c>
    </row>
    <row r="126" spans="1:16">
      <c r="A126" s="9">
        <f t="shared" si="52"/>
        <v>518</v>
      </c>
      <c r="B126" s="13" t="str">
        <f t="shared" si="53"/>
        <v>Jun-1-QD</v>
      </c>
      <c r="C126" s="7">
        <f t="shared" si="61"/>
        <v>0</v>
      </c>
      <c r="D126" s="10">
        <f>IFERROR(VLOOKUP(B126,Sheet1!$G$7:$J$4000,4,0),0)</f>
        <v>0</v>
      </c>
      <c r="E126" s="10">
        <f>IFERROR(VLOOKUP(B126,Sheet1!$G$7:$K$4000,5,0),0)</f>
        <v>0</v>
      </c>
      <c r="F126" s="10">
        <f>IFERROR(VLOOKUP(B126,Sheet1!$G$7:$N$4000,8,0),0)</f>
        <v>0</v>
      </c>
      <c r="G126" s="10">
        <f>IFERROR(VLOOKUP(B126,Sheet1!$G$7:$Q$4000,11,0),0)</f>
        <v>0</v>
      </c>
      <c r="H126" s="7">
        <f t="shared" si="62"/>
        <v>0</v>
      </c>
      <c r="I126" s="11" t="str">
        <f t="shared" si="63"/>
        <v/>
      </c>
      <c r="J126" s="11" t="str">
        <f t="shared" si="64"/>
        <v/>
      </c>
      <c r="K126" s="11" t="str">
        <f t="shared" si="65"/>
        <v/>
      </c>
      <c r="L126" s="11" t="str">
        <f t="shared" si="66"/>
        <v/>
      </c>
      <c r="M126" s="12" t="str">
        <f t="shared" si="67"/>
        <v/>
      </c>
      <c r="O126">
        <v>6</v>
      </c>
      <c r="P126">
        <f>Sheet1!$A$1</f>
        <v>1</v>
      </c>
    </row>
    <row r="127" spans="1:16">
      <c r="A127" s="9">
        <f t="shared" si="52"/>
        <v>548</v>
      </c>
      <c r="B127" s="13" t="str">
        <f t="shared" si="53"/>
        <v>Jul-1-QD</v>
      </c>
      <c r="C127" s="7">
        <f t="shared" si="61"/>
        <v>0</v>
      </c>
      <c r="D127" s="10">
        <f>IFERROR(VLOOKUP(B127,Sheet1!$G$7:$J$4000,4,0),0)</f>
        <v>0</v>
      </c>
      <c r="E127" s="10">
        <f>IFERROR(VLOOKUP(B127,Sheet1!$G$7:$K$4000,5,0),0)</f>
        <v>0</v>
      </c>
      <c r="F127" s="10">
        <f>IFERROR(VLOOKUP(B127,Sheet1!$G$7:$N$4000,8,0),0)</f>
        <v>0</v>
      </c>
      <c r="G127" s="10">
        <f>IFERROR(VLOOKUP(B127,Sheet1!$G$7:$Q$4000,11,0),0)</f>
        <v>0</v>
      </c>
      <c r="H127" s="7">
        <f t="shared" si="62"/>
        <v>0</v>
      </c>
      <c r="I127" s="11" t="str">
        <f t="shared" si="63"/>
        <v/>
      </c>
      <c r="J127" s="11" t="str">
        <f t="shared" si="64"/>
        <v/>
      </c>
      <c r="K127" s="11" t="str">
        <f t="shared" si="65"/>
        <v/>
      </c>
      <c r="L127" s="11" t="str">
        <f t="shared" si="66"/>
        <v/>
      </c>
      <c r="M127" s="12" t="str">
        <f t="shared" si="67"/>
        <v/>
      </c>
      <c r="O127">
        <v>7</v>
      </c>
      <c r="P127">
        <f>Sheet1!$A$1</f>
        <v>1</v>
      </c>
    </row>
    <row r="128" spans="1:16">
      <c r="A128" s="9">
        <f t="shared" si="52"/>
        <v>579</v>
      </c>
      <c r="B128" s="13" t="str">
        <f t="shared" si="53"/>
        <v>Aug-1-QD</v>
      </c>
      <c r="C128" s="7">
        <f t="shared" si="61"/>
        <v>0</v>
      </c>
      <c r="D128" s="10">
        <f>IFERROR(VLOOKUP(B128,Sheet1!$G$7:$J$4000,4,0),0)</f>
        <v>0</v>
      </c>
      <c r="E128" s="10">
        <f>IFERROR(VLOOKUP(B128,Sheet1!$G$7:$K$4000,5,0),0)</f>
        <v>0</v>
      </c>
      <c r="F128" s="10">
        <f>IFERROR(VLOOKUP(B128,Sheet1!$G$7:$N$4000,8,0),0)</f>
        <v>0</v>
      </c>
      <c r="G128" s="10">
        <f>IFERROR(VLOOKUP(B128,Sheet1!$G$7:$Q$4000,11,0),0)</f>
        <v>0</v>
      </c>
      <c r="H128" s="7">
        <f t="shared" si="62"/>
        <v>0</v>
      </c>
      <c r="I128" s="11" t="str">
        <f t="shared" si="63"/>
        <v/>
      </c>
      <c r="J128" s="11" t="str">
        <f t="shared" si="64"/>
        <v/>
      </c>
      <c r="K128" s="11" t="str">
        <f t="shared" si="65"/>
        <v/>
      </c>
      <c r="L128" s="11" t="str">
        <f t="shared" si="66"/>
        <v/>
      </c>
      <c r="M128" s="12" t="str">
        <f t="shared" si="67"/>
        <v/>
      </c>
      <c r="O128">
        <v>8</v>
      </c>
      <c r="P128">
        <f>Sheet1!$A$1</f>
        <v>1</v>
      </c>
    </row>
    <row r="129" spans="1:16">
      <c r="A129" s="9">
        <f t="shared" si="52"/>
        <v>610</v>
      </c>
      <c r="B129" s="13" t="str">
        <f t="shared" si="53"/>
        <v>Sep-1-QD</v>
      </c>
      <c r="C129" s="7">
        <f t="shared" si="61"/>
        <v>0</v>
      </c>
      <c r="D129" s="10">
        <f>IFERROR(VLOOKUP(B129,Sheet1!$G$7:$J$4000,4,0),0)</f>
        <v>0</v>
      </c>
      <c r="E129" s="10">
        <f>IFERROR(VLOOKUP(B129,Sheet1!$G$7:$K$4000,5,0),0)</f>
        <v>0</v>
      </c>
      <c r="F129" s="10">
        <f>IFERROR(VLOOKUP(B129,Sheet1!$G$7:$N$4000,8,0),0)</f>
        <v>0</v>
      </c>
      <c r="G129" s="10">
        <f>IFERROR(VLOOKUP(B129,Sheet1!$G$7:$Q$4000,11,0),0)</f>
        <v>0</v>
      </c>
      <c r="H129" s="7">
        <f t="shared" si="62"/>
        <v>0</v>
      </c>
      <c r="I129" s="11" t="str">
        <f t="shared" si="63"/>
        <v/>
      </c>
      <c r="J129" s="11" t="str">
        <f t="shared" si="64"/>
        <v/>
      </c>
      <c r="K129" s="11" t="str">
        <f t="shared" si="65"/>
        <v/>
      </c>
      <c r="L129" s="11" t="str">
        <f t="shared" si="66"/>
        <v/>
      </c>
      <c r="M129" s="12" t="str">
        <f t="shared" si="67"/>
        <v/>
      </c>
      <c r="O129">
        <v>9</v>
      </c>
      <c r="P129">
        <f>Sheet1!$A$1</f>
        <v>1</v>
      </c>
    </row>
    <row r="130" spans="1:16">
      <c r="A130" s="9">
        <f t="shared" si="52"/>
        <v>640</v>
      </c>
      <c r="B130" s="13" t="str">
        <f t="shared" si="53"/>
        <v>Oct-1-QD</v>
      </c>
      <c r="C130" s="7">
        <f t="shared" si="61"/>
        <v>0</v>
      </c>
      <c r="D130" s="10">
        <f>IFERROR(VLOOKUP(B130,Sheet1!$G$7:$J$4000,4,0),0)</f>
        <v>0</v>
      </c>
      <c r="E130" s="10">
        <f>IFERROR(VLOOKUP(B130,Sheet1!$G$7:$K$4000,5,0),0)</f>
        <v>0</v>
      </c>
      <c r="F130" s="10">
        <f>IFERROR(VLOOKUP(B130,Sheet1!$G$7:$N$4000,8,0),0)</f>
        <v>0</v>
      </c>
      <c r="G130" s="10">
        <f>IFERROR(VLOOKUP(B130,Sheet1!$G$7:$Q$4000,11,0),0)</f>
        <v>0</v>
      </c>
      <c r="H130" s="7">
        <f t="shared" si="62"/>
        <v>0</v>
      </c>
      <c r="I130" s="11" t="str">
        <f t="shared" si="63"/>
        <v/>
      </c>
      <c r="J130" s="11" t="str">
        <f t="shared" si="64"/>
        <v/>
      </c>
      <c r="K130" s="11" t="str">
        <f t="shared" si="65"/>
        <v/>
      </c>
      <c r="L130" s="11" t="str">
        <f t="shared" si="66"/>
        <v/>
      </c>
      <c r="M130" s="12" t="str">
        <f t="shared" si="67"/>
        <v/>
      </c>
      <c r="O130">
        <v>10</v>
      </c>
      <c r="P130">
        <f>Sheet1!$A$1</f>
        <v>1</v>
      </c>
    </row>
    <row r="131" spans="1:16">
      <c r="A131" s="9">
        <f t="shared" si="52"/>
        <v>671</v>
      </c>
      <c r="B131" s="13" t="str">
        <f t="shared" si="53"/>
        <v>Nov-1-QD</v>
      </c>
      <c r="C131" s="7">
        <f t="shared" si="61"/>
        <v>0</v>
      </c>
      <c r="D131" s="10">
        <f>IFERROR(VLOOKUP(B131,Sheet1!$G$7:$J$4000,4,0),0)</f>
        <v>0</v>
      </c>
      <c r="E131" s="10">
        <f>IFERROR(VLOOKUP(B131,Sheet1!$G$7:$K$4000,5,0),0)</f>
        <v>0</v>
      </c>
      <c r="F131" s="10">
        <f>IFERROR(VLOOKUP(B131,Sheet1!$G$7:$N$4000,8,0),0)</f>
        <v>0</v>
      </c>
      <c r="G131" s="10">
        <f>IFERROR(VLOOKUP(B131,Sheet1!$G$7:$Q$4000,11,0),0)</f>
        <v>0</v>
      </c>
      <c r="H131" s="7">
        <f t="shared" si="62"/>
        <v>0</v>
      </c>
      <c r="I131" s="11" t="str">
        <f t="shared" si="63"/>
        <v/>
      </c>
      <c r="J131" s="11" t="str">
        <f t="shared" si="64"/>
        <v/>
      </c>
      <c r="K131" s="11" t="str">
        <f t="shared" si="65"/>
        <v/>
      </c>
      <c r="L131" s="11" t="str">
        <f t="shared" si="66"/>
        <v/>
      </c>
      <c r="M131" s="12" t="str">
        <f t="shared" si="67"/>
        <v/>
      </c>
      <c r="O131">
        <v>11</v>
      </c>
      <c r="P131">
        <f>Sheet1!$A$1</f>
        <v>1</v>
      </c>
    </row>
    <row r="132" spans="1:16">
      <c r="A132" s="9">
        <f t="shared" si="52"/>
        <v>701</v>
      </c>
      <c r="B132" s="13" t="str">
        <f t="shared" si="53"/>
        <v>Dec-1-QD</v>
      </c>
      <c r="C132" s="7">
        <f t="shared" si="61"/>
        <v>0</v>
      </c>
      <c r="D132" s="10">
        <f>IFERROR(VLOOKUP(B132,Sheet1!$G$7:$J$4000,4,0),0)</f>
        <v>0</v>
      </c>
      <c r="E132" s="10">
        <f>IFERROR(VLOOKUP(B132,Sheet1!$G$7:$K$4000,5,0),0)</f>
        <v>0</v>
      </c>
      <c r="F132" s="10">
        <f>IFERROR(VLOOKUP(B132,Sheet1!$G$7:$N$4000,8,0),0)</f>
        <v>0</v>
      </c>
      <c r="G132" s="10">
        <f>IFERROR(VLOOKUP(B132,Sheet1!$G$7:$Q$4000,11,0),0)</f>
        <v>0</v>
      </c>
      <c r="H132" s="7">
        <f t="shared" si="62"/>
        <v>0</v>
      </c>
      <c r="I132" s="11" t="str">
        <f t="shared" si="63"/>
        <v/>
      </c>
      <c r="J132" s="11" t="str">
        <f t="shared" si="64"/>
        <v/>
      </c>
      <c r="K132" s="11" t="str">
        <f t="shared" si="65"/>
        <v/>
      </c>
      <c r="L132" s="11" t="str">
        <f t="shared" si="66"/>
        <v/>
      </c>
      <c r="M132" s="12" t="str">
        <f t="shared" si="67"/>
        <v/>
      </c>
      <c r="O132">
        <v>12</v>
      </c>
      <c r="P132">
        <f>Sheet1!$A$1</f>
        <v>1</v>
      </c>
    </row>
    <row r="133" spans="1:16">
      <c r="A133" s="15"/>
      <c r="B133" s="15"/>
      <c r="C133" s="16"/>
      <c r="D133" s="17"/>
      <c r="E133" s="17"/>
      <c r="F133" s="17"/>
      <c r="G133" s="17"/>
      <c r="H133" s="16"/>
      <c r="I133" s="18"/>
      <c r="J133" s="18"/>
      <c r="K133" s="18"/>
      <c r="L133" s="18"/>
      <c r="M133" s="19"/>
    </row>
    <row r="134" spans="1:16" ht="30" customHeight="1">
      <c r="A134" s="6" t="s">
        <v>146</v>
      </c>
      <c r="B134" s="20"/>
      <c r="C134" s="95" t="s">
        <v>35</v>
      </c>
      <c r="D134" s="96"/>
      <c r="E134" s="96"/>
      <c r="F134" s="96"/>
      <c r="G134" s="96"/>
      <c r="H134" s="97"/>
      <c r="I134" s="98" t="s">
        <v>36</v>
      </c>
      <c r="J134" s="99"/>
      <c r="K134" s="99"/>
      <c r="L134" s="99"/>
      <c r="M134" s="100"/>
      <c r="O134">
        <v>5</v>
      </c>
      <c r="P134" t="s">
        <v>34</v>
      </c>
    </row>
    <row r="135" spans="1:16" ht="102">
      <c r="A135" s="7" t="s">
        <v>89</v>
      </c>
      <c r="B135" s="7"/>
      <c r="C135" s="8" t="s">
        <v>132</v>
      </c>
      <c r="D135" s="8" t="s">
        <v>133</v>
      </c>
      <c r="E135" s="8" t="s">
        <v>134</v>
      </c>
      <c r="F135" s="8" t="s">
        <v>135</v>
      </c>
      <c r="G135" s="8" t="s">
        <v>136</v>
      </c>
      <c r="H135" s="8" t="s">
        <v>137</v>
      </c>
      <c r="I135" s="27" t="s">
        <v>138</v>
      </c>
      <c r="J135" s="27" t="s">
        <v>139</v>
      </c>
      <c r="K135" s="27" t="s">
        <v>140</v>
      </c>
      <c r="L135" s="27" t="s">
        <v>136</v>
      </c>
      <c r="M135" s="27" t="s">
        <v>141</v>
      </c>
    </row>
    <row r="136" spans="1:16">
      <c r="A136" s="9">
        <f>DATE(P136,O136,1)</f>
        <v>1</v>
      </c>
      <c r="B136" s="13" t="str">
        <f>TEXT(O136*29,"mmm")&amp;"-" &amp;P136&amp;"-"&amp;$P$134</f>
        <v>Jan-0-PL</v>
      </c>
      <c r="C136" s="7">
        <f t="shared" ref="C136" si="68">SUM(D136:G136)</f>
        <v>0</v>
      </c>
      <c r="D136" s="10">
        <f>IFERROR(VLOOKUP(B136,Sheet1!$G$7:$J$4000,4,0),0)</f>
        <v>0</v>
      </c>
      <c r="E136" s="10">
        <f>IFERROR(VLOOKUP(B136,Sheet1!$G$7:$K$4000,5,0),0)</f>
        <v>0</v>
      </c>
      <c r="F136" s="10">
        <f>IFERROR(VLOOKUP(B136,Sheet1!$G$7:$N$4000,8,0),0)</f>
        <v>0</v>
      </c>
      <c r="G136" s="10">
        <f>IFERROR(VLOOKUP(B136,Sheet1!$G$7:$Q$4000,11,0),0)</f>
        <v>0</v>
      </c>
      <c r="H136" s="7">
        <f t="shared" ref="H136" si="69">D136+E136</f>
        <v>0</v>
      </c>
      <c r="I136" s="11" t="str">
        <f>IFERROR(D136/C136*100%,"")</f>
        <v/>
      </c>
      <c r="J136" s="11" t="str">
        <f>IFERROR(E136/C136*100%,"")</f>
        <v/>
      </c>
      <c r="K136" s="11" t="str">
        <f>IFERROR(F136/C136*100%,"")</f>
        <v/>
      </c>
      <c r="L136" s="11" t="str">
        <f>IFERROR(F136/C136*100%,"")</f>
        <v/>
      </c>
      <c r="M136" s="12" t="str">
        <f t="shared" ref="M136" si="70">IFERROR(I136+J136,"")</f>
        <v/>
      </c>
      <c r="O136">
        <v>1</v>
      </c>
      <c r="P136">
        <f>Sheet1!$A$1-1</f>
        <v>0</v>
      </c>
    </row>
    <row r="137" spans="1:16">
      <c r="A137" s="9">
        <f t="shared" ref="A137:A159" si="71">DATE(P137,O137,1)</f>
        <v>32</v>
      </c>
      <c r="B137" s="13" t="str">
        <f t="shared" ref="B137:B159" si="72">TEXT(O137*29,"mmm")&amp;"-" &amp;P137&amp;"-"&amp;$P$134</f>
        <v>Feb-0-PL</v>
      </c>
      <c r="C137" s="7">
        <f t="shared" ref="C137:C148" si="73">SUM(D137:G137)</f>
        <v>0</v>
      </c>
      <c r="D137" s="10">
        <f>IFERROR(VLOOKUP(B137,Sheet1!$G$7:$J$4000,4,0),0)</f>
        <v>0</v>
      </c>
      <c r="E137" s="10">
        <f>IFERROR(VLOOKUP(B137,Sheet1!$G$7:$K$4000,5,0),0)</f>
        <v>0</v>
      </c>
      <c r="F137" s="10">
        <f>IFERROR(VLOOKUP(B137,Sheet1!$G$7:$N$4000,8,0),0)</f>
        <v>0</v>
      </c>
      <c r="G137" s="10">
        <f>IFERROR(VLOOKUP(B137,Sheet1!$G$7:$Q$4000,11,0),0)</f>
        <v>0</v>
      </c>
      <c r="H137" s="7">
        <f t="shared" ref="H137:H148" si="74">D137+E137</f>
        <v>0</v>
      </c>
      <c r="I137" s="11" t="str">
        <f t="shared" ref="I137:I147" si="75">IFERROR(D137/C137*100%,"")</f>
        <v/>
      </c>
      <c r="J137" s="11" t="str">
        <f t="shared" ref="J137:J147" si="76">IFERROR(E137/C137*100%,"")</f>
        <v/>
      </c>
      <c r="K137" s="11" t="str">
        <f t="shared" ref="K137:K147" si="77">IFERROR(F137/C137*100%,"")</f>
        <v/>
      </c>
      <c r="L137" s="11" t="str">
        <f t="shared" ref="L137:L147" si="78">IFERROR(F137/C137*100%,"")</f>
        <v/>
      </c>
      <c r="M137" s="12" t="str">
        <f t="shared" ref="M137:M148" si="79">IFERROR(I137+J137,"")</f>
        <v/>
      </c>
      <c r="O137">
        <v>2</v>
      </c>
      <c r="P137">
        <f>Sheet1!$A$1-1</f>
        <v>0</v>
      </c>
    </row>
    <row r="138" spans="1:16">
      <c r="A138" s="9">
        <f t="shared" si="71"/>
        <v>61</v>
      </c>
      <c r="B138" s="13" t="str">
        <f t="shared" si="72"/>
        <v>Mar-0-PL</v>
      </c>
      <c r="C138" s="7">
        <f t="shared" si="73"/>
        <v>0</v>
      </c>
      <c r="D138" s="10">
        <f>IFERROR(VLOOKUP(B138,Sheet1!$G$7:$J$4000,4,0),0)</f>
        <v>0</v>
      </c>
      <c r="E138" s="10">
        <f>IFERROR(VLOOKUP(B138,Sheet1!$G$7:$K$4000,5,0),0)</f>
        <v>0</v>
      </c>
      <c r="F138" s="10">
        <f>IFERROR(VLOOKUP(B138,Sheet1!$G$7:$N$4000,8,0),0)</f>
        <v>0</v>
      </c>
      <c r="G138" s="10">
        <f>IFERROR(VLOOKUP(B138,Sheet1!$G$7:$Q$4000,11,0),0)</f>
        <v>0</v>
      </c>
      <c r="H138" s="7">
        <f t="shared" si="74"/>
        <v>0</v>
      </c>
      <c r="I138" s="11" t="str">
        <f t="shared" si="75"/>
        <v/>
      </c>
      <c r="J138" s="11" t="str">
        <f t="shared" si="76"/>
        <v/>
      </c>
      <c r="K138" s="11" t="str">
        <f t="shared" si="77"/>
        <v/>
      </c>
      <c r="L138" s="11" t="str">
        <f t="shared" si="78"/>
        <v/>
      </c>
      <c r="M138" s="12" t="str">
        <f t="shared" si="79"/>
        <v/>
      </c>
      <c r="O138">
        <v>3</v>
      </c>
      <c r="P138">
        <f>Sheet1!$A$1-1</f>
        <v>0</v>
      </c>
    </row>
    <row r="139" spans="1:16">
      <c r="A139" s="9">
        <f t="shared" si="71"/>
        <v>92</v>
      </c>
      <c r="B139" s="13" t="str">
        <f t="shared" si="72"/>
        <v>Apr-0-PL</v>
      </c>
      <c r="C139" s="7">
        <f t="shared" si="73"/>
        <v>0</v>
      </c>
      <c r="D139" s="10">
        <f>IFERROR(VLOOKUP(B139,Sheet1!$G$7:$J$4000,4,0),0)</f>
        <v>0</v>
      </c>
      <c r="E139" s="10">
        <f>IFERROR(VLOOKUP(B139,Sheet1!$G$7:$K$4000,5,0),0)</f>
        <v>0</v>
      </c>
      <c r="F139" s="10">
        <f>IFERROR(VLOOKUP(B139,Sheet1!$G$7:$N$4000,8,0),0)</f>
        <v>0</v>
      </c>
      <c r="G139" s="10">
        <f>IFERROR(VLOOKUP(B139,Sheet1!$G$7:$Q$4000,11,0),0)</f>
        <v>0</v>
      </c>
      <c r="H139" s="7">
        <f t="shared" si="74"/>
        <v>0</v>
      </c>
      <c r="I139" s="11" t="str">
        <f t="shared" si="75"/>
        <v/>
      </c>
      <c r="J139" s="11" t="str">
        <f t="shared" si="76"/>
        <v/>
      </c>
      <c r="K139" s="11" t="str">
        <f t="shared" si="77"/>
        <v/>
      </c>
      <c r="L139" s="11" t="str">
        <f t="shared" si="78"/>
        <v/>
      </c>
      <c r="M139" s="12" t="str">
        <f t="shared" si="79"/>
        <v/>
      </c>
      <c r="O139">
        <v>4</v>
      </c>
      <c r="P139">
        <f>Sheet1!$A$1-1</f>
        <v>0</v>
      </c>
    </row>
    <row r="140" spans="1:16">
      <c r="A140" s="9">
        <f t="shared" si="71"/>
        <v>122</v>
      </c>
      <c r="B140" s="13" t="str">
        <f t="shared" si="72"/>
        <v>May-0-PL</v>
      </c>
      <c r="C140" s="7">
        <f t="shared" si="73"/>
        <v>0</v>
      </c>
      <c r="D140" s="10">
        <f>IFERROR(VLOOKUP(B140,Sheet1!$G$7:$J$4000,4,0),0)</f>
        <v>0</v>
      </c>
      <c r="E140" s="10">
        <f>IFERROR(VLOOKUP(B140,Sheet1!$G$7:$K$4000,5,0),0)</f>
        <v>0</v>
      </c>
      <c r="F140" s="10">
        <f>IFERROR(VLOOKUP(B140,Sheet1!$G$7:$N$4000,8,0),0)</f>
        <v>0</v>
      </c>
      <c r="G140" s="10">
        <f>IFERROR(VLOOKUP(B140,Sheet1!$G$7:$Q$4000,11,0),0)</f>
        <v>0</v>
      </c>
      <c r="H140" s="7">
        <f t="shared" si="74"/>
        <v>0</v>
      </c>
      <c r="I140" s="11" t="str">
        <f t="shared" si="75"/>
        <v/>
      </c>
      <c r="J140" s="11" t="str">
        <f t="shared" si="76"/>
        <v/>
      </c>
      <c r="K140" s="11" t="str">
        <f t="shared" si="77"/>
        <v/>
      </c>
      <c r="L140" s="11" t="str">
        <f t="shared" si="78"/>
        <v/>
      </c>
      <c r="M140" s="12" t="str">
        <f t="shared" si="79"/>
        <v/>
      </c>
      <c r="O140">
        <v>5</v>
      </c>
      <c r="P140">
        <f>Sheet1!$A$1-1</f>
        <v>0</v>
      </c>
    </row>
    <row r="141" spans="1:16">
      <c r="A141" s="9">
        <f t="shared" si="71"/>
        <v>153</v>
      </c>
      <c r="B141" s="13" t="str">
        <f t="shared" si="72"/>
        <v>Jun-0-PL</v>
      </c>
      <c r="C141" s="7">
        <f t="shared" si="73"/>
        <v>0</v>
      </c>
      <c r="D141" s="10">
        <f>IFERROR(VLOOKUP(B141,Sheet1!$G$7:$J$4000,4,0),0)</f>
        <v>0</v>
      </c>
      <c r="E141" s="10">
        <f>IFERROR(VLOOKUP(B141,Sheet1!$G$7:$K$4000,5,0),0)</f>
        <v>0</v>
      </c>
      <c r="F141" s="10">
        <f>IFERROR(VLOOKUP(B141,Sheet1!$G$7:$N$4000,8,0),0)</f>
        <v>0</v>
      </c>
      <c r="G141" s="10">
        <f>IFERROR(VLOOKUP(B141,Sheet1!$G$7:$Q$4000,11,0),0)</f>
        <v>0</v>
      </c>
      <c r="H141" s="7">
        <f t="shared" si="74"/>
        <v>0</v>
      </c>
      <c r="I141" s="11" t="str">
        <f t="shared" si="75"/>
        <v/>
      </c>
      <c r="J141" s="11" t="str">
        <f t="shared" si="76"/>
        <v/>
      </c>
      <c r="K141" s="11" t="str">
        <f t="shared" si="77"/>
        <v/>
      </c>
      <c r="L141" s="11" t="str">
        <f t="shared" si="78"/>
        <v/>
      </c>
      <c r="M141" s="12" t="str">
        <f t="shared" si="79"/>
        <v/>
      </c>
      <c r="O141">
        <v>6</v>
      </c>
      <c r="P141">
        <f>Sheet1!$A$1-1</f>
        <v>0</v>
      </c>
    </row>
    <row r="142" spans="1:16">
      <c r="A142" s="9">
        <f t="shared" si="71"/>
        <v>183</v>
      </c>
      <c r="B142" s="13" t="str">
        <f t="shared" si="72"/>
        <v>Jul-0-PL</v>
      </c>
      <c r="C142" s="7">
        <f t="shared" si="73"/>
        <v>0</v>
      </c>
      <c r="D142" s="10">
        <f>IFERROR(VLOOKUP(B142,Sheet1!$G$7:$J$4000,4,0),0)</f>
        <v>0</v>
      </c>
      <c r="E142" s="10">
        <f>IFERROR(VLOOKUP(B142,Sheet1!$G$7:$K$4000,5,0),0)</f>
        <v>0</v>
      </c>
      <c r="F142" s="10">
        <f>IFERROR(VLOOKUP(B142,Sheet1!$G$7:$N$4000,8,0),0)</f>
        <v>0</v>
      </c>
      <c r="G142" s="10">
        <f>IFERROR(VLOOKUP(B142,Sheet1!$G$7:$Q$4000,11,0),0)</f>
        <v>0</v>
      </c>
      <c r="H142" s="7">
        <f t="shared" si="74"/>
        <v>0</v>
      </c>
      <c r="I142" s="11" t="str">
        <f t="shared" si="75"/>
        <v/>
      </c>
      <c r="J142" s="11" t="str">
        <f t="shared" si="76"/>
        <v/>
      </c>
      <c r="K142" s="11" t="str">
        <f t="shared" si="77"/>
        <v/>
      </c>
      <c r="L142" s="11" t="str">
        <f t="shared" si="78"/>
        <v/>
      </c>
      <c r="M142" s="12" t="str">
        <f t="shared" si="79"/>
        <v/>
      </c>
      <c r="O142">
        <v>7</v>
      </c>
      <c r="P142">
        <f>Sheet1!$A$1-1</f>
        <v>0</v>
      </c>
    </row>
    <row r="143" spans="1:16">
      <c r="A143" s="9">
        <f t="shared" si="71"/>
        <v>214</v>
      </c>
      <c r="B143" s="13" t="str">
        <f t="shared" si="72"/>
        <v>Aug-0-PL</v>
      </c>
      <c r="C143" s="7">
        <f t="shared" si="73"/>
        <v>0</v>
      </c>
      <c r="D143" s="10">
        <f>IFERROR(VLOOKUP(B143,Sheet1!$G$7:$J$4000,4,0),0)</f>
        <v>0</v>
      </c>
      <c r="E143" s="10">
        <f>IFERROR(VLOOKUP(B143,Sheet1!$G$7:$K$4000,5,0),0)</f>
        <v>0</v>
      </c>
      <c r="F143" s="10">
        <f>IFERROR(VLOOKUP(B143,Sheet1!$G$7:$N$4000,8,0),0)</f>
        <v>0</v>
      </c>
      <c r="G143" s="10">
        <f>IFERROR(VLOOKUP(B143,Sheet1!$G$7:$Q$4000,11,0),0)</f>
        <v>0</v>
      </c>
      <c r="H143" s="7">
        <f t="shared" si="74"/>
        <v>0</v>
      </c>
      <c r="I143" s="11" t="str">
        <f t="shared" si="75"/>
        <v/>
      </c>
      <c r="J143" s="11" t="str">
        <f t="shared" si="76"/>
        <v/>
      </c>
      <c r="K143" s="11" t="str">
        <f t="shared" si="77"/>
        <v/>
      </c>
      <c r="L143" s="11" t="str">
        <f t="shared" si="78"/>
        <v/>
      </c>
      <c r="M143" s="12" t="str">
        <f t="shared" si="79"/>
        <v/>
      </c>
      <c r="O143">
        <v>8</v>
      </c>
      <c r="P143">
        <f>Sheet1!$A$1-1</f>
        <v>0</v>
      </c>
    </row>
    <row r="144" spans="1:16">
      <c r="A144" s="9">
        <f t="shared" si="71"/>
        <v>245</v>
      </c>
      <c r="B144" s="13" t="str">
        <f t="shared" si="72"/>
        <v>Sep-0-PL</v>
      </c>
      <c r="C144" s="7">
        <f t="shared" si="73"/>
        <v>0</v>
      </c>
      <c r="D144" s="10">
        <f>IFERROR(VLOOKUP(B144,Sheet1!$G$7:$J$4000,4,0),0)</f>
        <v>0</v>
      </c>
      <c r="E144" s="10">
        <f>IFERROR(VLOOKUP(B144,Sheet1!$G$7:$K$4000,5,0),0)</f>
        <v>0</v>
      </c>
      <c r="F144" s="10">
        <f>IFERROR(VLOOKUP(B144,Sheet1!$G$7:$N$4000,8,0),0)</f>
        <v>0</v>
      </c>
      <c r="G144" s="10">
        <f>IFERROR(VLOOKUP(B144,Sheet1!$G$7:$Q$4000,11,0),0)</f>
        <v>0</v>
      </c>
      <c r="H144" s="7">
        <f t="shared" si="74"/>
        <v>0</v>
      </c>
      <c r="I144" s="11" t="str">
        <f t="shared" si="75"/>
        <v/>
      </c>
      <c r="J144" s="11" t="str">
        <f t="shared" si="76"/>
        <v/>
      </c>
      <c r="K144" s="11" t="str">
        <f t="shared" si="77"/>
        <v/>
      </c>
      <c r="L144" s="11" t="str">
        <f t="shared" si="78"/>
        <v/>
      </c>
      <c r="M144" s="12" t="str">
        <f t="shared" si="79"/>
        <v/>
      </c>
      <c r="O144">
        <v>9</v>
      </c>
      <c r="P144">
        <f>Sheet1!$A$1-1</f>
        <v>0</v>
      </c>
    </row>
    <row r="145" spans="1:16">
      <c r="A145" s="9">
        <f t="shared" si="71"/>
        <v>275</v>
      </c>
      <c r="B145" s="13" t="str">
        <f t="shared" si="72"/>
        <v>Oct-0-PL</v>
      </c>
      <c r="C145" s="7">
        <f t="shared" si="73"/>
        <v>0</v>
      </c>
      <c r="D145" s="10">
        <f>IFERROR(VLOOKUP(B145,Sheet1!$G$7:$J$4000,4,0),0)</f>
        <v>0</v>
      </c>
      <c r="E145" s="10">
        <f>IFERROR(VLOOKUP(B145,Sheet1!$G$7:$K$4000,5,0),0)</f>
        <v>0</v>
      </c>
      <c r="F145" s="10">
        <f>IFERROR(VLOOKUP(B145,Sheet1!$G$7:$N$4000,8,0),0)</f>
        <v>0</v>
      </c>
      <c r="G145" s="10">
        <f>IFERROR(VLOOKUP(B145,Sheet1!$G$7:$Q$4000,11,0),0)</f>
        <v>0</v>
      </c>
      <c r="H145" s="7">
        <f t="shared" si="74"/>
        <v>0</v>
      </c>
      <c r="I145" s="11" t="str">
        <f t="shared" si="75"/>
        <v/>
      </c>
      <c r="J145" s="11" t="str">
        <f t="shared" si="76"/>
        <v/>
      </c>
      <c r="K145" s="11" t="str">
        <f t="shared" si="77"/>
        <v/>
      </c>
      <c r="L145" s="11" t="str">
        <f t="shared" si="78"/>
        <v/>
      </c>
      <c r="M145" s="12" t="str">
        <f t="shared" si="79"/>
        <v/>
      </c>
      <c r="O145">
        <v>10</v>
      </c>
      <c r="P145">
        <f>Sheet1!$A$1-1</f>
        <v>0</v>
      </c>
    </row>
    <row r="146" spans="1:16">
      <c r="A146" s="9">
        <f t="shared" si="71"/>
        <v>306</v>
      </c>
      <c r="B146" s="13" t="str">
        <f t="shared" si="72"/>
        <v>Nov-0-PL</v>
      </c>
      <c r="C146" s="7">
        <f t="shared" si="73"/>
        <v>0</v>
      </c>
      <c r="D146" s="10">
        <f>IFERROR(VLOOKUP(B146,Sheet1!$G$7:$J$4000,4,0),0)</f>
        <v>0</v>
      </c>
      <c r="E146" s="10">
        <f>IFERROR(VLOOKUP(B146,Sheet1!$G$7:$K$4000,5,0),0)</f>
        <v>0</v>
      </c>
      <c r="F146" s="10">
        <f>IFERROR(VLOOKUP(B146,Sheet1!$G$7:$N$4000,8,0),0)</f>
        <v>0</v>
      </c>
      <c r="G146" s="10">
        <f>IFERROR(VLOOKUP(B146,Sheet1!$G$7:$Q$4000,11,0),0)</f>
        <v>0</v>
      </c>
      <c r="H146" s="7">
        <f t="shared" si="74"/>
        <v>0</v>
      </c>
      <c r="I146" s="11" t="str">
        <f t="shared" si="75"/>
        <v/>
      </c>
      <c r="J146" s="11" t="str">
        <f t="shared" si="76"/>
        <v/>
      </c>
      <c r="K146" s="11" t="str">
        <f t="shared" si="77"/>
        <v/>
      </c>
      <c r="L146" s="11" t="str">
        <f t="shared" si="78"/>
        <v/>
      </c>
      <c r="M146" s="12" t="str">
        <f t="shared" si="79"/>
        <v/>
      </c>
      <c r="O146">
        <v>11</v>
      </c>
      <c r="P146">
        <f>Sheet1!$A$1-1</f>
        <v>0</v>
      </c>
    </row>
    <row r="147" spans="1:16">
      <c r="A147" s="9">
        <f t="shared" si="71"/>
        <v>336</v>
      </c>
      <c r="B147" s="13" t="str">
        <f t="shared" si="72"/>
        <v>Dec-0-PL</v>
      </c>
      <c r="C147" s="7">
        <f t="shared" si="73"/>
        <v>0</v>
      </c>
      <c r="D147" s="10">
        <f>IFERROR(VLOOKUP(B147,Sheet1!$G$7:$J$4000,4,0),0)</f>
        <v>0</v>
      </c>
      <c r="E147" s="10">
        <f>IFERROR(VLOOKUP(B147,Sheet1!$G$7:$K$4000,5,0),0)</f>
        <v>0</v>
      </c>
      <c r="F147" s="10">
        <f>IFERROR(VLOOKUP(B147,Sheet1!$G$7:$N$4000,8,0),0)</f>
        <v>0</v>
      </c>
      <c r="G147" s="10">
        <f>IFERROR(VLOOKUP(B147,Sheet1!$G$7:$Q$4000,11,0),0)</f>
        <v>0</v>
      </c>
      <c r="H147" s="7">
        <f t="shared" si="74"/>
        <v>0</v>
      </c>
      <c r="I147" s="11" t="str">
        <f t="shared" si="75"/>
        <v/>
      </c>
      <c r="J147" s="11" t="str">
        <f t="shared" si="76"/>
        <v/>
      </c>
      <c r="K147" s="11" t="str">
        <f t="shared" si="77"/>
        <v/>
      </c>
      <c r="L147" s="11" t="str">
        <f t="shared" si="78"/>
        <v/>
      </c>
      <c r="M147" s="12" t="str">
        <f t="shared" si="79"/>
        <v/>
      </c>
      <c r="O147">
        <v>12</v>
      </c>
      <c r="P147">
        <f>Sheet1!$A$1-1</f>
        <v>0</v>
      </c>
    </row>
    <row r="148" spans="1:16">
      <c r="A148" s="9">
        <f t="shared" si="71"/>
        <v>367</v>
      </c>
      <c r="B148" s="13" t="str">
        <f t="shared" si="72"/>
        <v>Jan-1-PL</v>
      </c>
      <c r="C148" s="7">
        <f t="shared" si="73"/>
        <v>0</v>
      </c>
      <c r="D148" s="10">
        <f>IFERROR(VLOOKUP(B148,Sheet1!$G$7:$J$4000,4,0),0)</f>
        <v>0</v>
      </c>
      <c r="E148" s="10">
        <f>IFERROR(VLOOKUP(B148,Sheet1!$G$7:$K$4000,5,0),0)</f>
        <v>0</v>
      </c>
      <c r="F148" s="10">
        <f>IFERROR(VLOOKUP(B148,Sheet1!$G$7:$N$4000,8,0),0)</f>
        <v>0</v>
      </c>
      <c r="G148" s="10">
        <f>IFERROR(VLOOKUP(B148,Sheet1!$G$7:$Q$4000,11,0),0)</f>
        <v>0</v>
      </c>
      <c r="H148" s="7">
        <f t="shared" si="74"/>
        <v>0</v>
      </c>
      <c r="I148" s="11" t="str">
        <f>IFERROR(D148/C148*100%,"")</f>
        <v/>
      </c>
      <c r="J148" s="11" t="str">
        <f>IFERROR(E148/C148*100%,"")</f>
        <v/>
      </c>
      <c r="K148" s="11" t="str">
        <f>IFERROR(F148/C148*100%,"")</f>
        <v/>
      </c>
      <c r="L148" s="11" t="str">
        <f>IFERROR(F148/C148*100%,"")</f>
        <v/>
      </c>
      <c r="M148" s="12" t="str">
        <f t="shared" si="79"/>
        <v/>
      </c>
      <c r="O148">
        <v>1</v>
      </c>
      <c r="P148">
        <f>Sheet1!$A$1</f>
        <v>1</v>
      </c>
    </row>
    <row r="149" spans="1:16">
      <c r="A149" s="9">
        <f t="shared" si="71"/>
        <v>398</v>
      </c>
      <c r="B149" s="13" t="str">
        <f t="shared" si="72"/>
        <v>Feb-1-PL</v>
      </c>
      <c r="C149" s="7">
        <f t="shared" ref="C149:C159" si="80">SUM(D149:G149)</f>
        <v>0</v>
      </c>
      <c r="D149" s="10">
        <f>IFERROR(VLOOKUP(B149,Sheet1!$G$7:$J$4000,4,0),0)</f>
        <v>0</v>
      </c>
      <c r="E149" s="10">
        <f>IFERROR(VLOOKUP(B149,Sheet1!$G$7:$K$4000,5,0),0)</f>
        <v>0</v>
      </c>
      <c r="F149" s="10">
        <f>IFERROR(VLOOKUP(B149,Sheet1!$G$7:$N$4000,8,0),0)</f>
        <v>0</v>
      </c>
      <c r="G149" s="10">
        <f>IFERROR(VLOOKUP(B149,Sheet1!$G$7:$Q$4000,11,0),0)</f>
        <v>0</v>
      </c>
      <c r="H149" s="7">
        <f t="shared" ref="H149:H159" si="81">D149+E149</f>
        <v>0</v>
      </c>
      <c r="I149" s="11" t="str">
        <f t="shared" ref="I149:I159" si="82">IFERROR(D149/C149*100%,"")</f>
        <v/>
      </c>
      <c r="J149" s="11" t="str">
        <f t="shared" ref="J149:J159" si="83">IFERROR(E149/C149*100%,"")</f>
        <v/>
      </c>
      <c r="K149" s="11" t="str">
        <f t="shared" ref="K149:K159" si="84">IFERROR(F149/C149*100%,"")</f>
        <v/>
      </c>
      <c r="L149" s="11" t="str">
        <f t="shared" ref="L149:L159" si="85">IFERROR(F149/C149*100%,"")</f>
        <v/>
      </c>
      <c r="M149" s="12" t="str">
        <f t="shared" ref="M149:M159" si="86">IFERROR(I149+J149,"")</f>
        <v/>
      </c>
      <c r="O149">
        <v>2</v>
      </c>
      <c r="P149">
        <f>Sheet1!$A$1</f>
        <v>1</v>
      </c>
    </row>
    <row r="150" spans="1:16">
      <c r="A150" s="9">
        <f t="shared" si="71"/>
        <v>426</v>
      </c>
      <c r="B150" s="13" t="str">
        <f t="shared" si="72"/>
        <v>Mar-1-PL</v>
      </c>
      <c r="C150" s="7">
        <f t="shared" si="80"/>
        <v>0</v>
      </c>
      <c r="D150" s="10">
        <f>IFERROR(VLOOKUP(B150,Sheet1!$G$7:$J$4000,4,0),0)</f>
        <v>0</v>
      </c>
      <c r="E150" s="10">
        <f>IFERROR(VLOOKUP(B150,Sheet1!$G$7:$K$4000,5,0),0)</f>
        <v>0</v>
      </c>
      <c r="F150" s="10">
        <f>IFERROR(VLOOKUP(B150,Sheet1!$G$7:$N$4000,8,0),0)</f>
        <v>0</v>
      </c>
      <c r="G150" s="10">
        <f>IFERROR(VLOOKUP(B150,Sheet1!$G$7:$Q$4000,11,0),0)</f>
        <v>0</v>
      </c>
      <c r="H150" s="7">
        <f t="shared" si="81"/>
        <v>0</v>
      </c>
      <c r="I150" s="11" t="str">
        <f t="shared" si="82"/>
        <v/>
      </c>
      <c r="J150" s="11" t="str">
        <f t="shared" si="83"/>
        <v/>
      </c>
      <c r="K150" s="11" t="str">
        <f t="shared" si="84"/>
        <v/>
      </c>
      <c r="L150" s="11" t="str">
        <f t="shared" si="85"/>
        <v/>
      </c>
      <c r="M150" s="12" t="str">
        <f t="shared" si="86"/>
        <v/>
      </c>
      <c r="O150">
        <v>3</v>
      </c>
      <c r="P150">
        <f>Sheet1!$A$1</f>
        <v>1</v>
      </c>
    </row>
    <row r="151" spans="1:16">
      <c r="A151" s="9">
        <f t="shared" si="71"/>
        <v>457</v>
      </c>
      <c r="B151" s="13" t="str">
        <f t="shared" si="72"/>
        <v>Apr-1-PL</v>
      </c>
      <c r="C151" s="7">
        <f t="shared" si="80"/>
        <v>0</v>
      </c>
      <c r="D151" s="10">
        <f>IFERROR(VLOOKUP(B151,Sheet1!$G$7:$J$4000,4,0),0)</f>
        <v>0</v>
      </c>
      <c r="E151" s="10">
        <f>IFERROR(VLOOKUP(B151,Sheet1!$G$7:$K$4000,5,0),0)</f>
        <v>0</v>
      </c>
      <c r="F151" s="10">
        <f>IFERROR(VLOOKUP(B151,Sheet1!$G$7:$N$4000,8,0),0)</f>
        <v>0</v>
      </c>
      <c r="G151" s="10">
        <f>IFERROR(VLOOKUP(B151,Sheet1!$G$7:$Q$4000,11,0),0)</f>
        <v>0</v>
      </c>
      <c r="H151" s="7">
        <f t="shared" si="81"/>
        <v>0</v>
      </c>
      <c r="I151" s="11" t="str">
        <f t="shared" si="82"/>
        <v/>
      </c>
      <c r="J151" s="11" t="str">
        <f t="shared" si="83"/>
        <v/>
      </c>
      <c r="K151" s="11" t="str">
        <f t="shared" si="84"/>
        <v/>
      </c>
      <c r="L151" s="11" t="str">
        <f t="shared" si="85"/>
        <v/>
      </c>
      <c r="M151" s="12" t="str">
        <f t="shared" si="86"/>
        <v/>
      </c>
      <c r="O151">
        <v>4</v>
      </c>
      <c r="P151">
        <f>Sheet1!$A$1</f>
        <v>1</v>
      </c>
    </row>
    <row r="152" spans="1:16">
      <c r="A152" s="9">
        <f t="shared" si="71"/>
        <v>487</v>
      </c>
      <c r="B152" s="13" t="str">
        <f t="shared" si="72"/>
        <v>May-1-PL</v>
      </c>
      <c r="C152" s="7">
        <f t="shared" si="80"/>
        <v>0</v>
      </c>
      <c r="D152" s="10">
        <f>IFERROR(VLOOKUP(B152,Sheet1!$G$7:$J$4000,4,0),0)</f>
        <v>0</v>
      </c>
      <c r="E152" s="10">
        <f>IFERROR(VLOOKUP(B152,Sheet1!$G$7:$K$4000,5,0),0)</f>
        <v>0</v>
      </c>
      <c r="F152" s="10">
        <f>IFERROR(VLOOKUP(B152,Sheet1!$G$7:$N$4000,8,0),0)</f>
        <v>0</v>
      </c>
      <c r="G152" s="10">
        <f>IFERROR(VLOOKUP(B152,Sheet1!$G$7:$Q$4000,11,0),0)</f>
        <v>0</v>
      </c>
      <c r="H152" s="7">
        <f t="shared" si="81"/>
        <v>0</v>
      </c>
      <c r="I152" s="11" t="str">
        <f t="shared" si="82"/>
        <v/>
      </c>
      <c r="J152" s="11" t="str">
        <f t="shared" si="83"/>
        <v/>
      </c>
      <c r="K152" s="11" t="str">
        <f t="shared" si="84"/>
        <v/>
      </c>
      <c r="L152" s="11" t="str">
        <f t="shared" si="85"/>
        <v/>
      </c>
      <c r="M152" s="12" t="str">
        <f t="shared" si="86"/>
        <v/>
      </c>
      <c r="O152">
        <v>5</v>
      </c>
      <c r="P152">
        <f>Sheet1!$A$1</f>
        <v>1</v>
      </c>
    </row>
    <row r="153" spans="1:16">
      <c r="A153" s="9">
        <f t="shared" si="71"/>
        <v>518</v>
      </c>
      <c r="B153" s="13" t="str">
        <f t="shared" si="72"/>
        <v>Jun-1-PL</v>
      </c>
      <c r="C153" s="7">
        <f t="shared" si="80"/>
        <v>0</v>
      </c>
      <c r="D153" s="10">
        <f>IFERROR(VLOOKUP(B153,Sheet1!$G$7:$J$4000,4,0),0)</f>
        <v>0</v>
      </c>
      <c r="E153" s="10">
        <f>IFERROR(VLOOKUP(B153,Sheet1!$G$7:$K$4000,5,0),0)</f>
        <v>0</v>
      </c>
      <c r="F153" s="10">
        <f>IFERROR(VLOOKUP(B153,Sheet1!$G$7:$N$4000,8,0),0)</f>
        <v>0</v>
      </c>
      <c r="G153" s="10">
        <f>IFERROR(VLOOKUP(B153,Sheet1!$G$7:$Q$4000,11,0),0)</f>
        <v>0</v>
      </c>
      <c r="H153" s="7">
        <f t="shared" si="81"/>
        <v>0</v>
      </c>
      <c r="I153" s="11" t="str">
        <f t="shared" si="82"/>
        <v/>
      </c>
      <c r="J153" s="11" t="str">
        <f t="shared" si="83"/>
        <v/>
      </c>
      <c r="K153" s="11" t="str">
        <f t="shared" si="84"/>
        <v/>
      </c>
      <c r="L153" s="11" t="str">
        <f t="shared" si="85"/>
        <v/>
      </c>
      <c r="M153" s="12" t="str">
        <f t="shared" si="86"/>
        <v/>
      </c>
      <c r="O153">
        <v>6</v>
      </c>
      <c r="P153">
        <f>Sheet1!$A$1</f>
        <v>1</v>
      </c>
    </row>
    <row r="154" spans="1:16">
      <c r="A154" s="9">
        <f t="shared" si="71"/>
        <v>548</v>
      </c>
      <c r="B154" s="13" t="str">
        <f t="shared" si="72"/>
        <v>Jul-1-PL</v>
      </c>
      <c r="C154" s="7">
        <f t="shared" si="80"/>
        <v>0</v>
      </c>
      <c r="D154" s="10">
        <f>IFERROR(VLOOKUP(B154,Sheet1!$G$7:$J$4000,4,0),0)</f>
        <v>0</v>
      </c>
      <c r="E154" s="10">
        <f>IFERROR(VLOOKUP(B154,Sheet1!$G$7:$K$4000,5,0),0)</f>
        <v>0</v>
      </c>
      <c r="F154" s="10">
        <f>IFERROR(VLOOKUP(B154,Sheet1!$G$7:$N$4000,8,0),0)</f>
        <v>0</v>
      </c>
      <c r="G154" s="10">
        <f>IFERROR(VLOOKUP(B154,Sheet1!$G$7:$Q$4000,11,0),0)</f>
        <v>0</v>
      </c>
      <c r="H154" s="7">
        <f t="shared" si="81"/>
        <v>0</v>
      </c>
      <c r="I154" s="11" t="str">
        <f t="shared" si="82"/>
        <v/>
      </c>
      <c r="J154" s="11" t="str">
        <f t="shared" si="83"/>
        <v/>
      </c>
      <c r="K154" s="11" t="str">
        <f t="shared" si="84"/>
        <v/>
      </c>
      <c r="L154" s="11" t="str">
        <f t="shared" si="85"/>
        <v/>
      </c>
      <c r="M154" s="12" t="str">
        <f t="shared" si="86"/>
        <v/>
      </c>
      <c r="O154">
        <v>7</v>
      </c>
      <c r="P154">
        <f>Sheet1!$A$1</f>
        <v>1</v>
      </c>
    </row>
    <row r="155" spans="1:16">
      <c r="A155" s="9">
        <f t="shared" si="71"/>
        <v>579</v>
      </c>
      <c r="B155" s="13" t="str">
        <f t="shared" si="72"/>
        <v>Aug-1-PL</v>
      </c>
      <c r="C155" s="7">
        <f t="shared" si="80"/>
        <v>0</v>
      </c>
      <c r="D155" s="10">
        <f>IFERROR(VLOOKUP(B155,Sheet1!$G$7:$J$4000,4,0),0)</f>
        <v>0</v>
      </c>
      <c r="E155" s="10">
        <f>IFERROR(VLOOKUP(B155,Sheet1!$G$7:$K$4000,5,0),0)</f>
        <v>0</v>
      </c>
      <c r="F155" s="10">
        <f>IFERROR(VLOOKUP(B155,Sheet1!$G$7:$N$4000,8,0),0)</f>
        <v>0</v>
      </c>
      <c r="G155" s="10">
        <f>IFERROR(VLOOKUP(B155,Sheet1!$G$7:$Q$4000,11,0),0)</f>
        <v>0</v>
      </c>
      <c r="H155" s="7">
        <f t="shared" si="81"/>
        <v>0</v>
      </c>
      <c r="I155" s="11" t="str">
        <f t="shared" si="82"/>
        <v/>
      </c>
      <c r="J155" s="11" t="str">
        <f t="shared" si="83"/>
        <v/>
      </c>
      <c r="K155" s="11" t="str">
        <f t="shared" si="84"/>
        <v/>
      </c>
      <c r="L155" s="11" t="str">
        <f t="shared" si="85"/>
        <v/>
      </c>
      <c r="M155" s="12" t="str">
        <f t="shared" si="86"/>
        <v/>
      </c>
      <c r="O155">
        <v>8</v>
      </c>
      <c r="P155">
        <f>Sheet1!$A$1</f>
        <v>1</v>
      </c>
    </row>
    <row r="156" spans="1:16">
      <c r="A156" s="9">
        <f t="shared" si="71"/>
        <v>610</v>
      </c>
      <c r="B156" s="13" t="str">
        <f t="shared" si="72"/>
        <v>Sep-1-PL</v>
      </c>
      <c r="C156" s="7">
        <f t="shared" si="80"/>
        <v>0</v>
      </c>
      <c r="D156" s="10">
        <f>IFERROR(VLOOKUP(B156,Sheet1!$G$7:$J$4000,4,0),0)</f>
        <v>0</v>
      </c>
      <c r="E156" s="10">
        <f>IFERROR(VLOOKUP(B156,Sheet1!$G$7:$K$4000,5,0),0)</f>
        <v>0</v>
      </c>
      <c r="F156" s="10">
        <f>IFERROR(VLOOKUP(B156,Sheet1!$G$7:$N$4000,8,0),0)</f>
        <v>0</v>
      </c>
      <c r="G156" s="10">
        <f>IFERROR(VLOOKUP(B156,Sheet1!$G$7:$Q$4000,11,0),0)</f>
        <v>0</v>
      </c>
      <c r="H156" s="7">
        <f t="shared" si="81"/>
        <v>0</v>
      </c>
      <c r="I156" s="11" t="str">
        <f t="shared" si="82"/>
        <v/>
      </c>
      <c r="J156" s="11" t="str">
        <f t="shared" si="83"/>
        <v/>
      </c>
      <c r="K156" s="11" t="str">
        <f t="shared" si="84"/>
        <v/>
      </c>
      <c r="L156" s="11" t="str">
        <f t="shared" si="85"/>
        <v/>
      </c>
      <c r="M156" s="12" t="str">
        <f t="shared" si="86"/>
        <v/>
      </c>
      <c r="O156">
        <v>9</v>
      </c>
      <c r="P156">
        <f>Sheet1!$A$1</f>
        <v>1</v>
      </c>
    </row>
    <row r="157" spans="1:16">
      <c r="A157" s="9">
        <f t="shared" si="71"/>
        <v>640</v>
      </c>
      <c r="B157" s="13" t="str">
        <f t="shared" si="72"/>
        <v>Oct-1-PL</v>
      </c>
      <c r="C157" s="7">
        <f t="shared" si="80"/>
        <v>0</v>
      </c>
      <c r="D157" s="10">
        <f>IFERROR(VLOOKUP(B157,Sheet1!$G$7:$J$4000,4,0),0)</f>
        <v>0</v>
      </c>
      <c r="E157" s="10">
        <f>IFERROR(VLOOKUP(B157,Sheet1!$G$7:$K$4000,5,0),0)</f>
        <v>0</v>
      </c>
      <c r="F157" s="10">
        <f>IFERROR(VLOOKUP(B157,Sheet1!$G$7:$N$4000,8,0),0)</f>
        <v>0</v>
      </c>
      <c r="G157" s="10">
        <f>IFERROR(VLOOKUP(B157,Sheet1!$G$7:$Q$4000,11,0),0)</f>
        <v>0</v>
      </c>
      <c r="H157" s="7">
        <f t="shared" si="81"/>
        <v>0</v>
      </c>
      <c r="I157" s="11" t="str">
        <f t="shared" si="82"/>
        <v/>
      </c>
      <c r="J157" s="11" t="str">
        <f t="shared" si="83"/>
        <v/>
      </c>
      <c r="K157" s="11" t="str">
        <f t="shared" si="84"/>
        <v/>
      </c>
      <c r="L157" s="11" t="str">
        <f t="shared" si="85"/>
        <v/>
      </c>
      <c r="M157" s="12" t="str">
        <f t="shared" si="86"/>
        <v/>
      </c>
      <c r="O157">
        <v>10</v>
      </c>
      <c r="P157">
        <f>Sheet1!$A$1</f>
        <v>1</v>
      </c>
    </row>
    <row r="158" spans="1:16">
      <c r="A158" s="9">
        <f t="shared" si="71"/>
        <v>671</v>
      </c>
      <c r="B158" s="13" t="str">
        <f t="shared" si="72"/>
        <v>Nov-1-PL</v>
      </c>
      <c r="C158" s="7">
        <f t="shared" si="80"/>
        <v>0</v>
      </c>
      <c r="D158" s="10">
        <f>IFERROR(VLOOKUP(B158,Sheet1!$G$7:$J$4000,4,0),0)</f>
        <v>0</v>
      </c>
      <c r="E158" s="10">
        <f>IFERROR(VLOOKUP(B158,Sheet1!$G$7:$K$4000,5,0),0)</f>
        <v>0</v>
      </c>
      <c r="F158" s="10">
        <f>IFERROR(VLOOKUP(B158,Sheet1!$G$7:$N$4000,8,0),0)</f>
        <v>0</v>
      </c>
      <c r="G158" s="10">
        <f>IFERROR(VLOOKUP(B158,Sheet1!$G$7:$Q$4000,11,0),0)</f>
        <v>0</v>
      </c>
      <c r="H158" s="7">
        <f t="shared" si="81"/>
        <v>0</v>
      </c>
      <c r="I158" s="11" t="str">
        <f t="shared" si="82"/>
        <v/>
      </c>
      <c r="J158" s="11" t="str">
        <f t="shared" si="83"/>
        <v/>
      </c>
      <c r="K158" s="11" t="str">
        <f t="shared" si="84"/>
        <v/>
      </c>
      <c r="L158" s="11" t="str">
        <f t="shared" si="85"/>
        <v/>
      </c>
      <c r="M158" s="12" t="str">
        <f t="shared" si="86"/>
        <v/>
      </c>
      <c r="O158">
        <v>11</v>
      </c>
      <c r="P158">
        <f>Sheet1!$A$1</f>
        <v>1</v>
      </c>
    </row>
    <row r="159" spans="1:16">
      <c r="A159" s="9">
        <f t="shared" si="71"/>
        <v>701</v>
      </c>
      <c r="B159" s="13" t="str">
        <f t="shared" si="72"/>
        <v>Dec-1-PL</v>
      </c>
      <c r="C159" s="7">
        <f t="shared" si="80"/>
        <v>0</v>
      </c>
      <c r="D159" s="10">
        <f>IFERROR(VLOOKUP(B159,Sheet1!$G$7:$J$4000,4,0),0)</f>
        <v>0</v>
      </c>
      <c r="E159" s="10">
        <f>IFERROR(VLOOKUP(B159,Sheet1!$G$7:$K$4000,5,0),0)</f>
        <v>0</v>
      </c>
      <c r="F159" s="10">
        <f>IFERROR(VLOOKUP(B159,Sheet1!$G$7:$N$4000,8,0),0)</f>
        <v>0</v>
      </c>
      <c r="G159" s="10">
        <f>IFERROR(VLOOKUP(B159,Sheet1!$G$7:$Q$4000,11,0),0)</f>
        <v>0</v>
      </c>
      <c r="H159" s="7">
        <f t="shared" si="81"/>
        <v>0</v>
      </c>
      <c r="I159" s="11" t="str">
        <f t="shared" si="82"/>
        <v/>
      </c>
      <c r="J159" s="11" t="str">
        <f t="shared" si="83"/>
        <v/>
      </c>
      <c r="K159" s="11" t="str">
        <f t="shared" si="84"/>
        <v/>
      </c>
      <c r="L159" s="11" t="str">
        <f t="shared" si="85"/>
        <v/>
      </c>
      <c r="M159" s="12" t="str">
        <f t="shared" si="86"/>
        <v/>
      </c>
      <c r="O159">
        <v>12</v>
      </c>
      <c r="P159">
        <f>Sheet1!$A$1</f>
        <v>1</v>
      </c>
    </row>
    <row r="160" spans="1:16">
      <c r="A160" s="4"/>
      <c r="B160" s="4"/>
      <c r="C160" s="4"/>
      <c r="D160" s="4"/>
      <c r="E160" s="4"/>
      <c r="F160" s="4"/>
      <c r="G160" s="4"/>
      <c r="H160" s="4"/>
      <c r="I160" s="5"/>
      <c r="J160" s="5"/>
      <c r="K160" s="5"/>
      <c r="L160" s="5"/>
      <c r="M160" s="5"/>
    </row>
    <row r="161" spans="1:16" ht="30" customHeight="1">
      <c r="A161" s="6" t="s">
        <v>71</v>
      </c>
      <c r="B161" s="20"/>
      <c r="C161" s="95" t="s">
        <v>35</v>
      </c>
      <c r="D161" s="96"/>
      <c r="E161" s="96"/>
      <c r="F161" s="96"/>
      <c r="G161" s="96"/>
      <c r="H161" s="97"/>
      <c r="I161" s="98" t="s">
        <v>36</v>
      </c>
      <c r="J161" s="99"/>
      <c r="K161" s="99"/>
      <c r="L161" s="99"/>
      <c r="M161" s="100"/>
      <c r="O161" s="21">
        <v>6</v>
      </c>
      <c r="P161" t="s">
        <v>38</v>
      </c>
    </row>
    <row r="162" spans="1:16" ht="102">
      <c r="A162" s="7" t="s">
        <v>89</v>
      </c>
      <c r="B162" s="7"/>
      <c r="C162" s="8" t="s">
        <v>132</v>
      </c>
      <c r="D162" s="8" t="s">
        <v>133</v>
      </c>
      <c r="E162" s="8" t="s">
        <v>134</v>
      </c>
      <c r="F162" s="8" t="s">
        <v>135</v>
      </c>
      <c r="G162" s="8" t="s">
        <v>136</v>
      </c>
      <c r="H162" s="8" t="s">
        <v>137</v>
      </c>
      <c r="I162" s="27" t="s">
        <v>138</v>
      </c>
      <c r="J162" s="27" t="s">
        <v>139</v>
      </c>
      <c r="K162" s="27" t="s">
        <v>140</v>
      </c>
      <c r="L162" s="27" t="s">
        <v>136</v>
      </c>
      <c r="M162" s="27" t="s">
        <v>141</v>
      </c>
    </row>
    <row r="163" spans="1:16">
      <c r="A163" s="9">
        <f>DATE(P163,O163,1)</f>
        <v>1</v>
      </c>
      <c r="B163" s="13" t="str">
        <f>TEXT(O163*29,"mmm")&amp;"-" &amp; P163&amp;"-"&amp;$P$161</f>
        <v>Jan-0-MA</v>
      </c>
      <c r="C163" s="7">
        <f t="shared" ref="C163:C174" si="87">SUM(D163:G163)</f>
        <v>0</v>
      </c>
      <c r="D163" s="10">
        <f>IFERROR(VLOOKUP(B163,Sheet1!$G$7:$J$4000,4,0),0)</f>
        <v>0</v>
      </c>
      <c r="E163" s="10">
        <f>IFERROR(VLOOKUP(B163,Sheet1!$G$7:$K$4000,5,0),0)</f>
        <v>0</v>
      </c>
      <c r="F163" s="10">
        <f>IFERROR(VLOOKUP(B163,Sheet1!$G$7:$N$4000,8,0),0)</f>
        <v>0</v>
      </c>
      <c r="G163" s="10">
        <f>IFERROR(VLOOKUP(B163,Sheet1!$G$7:$Q$4000,11,0),0)</f>
        <v>0</v>
      </c>
      <c r="H163" s="7">
        <f t="shared" ref="H163:H174" si="88">D163+E163</f>
        <v>0</v>
      </c>
      <c r="I163" s="11" t="str">
        <f>IFERROR(D163/C163*100%,"")</f>
        <v/>
      </c>
      <c r="J163" s="11" t="str">
        <f>IFERROR(E163/C163*100%,"")</f>
        <v/>
      </c>
      <c r="K163" s="11" t="str">
        <f>IFERROR(F163/C163*100%,"")</f>
        <v/>
      </c>
      <c r="L163" s="11" t="str">
        <f>IFERROR(F163/C163*100%,"")</f>
        <v/>
      </c>
      <c r="M163" s="12" t="str">
        <f t="shared" ref="M163:M174" si="89">IFERROR(I163+J163,"")</f>
        <v/>
      </c>
      <c r="O163">
        <v>1</v>
      </c>
      <c r="P163">
        <f>Sheet1!$A$1-1</f>
        <v>0</v>
      </c>
    </row>
    <row r="164" spans="1:16">
      <c r="A164" s="9">
        <f t="shared" ref="A164:A186" si="90">DATE(P164,O164,1)</f>
        <v>32</v>
      </c>
      <c r="B164" s="13" t="str">
        <f t="shared" ref="B164:B186" si="91">TEXT(O164*29,"mmm")&amp;"-" &amp; P164&amp;"-"&amp;$P$161</f>
        <v>Feb-0-MA</v>
      </c>
      <c r="C164" s="7">
        <f t="shared" si="87"/>
        <v>0</v>
      </c>
      <c r="D164" s="10">
        <f>IFERROR(VLOOKUP(B164,Sheet1!$G$7:$J$4000,4,0),0)</f>
        <v>0</v>
      </c>
      <c r="E164" s="10">
        <f>IFERROR(VLOOKUP(B164,Sheet1!$G$7:$K$4000,5,0),0)</f>
        <v>0</v>
      </c>
      <c r="F164" s="10">
        <f>IFERROR(VLOOKUP(B164,Sheet1!$G$7:$N$4000,8,0),0)</f>
        <v>0</v>
      </c>
      <c r="G164" s="10">
        <f>IFERROR(VLOOKUP(B164,Sheet1!$G$7:$Q$4000,11,0),0)</f>
        <v>0</v>
      </c>
      <c r="H164" s="7">
        <f t="shared" si="88"/>
        <v>0</v>
      </c>
      <c r="I164" s="11" t="str">
        <f t="shared" ref="I164:I174" si="92">IFERROR(D164/C164*100%,"")</f>
        <v/>
      </c>
      <c r="J164" s="11" t="str">
        <f t="shared" ref="J164:J174" si="93">IFERROR(E164/C164*100%,"")</f>
        <v/>
      </c>
      <c r="K164" s="11" t="str">
        <f t="shared" ref="K164:K174" si="94">IFERROR(F164/C164*100%,"")</f>
        <v/>
      </c>
      <c r="L164" s="11" t="str">
        <f t="shared" ref="L164:L174" si="95">IFERROR(F164/C164*100%,"")</f>
        <v/>
      </c>
      <c r="M164" s="12" t="str">
        <f t="shared" si="89"/>
        <v/>
      </c>
      <c r="O164">
        <v>2</v>
      </c>
      <c r="P164">
        <f>Sheet1!$A$1-1</f>
        <v>0</v>
      </c>
    </row>
    <row r="165" spans="1:16">
      <c r="A165" s="9">
        <f t="shared" si="90"/>
        <v>61</v>
      </c>
      <c r="B165" s="13" t="str">
        <f t="shared" si="91"/>
        <v>Mar-0-MA</v>
      </c>
      <c r="C165" s="7">
        <f t="shared" si="87"/>
        <v>0</v>
      </c>
      <c r="D165" s="10">
        <f>IFERROR(VLOOKUP(B165,Sheet1!$G$7:$J$4000,4,0),0)</f>
        <v>0</v>
      </c>
      <c r="E165" s="10">
        <f>IFERROR(VLOOKUP(B165,Sheet1!$G$7:$K$4000,5,0),0)</f>
        <v>0</v>
      </c>
      <c r="F165" s="10">
        <f>IFERROR(VLOOKUP(B165,Sheet1!$G$7:$N$4000,8,0),0)</f>
        <v>0</v>
      </c>
      <c r="G165" s="10">
        <f>IFERROR(VLOOKUP(B165,Sheet1!$G$7:$Q$4000,11,0),0)</f>
        <v>0</v>
      </c>
      <c r="H165" s="7">
        <f t="shared" si="88"/>
        <v>0</v>
      </c>
      <c r="I165" s="11" t="str">
        <f t="shared" si="92"/>
        <v/>
      </c>
      <c r="J165" s="11" t="str">
        <f t="shared" si="93"/>
        <v/>
      </c>
      <c r="K165" s="11" t="str">
        <f t="shared" si="94"/>
        <v/>
      </c>
      <c r="L165" s="11" t="str">
        <f t="shared" si="95"/>
        <v/>
      </c>
      <c r="M165" s="12" t="str">
        <f t="shared" si="89"/>
        <v/>
      </c>
      <c r="O165">
        <v>3</v>
      </c>
      <c r="P165">
        <f>Sheet1!$A$1-1</f>
        <v>0</v>
      </c>
    </row>
    <row r="166" spans="1:16">
      <c r="A166" s="9">
        <f t="shared" si="90"/>
        <v>92</v>
      </c>
      <c r="B166" s="13" t="str">
        <f t="shared" si="91"/>
        <v>Apr-0-MA</v>
      </c>
      <c r="C166" s="7">
        <f t="shared" si="87"/>
        <v>0</v>
      </c>
      <c r="D166" s="10">
        <f>IFERROR(VLOOKUP(B166,Sheet1!$G$7:$J$4000,4,0),0)</f>
        <v>0</v>
      </c>
      <c r="E166" s="10">
        <f>IFERROR(VLOOKUP(B166,Sheet1!$G$7:$K$4000,5,0),0)</f>
        <v>0</v>
      </c>
      <c r="F166" s="10">
        <f>IFERROR(VLOOKUP(B166,Sheet1!$G$7:$N$4000,8,0),0)</f>
        <v>0</v>
      </c>
      <c r="G166" s="10">
        <f>IFERROR(VLOOKUP(B166,Sheet1!$G$7:$Q$4000,11,0),0)</f>
        <v>0</v>
      </c>
      <c r="H166" s="7">
        <f t="shared" si="88"/>
        <v>0</v>
      </c>
      <c r="I166" s="11" t="str">
        <f t="shared" si="92"/>
        <v/>
      </c>
      <c r="J166" s="11" t="str">
        <f t="shared" si="93"/>
        <v/>
      </c>
      <c r="K166" s="11" t="str">
        <f t="shared" si="94"/>
        <v/>
      </c>
      <c r="L166" s="11" t="str">
        <f t="shared" si="95"/>
        <v/>
      </c>
      <c r="M166" s="12" t="str">
        <f t="shared" si="89"/>
        <v/>
      </c>
      <c r="O166">
        <v>4</v>
      </c>
      <c r="P166">
        <f>Sheet1!$A$1-1</f>
        <v>0</v>
      </c>
    </row>
    <row r="167" spans="1:16">
      <c r="A167" s="9">
        <f t="shared" si="90"/>
        <v>122</v>
      </c>
      <c r="B167" s="13" t="str">
        <f t="shared" si="91"/>
        <v>May-0-MA</v>
      </c>
      <c r="C167" s="7">
        <f t="shared" si="87"/>
        <v>0</v>
      </c>
      <c r="D167" s="10">
        <f>IFERROR(VLOOKUP(B167,Sheet1!$G$7:$J$4000,4,0),0)</f>
        <v>0</v>
      </c>
      <c r="E167" s="10">
        <f>IFERROR(VLOOKUP(B167,Sheet1!$G$7:$K$4000,5,0),0)</f>
        <v>0</v>
      </c>
      <c r="F167" s="10">
        <f>IFERROR(VLOOKUP(B167,Sheet1!$G$7:$N$4000,8,0),0)</f>
        <v>0</v>
      </c>
      <c r="G167" s="10">
        <f>IFERROR(VLOOKUP(B167,Sheet1!$G$7:$Q$4000,11,0),0)</f>
        <v>0</v>
      </c>
      <c r="H167" s="7">
        <f t="shared" si="88"/>
        <v>0</v>
      </c>
      <c r="I167" s="11" t="str">
        <f t="shared" si="92"/>
        <v/>
      </c>
      <c r="J167" s="11" t="str">
        <f t="shared" si="93"/>
        <v/>
      </c>
      <c r="K167" s="11" t="str">
        <f t="shared" si="94"/>
        <v/>
      </c>
      <c r="L167" s="11" t="str">
        <f t="shared" si="95"/>
        <v/>
      </c>
      <c r="M167" s="12" t="str">
        <f t="shared" si="89"/>
        <v/>
      </c>
      <c r="O167">
        <v>5</v>
      </c>
      <c r="P167">
        <f>Sheet1!$A$1-1</f>
        <v>0</v>
      </c>
    </row>
    <row r="168" spans="1:16">
      <c r="A168" s="9">
        <f t="shared" si="90"/>
        <v>153</v>
      </c>
      <c r="B168" s="13" t="str">
        <f t="shared" si="91"/>
        <v>Jun-0-MA</v>
      </c>
      <c r="C168" s="7">
        <f t="shared" si="87"/>
        <v>0</v>
      </c>
      <c r="D168" s="10">
        <f>IFERROR(VLOOKUP(B168,Sheet1!$G$7:$J$4000,4,0),0)</f>
        <v>0</v>
      </c>
      <c r="E168" s="10">
        <f>IFERROR(VLOOKUP(B168,Sheet1!$G$7:$K$4000,5,0),0)</f>
        <v>0</v>
      </c>
      <c r="F168" s="10">
        <f>IFERROR(VLOOKUP(B168,Sheet1!$G$7:$N$4000,8,0),0)</f>
        <v>0</v>
      </c>
      <c r="G168" s="10">
        <f>IFERROR(VLOOKUP(B168,Sheet1!$G$7:$Q$4000,11,0),0)</f>
        <v>0</v>
      </c>
      <c r="H168" s="7">
        <f t="shared" si="88"/>
        <v>0</v>
      </c>
      <c r="I168" s="11" t="str">
        <f t="shared" si="92"/>
        <v/>
      </c>
      <c r="J168" s="11" t="str">
        <f t="shared" si="93"/>
        <v/>
      </c>
      <c r="K168" s="11" t="str">
        <f t="shared" si="94"/>
        <v/>
      </c>
      <c r="L168" s="11" t="str">
        <f t="shared" si="95"/>
        <v/>
      </c>
      <c r="M168" s="12" t="str">
        <f t="shared" si="89"/>
        <v/>
      </c>
      <c r="O168">
        <v>6</v>
      </c>
      <c r="P168">
        <f>Sheet1!$A$1-1</f>
        <v>0</v>
      </c>
    </row>
    <row r="169" spans="1:16">
      <c r="A169" s="9">
        <f t="shared" si="90"/>
        <v>183</v>
      </c>
      <c r="B169" s="13" t="str">
        <f t="shared" si="91"/>
        <v>Jul-0-MA</v>
      </c>
      <c r="C169" s="7">
        <f t="shared" si="87"/>
        <v>0</v>
      </c>
      <c r="D169" s="10">
        <f>IFERROR(VLOOKUP(B169,Sheet1!$G$7:$J$4000,4,0),0)</f>
        <v>0</v>
      </c>
      <c r="E169" s="10">
        <f>IFERROR(VLOOKUP(B169,Sheet1!$G$7:$K$4000,5,0),0)</f>
        <v>0</v>
      </c>
      <c r="F169" s="10">
        <f>IFERROR(VLOOKUP(B169,Sheet1!$G$7:$N$4000,8,0),0)</f>
        <v>0</v>
      </c>
      <c r="G169" s="10">
        <f>IFERROR(VLOOKUP(B169,Sheet1!$G$7:$Q$4000,11,0),0)</f>
        <v>0</v>
      </c>
      <c r="H169" s="7">
        <f t="shared" si="88"/>
        <v>0</v>
      </c>
      <c r="I169" s="11" t="str">
        <f t="shared" si="92"/>
        <v/>
      </c>
      <c r="J169" s="11" t="str">
        <f t="shared" si="93"/>
        <v/>
      </c>
      <c r="K169" s="11" t="str">
        <f t="shared" si="94"/>
        <v/>
      </c>
      <c r="L169" s="11" t="str">
        <f t="shared" si="95"/>
        <v/>
      </c>
      <c r="M169" s="12" t="str">
        <f t="shared" si="89"/>
        <v/>
      </c>
      <c r="O169">
        <v>7</v>
      </c>
      <c r="P169">
        <f>Sheet1!$A$1-1</f>
        <v>0</v>
      </c>
    </row>
    <row r="170" spans="1:16">
      <c r="A170" s="9">
        <f t="shared" si="90"/>
        <v>214</v>
      </c>
      <c r="B170" s="13" t="str">
        <f t="shared" si="91"/>
        <v>Aug-0-MA</v>
      </c>
      <c r="C170" s="7">
        <f t="shared" si="87"/>
        <v>0</v>
      </c>
      <c r="D170" s="10">
        <f>IFERROR(VLOOKUP(B170,Sheet1!$G$7:$J$4000,4,0),0)</f>
        <v>0</v>
      </c>
      <c r="E170" s="10">
        <f>IFERROR(VLOOKUP(B170,Sheet1!$G$7:$K$4000,5,0),0)</f>
        <v>0</v>
      </c>
      <c r="F170" s="10">
        <f>IFERROR(VLOOKUP(B170,Sheet1!$G$7:$N$4000,8,0),0)</f>
        <v>0</v>
      </c>
      <c r="G170" s="10">
        <f>IFERROR(VLOOKUP(B170,Sheet1!$G$7:$Q$4000,11,0),0)</f>
        <v>0</v>
      </c>
      <c r="H170" s="7">
        <f t="shared" si="88"/>
        <v>0</v>
      </c>
      <c r="I170" s="11" t="str">
        <f t="shared" si="92"/>
        <v/>
      </c>
      <c r="J170" s="11" t="str">
        <f t="shared" si="93"/>
        <v/>
      </c>
      <c r="K170" s="11" t="str">
        <f t="shared" si="94"/>
        <v/>
      </c>
      <c r="L170" s="11" t="str">
        <f t="shared" si="95"/>
        <v/>
      </c>
      <c r="M170" s="12" t="str">
        <f t="shared" si="89"/>
        <v/>
      </c>
      <c r="O170">
        <v>8</v>
      </c>
      <c r="P170">
        <f>Sheet1!$A$1-1</f>
        <v>0</v>
      </c>
    </row>
    <row r="171" spans="1:16">
      <c r="A171" s="9">
        <f t="shared" si="90"/>
        <v>245</v>
      </c>
      <c r="B171" s="13" t="str">
        <f t="shared" si="91"/>
        <v>Sep-0-MA</v>
      </c>
      <c r="C171" s="7">
        <f t="shared" si="87"/>
        <v>0</v>
      </c>
      <c r="D171" s="10">
        <f>IFERROR(VLOOKUP(B171,Sheet1!$G$7:$J$4000,4,0),0)</f>
        <v>0</v>
      </c>
      <c r="E171" s="10">
        <f>IFERROR(VLOOKUP(B171,Sheet1!$G$7:$K$4000,5,0),0)</f>
        <v>0</v>
      </c>
      <c r="F171" s="10">
        <f>IFERROR(VLOOKUP(B171,Sheet1!$G$7:$N$4000,8,0),0)</f>
        <v>0</v>
      </c>
      <c r="G171" s="10">
        <f>IFERROR(VLOOKUP(B171,Sheet1!$G$7:$Q$4000,11,0),0)</f>
        <v>0</v>
      </c>
      <c r="H171" s="7">
        <f t="shared" si="88"/>
        <v>0</v>
      </c>
      <c r="I171" s="11" t="str">
        <f t="shared" si="92"/>
        <v/>
      </c>
      <c r="J171" s="11" t="str">
        <f t="shared" si="93"/>
        <v/>
      </c>
      <c r="K171" s="11" t="str">
        <f t="shared" si="94"/>
        <v/>
      </c>
      <c r="L171" s="11" t="str">
        <f t="shared" si="95"/>
        <v/>
      </c>
      <c r="M171" s="12" t="str">
        <f t="shared" si="89"/>
        <v/>
      </c>
      <c r="O171">
        <v>9</v>
      </c>
      <c r="P171">
        <f>Sheet1!$A$1-1</f>
        <v>0</v>
      </c>
    </row>
    <row r="172" spans="1:16">
      <c r="A172" s="9">
        <f t="shared" si="90"/>
        <v>275</v>
      </c>
      <c r="B172" s="13" t="str">
        <f t="shared" si="91"/>
        <v>Oct-0-MA</v>
      </c>
      <c r="C172" s="7">
        <f t="shared" si="87"/>
        <v>0</v>
      </c>
      <c r="D172" s="10">
        <f>IFERROR(VLOOKUP(B172,Sheet1!$G$7:$J$4000,4,0),0)</f>
        <v>0</v>
      </c>
      <c r="E172" s="10">
        <f>IFERROR(VLOOKUP(B172,Sheet1!$G$7:$K$4000,5,0),0)</f>
        <v>0</v>
      </c>
      <c r="F172" s="10">
        <f>IFERROR(VLOOKUP(B172,Sheet1!$G$7:$N$4000,8,0),0)</f>
        <v>0</v>
      </c>
      <c r="G172" s="10">
        <f>IFERROR(VLOOKUP(B172,Sheet1!$G$7:$Q$4000,11,0),0)</f>
        <v>0</v>
      </c>
      <c r="H172" s="7">
        <f t="shared" si="88"/>
        <v>0</v>
      </c>
      <c r="I172" s="11" t="str">
        <f t="shared" si="92"/>
        <v/>
      </c>
      <c r="J172" s="11" t="str">
        <f t="shared" si="93"/>
        <v/>
      </c>
      <c r="K172" s="11" t="str">
        <f t="shared" si="94"/>
        <v/>
      </c>
      <c r="L172" s="11" t="str">
        <f t="shared" si="95"/>
        <v/>
      </c>
      <c r="M172" s="12" t="str">
        <f t="shared" si="89"/>
        <v/>
      </c>
      <c r="O172">
        <v>10</v>
      </c>
      <c r="P172">
        <f>Sheet1!$A$1-1</f>
        <v>0</v>
      </c>
    </row>
    <row r="173" spans="1:16">
      <c r="A173" s="9">
        <f t="shared" si="90"/>
        <v>306</v>
      </c>
      <c r="B173" s="13" t="str">
        <f t="shared" si="91"/>
        <v>Nov-0-MA</v>
      </c>
      <c r="C173" s="7">
        <f t="shared" si="87"/>
        <v>0</v>
      </c>
      <c r="D173" s="10">
        <f>IFERROR(VLOOKUP(B173,Sheet1!$G$7:$J$4000,4,0),0)</f>
        <v>0</v>
      </c>
      <c r="E173" s="10">
        <f>IFERROR(VLOOKUP(B173,Sheet1!$G$7:$K$4000,5,0),0)</f>
        <v>0</v>
      </c>
      <c r="F173" s="10">
        <f>IFERROR(VLOOKUP(B173,Sheet1!$G$7:$N$4000,8,0),0)</f>
        <v>0</v>
      </c>
      <c r="G173" s="10">
        <f>IFERROR(VLOOKUP(B173,Sheet1!$G$7:$Q$4000,11,0),0)</f>
        <v>0</v>
      </c>
      <c r="H173" s="7">
        <f t="shared" si="88"/>
        <v>0</v>
      </c>
      <c r="I173" s="11" t="str">
        <f t="shared" si="92"/>
        <v/>
      </c>
      <c r="J173" s="11" t="str">
        <f t="shared" si="93"/>
        <v/>
      </c>
      <c r="K173" s="11" t="str">
        <f t="shared" si="94"/>
        <v/>
      </c>
      <c r="L173" s="11" t="str">
        <f t="shared" si="95"/>
        <v/>
      </c>
      <c r="M173" s="12" t="str">
        <f t="shared" si="89"/>
        <v/>
      </c>
      <c r="O173">
        <v>11</v>
      </c>
      <c r="P173">
        <f>Sheet1!$A$1-1</f>
        <v>0</v>
      </c>
    </row>
    <row r="174" spans="1:16">
      <c r="A174" s="9">
        <f t="shared" si="90"/>
        <v>336</v>
      </c>
      <c r="B174" s="13" t="str">
        <f t="shared" si="91"/>
        <v>Dec-0-MA</v>
      </c>
      <c r="C174" s="7">
        <f t="shared" si="87"/>
        <v>0</v>
      </c>
      <c r="D174" s="10">
        <f>IFERROR(VLOOKUP(B174,Sheet1!$G$7:$J$4000,4,0),0)</f>
        <v>0</v>
      </c>
      <c r="E174" s="10">
        <f>IFERROR(VLOOKUP(B174,Sheet1!$G$7:$K$4000,5,0),0)</f>
        <v>0</v>
      </c>
      <c r="F174" s="10">
        <f>IFERROR(VLOOKUP(B174,Sheet1!$G$7:$N$4000,8,0),0)</f>
        <v>0</v>
      </c>
      <c r="G174" s="10">
        <f>IFERROR(VLOOKUP(B174,Sheet1!$G$7:$Q$4000,11,0),0)</f>
        <v>0</v>
      </c>
      <c r="H174" s="7">
        <f t="shared" si="88"/>
        <v>0</v>
      </c>
      <c r="I174" s="11" t="str">
        <f t="shared" si="92"/>
        <v/>
      </c>
      <c r="J174" s="11" t="str">
        <f t="shared" si="93"/>
        <v/>
      </c>
      <c r="K174" s="11" t="str">
        <f t="shared" si="94"/>
        <v/>
      </c>
      <c r="L174" s="11" t="str">
        <f t="shared" si="95"/>
        <v/>
      </c>
      <c r="M174" s="12" t="str">
        <f t="shared" si="89"/>
        <v/>
      </c>
      <c r="O174">
        <v>12</v>
      </c>
      <c r="P174">
        <f>Sheet1!$A$1-1</f>
        <v>0</v>
      </c>
    </row>
    <row r="175" spans="1:16">
      <c r="A175" s="9">
        <f t="shared" si="90"/>
        <v>367</v>
      </c>
      <c r="B175" s="13" t="str">
        <f t="shared" si="91"/>
        <v>Jan-1-MA</v>
      </c>
      <c r="C175" s="7">
        <f t="shared" ref="C175:C186" si="96">SUM(D175:G175)</f>
        <v>0</v>
      </c>
      <c r="D175" s="10">
        <f>IFERROR(VLOOKUP(B175,Sheet1!$G$7:$J$4000,4,0),0)</f>
        <v>0</v>
      </c>
      <c r="E175" s="10">
        <f>IFERROR(VLOOKUP(B175,Sheet1!$G$7:$K$4000,5,0),0)</f>
        <v>0</v>
      </c>
      <c r="F175" s="10">
        <f>IFERROR(VLOOKUP(B175,Sheet1!$G$7:$N$4000,8,0),0)</f>
        <v>0</v>
      </c>
      <c r="G175" s="10">
        <f>IFERROR(VLOOKUP(B175,Sheet1!$G$7:$Q$4000,11,0),0)</f>
        <v>0</v>
      </c>
      <c r="H175" s="7">
        <f t="shared" ref="H175:H186" si="97">D175+E175</f>
        <v>0</v>
      </c>
      <c r="I175" s="11" t="str">
        <f>IFERROR(D175/C175*100%,"")</f>
        <v/>
      </c>
      <c r="J175" s="11" t="str">
        <f>IFERROR(E175/C175*100%,"")</f>
        <v/>
      </c>
      <c r="K175" s="11" t="str">
        <f>IFERROR(F175/C175*100%,"")</f>
        <v/>
      </c>
      <c r="L175" s="11" t="str">
        <f>IFERROR(F175/C175*100%,"")</f>
        <v/>
      </c>
      <c r="M175" s="12" t="str">
        <f t="shared" ref="M175:M186" si="98">IFERROR(I175+J175,"")</f>
        <v/>
      </c>
      <c r="O175">
        <v>1</v>
      </c>
      <c r="P175">
        <f>Sheet1!$A$1</f>
        <v>1</v>
      </c>
    </row>
    <row r="176" spans="1:16">
      <c r="A176" s="9">
        <f t="shared" si="90"/>
        <v>398</v>
      </c>
      <c r="B176" s="13" t="str">
        <f t="shared" si="91"/>
        <v>Feb-1-MA</v>
      </c>
      <c r="C176" s="7">
        <f t="shared" si="96"/>
        <v>0</v>
      </c>
      <c r="D176" s="10">
        <f>IFERROR(VLOOKUP(B176,Sheet1!$G$7:$J$4000,4,0),0)</f>
        <v>0</v>
      </c>
      <c r="E176" s="10">
        <f>IFERROR(VLOOKUP(B176,Sheet1!$G$7:$K$4000,5,0),0)</f>
        <v>0</v>
      </c>
      <c r="F176" s="10">
        <f>IFERROR(VLOOKUP(B176,Sheet1!$G$7:$N$4000,8,0),0)</f>
        <v>0</v>
      </c>
      <c r="G176" s="10">
        <f>IFERROR(VLOOKUP(B176,Sheet1!$G$7:$Q$4000,11,0),0)</f>
        <v>0</v>
      </c>
      <c r="H176" s="7">
        <f t="shared" si="97"/>
        <v>0</v>
      </c>
      <c r="I176" s="11" t="str">
        <f t="shared" ref="I176:I186" si="99">IFERROR(D176/C176*100%,"")</f>
        <v/>
      </c>
      <c r="J176" s="11" t="str">
        <f t="shared" ref="J176:J186" si="100">IFERROR(E176/C176*100%,"")</f>
        <v/>
      </c>
      <c r="K176" s="11" t="str">
        <f t="shared" ref="K176:K186" si="101">IFERROR(F176/C176*100%,"")</f>
        <v/>
      </c>
      <c r="L176" s="11" t="str">
        <f t="shared" ref="L176:L186" si="102">IFERROR(F176/C176*100%,"")</f>
        <v/>
      </c>
      <c r="M176" s="12" t="str">
        <f t="shared" si="98"/>
        <v/>
      </c>
      <c r="O176">
        <v>2</v>
      </c>
      <c r="P176">
        <f>Sheet1!$A$1</f>
        <v>1</v>
      </c>
    </row>
    <row r="177" spans="1:16">
      <c r="A177" s="9">
        <f t="shared" si="90"/>
        <v>426</v>
      </c>
      <c r="B177" s="13" t="str">
        <f t="shared" si="91"/>
        <v>Mar-1-MA</v>
      </c>
      <c r="C177" s="7">
        <f t="shared" si="96"/>
        <v>0</v>
      </c>
      <c r="D177" s="10">
        <f>IFERROR(VLOOKUP(B177,Sheet1!$G$7:$J$4000,4,0),0)</f>
        <v>0</v>
      </c>
      <c r="E177" s="10">
        <f>IFERROR(VLOOKUP(B177,Sheet1!$G$7:$K$4000,5,0),0)</f>
        <v>0</v>
      </c>
      <c r="F177" s="10">
        <f>IFERROR(VLOOKUP(B177,Sheet1!$G$7:$N$4000,8,0),0)</f>
        <v>0</v>
      </c>
      <c r="G177" s="10">
        <f>IFERROR(VLOOKUP(B177,Sheet1!$G$7:$Q$4000,11,0),0)</f>
        <v>0</v>
      </c>
      <c r="H177" s="7">
        <f t="shared" si="97"/>
        <v>0</v>
      </c>
      <c r="I177" s="11" t="str">
        <f t="shared" si="99"/>
        <v/>
      </c>
      <c r="J177" s="11" t="str">
        <f t="shared" si="100"/>
        <v/>
      </c>
      <c r="K177" s="11" t="str">
        <f t="shared" si="101"/>
        <v/>
      </c>
      <c r="L177" s="11" t="str">
        <f t="shared" si="102"/>
        <v/>
      </c>
      <c r="M177" s="12" t="str">
        <f t="shared" si="98"/>
        <v/>
      </c>
      <c r="O177">
        <v>3</v>
      </c>
      <c r="P177">
        <f>Sheet1!$A$1</f>
        <v>1</v>
      </c>
    </row>
    <row r="178" spans="1:16">
      <c r="A178" s="9">
        <f t="shared" si="90"/>
        <v>457</v>
      </c>
      <c r="B178" s="13" t="str">
        <f t="shared" si="91"/>
        <v>Apr-1-MA</v>
      </c>
      <c r="C178" s="7">
        <f t="shared" si="96"/>
        <v>0</v>
      </c>
      <c r="D178" s="10">
        <f>IFERROR(VLOOKUP(B178,Sheet1!$G$7:$J$4000,4,0),0)</f>
        <v>0</v>
      </c>
      <c r="E178" s="10">
        <f>IFERROR(VLOOKUP(B178,Sheet1!$G$7:$K$4000,5,0),0)</f>
        <v>0</v>
      </c>
      <c r="F178" s="10">
        <f>IFERROR(VLOOKUP(B178,Sheet1!$G$7:$N$4000,8,0),0)</f>
        <v>0</v>
      </c>
      <c r="G178" s="10">
        <f>IFERROR(VLOOKUP(B178,Sheet1!$G$7:$Q$4000,11,0),0)</f>
        <v>0</v>
      </c>
      <c r="H178" s="7">
        <f t="shared" si="97"/>
        <v>0</v>
      </c>
      <c r="I178" s="11" t="str">
        <f t="shared" si="99"/>
        <v/>
      </c>
      <c r="J178" s="11" t="str">
        <f t="shared" si="100"/>
        <v/>
      </c>
      <c r="K178" s="11" t="str">
        <f t="shared" si="101"/>
        <v/>
      </c>
      <c r="L178" s="11" t="str">
        <f t="shared" si="102"/>
        <v/>
      </c>
      <c r="M178" s="12" t="str">
        <f t="shared" si="98"/>
        <v/>
      </c>
      <c r="O178">
        <v>4</v>
      </c>
      <c r="P178">
        <f>Sheet1!$A$1</f>
        <v>1</v>
      </c>
    </row>
    <row r="179" spans="1:16">
      <c r="A179" s="9">
        <f t="shared" si="90"/>
        <v>487</v>
      </c>
      <c r="B179" s="13" t="str">
        <f t="shared" si="91"/>
        <v>May-1-MA</v>
      </c>
      <c r="C179" s="7">
        <f t="shared" si="96"/>
        <v>0</v>
      </c>
      <c r="D179" s="10">
        <f>IFERROR(VLOOKUP(B179,Sheet1!$G$7:$J$4000,4,0),0)</f>
        <v>0</v>
      </c>
      <c r="E179" s="10">
        <f>IFERROR(VLOOKUP(B179,Sheet1!$G$7:$K$4000,5,0),0)</f>
        <v>0</v>
      </c>
      <c r="F179" s="10">
        <f>IFERROR(VLOOKUP(B179,Sheet1!$G$7:$N$4000,8,0),0)</f>
        <v>0</v>
      </c>
      <c r="G179" s="10">
        <f>IFERROR(VLOOKUP(B179,Sheet1!$G$7:$Q$4000,11,0),0)</f>
        <v>0</v>
      </c>
      <c r="H179" s="7">
        <f t="shared" si="97"/>
        <v>0</v>
      </c>
      <c r="I179" s="11" t="str">
        <f t="shared" si="99"/>
        <v/>
      </c>
      <c r="J179" s="11" t="str">
        <f t="shared" si="100"/>
        <v/>
      </c>
      <c r="K179" s="11" t="str">
        <f t="shared" si="101"/>
        <v/>
      </c>
      <c r="L179" s="11" t="str">
        <f t="shared" si="102"/>
        <v/>
      </c>
      <c r="M179" s="12" t="str">
        <f t="shared" si="98"/>
        <v/>
      </c>
      <c r="O179">
        <v>5</v>
      </c>
      <c r="P179">
        <f>Sheet1!$A$1</f>
        <v>1</v>
      </c>
    </row>
    <row r="180" spans="1:16">
      <c r="A180" s="9">
        <f t="shared" si="90"/>
        <v>518</v>
      </c>
      <c r="B180" s="13" t="str">
        <f t="shared" si="91"/>
        <v>Jun-1-MA</v>
      </c>
      <c r="C180" s="7">
        <f t="shared" si="96"/>
        <v>0</v>
      </c>
      <c r="D180" s="10">
        <f>IFERROR(VLOOKUP(B180,Sheet1!$G$7:$J$4000,4,0),0)</f>
        <v>0</v>
      </c>
      <c r="E180" s="10">
        <f>IFERROR(VLOOKUP(B180,Sheet1!$G$7:$K$4000,5,0),0)</f>
        <v>0</v>
      </c>
      <c r="F180" s="10">
        <f>IFERROR(VLOOKUP(B180,Sheet1!$G$7:$N$4000,8,0),0)</f>
        <v>0</v>
      </c>
      <c r="G180" s="10">
        <f>IFERROR(VLOOKUP(B180,Sheet1!$G$7:$Q$4000,11,0),0)</f>
        <v>0</v>
      </c>
      <c r="H180" s="7">
        <f t="shared" si="97"/>
        <v>0</v>
      </c>
      <c r="I180" s="11" t="str">
        <f t="shared" si="99"/>
        <v/>
      </c>
      <c r="J180" s="11" t="str">
        <f t="shared" si="100"/>
        <v/>
      </c>
      <c r="K180" s="11" t="str">
        <f t="shared" si="101"/>
        <v/>
      </c>
      <c r="L180" s="11" t="str">
        <f t="shared" si="102"/>
        <v/>
      </c>
      <c r="M180" s="12" t="str">
        <f t="shared" si="98"/>
        <v/>
      </c>
      <c r="O180">
        <v>6</v>
      </c>
      <c r="P180">
        <f>Sheet1!$A$1</f>
        <v>1</v>
      </c>
    </row>
    <row r="181" spans="1:16">
      <c r="A181" s="9">
        <f t="shared" si="90"/>
        <v>548</v>
      </c>
      <c r="B181" s="13" t="str">
        <f t="shared" si="91"/>
        <v>Jul-1-MA</v>
      </c>
      <c r="C181" s="7">
        <f t="shared" si="96"/>
        <v>0</v>
      </c>
      <c r="D181" s="10">
        <f>IFERROR(VLOOKUP(B181,Sheet1!$G$7:$J$4000,4,0),0)</f>
        <v>0</v>
      </c>
      <c r="E181" s="10">
        <f>IFERROR(VLOOKUP(B181,Sheet1!$G$7:$K$4000,5,0),0)</f>
        <v>0</v>
      </c>
      <c r="F181" s="10">
        <f>IFERROR(VLOOKUP(B181,Sheet1!$G$7:$N$4000,8,0),0)</f>
        <v>0</v>
      </c>
      <c r="G181" s="10">
        <f>IFERROR(VLOOKUP(B181,Sheet1!$G$7:$Q$4000,11,0),0)</f>
        <v>0</v>
      </c>
      <c r="H181" s="7">
        <f t="shared" si="97"/>
        <v>0</v>
      </c>
      <c r="I181" s="11" t="str">
        <f t="shared" si="99"/>
        <v/>
      </c>
      <c r="J181" s="11" t="str">
        <f t="shared" si="100"/>
        <v/>
      </c>
      <c r="K181" s="11" t="str">
        <f t="shared" si="101"/>
        <v/>
      </c>
      <c r="L181" s="11" t="str">
        <f t="shared" si="102"/>
        <v/>
      </c>
      <c r="M181" s="12" t="str">
        <f t="shared" si="98"/>
        <v/>
      </c>
      <c r="O181">
        <v>7</v>
      </c>
      <c r="P181">
        <f>Sheet1!$A$1</f>
        <v>1</v>
      </c>
    </row>
    <row r="182" spans="1:16">
      <c r="A182" s="9">
        <f t="shared" si="90"/>
        <v>579</v>
      </c>
      <c r="B182" s="13" t="str">
        <f t="shared" si="91"/>
        <v>Aug-1-MA</v>
      </c>
      <c r="C182" s="7">
        <f t="shared" si="96"/>
        <v>0</v>
      </c>
      <c r="D182" s="10">
        <f>IFERROR(VLOOKUP(B182,Sheet1!$G$7:$J$4000,4,0),0)</f>
        <v>0</v>
      </c>
      <c r="E182" s="10">
        <f>IFERROR(VLOOKUP(B182,Sheet1!$G$7:$K$4000,5,0),0)</f>
        <v>0</v>
      </c>
      <c r="F182" s="10">
        <f>IFERROR(VLOOKUP(B182,Sheet1!$G$7:$N$4000,8,0),0)</f>
        <v>0</v>
      </c>
      <c r="G182" s="10">
        <f>IFERROR(VLOOKUP(B182,Sheet1!$G$7:$Q$4000,11,0),0)</f>
        <v>0</v>
      </c>
      <c r="H182" s="7">
        <f t="shared" si="97"/>
        <v>0</v>
      </c>
      <c r="I182" s="11" t="str">
        <f t="shared" si="99"/>
        <v/>
      </c>
      <c r="J182" s="11" t="str">
        <f t="shared" si="100"/>
        <v/>
      </c>
      <c r="K182" s="11" t="str">
        <f t="shared" si="101"/>
        <v/>
      </c>
      <c r="L182" s="11" t="str">
        <f t="shared" si="102"/>
        <v/>
      </c>
      <c r="M182" s="12" t="str">
        <f t="shared" si="98"/>
        <v/>
      </c>
      <c r="O182">
        <v>8</v>
      </c>
      <c r="P182">
        <f>Sheet1!$A$1</f>
        <v>1</v>
      </c>
    </row>
    <row r="183" spans="1:16">
      <c r="A183" s="9">
        <f t="shared" si="90"/>
        <v>610</v>
      </c>
      <c r="B183" s="13" t="str">
        <f t="shared" si="91"/>
        <v>Sep-1-MA</v>
      </c>
      <c r="C183" s="7">
        <f t="shared" si="96"/>
        <v>0</v>
      </c>
      <c r="D183" s="10">
        <f>IFERROR(VLOOKUP(B183,Sheet1!$G$7:$J$4000,4,0),0)</f>
        <v>0</v>
      </c>
      <c r="E183" s="10">
        <f>IFERROR(VLOOKUP(B183,Sheet1!$G$7:$K$4000,5,0),0)</f>
        <v>0</v>
      </c>
      <c r="F183" s="10">
        <f>IFERROR(VLOOKUP(B183,Sheet1!$G$7:$N$4000,8,0),0)</f>
        <v>0</v>
      </c>
      <c r="G183" s="10">
        <f>IFERROR(VLOOKUP(B183,Sheet1!$G$7:$Q$4000,11,0),0)</f>
        <v>0</v>
      </c>
      <c r="H183" s="7">
        <f t="shared" si="97"/>
        <v>0</v>
      </c>
      <c r="I183" s="11" t="str">
        <f t="shared" si="99"/>
        <v/>
      </c>
      <c r="J183" s="11" t="str">
        <f t="shared" si="100"/>
        <v/>
      </c>
      <c r="K183" s="11" t="str">
        <f t="shared" si="101"/>
        <v/>
      </c>
      <c r="L183" s="11" t="str">
        <f t="shared" si="102"/>
        <v/>
      </c>
      <c r="M183" s="12" t="str">
        <f t="shared" si="98"/>
        <v/>
      </c>
      <c r="O183">
        <v>9</v>
      </c>
      <c r="P183">
        <f>Sheet1!$A$1</f>
        <v>1</v>
      </c>
    </row>
    <row r="184" spans="1:16">
      <c r="A184" s="9">
        <f t="shared" si="90"/>
        <v>640</v>
      </c>
      <c r="B184" s="13" t="str">
        <f t="shared" si="91"/>
        <v>Oct-1-MA</v>
      </c>
      <c r="C184" s="7">
        <f t="shared" si="96"/>
        <v>0</v>
      </c>
      <c r="D184" s="10">
        <f>IFERROR(VLOOKUP(B184,Sheet1!$G$7:$J$4000,4,0),0)</f>
        <v>0</v>
      </c>
      <c r="E184" s="10">
        <f>IFERROR(VLOOKUP(B184,Sheet1!$G$7:$K$4000,5,0),0)</f>
        <v>0</v>
      </c>
      <c r="F184" s="10">
        <f>IFERROR(VLOOKUP(B184,Sheet1!$G$7:$N$4000,8,0),0)</f>
        <v>0</v>
      </c>
      <c r="G184" s="10">
        <f>IFERROR(VLOOKUP(B184,Sheet1!$G$7:$Q$4000,11,0),0)</f>
        <v>0</v>
      </c>
      <c r="H184" s="7">
        <f t="shared" si="97"/>
        <v>0</v>
      </c>
      <c r="I184" s="11" t="str">
        <f t="shared" si="99"/>
        <v/>
      </c>
      <c r="J184" s="11" t="str">
        <f t="shared" si="100"/>
        <v/>
      </c>
      <c r="K184" s="11" t="str">
        <f t="shared" si="101"/>
        <v/>
      </c>
      <c r="L184" s="11" t="str">
        <f t="shared" si="102"/>
        <v/>
      </c>
      <c r="M184" s="12" t="str">
        <f t="shared" si="98"/>
        <v/>
      </c>
      <c r="O184">
        <v>10</v>
      </c>
      <c r="P184">
        <f>Sheet1!$A$1</f>
        <v>1</v>
      </c>
    </row>
    <row r="185" spans="1:16">
      <c r="A185" s="9">
        <f t="shared" si="90"/>
        <v>671</v>
      </c>
      <c r="B185" s="13" t="str">
        <f t="shared" si="91"/>
        <v>Nov-1-MA</v>
      </c>
      <c r="C185" s="7">
        <f t="shared" si="96"/>
        <v>0</v>
      </c>
      <c r="D185" s="10">
        <f>IFERROR(VLOOKUP(B185,Sheet1!$G$7:$J$4000,4,0),0)</f>
        <v>0</v>
      </c>
      <c r="E185" s="10">
        <f>IFERROR(VLOOKUP(B185,Sheet1!$G$7:$K$4000,5,0),0)</f>
        <v>0</v>
      </c>
      <c r="F185" s="10">
        <f>IFERROR(VLOOKUP(B185,Sheet1!$G$7:$N$4000,8,0),0)</f>
        <v>0</v>
      </c>
      <c r="G185" s="10">
        <f>IFERROR(VLOOKUP(B185,Sheet1!$G$7:$Q$4000,11,0),0)</f>
        <v>0</v>
      </c>
      <c r="H185" s="7">
        <f t="shared" si="97"/>
        <v>0</v>
      </c>
      <c r="I185" s="11" t="str">
        <f t="shared" si="99"/>
        <v/>
      </c>
      <c r="J185" s="11" t="str">
        <f t="shared" si="100"/>
        <v/>
      </c>
      <c r="K185" s="11" t="str">
        <f t="shared" si="101"/>
        <v/>
      </c>
      <c r="L185" s="11" t="str">
        <f t="shared" si="102"/>
        <v/>
      </c>
      <c r="M185" s="12" t="str">
        <f t="shared" si="98"/>
        <v/>
      </c>
      <c r="O185">
        <v>11</v>
      </c>
      <c r="P185">
        <f>Sheet1!$A$1</f>
        <v>1</v>
      </c>
    </row>
    <row r="186" spans="1:16">
      <c r="A186" s="9">
        <f t="shared" si="90"/>
        <v>701</v>
      </c>
      <c r="B186" s="13" t="str">
        <f t="shared" si="91"/>
        <v>Dec-1-MA</v>
      </c>
      <c r="C186" s="7">
        <f t="shared" si="96"/>
        <v>0</v>
      </c>
      <c r="D186" s="10">
        <f>IFERROR(VLOOKUP(B186,Sheet1!$G$7:$J$4000,4,0),0)</f>
        <v>0</v>
      </c>
      <c r="E186" s="10">
        <f>IFERROR(VLOOKUP(B186,Sheet1!$G$7:$K$4000,5,0),0)</f>
        <v>0</v>
      </c>
      <c r="F186" s="10">
        <f>IFERROR(VLOOKUP(B186,Sheet1!$G$7:$N$4000,8,0),0)</f>
        <v>0</v>
      </c>
      <c r="G186" s="10">
        <f>IFERROR(VLOOKUP(B186,Sheet1!$G$7:$Q$4000,11,0),0)</f>
        <v>0</v>
      </c>
      <c r="H186" s="7">
        <f t="shared" si="97"/>
        <v>0</v>
      </c>
      <c r="I186" s="11" t="str">
        <f t="shared" si="99"/>
        <v/>
      </c>
      <c r="J186" s="11" t="str">
        <f t="shared" si="100"/>
        <v/>
      </c>
      <c r="K186" s="11" t="str">
        <f t="shared" si="101"/>
        <v/>
      </c>
      <c r="L186" s="11" t="str">
        <f t="shared" si="102"/>
        <v/>
      </c>
      <c r="M186" s="12" t="str">
        <f t="shared" si="98"/>
        <v/>
      </c>
      <c r="O186">
        <v>12</v>
      </c>
      <c r="P186">
        <f>Sheet1!$A$1</f>
        <v>1</v>
      </c>
    </row>
    <row r="187" spans="1:16">
      <c r="A187" s="4"/>
      <c r="B187" s="4"/>
      <c r="C187" s="4"/>
      <c r="D187" s="4"/>
      <c r="E187" s="4"/>
      <c r="F187" s="4"/>
      <c r="G187" s="4"/>
      <c r="H187" s="4"/>
      <c r="I187" s="5"/>
      <c r="J187" s="5"/>
      <c r="K187" s="5"/>
      <c r="L187" s="5"/>
      <c r="M187" s="5"/>
    </row>
    <row r="188" spans="1:16" ht="30" customHeight="1">
      <c r="A188" s="6" t="s">
        <v>74</v>
      </c>
      <c r="B188" s="20"/>
      <c r="C188" s="95" t="s">
        <v>35</v>
      </c>
      <c r="D188" s="96"/>
      <c r="E188" s="96"/>
      <c r="F188" s="96"/>
      <c r="G188" s="96"/>
      <c r="H188" s="97"/>
      <c r="I188" s="98" t="s">
        <v>36</v>
      </c>
      <c r="J188" s="99"/>
      <c r="K188" s="99"/>
      <c r="L188" s="99"/>
      <c r="M188" s="100"/>
      <c r="O188">
        <v>7</v>
      </c>
      <c r="P188" s="21" t="s">
        <v>43</v>
      </c>
    </row>
    <row r="189" spans="1:16" ht="102">
      <c r="A189" s="7" t="s">
        <v>89</v>
      </c>
      <c r="B189" s="7"/>
      <c r="C189" s="8" t="s">
        <v>132</v>
      </c>
      <c r="D189" s="8" t="s">
        <v>133</v>
      </c>
      <c r="E189" s="8" t="s">
        <v>134</v>
      </c>
      <c r="F189" s="8" t="s">
        <v>135</v>
      </c>
      <c r="G189" s="8" t="s">
        <v>136</v>
      </c>
      <c r="H189" s="8" t="s">
        <v>137</v>
      </c>
      <c r="I189" s="27" t="s">
        <v>138</v>
      </c>
      <c r="J189" s="27" t="s">
        <v>139</v>
      </c>
      <c r="K189" s="27" t="s">
        <v>140</v>
      </c>
      <c r="L189" s="27" t="s">
        <v>136</v>
      </c>
      <c r="M189" s="27" t="s">
        <v>141</v>
      </c>
    </row>
    <row r="190" spans="1:16">
      <c r="A190" s="9">
        <f>DATE(P190,O190,1)</f>
        <v>1</v>
      </c>
      <c r="B190" s="13" t="str">
        <f>TEXT(O190*29,"mmm")&amp;"-" &amp; P190&amp;"-"&amp;$P$188</f>
        <v>Jan-0-Melt</v>
      </c>
      <c r="C190" s="7">
        <f t="shared" ref="C190:C201" si="103">SUM(D190:G190)</f>
        <v>0</v>
      </c>
      <c r="D190" s="10">
        <f>IFERROR(VLOOKUP(B190,Sheet1!$G$7:$J$4000,4,0),0)</f>
        <v>0</v>
      </c>
      <c r="E190" s="10">
        <f>IFERROR(VLOOKUP(B190,Sheet1!$G$7:$K$4000,5,0),0)</f>
        <v>0</v>
      </c>
      <c r="F190" s="10">
        <f>IFERROR(VLOOKUP(B190,Sheet1!$G$7:$N$4000,8,0),0)</f>
        <v>0</v>
      </c>
      <c r="G190" s="10">
        <f>IFERROR(VLOOKUP(B190,Sheet1!$G$7:$Q$4000,11,0),0)</f>
        <v>0</v>
      </c>
      <c r="H190" s="7">
        <f t="shared" ref="H190:H201" si="104">D190+E190</f>
        <v>0</v>
      </c>
      <c r="I190" s="11" t="str">
        <f>IFERROR(D190/C190*100%,"")</f>
        <v/>
      </c>
      <c r="J190" s="11" t="str">
        <f>IFERROR(E190/C190*100%,"")</f>
        <v/>
      </c>
      <c r="K190" s="11" t="str">
        <f>IFERROR(F190/C190*100%,"")</f>
        <v/>
      </c>
      <c r="L190" s="11" t="str">
        <f>IFERROR(F190/C190*100%,"")</f>
        <v/>
      </c>
      <c r="M190" s="12" t="str">
        <f t="shared" ref="M190:M201" si="105">IFERROR(I190+J190,"")</f>
        <v/>
      </c>
      <c r="O190">
        <v>1</v>
      </c>
      <c r="P190">
        <f>Sheet1!$A$1-1</f>
        <v>0</v>
      </c>
    </row>
    <row r="191" spans="1:16">
      <c r="A191" s="9">
        <f t="shared" ref="A191:A213" si="106">DATE(P191,O191,1)</f>
        <v>32</v>
      </c>
      <c r="B191" s="13" t="str">
        <f t="shared" ref="B191:B213" si="107">TEXT(O191*29,"mmm")&amp;"-" &amp; P191&amp;"-"&amp;$P$188</f>
        <v>Feb-0-Melt</v>
      </c>
      <c r="C191" s="7">
        <f t="shared" si="103"/>
        <v>0</v>
      </c>
      <c r="D191" s="10">
        <f>IFERROR(VLOOKUP(B191,Sheet1!$G$7:$J$4000,4,0),0)</f>
        <v>0</v>
      </c>
      <c r="E191" s="10">
        <f>IFERROR(VLOOKUP(B191,Sheet1!$G$7:$K$4000,5,0),0)</f>
        <v>0</v>
      </c>
      <c r="F191" s="10">
        <f>IFERROR(VLOOKUP(B191,Sheet1!$G$7:$N$4000,8,0),0)</f>
        <v>0</v>
      </c>
      <c r="G191" s="10">
        <f>IFERROR(VLOOKUP(B191,Sheet1!$G$7:$Q$4000,11,0),0)</f>
        <v>0</v>
      </c>
      <c r="H191" s="7">
        <f t="shared" si="104"/>
        <v>0</v>
      </c>
      <c r="I191" s="11" t="str">
        <f t="shared" ref="I191:I201" si="108">IFERROR(D191/C191*100%,"")</f>
        <v/>
      </c>
      <c r="J191" s="11" t="str">
        <f t="shared" ref="J191:J201" si="109">IFERROR(E191/C191*100%,"")</f>
        <v/>
      </c>
      <c r="K191" s="11" t="str">
        <f t="shared" ref="K191:K201" si="110">IFERROR(F191/C191*100%,"")</f>
        <v/>
      </c>
      <c r="L191" s="11" t="str">
        <f t="shared" ref="L191:L201" si="111">IFERROR(F191/C191*100%,"")</f>
        <v/>
      </c>
      <c r="M191" s="12" t="str">
        <f t="shared" si="105"/>
        <v/>
      </c>
      <c r="O191">
        <v>2</v>
      </c>
      <c r="P191">
        <f>Sheet1!$A$1-1</f>
        <v>0</v>
      </c>
    </row>
    <row r="192" spans="1:16">
      <c r="A192" s="9">
        <f t="shared" si="106"/>
        <v>61</v>
      </c>
      <c r="B192" s="13" t="str">
        <f t="shared" si="107"/>
        <v>Mar-0-Melt</v>
      </c>
      <c r="C192" s="7">
        <f t="shared" si="103"/>
        <v>0</v>
      </c>
      <c r="D192" s="10">
        <f>IFERROR(VLOOKUP(B192,Sheet1!$G$7:$J$4000,4,0),0)</f>
        <v>0</v>
      </c>
      <c r="E192" s="10">
        <f>IFERROR(VLOOKUP(B192,Sheet1!$G$7:$K$4000,5,0),0)</f>
        <v>0</v>
      </c>
      <c r="F192" s="10">
        <f>IFERROR(VLOOKUP(B192,Sheet1!$G$7:$N$4000,8,0),0)</f>
        <v>0</v>
      </c>
      <c r="G192" s="10">
        <f>IFERROR(VLOOKUP(B192,Sheet1!$G$7:$Q$4000,11,0),0)</f>
        <v>0</v>
      </c>
      <c r="H192" s="7">
        <f t="shared" si="104"/>
        <v>0</v>
      </c>
      <c r="I192" s="11" t="str">
        <f t="shared" si="108"/>
        <v/>
      </c>
      <c r="J192" s="11" t="str">
        <f t="shared" si="109"/>
        <v/>
      </c>
      <c r="K192" s="11" t="str">
        <f t="shared" si="110"/>
        <v/>
      </c>
      <c r="L192" s="11" t="str">
        <f t="shared" si="111"/>
        <v/>
      </c>
      <c r="M192" s="12" t="str">
        <f t="shared" si="105"/>
        <v/>
      </c>
      <c r="O192">
        <v>3</v>
      </c>
      <c r="P192">
        <f>Sheet1!$A$1-1</f>
        <v>0</v>
      </c>
    </row>
    <row r="193" spans="1:16">
      <c r="A193" s="9">
        <f t="shared" si="106"/>
        <v>92</v>
      </c>
      <c r="B193" s="13" t="str">
        <f t="shared" si="107"/>
        <v>Apr-0-Melt</v>
      </c>
      <c r="C193" s="7">
        <f t="shared" si="103"/>
        <v>0</v>
      </c>
      <c r="D193" s="10">
        <f>IFERROR(VLOOKUP(B193,Sheet1!$G$7:$J$4000,4,0),0)</f>
        <v>0</v>
      </c>
      <c r="E193" s="10">
        <f>IFERROR(VLOOKUP(B193,Sheet1!$G$7:$K$4000,5,0),0)</f>
        <v>0</v>
      </c>
      <c r="F193" s="10">
        <f>IFERROR(VLOOKUP(B193,Sheet1!$G$7:$N$4000,8,0),0)</f>
        <v>0</v>
      </c>
      <c r="G193" s="10">
        <f>IFERROR(VLOOKUP(B193,Sheet1!$G$7:$Q$4000,11,0),0)</f>
        <v>0</v>
      </c>
      <c r="H193" s="7">
        <f t="shared" si="104"/>
        <v>0</v>
      </c>
      <c r="I193" s="11" t="str">
        <f t="shared" si="108"/>
        <v/>
      </c>
      <c r="J193" s="11" t="str">
        <f t="shared" si="109"/>
        <v/>
      </c>
      <c r="K193" s="11" t="str">
        <f t="shared" si="110"/>
        <v/>
      </c>
      <c r="L193" s="11" t="str">
        <f t="shared" si="111"/>
        <v/>
      </c>
      <c r="M193" s="12" t="str">
        <f t="shared" si="105"/>
        <v/>
      </c>
      <c r="O193">
        <v>4</v>
      </c>
      <c r="P193">
        <f>Sheet1!$A$1-1</f>
        <v>0</v>
      </c>
    </row>
    <row r="194" spans="1:16">
      <c r="A194" s="9">
        <f t="shared" si="106"/>
        <v>122</v>
      </c>
      <c r="B194" s="13" t="str">
        <f t="shared" si="107"/>
        <v>May-0-Melt</v>
      </c>
      <c r="C194" s="7">
        <f t="shared" si="103"/>
        <v>0</v>
      </c>
      <c r="D194" s="10">
        <f>IFERROR(VLOOKUP(B194,Sheet1!$G$7:$J$4000,4,0),0)</f>
        <v>0</v>
      </c>
      <c r="E194" s="10">
        <f>IFERROR(VLOOKUP(B194,Sheet1!$G$7:$K$4000,5,0),0)</f>
        <v>0</v>
      </c>
      <c r="F194" s="10">
        <f>IFERROR(VLOOKUP(B194,Sheet1!$G$7:$N$4000,8,0),0)</f>
        <v>0</v>
      </c>
      <c r="G194" s="10">
        <f>IFERROR(VLOOKUP(B194,Sheet1!$G$7:$Q$4000,11,0),0)</f>
        <v>0</v>
      </c>
      <c r="H194" s="7">
        <f t="shared" si="104"/>
        <v>0</v>
      </c>
      <c r="I194" s="11" t="str">
        <f t="shared" si="108"/>
        <v/>
      </c>
      <c r="J194" s="11" t="str">
        <f t="shared" si="109"/>
        <v/>
      </c>
      <c r="K194" s="11" t="str">
        <f t="shared" si="110"/>
        <v/>
      </c>
      <c r="L194" s="11" t="str">
        <f t="shared" si="111"/>
        <v/>
      </c>
      <c r="M194" s="12" t="str">
        <f t="shared" si="105"/>
        <v/>
      </c>
      <c r="O194">
        <v>5</v>
      </c>
      <c r="P194">
        <f>Sheet1!$A$1-1</f>
        <v>0</v>
      </c>
    </row>
    <row r="195" spans="1:16">
      <c r="A195" s="9">
        <f t="shared" si="106"/>
        <v>153</v>
      </c>
      <c r="B195" s="13" t="str">
        <f t="shared" si="107"/>
        <v>Jun-0-Melt</v>
      </c>
      <c r="C195" s="7">
        <f t="shared" si="103"/>
        <v>0</v>
      </c>
      <c r="D195" s="10">
        <f>IFERROR(VLOOKUP(B195,Sheet1!$G$7:$J$4000,4,0),0)</f>
        <v>0</v>
      </c>
      <c r="E195" s="10">
        <f>IFERROR(VLOOKUP(B195,Sheet1!$G$7:$K$4000,5,0),0)</f>
        <v>0</v>
      </c>
      <c r="F195" s="10">
        <f>IFERROR(VLOOKUP(B195,Sheet1!$G$7:$N$4000,8,0),0)</f>
        <v>0</v>
      </c>
      <c r="G195" s="10">
        <f>IFERROR(VLOOKUP(B195,Sheet1!$G$7:$Q$4000,11,0),0)</f>
        <v>0</v>
      </c>
      <c r="H195" s="7">
        <f t="shared" si="104"/>
        <v>0</v>
      </c>
      <c r="I195" s="11" t="str">
        <f t="shared" si="108"/>
        <v/>
      </c>
      <c r="J195" s="11" t="str">
        <f t="shared" si="109"/>
        <v/>
      </c>
      <c r="K195" s="11" t="str">
        <f t="shared" si="110"/>
        <v/>
      </c>
      <c r="L195" s="11" t="str">
        <f t="shared" si="111"/>
        <v/>
      </c>
      <c r="M195" s="12" t="str">
        <f t="shared" si="105"/>
        <v/>
      </c>
      <c r="O195">
        <v>6</v>
      </c>
      <c r="P195">
        <f>Sheet1!$A$1-1</f>
        <v>0</v>
      </c>
    </row>
    <row r="196" spans="1:16">
      <c r="A196" s="9">
        <f t="shared" si="106"/>
        <v>183</v>
      </c>
      <c r="B196" s="13" t="str">
        <f t="shared" si="107"/>
        <v>Jul-0-Melt</v>
      </c>
      <c r="C196" s="7">
        <f t="shared" si="103"/>
        <v>0</v>
      </c>
      <c r="D196" s="10">
        <f>IFERROR(VLOOKUP(B196,Sheet1!$G$7:$J$4000,4,0),0)</f>
        <v>0</v>
      </c>
      <c r="E196" s="10">
        <f>IFERROR(VLOOKUP(B196,Sheet1!$G$7:$K$4000,5,0),0)</f>
        <v>0</v>
      </c>
      <c r="F196" s="10">
        <f>IFERROR(VLOOKUP(B196,Sheet1!$G$7:$N$4000,8,0),0)</f>
        <v>0</v>
      </c>
      <c r="G196" s="10">
        <f>IFERROR(VLOOKUP(B196,Sheet1!$G$7:$Q$4000,11,0),0)</f>
        <v>0</v>
      </c>
      <c r="H196" s="7">
        <f t="shared" si="104"/>
        <v>0</v>
      </c>
      <c r="I196" s="11" t="str">
        <f t="shared" si="108"/>
        <v/>
      </c>
      <c r="J196" s="11" t="str">
        <f t="shared" si="109"/>
        <v/>
      </c>
      <c r="K196" s="11" t="str">
        <f t="shared" si="110"/>
        <v/>
      </c>
      <c r="L196" s="11" t="str">
        <f t="shared" si="111"/>
        <v/>
      </c>
      <c r="M196" s="12" t="str">
        <f t="shared" si="105"/>
        <v/>
      </c>
      <c r="O196">
        <v>7</v>
      </c>
      <c r="P196">
        <f>Sheet1!$A$1-1</f>
        <v>0</v>
      </c>
    </row>
    <row r="197" spans="1:16">
      <c r="A197" s="9">
        <f t="shared" si="106"/>
        <v>214</v>
      </c>
      <c r="B197" s="13" t="str">
        <f t="shared" si="107"/>
        <v>Aug-0-Melt</v>
      </c>
      <c r="C197" s="7">
        <f t="shared" si="103"/>
        <v>0</v>
      </c>
      <c r="D197" s="10">
        <f>IFERROR(VLOOKUP(B197,Sheet1!$G$7:$J$4000,4,0),0)</f>
        <v>0</v>
      </c>
      <c r="E197" s="10">
        <f>IFERROR(VLOOKUP(B197,Sheet1!$G$7:$K$4000,5,0),0)</f>
        <v>0</v>
      </c>
      <c r="F197" s="10">
        <f>IFERROR(VLOOKUP(B197,Sheet1!$G$7:$N$4000,8,0),0)</f>
        <v>0</v>
      </c>
      <c r="G197" s="10">
        <f>IFERROR(VLOOKUP(B197,Sheet1!$G$7:$Q$4000,11,0),0)</f>
        <v>0</v>
      </c>
      <c r="H197" s="7">
        <f t="shared" si="104"/>
        <v>0</v>
      </c>
      <c r="I197" s="11" t="str">
        <f t="shared" si="108"/>
        <v/>
      </c>
      <c r="J197" s="11" t="str">
        <f t="shared" si="109"/>
        <v/>
      </c>
      <c r="K197" s="11" t="str">
        <f t="shared" si="110"/>
        <v/>
      </c>
      <c r="L197" s="11" t="str">
        <f t="shared" si="111"/>
        <v/>
      </c>
      <c r="M197" s="12" t="str">
        <f t="shared" si="105"/>
        <v/>
      </c>
      <c r="O197">
        <v>8</v>
      </c>
      <c r="P197">
        <f>Sheet1!$A$1-1</f>
        <v>0</v>
      </c>
    </row>
    <row r="198" spans="1:16">
      <c r="A198" s="9">
        <f t="shared" si="106"/>
        <v>245</v>
      </c>
      <c r="B198" s="13" t="str">
        <f t="shared" si="107"/>
        <v>Sep-0-Melt</v>
      </c>
      <c r="C198" s="7">
        <f t="shared" si="103"/>
        <v>0</v>
      </c>
      <c r="D198" s="10">
        <f>IFERROR(VLOOKUP(B198,Sheet1!$G$7:$J$4000,4,0),0)</f>
        <v>0</v>
      </c>
      <c r="E198" s="10">
        <f>IFERROR(VLOOKUP(B198,Sheet1!$G$7:$K$4000,5,0),0)</f>
        <v>0</v>
      </c>
      <c r="F198" s="10">
        <f>IFERROR(VLOOKUP(B198,Sheet1!$G$7:$N$4000,8,0),0)</f>
        <v>0</v>
      </c>
      <c r="G198" s="10">
        <f>IFERROR(VLOOKUP(B198,Sheet1!$G$7:$Q$4000,11,0),0)</f>
        <v>0</v>
      </c>
      <c r="H198" s="7">
        <f t="shared" si="104"/>
        <v>0</v>
      </c>
      <c r="I198" s="11" t="str">
        <f t="shared" si="108"/>
        <v/>
      </c>
      <c r="J198" s="11" t="str">
        <f t="shared" si="109"/>
        <v/>
      </c>
      <c r="K198" s="11" t="str">
        <f t="shared" si="110"/>
        <v/>
      </c>
      <c r="L198" s="11" t="str">
        <f t="shared" si="111"/>
        <v/>
      </c>
      <c r="M198" s="12" t="str">
        <f t="shared" si="105"/>
        <v/>
      </c>
      <c r="O198">
        <v>9</v>
      </c>
      <c r="P198">
        <f>Sheet1!$A$1-1</f>
        <v>0</v>
      </c>
    </row>
    <row r="199" spans="1:16">
      <c r="A199" s="9">
        <f t="shared" si="106"/>
        <v>275</v>
      </c>
      <c r="B199" s="13" t="str">
        <f t="shared" si="107"/>
        <v>Oct-0-Melt</v>
      </c>
      <c r="C199" s="7">
        <f t="shared" si="103"/>
        <v>0</v>
      </c>
      <c r="D199" s="10">
        <f>IFERROR(VLOOKUP(B199,Sheet1!$G$7:$J$4000,4,0),0)</f>
        <v>0</v>
      </c>
      <c r="E199" s="10">
        <f>IFERROR(VLOOKUP(B199,Sheet1!$G$7:$K$4000,5,0),0)</f>
        <v>0</v>
      </c>
      <c r="F199" s="10">
        <f>IFERROR(VLOOKUP(B199,Sheet1!$G$7:$N$4000,8,0),0)</f>
        <v>0</v>
      </c>
      <c r="G199" s="10">
        <f>IFERROR(VLOOKUP(B199,Sheet1!$G$7:$Q$4000,11,0),0)</f>
        <v>0</v>
      </c>
      <c r="H199" s="7">
        <f t="shared" si="104"/>
        <v>0</v>
      </c>
      <c r="I199" s="11" t="str">
        <f t="shared" si="108"/>
        <v/>
      </c>
      <c r="J199" s="11" t="str">
        <f t="shared" si="109"/>
        <v/>
      </c>
      <c r="K199" s="11" t="str">
        <f t="shared" si="110"/>
        <v/>
      </c>
      <c r="L199" s="11" t="str">
        <f t="shared" si="111"/>
        <v/>
      </c>
      <c r="M199" s="12" t="str">
        <f t="shared" si="105"/>
        <v/>
      </c>
      <c r="O199">
        <v>10</v>
      </c>
      <c r="P199">
        <f>Sheet1!$A$1-1</f>
        <v>0</v>
      </c>
    </row>
    <row r="200" spans="1:16">
      <c r="A200" s="9">
        <f t="shared" si="106"/>
        <v>306</v>
      </c>
      <c r="B200" s="13" t="str">
        <f t="shared" si="107"/>
        <v>Nov-0-Melt</v>
      </c>
      <c r="C200" s="7">
        <f t="shared" si="103"/>
        <v>0</v>
      </c>
      <c r="D200" s="10">
        <f>IFERROR(VLOOKUP(B200,Sheet1!$G$7:$J$4000,4,0),0)</f>
        <v>0</v>
      </c>
      <c r="E200" s="10">
        <f>IFERROR(VLOOKUP(B200,Sheet1!$G$7:$K$4000,5,0),0)</f>
        <v>0</v>
      </c>
      <c r="F200" s="10">
        <f>IFERROR(VLOOKUP(B200,Sheet1!$G$7:$N$4000,8,0),0)</f>
        <v>0</v>
      </c>
      <c r="G200" s="10">
        <f>IFERROR(VLOOKUP(B200,Sheet1!$G$7:$Q$4000,11,0),0)</f>
        <v>0</v>
      </c>
      <c r="H200" s="7">
        <f t="shared" si="104"/>
        <v>0</v>
      </c>
      <c r="I200" s="11" t="str">
        <f t="shared" si="108"/>
        <v/>
      </c>
      <c r="J200" s="11" t="str">
        <f t="shared" si="109"/>
        <v/>
      </c>
      <c r="K200" s="11" t="str">
        <f t="shared" si="110"/>
        <v/>
      </c>
      <c r="L200" s="11" t="str">
        <f t="shared" si="111"/>
        <v/>
      </c>
      <c r="M200" s="12" t="str">
        <f t="shared" si="105"/>
        <v/>
      </c>
      <c r="O200">
        <v>11</v>
      </c>
      <c r="P200">
        <f>Sheet1!$A$1-1</f>
        <v>0</v>
      </c>
    </row>
    <row r="201" spans="1:16">
      <c r="A201" s="9">
        <f t="shared" si="106"/>
        <v>336</v>
      </c>
      <c r="B201" s="13" t="str">
        <f t="shared" si="107"/>
        <v>Dec-0-Melt</v>
      </c>
      <c r="C201" s="7">
        <f t="shared" si="103"/>
        <v>0</v>
      </c>
      <c r="D201" s="10">
        <f>IFERROR(VLOOKUP(B201,Sheet1!$G$7:$J$4000,4,0),0)</f>
        <v>0</v>
      </c>
      <c r="E201" s="10">
        <f>IFERROR(VLOOKUP(B201,Sheet1!$G$7:$K$4000,5,0),0)</f>
        <v>0</v>
      </c>
      <c r="F201" s="10">
        <f>IFERROR(VLOOKUP(B201,Sheet1!$G$7:$N$4000,8,0),0)</f>
        <v>0</v>
      </c>
      <c r="G201" s="10">
        <f>IFERROR(VLOOKUP(B201,Sheet1!$G$7:$Q$4000,11,0),0)</f>
        <v>0</v>
      </c>
      <c r="H201" s="7">
        <f t="shared" si="104"/>
        <v>0</v>
      </c>
      <c r="I201" s="11" t="str">
        <f t="shared" si="108"/>
        <v/>
      </c>
      <c r="J201" s="11" t="str">
        <f t="shared" si="109"/>
        <v/>
      </c>
      <c r="K201" s="11" t="str">
        <f t="shared" si="110"/>
        <v/>
      </c>
      <c r="L201" s="11" t="str">
        <f t="shared" si="111"/>
        <v/>
      </c>
      <c r="M201" s="12" t="str">
        <f t="shared" si="105"/>
        <v/>
      </c>
      <c r="O201">
        <v>12</v>
      </c>
      <c r="P201">
        <f>Sheet1!$A$1-1</f>
        <v>0</v>
      </c>
    </row>
    <row r="202" spans="1:16">
      <c r="A202" s="9">
        <f t="shared" si="106"/>
        <v>367</v>
      </c>
      <c r="B202" s="13" t="str">
        <f t="shared" si="107"/>
        <v>Jan-1-Melt</v>
      </c>
      <c r="C202" s="7">
        <f t="shared" ref="C202:C213" si="112">SUM(D202:G202)</f>
        <v>0</v>
      </c>
      <c r="D202" s="10">
        <f>IFERROR(VLOOKUP(B202,Sheet1!$G$7:$J$4000,4,0),0)</f>
        <v>0</v>
      </c>
      <c r="E202" s="10">
        <f>IFERROR(VLOOKUP(B202,Sheet1!$G$7:$K$4000,5,0),0)</f>
        <v>0</v>
      </c>
      <c r="F202" s="10">
        <f>IFERROR(VLOOKUP(B202,Sheet1!$G$7:$N$4000,8,0),0)</f>
        <v>0</v>
      </c>
      <c r="G202" s="10">
        <f>IFERROR(VLOOKUP(B202,Sheet1!$G$7:$Q$4000,11,0),0)</f>
        <v>0</v>
      </c>
      <c r="H202" s="7">
        <f t="shared" ref="H202:H213" si="113">D202+E202</f>
        <v>0</v>
      </c>
      <c r="I202" s="11" t="str">
        <f>IFERROR(D202/C202*100%,"")</f>
        <v/>
      </c>
      <c r="J202" s="11" t="str">
        <f>IFERROR(E202/C202*100%,"")</f>
        <v/>
      </c>
      <c r="K202" s="11" t="str">
        <f>IFERROR(F202/C202*100%,"")</f>
        <v/>
      </c>
      <c r="L202" s="11" t="str">
        <f>IFERROR(F202/C202*100%,"")</f>
        <v/>
      </c>
      <c r="M202" s="12" t="str">
        <f t="shared" ref="M202:M213" si="114">IFERROR(I202+J202,"")</f>
        <v/>
      </c>
      <c r="O202">
        <v>1</v>
      </c>
      <c r="P202">
        <f>Sheet1!$A$1</f>
        <v>1</v>
      </c>
    </row>
    <row r="203" spans="1:16">
      <c r="A203" s="9">
        <f t="shared" si="106"/>
        <v>398</v>
      </c>
      <c r="B203" s="13" t="str">
        <f t="shared" si="107"/>
        <v>Feb-1-Melt</v>
      </c>
      <c r="C203" s="7">
        <f t="shared" si="112"/>
        <v>0</v>
      </c>
      <c r="D203" s="10">
        <f>IFERROR(VLOOKUP(B203,Sheet1!$G$7:$J$4000,4,0),0)</f>
        <v>0</v>
      </c>
      <c r="E203" s="10">
        <f>IFERROR(VLOOKUP(B203,Sheet1!$G$7:$K$4000,5,0),0)</f>
        <v>0</v>
      </c>
      <c r="F203" s="10">
        <f>IFERROR(VLOOKUP(B203,Sheet1!$G$7:$N$4000,8,0),0)</f>
        <v>0</v>
      </c>
      <c r="G203" s="10">
        <f>IFERROR(VLOOKUP(B203,Sheet1!$G$7:$Q$4000,11,0),0)</f>
        <v>0</v>
      </c>
      <c r="H203" s="7">
        <f t="shared" si="113"/>
        <v>0</v>
      </c>
      <c r="I203" s="11" t="str">
        <f t="shared" ref="I203:I213" si="115">IFERROR(D203/C203*100%,"")</f>
        <v/>
      </c>
      <c r="J203" s="11" t="str">
        <f t="shared" ref="J203:J213" si="116">IFERROR(E203/C203*100%,"")</f>
        <v/>
      </c>
      <c r="K203" s="11" t="str">
        <f t="shared" ref="K203:K213" si="117">IFERROR(F203/C203*100%,"")</f>
        <v/>
      </c>
      <c r="L203" s="11" t="str">
        <f t="shared" ref="L203:L213" si="118">IFERROR(F203/C203*100%,"")</f>
        <v/>
      </c>
      <c r="M203" s="12" t="str">
        <f t="shared" si="114"/>
        <v/>
      </c>
      <c r="O203">
        <v>2</v>
      </c>
      <c r="P203">
        <f>Sheet1!$A$1</f>
        <v>1</v>
      </c>
    </row>
    <row r="204" spans="1:16">
      <c r="A204" s="9">
        <f t="shared" si="106"/>
        <v>426</v>
      </c>
      <c r="B204" s="13" t="str">
        <f t="shared" si="107"/>
        <v>Mar-1-Melt</v>
      </c>
      <c r="C204" s="7">
        <f t="shared" si="112"/>
        <v>0</v>
      </c>
      <c r="D204" s="10">
        <f>IFERROR(VLOOKUP(B204,Sheet1!$G$7:$J$4000,4,0),0)</f>
        <v>0</v>
      </c>
      <c r="E204" s="10">
        <f>IFERROR(VLOOKUP(B204,Sheet1!$G$7:$K$4000,5,0),0)</f>
        <v>0</v>
      </c>
      <c r="F204" s="10">
        <f>IFERROR(VLOOKUP(B204,Sheet1!$G$7:$N$4000,8,0),0)</f>
        <v>0</v>
      </c>
      <c r="G204" s="10">
        <f>IFERROR(VLOOKUP(B204,Sheet1!$G$7:$Q$4000,11,0),0)</f>
        <v>0</v>
      </c>
      <c r="H204" s="7">
        <f t="shared" si="113"/>
        <v>0</v>
      </c>
      <c r="I204" s="11" t="str">
        <f t="shared" si="115"/>
        <v/>
      </c>
      <c r="J204" s="11" t="str">
        <f t="shared" si="116"/>
        <v/>
      </c>
      <c r="K204" s="11" t="str">
        <f t="shared" si="117"/>
        <v/>
      </c>
      <c r="L204" s="11" t="str">
        <f t="shared" si="118"/>
        <v/>
      </c>
      <c r="M204" s="12" t="str">
        <f t="shared" si="114"/>
        <v/>
      </c>
      <c r="O204">
        <v>3</v>
      </c>
      <c r="P204">
        <f>Sheet1!$A$1</f>
        <v>1</v>
      </c>
    </row>
    <row r="205" spans="1:16">
      <c r="A205" s="9">
        <f t="shared" si="106"/>
        <v>457</v>
      </c>
      <c r="B205" s="13" t="str">
        <f t="shared" si="107"/>
        <v>Apr-1-Melt</v>
      </c>
      <c r="C205" s="7">
        <f t="shared" si="112"/>
        <v>0</v>
      </c>
      <c r="D205" s="10">
        <f>IFERROR(VLOOKUP(B205,Sheet1!$G$7:$J$4000,4,0),0)</f>
        <v>0</v>
      </c>
      <c r="E205" s="10">
        <f>IFERROR(VLOOKUP(B205,Sheet1!$G$7:$K$4000,5,0),0)</f>
        <v>0</v>
      </c>
      <c r="F205" s="10">
        <f>IFERROR(VLOOKUP(B205,Sheet1!$G$7:$N$4000,8,0),0)</f>
        <v>0</v>
      </c>
      <c r="G205" s="10">
        <f>IFERROR(VLOOKUP(B205,Sheet1!$G$7:$Q$4000,11,0),0)</f>
        <v>0</v>
      </c>
      <c r="H205" s="7">
        <f t="shared" si="113"/>
        <v>0</v>
      </c>
      <c r="I205" s="11" t="str">
        <f t="shared" si="115"/>
        <v/>
      </c>
      <c r="J205" s="11" t="str">
        <f t="shared" si="116"/>
        <v/>
      </c>
      <c r="K205" s="11" t="str">
        <f t="shared" si="117"/>
        <v/>
      </c>
      <c r="L205" s="11" t="str">
        <f t="shared" si="118"/>
        <v/>
      </c>
      <c r="M205" s="12" t="str">
        <f t="shared" si="114"/>
        <v/>
      </c>
      <c r="O205">
        <v>4</v>
      </c>
      <c r="P205">
        <f>Sheet1!$A$1</f>
        <v>1</v>
      </c>
    </row>
    <row r="206" spans="1:16">
      <c r="A206" s="9">
        <f t="shared" si="106"/>
        <v>487</v>
      </c>
      <c r="B206" s="13" t="str">
        <f t="shared" si="107"/>
        <v>May-1-Melt</v>
      </c>
      <c r="C206" s="7">
        <f t="shared" si="112"/>
        <v>0</v>
      </c>
      <c r="D206" s="10">
        <f>IFERROR(VLOOKUP(B206,Sheet1!$G$7:$J$4000,4,0),0)</f>
        <v>0</v>
      </c>
      <c r="E206" s="10">
        <f>IFERROR(VLOOKUP(B206,Sheet1!$G$7:$K$4000,5,0),0)</f>
        <v>0</v>
      </c>
      <c r="F206" s="10">
        <f>IFERROR(VLOOKUP(B206,Sheet1!$G$7:$N$4000,8,0),0)</f>
        <v>0</v>
      </c>
      <c r="G206" s="10">
        <f>IFERROR(VLOOKUP(B206,Sheet1!$G$7:$Q$4000,11,0),0)</f>
        <v>0</v>
      </c>
      <c r="H206" s="7">
        <f t="shared" si="113"/>
        <v>0</v>
      </c>
      <c r="I206" s="11" t="str">
        <f t="shared" si="115"/>
        <v/>
      </c>
      <c r="J206" s="11" t="str">
        <f t="shared" si="116"/>
        <v/>
      </c>
      <c r="K206" s="11" t="str">
        <f t="shared" si="117"/>
        <v/>
      </c>
      <c r="L206" s="11" t="str">
        <f t="shared" si="118"/>
        <v/>
      </c>
      <c r="M206" s="12" t="str">
        <f t="shared" si="114"/>
        <v/>
      </c>
      <c r="O206">
        <v>5</v>
      </c>
      <c r="P206">
        <f>Sheet1!$A$1</f>
        <v>1</v>
      </c>
    </row>
    <row r="207" spans="1:16">
      <c r="A207" s="9">
        <f t="shared" si="106"/>
        <v>518</v>
      </c>
      <c r="B207" s="13" t="str">
        <f t="shared" si="107"/>
        <v>Jun-1-Melt</v>
      </c>
      <c r="C207" s="7">
        <f t="shared" si="112"/>
        <v>0</v>
      </c>
      <c r="D207" s="10">
        <f>IFERROR(VLOOKUP(B207,Sheet1!$G$7:$J$4000,4,0),0)</f>
        <v>0</v>
      </c>
      <c r="E207" s="10">
        <f>IFERROR(VLOOKUP(B207,Sheet1!$G$7:$K$4000,5,0),0)</f>
        <v>0</v>
      </c>
      <c r="F207" s="10">
        <f>IFERROR(VLOOKUP(B207,Sheet1!$G$7:$N$4000,8,0),0)</f>
        <v>0</v>
      </c>
      <c r="G207" s="10">
        <f>IFERROR(VLOOKUP(B207,Sheet1!$G$7:$Q$4000,11,0),0)</f>
        <v>0</v>
      </c>
      <c r="H207" s="7">
        <f t="shared" si="113"/>
        <v>0</v>
      </c>
      <c r="I207" s="11" t="str">
        <f t="shared" si="115"/>
        <v/>
      </c>
      <c r="J207" s="11" t="str">
        <f t="shared" si="116"/>
        <v/>
      </c>
      <c r="K207" s="11" t="str">
        <f t="shared" si="117"/>
        <v/>
      </c>
      <c r="L207" s="11" t="str">
        <f t="shared" si="118"/>
        <v/>
      </c>
      <c r="M207" s="12" t="str">
        <f t="shared" si="114"/>
        <v/>
      </c>
      <c r="O207">
        <v>6</v>
      </c>
      <c r="P207">
        <f>Sheet1!$A$1</f>
        <v>1</v>
      </c>
    </row>
    <row r="208" spans="1:16">
      <c r="A208" s="9">
        <f t="shared" si="106"/>
        <v>548</v>
      </c>
      <c r="B208" s="13" t="str">
        <f t="shared" si="107"/>
        <v>Jul-1-Melt</v>
      </c>
      <c r="C208" s="7">
        <f t="shared" si="112"/>
        <v>0</v>
      </c>
      <c r="D208" s="10">
        <f>IFERROR(VLOOKUP(B208,Sheet1!$G$7:$J$4000,4,0),0)</f>
        <v>0</v>
      </c>
      <c r="E208" s="10">
        <f>IFERROR(VLOOKUP(B208,Sheet1!$G$7:$K$4000,5,0),0)</f>
        <v>0</v>
      </c>
      <c r="F208" s="10">
        <f>IFERROR(VLOOKUP(B208,Sheet1!$G$7:$N$4000,8,0),0)</f>
        <v>0</v>
      </c>
      <c r="G208" s="10">
        <f>IFERROR(VLOOKUP(B208,Sheet1!$G$7:$Q$4000,11,0),0)</f>
        <v>0</v>
      </c>
      <c r="H208" s="7">
        <f t="shared" si="113"/>
        <v>0</v>
      </c>
      <c r="I208" s="11" t="str">
        <f t="shared" si="115"/>
        <v/>
      </c>
      <c r="J208" s="11" t="str">
        <f t="shared" si="116"/>
        <v/>
      </c>
      <c r="K208" s="11" t="str">
        <f t="shared" si="117"/>
        <v/>
      </c>
      <c r="L208" s="11" t="str">
        <f t="shared" si="118"/>
        <v/>
      </c>
      <c r="M208" s="12" t="str">
        <f t="shared" si="114"/>
        <v/>
      </c>
      <c r="O208">
        <v>7</v>
      </c>
      <c r="P208">
        <f>Sheet1!$A$1</f>
        <v>1</v>
      </c>
    </row>
    <row r="209" spans="1:16">
      <c r="A209" s="9">
        <f t="shared" si="106"/>
        <v>579</v>
      </c>
      <c r="B209" s="13" t="str">
        <f t="shared" si="107"/>
        <v>Aug-1-Melt</v>
      </c>
      <c r="C209" s="7">
        <f t="shared" si="112"/>
        <v>0</v>
      </c>
      <c r="D209" s="10">
        <f>IFERROR(VLOOKUP(B209,Sheet1!$G$7:$J$4000,4,0),0)</f>
        <v>0</v>
      </c>
      <c r="E209" s="10">
        <f>IFERROR(VLOOKUP(B209,Sheet1!$G$7:$K$4000,5,0),0)</f>
        <v>0</v>
      </c>
      <c r="F209" s="10">
        <f>IFERROR(VLOOKUP(B209,Sheet1!$G$7:$N$4000,8,0),0)</f>
        <v>0</v>
      </c>
      <c r="G209" s="10">
        <f>IFERROR(VLOOKUP(B209,Sheet1!$G$7:$Q$4000,11,0),0)</f>
        <v>0</v>
      </c>
      <c r="H209" s="7">
        <f t="shared" si="113"/>
        <v>0</v>
      </c>
      <c r="I209" s="11" t="str">
        <f t="shared" si="115"/>
        <v/>
      </c>
      <c r="J209" s="11" t="str">
        <f t="shared" si="116"/>
        <v/>
      </c>
      <c r="K209" s="11" t="str">
        <f t="shared" si="117"/>
        <v/>
      </c>
      <c r="L209" s="11" t="str">
        <f t="shared" si="118"/>
        <v/>
      </c>
      <c r="M209" s="12" t="str">
        <f t="shared" si="114"/>
        <v/>
      </c>
      <c r="O209">
        <v>8</v>
      </c>
      <c r="P209">
        <f>Sheet1!$A$1</f>
        <v>1</v>
      </c>
    </row>
    <row r="210" spans="1:16">
      <c r="A210" s="9">
        <f t="shared" si="106"/>
        <v>610</v>
      </c>
      <c r="B210" s="13" t="str">
        <f t="shared" si="107"/>
        <v>Sep-1-Melt</v>
      </c>
      <c r="C210" s="7">
        <f t="shared" si="112"/>
        <v>0</v>
      </c>
      <c r="D210" s="10">
        <f>IFERROR(VLOOKUP(B210,Sheet1!$G$7:$J$4000,4,0),0)</f>
        <v>0</v>
      </c>
      <c r="E210" s="10">
        <f>IFERROR(VLOOKUP(B210,Sheet1!$G$7:$K$4000,5,0),0)</f>
        <v>0</v>
      </c>
      <c r="F210" s="10">
        <f>IFERROR(VLOOKUP(B210,Sheet1!$G$7:$N$4000,8,0),0)</f>
        <v>0</v>
      </c>
      <c r="G210" s="10">
        <f>IFERROR(VLOOKUP(B210,Sheet1!$G$7:$Q$4000,11,0),0)</f>
        <v>0</v>
      </c>
      <c r="H210" s="7">
        <f t="shared" si="113"/>
        <v>0</v>
      </c>
      <c r="I210" s="11" t="str">
        <f t="shared" si="115"/>
        <v/>
      </c>
      <c r="J210" s="11" t="str">
        <f t="shared" si="116"/>
        <v/>
      </c>
      <c r="K210" s="11" t="str">
        <f t="shared" si="117"/>
        <v/>
      </c>
      <c r="L210" s="11" t="str">
        <f t="shared" si="118"/>
        <v/>
      </c>
      <c r="M210" s="12" t="str">
        <f t="shared" si="114"/>
        <v/>
      </c>
      <c r="O210">
        <v>9</v>
      </c>
      <c r="P210">
        <f>Sheet1!$A$1</f>
        <v>1</v>
      </c>
    </row>
    <row r="211" spans="1:16">
      <c r="A211" s="9">
        <f t="shared" si="106"/>
        <v>640</v>
      </c>
      <c r="B211" s="13" t="str">
        <f t="shared" si="107"/>
        <v>Oct-1-Melt</v>
      </c>
      <c r="C211" s="7">
        <f t="shared" si="112"/>
        <v>0</v>
      </c>
      <c r="D211" s="10">
        <f>IFERROR(VLOOKUP(B211,Sheet1!$G$7:$J$4000,4,0),0)</f>
        <v>0</v>
      </c>
      <c r="E211" s="10">
        <f>IFERROR(VLOOKUP(B211,Sheet1!$G$7:$K$4000,5,0),0)</f>
        <v>0</v>
      </c>
      <c r="F211" s="10">
        <f>IFERROR(VLOOKUP(B211,Sheet1!$G$7:$N$4000,8,0),0)</f>
        <v>0</v>
      </c>
      <c r="G211" s="10">
        <f>IFERROR(VLOOKUP(B211,Sheet1!$G$7:$Q$4000,11,0),0)</f>
        <v>0</v>
      </c>
      <c r="H211" s="7">
        <f t="shared" si="113"/>
        <v>0</v>
      </c>
      <c r="I211" s="11" t="str">
        <f t="shared" si="115"/>
        <v/>
      </c>
      <c r="J211" s="11" t="str">
        <f t="shared" si="116"/>
        <v/>
      </c>
      <c r="K211" s="11" t="str">
        <f t="shared" si="117"/>
        <v/>
      </c>
      <c r="L211" s="11" t="str">
        <f t="shared" si="118"/>
        <v/>
      </c>
      <c r="M211" s="12" t="str">
        <f t="shared" si="114"/>
        <v/>
      </c>
      <c r="O211">
        <v>10</v>
      </c>
      <c r="P211">
        <f>Sheet1!$A$1</f>
        <v>1</v>
      </c>
    </row>
    <row r="212" spans="1:16">
      <c r="A212" s="9">
        <f t="shared" si="106"/>
        <v>671</v>
      </c>
      <c r="B212" s="13" t="str">
        <f t="shared" si="107"/>
        <v>Nov-1-Melt</v>
      </c>
      <c r="C212" s="7">
        <f t="shared" si="112"/>
        <v>0</v>
      </c>
      <c r="D212" s="10">
        <f>IFERROR(VLOOKUP(B212,Sheet1!$G$7:$J$4000,4,0),0)</f>
        <v>0</v>
      </c>
      <c r="E212" s="10">
        <f>IFERROR(VLOOKUP(B212,Sheet1!$G$7:$K$4000,5,0),0)</f>
        <v>0</v>
      </c>
      <c r="F212" s="10">
        <f>IFERROR(VLOOKUP(B212,Sheet1!$G$7:$N$4000,8,0),0)</f>
        <v>0</v>
      </c>
      <c r="G212" s="10">
        <f>IFERROR(VLOOKUP(B212,Sheet1!$G$7:$Q$4000,11,0),0)</f>
        <v>0</v>
      </c>
      <c r="H212" s="7">
        <f t="shared" si="113"/>
        <v>0</v>
      </c>
      <c r="I212" s="11" t="str">
        <f t="shared" si="115"/>
        <v/>
      </c>
      <c r="J212" s="11" t="str">
        <f t="shared" si="116"/>
        <v/>
      </c>
      <c r="K212" s="11" t="str">
        <f t="shared" si="117"/>
        <v/>
      </c>
      <c r="L212" s="11" t="str">
        <f t="shared" si="118"/>
        <v/>
      </c>
      <c r="M212" s="12" t="str">
        <f t="shared" si="114"/>
        <v/>
      </c>
      <c r="O212">
        <v>11</v>
      </c>
      <c r="P212">
        <f>Sheet1!$A$1</f>
        <v>1</v>
      </c>
    </row>
    <row r="213" spans="1:16">
      <c r="A213" s="9">
        <f t="shared" si="106"/>
        <v>701</v>
      </c>
      <c r="B213" s="13" t="str">
        <f t="shared" si="107"/>
        <v>Dec-1-Melt</v>
      </c>
      <c r="C213" s="7">
        <f t="shared" si="112"/>
        <v>0</v>
      </c>
      <c r="D213" s="10">
        <f>IFERROR(VLOOKUP(B213,Sheet1!$G$7:$J$4000,4,0),0)</f>
        <v>0</v>
      </c>
      <c r="E213" s="10">
        <f>IFERROR(VLOOKUP(B213,Sheet1!$G$7:$K$4000,5,0),0)</f>
        <v>0</v>
      </c>
      <c r="F213" s="10">
        <f>IFERROR(VLOOKUP(B213,Sheet1!$G$7:$N$4000,8,0),0)</f>
        <v>0</v>
      </c>
      <c r="G213" s="10">
        <f>IFERROR(VLOOKUP(B213,Sheet1!$G$7:$Q$4000,11,0),0)</f>
        <v>0</v>
      </c>
      <c r="H213" s="7">
        <f t="shared" si="113"/>
        <v>0</v>
      </c>
      <c r="I213" s="11" t="str">
        <f t="shared" si="115"/>
        <v/>
      </c>
      <c r="J213" s="11" t="str">
        <f t="shared" si="116"/>
        <v/>
      </c>
      <c r="K213" s="11" t="str">
        <f t="shared" si="117"/>
        <v/>
      </c>
      <c r="L213" s="11" t="str">
        <f t="shared" si="118"/>
        <v/>
      </c>
      <c r="M213" s="12" t="str">
        <f t="shared" si="114"/>
        <v/>
      </c>
      <c r="O213">
        <v>12</v>
      </c>
      <c r="P213">
        <f>Sheet1!$A$1</f>
        <v>1</v>
      </c>
    </row>
    <row r="214" spans="1:16">
      <c r="A214" s="4"/>
      <c r="B214" s="4"/>
      <c r="C214" s="4"/>
      <c r="D214" s="4"/>
      <c r="E214" s="4"/>
      <c r="F214" s="4"/>
      <c r="G214" s="4"/>
      <c r="H214" s="4"/>
      <c r="I214" s="5"/>
      <c r="J214" s="5"/>
      <c r="K214" s="5"/>
      <c r="L214" s="5"/>
      <c r="M214" s="5"/>
    </row>
    <row r="215" spans="1:16" ht="30" customHeight="1">
      <c r="A215" s="6" t="s">
        <v>72</v>
      </c>
      <c r="B215" s="20"/>
      <c r="C215" s="95" t="s">
        <v>35</v>
      </c>
      <c r="D215" s="96"/>
      <c r="E215" s="96"/>
      <c r="F215" s="96"/>
      <c r="G215" s="96"/>
      <c r="H215" s="97"/>
      <c r="I215" s="98" t="s">
        <v>36</v>
      </c>
      <c r="J215" s="99"/>
      <c r="K215" s="99"/>
      <c r="L215" s="99"/>
      <c r="M215" s="100"/>
      <c r="O215">
        <v>8</v>
      </c>
      <c r="P215" s="21" t="s">
        <v>41</v>
      </c>
    </row>
    <row r="216" spans="1:16" ht="102">
      <c r="A216" s="7" t="s">
        <v>89</v>
      </c>
      <c r="B216" s="7"/>
      <c r="C216" s="8" t="s">
        <v>132</v>
      </c>
      <c r="D216" s="8" t="s">
        <v>133</v>
      </c>
      <c r="E216" s="8" t="s">
        <v>134</v>
      </c>
      <c r="F216" s="8" t="s">
        <v>135</v>
      </c>
      <c r="G216" s="8" t="s">
        <v>136</v>
      </c>
      <c r="H216" s="8" t="s">
        <v>137</v>
      </c>
      <c r="I216" s="27" t="s">
        <v>138</v>
      </c>
      <c r="J216" s="27" t="s">
        <v>139</v>
      </c>
      <c r="K216" s="27" t="s">
        <v>140</v>
      </c>
      <c r="L216" s="27" t="s">
        <v>136</v>
      </c>
      <c r="M216" s="27" t="s">
        <v>141</v>
      </c>
    </row>
    <row r="217" spans="1:16">
      <c r="A217" s="9">
        <f>DATE(P217,O217,1)</f>
        <v>1</v>
      </c>
      <c r="B217" s="13" t="str">
        <f>TEXT(O217*29,"mmm")&amp;"-" &amp; P217&amp;"-"&amp;$P$215</f>
        <v>Jan-0-Dega</v>
      </c>
      <c r="C217" s="7">
        <f t="shared" ref="C217:C228" si="119">SUM(D217:G217)</f>
        <v>0</v>
      </c>
      <c r="D217" s="10">
        <f>IFERROR(VLOOKUP(B217,Sheet1!$G$7:$J$4000,4,0),0)</f>
        <v>0</v>
      </c>
      <c r="E217" s="10">
        <f>IFERROR(VLOOKUP(B217,Sheet1!$G$7:$K$4000,5,0),0)</f>
        <v>0</v>
      </c>
      <c r="F217" s="10">
        <f>IFERROR(VLOOKUP(B217,Sheet1!$G$7:$N$4000,8,0),0)</f>
        <v>0</v>
      </c>
      <c r="G217" s="10">
        <f>IFERROR(VLOOKUP(B217,Sheet1!$G$7:$Q$4000,11,0),0)</f>
        <v>0</v>
      </c>
      <c r="H217" s="7">
        <f t="shared" ref="H217:H228" si="120">D217+E217</f>
        <v>0</v>
      </c>
      <c r="I217" s="11" t="str">
        <f>IFERROR(D217/C217*100%,"")</f>
        <v/>
      </c>
      <c r="J217" s="11" t="str">
        <f>IFERROR(E217/C217*100%,"")</f>
        <v/>
      </c>
      <c r="K217" s="11" t="str">
        <f>IFERROR(F217/C217*100%,"")</f>
        <v/>
      </c>
      <c r="L217" s="11" t="str">
        <f>IFERROR(F217/C217*100%,"")</f>
        <v/>
      </c>
      <c r="M217" s="12" t="str">
        <f t="shared" ref="M217:M228" si="121">IFERROR(I217+J217,"")</f>
        <v/>
      </c>
      <c r="O217">
        <v>1</v>
      </c>
      <c r="P217">
        <f>Sheet1!$A$1-1</f>
        <v>0</v>
      </c>
    </row>
    <row r="218" spans="1:16">
      <c r="A218" s="9">
        <f t="shared" ref="A218:A240" si="122">DATE(P218,O218,1)</f>
        <v>32</v>
      </c>
      <c r="B218" s="13" t="str">
        <f t="shared" ref="B218:B240" si="123">TEXT(O218*29,"mmm")&amp;"-" &amp; P218&amp;"-"&amp;$P$215</f>
        <v>Feb-0-Dega</v>
      </c>
      <c r="C218" s="7">
        <f t="shared" si="119"/>
        <v>0</v>
      </c>
      <c r="D218" s="10">
        <f>IFERROR(VLOOKUP(B218,Sheet1!$G$7:$J$4000,4,0),0)</f>
        <v>0</v>
      </c>
      <c r="E218" s="10">
        <f>IFERROR(VLOOKUP(B218,Sheet1!$G$7:$K$4000,5,0),0)</f>
        <v>0</v>
      </c>
      <c r="F218" s="10">
        <f>IFERROR(VLOOKUP(B218,Sheet1!$G$7:$N$4000,8,0),0)</f>
        <v>0</v>
      </c>
      <c r="G218" s="10">
        <f>IFERROR(VLOOKUP(B218,Sheet1!$G$7:$Q$4000,11,0),0)</f>
        <v>0</v>
      </c>
      <c r="H218" s="7">
        <f t="shared" si="120"/>
        <v>0</v>
      </c>
      <c r="I218" s="11" t="str">
        <f t="shared" ref="I218:I228" si="124">IFERROR(D218/C218*100%,"")</f>
        <v/>
      </c>
      <c r="J218" s="11" t="str">
        <f t="shared" ref="J218:J228" si="125">IFERROR(E218/C218*100%,"")</f>
        <v/>
      </c>
      <c r="K218" s="11" t="str">
        <f t="shared" ref="K218:K228" si="126">IFERROR(F218/C218*100%,"")</f>
        <v/>
      </c>
      <c r="L218" s="11" t="str">
        <f t="shared" ref="L218:L228" si="127">IFERROR(F218/C218*100%,"")</f>
        <v/>
      </c>
      <c r="M218" s="12" t="str">
        <f t="shared" si="121"/>
        <v/>
      </c>
      <c r="O218">
        <v>2</v>
      </c>
      <c r="P218">
        <f>Sheet1!$A$1-1</f>
        <v>0</v>
      </c>
    </row>
    <row r="219" spans="1:16">
      <c r="A219" s="9">
        <f t="shared" si="122"/>
        <v>61</v>
      </c>
      <c r="B219" s="13" t="str">
        <f t="shared" si="123"/>
        <v>Mar-0-Dega</v>
      </c>
      <c r="C219" s="7">
        <f t="shared" si="119"/>
        <v>0</v>
      </c>
      <c r="D219" s="10">
        <f>IFERROR(VLOOKUP(B219,Sheet1!$G$7:$J$4000,4,0),0)</f>
        <v>0</v>
      </c>
      <c r="E219" s="10">
        <f>IFERROR(VLOOKUP(B219,Sheet1!$G$7:$K$4000,5,0),0)</f>
        <v>0</v>
      </c>
      <c r="F219" s="10">
        <f>IFERROR(VLOOKUP(B219,Sheet1!$G$7:$N$4000,8,0),0)</f>
        <v>0</v>
      </c>
      <c r="G219" s="10">
        <f>IFERROR(VLOOKUP(B219,Sheet1!$G$7:$Q$4000,11,0),0)</f>
        <v>0</v>
      </c>
      <c r="H219" s="7">
        <f t="shared" si="120"/>
        <v>0</v>
      </c>
      <c r="I219" s="11" t="str">
        <f t="shared" si="124"/>
        <v/>
      </c>
      <c r="J219" s="11" t="str">
        <f t="shared" si="125"/>
        <v/>
      </c>
      <c r="K219" s="11" t="str">
        <f t="shared" si="126"/>
        <v/>
      </c>
      <c r="L219" s="11" t="str">
        <f t="shared" si="127"/>
        <v/>
      </c>
      <c r="M219" s="12" t="str">
        <f t="shared" si="121"/>
        <v/>
      </c>
      <c r="O219">
        <v>3</v>
      </c>
      <c r="P219">
        <f>Sheet1!$A$1-1</f>
        <v>0</v>
      </c>
    </row>
    <row r="220" spans="1:16">
      <c r="A220" s="9">
        <f t="shared" si="122"/>
        <v>92</v>
      </c>
      <c r="B220" s="13" t="str">
        <f t="shared" si="123"/>
        <v>Apr-0-Dega</v>
      </c>
      <c r="C220" s="7">
        <f t="shared" si="119"/>
        <v>0</v>
      </c>
      <c r="D220" s="10">
        <f>IFERROR(VLOOKUP(B220,Sheet1!$G$7:$J$4000,4,0),0)</f>
        <v>0</v>
      </c>
      <c r="E220" s="10">
        <f>IFERROR(VLOOKUP(B220,Sheet1!$G$7:$K$4000,5,0),0)</f>
        <v>0</v>
      </c>
      <c r="F220" s="10">
        <f>IFERROR(VLOOKUP(B220,Sheet1!$G$7:$N$4000,8,0),0)</f>
        <v>0</v>
      </c>
      <c r="G220" s="10">
        <f>IFERROR(VLOOKUP(B220,Sheet1!$G$7:$Q$4000,11,0),0)</f>
        <v>0</v>
      </c>
      <c r="H220" s="7">
        <f t="shared" si="120"/>
        <v>0</v>
      </c>
      <c r="I220" s="11" t="str">
        <f t="shared" si="124"/>
        <v/>
      </c>
      <c r="J220" s="11" t="str">
        <f t="shared" si="125"/>
        <v/>
      </c>
      <c r="K220" s="11" t="str">
        <f t="shared" si="126"/>
        <v/>
      </c>
      <c r="L220" s="11" t="str">
        <f t="shared" si="127"/>
        <v/>
      </c>
      <c r="M220" s="12" t="str">
        <f t="shared" si="121"/>
        <v/>
      </c>
      <c r="O220">
        <v>4</v>
      </c>
      <c r="P220">
        <f>Sheet1!$A$1-1</f>
        <v>0</v>
      </c>
    </row>
    <row r="221" spans="1:16">
      <c r="A221" s="9">
        <f t="shared" si="122"/>
        <v>122</v>
      </c>
      <c r="B221" s="13" t="str">
        <f t="shared" si="123"/>
        <v>May-0-Dega</v>
      </c>
      <c r="C221" s="7">
        <f t="shared" si="119"/>
        <v>0</v>
      </c>
      <c r="D221" s="10">
        <f>IFERROR(VLOOKUP(B221,Sheet1!$G$7:$J$4000,4,0),0)</f>
        <v>0</v>
      </c>
      <c r="E221" s="10">
        <f>IFERROR(VLOOKUP(B221,Sheet1!$G$7:$K$4000,5,0),0)</f>
        <v>0</v>
      </c>
      <c r="F221" s="10">
        <f>IFERROR(VLOOKUP(B221,Sheet1!$G$7:$N$4000,8,0),0)</f>
        <v>0</v>
      </c>
      <c r="G221" s="10">
        <f>IFERROR(VLOOKUP(B221,Sheet1!$G$7:$Q$4000,11,0),0)</f>
        <v>0</v>
      </c>
      <c r="H221" s="7">
        <f t="shared" si="120"/>
        <v>0</v>
      </c>
      <c r="I221" s="11" t="str">
        <f t="shared" si="124"/>
        <v/>
      </c>
      <c r="J221" s="11" t="str">
        <f t="shared" si="125"/>
        <v/>
      </c>
      <c r="K221" s="11" t="str">
        <f t="shared" si="126"/>
        <v/>
      </c>
      <c r="L221" s="11" t="str">
        <f t="shared" si="127"/>
        <v/>
      </c>
      <c r="M221" s="12" t="str">
        <f t="shared" si="121"/>
        <v/>
      </c>
      <c r="O221">
        <v>5</v>
      </c>
      <c r="P221">
        <f>Sheet1!$A$1-1</f>
        <v>0</v>
      </c>
    </row>
    <row r="222" spans="1:16">
      <c r="A222" s="9">
        <f t="shared" si="122"/>
        <v>153</v>
      </c>
      <c r="B222" s="13" t="str">
        <f t="shared" si="123"/>
        <v>Jun-0-Dega</v>
      </c>
      <c r="C222" s="7">
        <f t="shared" si="119"/>
        <v>0</v>
      </c>
      <c r="D222" s="10">
        <f>IFERROR(VLOOKUP(B222,Sheet1!$G$7:$J$4000,4,0),0)</f>
        <v>0</v>
      </c>
      <c r="E222" s="10">
        <f>IFERROR(VLOOKUP(B222,Sheet1!$G$7:$K$4000,5,0),0)</f>
        <v>0</v>
      </c>
      <c r="F222" s="10">
        <f>IFERROR(VLOOKUP(B222,Sheet1!$G$7:$N$4000,8,0),0)</f>
        <v>0</v>
      </c>
      <c r="G222" s="10">
        <f>IFERROR(VLOOKUP(B222,Sheet1!$G$7:$Q$4000,11,0),0)</f>
        <v>0</v>
      </c>
      <c r="H222" s="7">
        <f t="shared" si="120"/>
        <v>0</v>
      </c>
      <c r="I222" s="11" t="str">
        <f t="shared" si="124"/>
        <v/>
      </c>
      <c r="J222" s="11" t="str">
        <f t="shared" si="125"/>
        <v/>
      </c>
      <c r="K222" s="11" t="str">
        <f t="shared" si="126"/>
        <v/>
      </c>
      <c r="L222" s="11" t="str">
        <f t="shared" si="127"/>
        <v/>
      </c>
      <c r="M222" s="12" t="str">
        <f t="shared" si="121"/>
        <v/>
      </c>
      <c r="O222">
        <v>6</v>
      </c>
      <c r="P222">
        <f>Sheet1!$A$1-1</f>
        <v>0</v>
      </c>
    </row>
    <row r="223" spans="1:16">
      <c r="A223" s="9">
        <f t="shared" si="122"/>
        <v>183</v>
      </c>
      <c r="B223" s="13" t="str">
        <f t="shared" si="123"/>
        <v>Jul-0-Dega</v>
      </c>
      <c r="C223" s="7">
        <f t="shared" si="119"/>
        <v>0</v>
      </c>
      <c r="D223" s="10">
        <f>IFERROR(VLOOKUP(B223,Sheet1!$G$7:$J$4000,4,0),0)</f>
        <v>0</v>
      </c>
      <c r="E223" s="10">
        <f>IFERROR(VLOOKUP(B223,Sheet1!$G$7:$K$4000,5,0),0)</f>
        <v>0</v>
      </c>
      <c r="F223" s="10">
        <f>IFERROR(VLOOKUP(B223,Sheet1!$G$7:$N$4000,8,0),0)</f>
        <v>0</v>
      </c>
      <c r="G223" s="10">
        <f>IFERROR(VLOOKUP(B223,Sheet1!$G$7:$Q$4000,11,0),0)</f>
        <v>0</v>
      </c>
      <c r="H223" s="7">
        <f t="shared" si="120"/>
        <v>0</v>
      </c>
      <c r="I223" s="11" t="str">
        <f t="shared" si="124"/>
        <v/>
      </c>
      <c r="J223" s="11" t="str">
        <f t="shared" si="125"/>
        <v/>
      </c>
      <c r="K223" s="11" t="str">
        <f t="shared" si="126"/>
        <v/>
      </c>
      <c r="L223" s="11" t="str">
        <f t="shared" si="127"/>
        <v/>
      </c>
      <c r="M223" s="12" t="str">
        <f t="shared" si="121"/>
        <v/>
      </c>
      <c r="O223">
        <v>7</v>
      </c>
      <c r="P223">
        <f>Sheet1!$A$1-1</f>
        <v>0</v>
      </c>
    </row>
    <row r="224" spans="1:16">
      <c r="A224" s="9">
        <f t="shared" si="122"/>
        <v>214</v>
      </c>
      <c r="B224" s="13" t="str">
        <f t="shared" si="123"/>
        <v>Aug-0-Dega</v>
      </c>
      <c r="C224" s="7">
        <f t="shared" si="119"/>
        <v>0</v>
      </c>
      <c r="D224" s="10">
        <f>IFERROR(VLOOKUP(B224,Sheet1!$G$7:$J$4000,4,0),0)</f>
        <v>0</v>
      </c>
      <c r="E224" s="10">
        <f>IFERROR(VLOOKUP(B224,Sheet1!$G$7:$K$4000,5,0),0)</f>
        <v>0</v>
      </c>
      <c r="F224" s="10">
        <f>IFERROR(VLOOKUP(B224,Sheet1!$G$7:$N$4000,8,0),0)</f>
        <v>0</v>
      </c>
      <c r="G224" s="10">
        <f>IFERROR(VLOOKUP(B224,Sheet1!$G$7:$Q$4000,11,0),0)</f>
        <v>0</v>
      </c>
      <c r="H224" s="7">
        <f t="shared" si="120"/>
        <v>0</v>
      </c>
      <c r="I224" s="11" t="str">
        <f t="shared" si="124"/>
        <v/>
      </c>
      <c r="J224" s="11" t="str">
        <f t="shared" si="125"/>
        <v/>
      </c>
      <c r="K224" s="11" t="str">
        <f t="shared" si="126"/>
        <v/>
      </c>
      <c r="L224" s="11" t="str">
        <f t="shared" si="127"/>
        <v/>
      </c>
      <c r="M224" s="12" t="str">
        <f t="shared" si="121"/>
        <v/>
      </c>
      <c r="O224">
        <v>8</v>
      </c>
      <c r="P224">
        <f>Sheet1!$A$1-1</f>
        <v>0</v>
      </c>
    </row>
    <row r="225" spans="1:16">
      <c r="A225" s="9">
        <f t="shared" si="122"/>
        <v>245</v>
      </c>
      <c r="B225" s="13" t="str">
        <f t="shared" si="123"/>
        <v>Sep-0-Dega</v>
      </c>
      <c r="C225" s="7">
        <f t="shared" si="119"/>
        <v>0</v>
      </c>
      <c r="D225" s="10">
        <f>IFERROR(VLOOKUP(B225,Sheet1!$G$7:$J$4000,4,0),0)</f>
        <v>0</v>
      </c>
      <c r="E225" s="10">
        <f>IFERROR(VLOOKUP(B225,Sheet1!$G$7:$K$4000,5,0),0)</f>
        <v>0</v>
      </c>
      <c r="F225" s="10">
        <f>IFERROR(VLOOKUP(B225,Sheet1!$G$7:$N$4000,8,0),0)</f>
        <v>0</v>
      </c>
      <c r="G225" s="10">
        <f>IFERROR(VLOOKUP(B225,Sheet1!$G$7:$Q$4000,11,0),0)</f>
        <v>0</v>
      </c>
      <c r="H225" s="7">
        <f t="shared" si="120"/>
        <v>0</v>
      </c>
      <c r="I225" s="11" t="str">
        <f t="shared" si="124"/>
        <v/>
      </c>
      <c r="J225" s="11" t="str">
        <f t="shared" si="125"/>
        <v/>
      </c>
      <c r="K225" s="11" t="str">
        <f t="shared" si="126"/>
        <v/>
      </c>
      <c r="L225" s="11" t="str">
        <f t="shared" si="127"/>
        <v/>
      </c>
      <c r="M225" s="12" t="str">
        <f t="shared" si="121"/>
        <v/>
      </c>
      <c r="O225">
        <v>9</v>
      </c>
      <c r="P225">
        <f>Sheet1!$A$1-1</f>
        <v>0</v>
      </c>
    </row>
    <row r="226" spans="1:16">
      <c r="A226" s="9">
        <f t="shared" si="122"/>
        <v>275</v>
      </c>
      <c r="B226" s="13" t="str">
        <f t="shared" si="123"/>
        <v>Oct-0-Dega</v>
      </c>
      <c r="C226" s="7">
        <f t="shared" si="119"/>
        <v>0</v>
      </c>
      <c r="D226" s="10">
        <f>IFERROR(VLOOKUP(B226,Sheet1!$G$7:$J$4000,4,0),0)</f>
        <v>0</v>
      </c>
      <c r="E226" s="10">
        <f>IFERROR(VLOOKUP(B226,Sheet1!$G$7:$K$4000,5,0),0)</f>
        <v>0</v>
      </c>
      <c r="F226" s="10">
        <f>IFERROR(VLOOKUP(B226,Sheet1!$G$7:$N$4000,8,0),0)</f>
        <v>0</v>
      </c>
      <c r="G226" s="10">
        <f>IFERROR(VLOOKUP(B226,Sheet1!$G$7:$Q$4000,11,0),0)</f>
        <v>0</v>
      </c>
      <c r="H226" s="7">
        <f t="shared" si="120"/>
        <v>0</v>
      </c>
      <c r="I226" s="11" t="str">
        <f t="shared" si="124"/>
        <v/>
      </c>
      <c r="J226" s="11" t="str">
        <f t="shared" si="125"/>
        <v/>
      </c>
      <c r="K226" s="11" t="str">
        <f t="shared" si="126"/>
        <v/>
      </c>
      <c r="L226" s="11" t="str">
        <f t="shared" si="127"/>
        <v/>
      </c>
      <c r="M226" s="12" t="str">
        <f t="shared" si="121"/>
        <v/>
      </c>
      <c r="O226">
        <v>10</v>
      </c>
      <c r="P226">
        <f>Sheet1!$A$1-1</f>
        <v>0</v>
      </c>
    </row>
    <row r="227" spans="1:16">
      <c r="A227" s="9">
        <f t="shared" si="122"/>
        <v>306</v>
      </c>
      <c r="B227" s="13" t="str">
        <f t="shared" si="123"/>
        <v>Nov-0-Dega</v>
      </c>
      <c r="C227" s="7">
        <f t="shared" si="119"/>
        <v>0</v>
      </c>
      <c r="D227" s="10">
        <f>IFERROR(VLOOKUP(B227,Sheet1!$G$7:$J$4000,4,0),0)</f>
        <v>0</v>
      </c>
      <c r="E227" s="10">
        <f>IFERROR(VLOOKUP(B227,Sheet1!$G$7:$K$4000,5,0),0)</f>
        <v>0</v>
      </c>
      <c r="F227" s="10">
        <f>IFERROR(VLOOKUP(B227,Sheet1!$G$7:$N$4000,8,0),0)</f>
        <v>0</v>
      </c>
      <c r="G227" s="10">
        <f>IFERROR(VLOOKUP(B227,Sheet1!$G$7:$Q$4000,11,0),0)</f>
        <v>0</v>
      </c>
      <c r="H227" s="7">
        <f t="shared" si="120"/>
        <v>0</v>
      </c>
      <c r="I227" s="11" t="str">
        <f t="shared" si="124"/>
        <v/>
      </c>
      <c r="J227" s="11" t="str">
        <f t="shared" si="125"/>
        <v/>
      </c>
      <c r="K227" s="11" t="str">
        <f t="shared" si="126"/>
        <v/>
      </c>
      <c r="L227" s="11" t="str">
        <f t="shared" si="127"/>
        <v/>
      </c>
      <c r="M227" s="12" t="str">
        <f t="shared" si="121"/>
        <v/>
      </c>
      <c r="O227">
        <v>11</v>
      </c>
      <c r="P227">
        <f>Sheet1!$A$1-1</f>
        <v>0</v>
      </c>
    </row>
    <row r="228" spans="1:16">
      <c r="A228" s="9">
        <f t="shared" si="122"/>
        <v>336</v>
      </c>
      <c r="B228" s="13" t="str">
        <f t="shared" si="123"/>
        <v>Dec-0-Dega</v>
      </c>
      <c r="C228" s="7">
        <f t="shared" si="119"/>
        <v>0</v>
      </c>
      <c r="D228" s="10">
        <f>IFERROR(VLOOKUP(B228,Sheet1!$G$7:$J$4000,4,0),0)</f>
        <v>0</v>
      </c>
      <c r="E228" s="10">
        <f>IFERROR(VLOOKUP(B228,Sheet1!$G$7:$K$4000,5,0),0)</f>
        <v>0</v>
      </c>
      <c r="F228" s="10">
        <f>IFERROR(VLOOKUP(B228,Sheet1!$G$7:$N$4000,8,0),0)</f>
        <v>0</v>
      </c>
      <c r="G228" s="10">
        <f>IFERROR(VLOOKUP(B228,Sheet1!$G$7:$Q$4000,11,0),0)</f>
        <v>0</v>
      </c>
      <c r="H228" s="7">
        <f t="shared" si="120"/>
        <v>0</v>
      </c>
      <c r="I228" s="11" t="str">
        <f t="shared" si="124"/>
        <v/>
      </c>
      <c r="J228" s="11" t="str">
        <f t="shared" si="125"/>
        <v/>
      </c>
      <c r="K228" s="11" t="str">
        <f t="shared" si="126"/>
        <v/>
      </c>
      <c r="L228" s="11" t="str">
        <f t="shared" si="127"/>
        <v/>
      </c>
      <c r="M228" s="12" t="str">
        <f t="shared" si="121"/>
        <v/>
      </c>
      <c r="O228">
        <v>12</v>
      </c>
      <c r="P228">
        <f>Sheet1!$A$1-1</f>
        <v>0</v>
      </c>
    </row>
    <row r="229" spans="1:16">
      <c r="A229" s="9">
        <f t="shared" si="122"/>
        <v>367</v>
      </c>
      <c r="B229" s="13" t="str">
        <f t="shared" si="123"/>
        <v>Jan-1-Dega</v>
      </c>
      <c r="C229" s="7">
        <f t="shared" ref="C229:C240" si="128">SUM(D229:G229)</f>
        <v>0</v>
      </c>
      <c r="D229" s="10">
        <f>IFERROR(VLOOKUP(B229,Sheet1!$G$7:$J$4000,4,0),0)</f>
        <v>0</v>
      </c>
      <c r="E229" s="10">
        <f>IFERROR(VLOOKUP(B229,Sheet1!$G$7:$K$4000,5,0),0)</f>
        <v>0</v>
      </c>
      <c r="F229" s="10">
        <f>IFERROR(VLOOKUP(B229,Sheet1!$G$7:$N$4000,8,0),0)</f>
        <v>0</v>
      </c>
      <c r="G229" s="10">
        <f>IFERROR(VLOOKUP(B229,Sheet1!$G$7:$Q$4000,11,0),0)</f>
        <v>0</v>
      </c>
      <c r="H229" s="7">
        <f t="shared" ref="H229:H240" si="129">D229+E229</f>
        <v>0</v>
      </c>
      <c r="I229" s="11" t="str">
        <f>IFERROR(D229/C229*100%,"")</f>
        <v/>
      </c>
      <c r="J229" s="11" t="str">
        <f>IFERROR(E229/C229*100%,"")</f>
        <v/>
      </c>
      <c r="K229" s="11" t="str">
        <f>IFERROR(F229/C229*100%,"")</f>
        <v/>
      </c>
      <c r="L229" s="11" t="str">
        <f>IFERROR(F229/C229*100%,"")</f>
        <v/>
      </c>
      <c r="M229" s="12" t="str">
        <f t="shared" ref="M229:M240" si="130">IFERROR(I229+J229,"")</f>
        <v/>
      </c>
      <c r="O229">
        <v>1</v>
      </c>
      <c r="P229">
        <f>Sheet1!$A$1</f>
        <v>1</v>
      </c>
    </row>
    <row r="230" spans="1:16">
      <c r="A230" s="9">
        <f t="shared" si="122"/>
        <v>398</v>
      </c>
      <c r="B230" s="13" t="str">
        <f t="shared" si="123"/>
        <v>Feb-1-Dega</v>
      </c>
      <c r="C230" s="7">
        <f t="shared" si="128"/>
        <v>0</v>
      </c>
      <c r="D230" s="10">
        <f>IFERROR(VLOOKUP(B230,Sheet1!$G$7:$J$4000,4,0),0)</f>
        <v>0</v>
      </c>
      <c r="E230" s="10">
        <f>IFERROR(VLOOKUP(B230,Sheet1!$G$7:$K$4000,5,0),0)</f>
        <v>0</v>
      </c>
      <c r="F230" s="10">
        <f>IFERROR(VLOOKUP(B230,Sheet1!$G$7:$N$4000,8,0),0)</f>
        <v>0</v>
      </c>
      <c r="G230" s="10">
        <f>IFERROR(VLOOKUP(B230,Sheet1!$G$7:$Q$4000,11,0),0)</f>
        <v>0</v>
      </c>
      <c r="H230" s="7">
        <f t="shared" si="129"/>
        <v>0</v>
      </c>
      <c r="I230" s="11" t="str">
        <f t="shared" ref="I230:I240" si="131">IFERROR(D230/C230*100%,"")</f>
        <v/>
      </c>
      <c r="J230" s="11" t="str">
        <f t="shared" ref="J230:J240" si="132">IFERROR(E230/C230*100%,"")</f>
        <v/>
      </c>
      <c r="K230" s="11" t="str">
        <f t="shared" ref="K230:K240" si="133">IFERROR(F230/C230*100%,"")</f>
        <v/>
      </c>
      <c r="L230" s="11" t="str">
        <f t="shared" ref="L230:L240" si="134">IFERROR(F230/C230*100%,"")</f>
        <v/>
      </c>
      <c r="M230" s="12" t="str">
        <f t="shared" si="130"/>
        <v/>
      </c>
      <c r="O230">
        <v>2</v>
      </c>
      <c r="P230">
        <f>Sheet1!$A$1</f>
        <v>1</v>
      </c>
    </row>
    <row r="231" spans="1:16">
      <c r="A231" s="9">
        <f t="shared" si="122"/>
        <v>426</v>
      </c>
      <c r="B231" s="13" t="str">
        <f t="shared" si="123"/>
        <v>Mar-1-Dega</v>
      </c>
      <c r="C231" s="7">
        <f t="shared" si="128"/>
        <v>0</v>
      </c>
      <c r="D231" s="10">
        <f>IFERROR(VLOOKUP(B231,Sheet1!$G$7:$J$4000,4,0),0)</f>
        <v>0</v>
      </c>
      <c r="E231" s="10">
        <f>IFERROR(VLOOKUP(B231,Sheet1!$G$7:$K$4000,5,0),0)</f>
        <v>0</v>
      </c>
      <c r="F231" s="10">
        <f>IFERROR(VLOOKUP(B231,Sheet1!$G$7:$N$4000,8,0),0)</f>
        <v>0</v>
      </c>
      <c r="G231" s="10">
        <f>IFERROR(VLOOKUP(B231,Sheet1!$G$7:$Q$4000,11,0),0)</f>
        <v>0</v>
      </c>
      <c r="H231" s="7">
        <f t="shared" si="129"/>
        <v>0</v>
      </c>
      <c r="I231" s="11" t="str">
        <f t="shared" si="131"/>
        <v/>
      </c>
      <c r="J231" s="11" t="str">
        <f t="shared" si="132"/>
        <v/>
      </c>
      <c r="K231" s="11" t="str">
        <f t="shared" si="133"/>
        <v/>
      </c>
      <c r="L231" s="11" t="str">
        <f t="shared" si="134"/>
        <v/>
      </c>
      <c r="M231" s="12" t="str">
        <f t="shared" si="130"/>
        <v/>
      </c>
      <c r="O231">
        <v>3</v>
      </c>
      <c r="P231">
        <f>Sheet1!$A$1</f>
        <v>1</v>
      </c>
    </row>
    <row r="232" spans="1:16">
      <c r="A232" s="9">
        <f t="shared" si="122"/>
        <v>457</v>
      </c>
      <c r="B232" s="13" t="str">
        <f t="shared" si="123"/>
        <v>Apr-1-Dega</v>
      </c>
      <c r="C232" s="7">
        <f t="shared" si="128"/>
        <v>0</v>
      </c>
      <c r="D232" s="10">
        <f>IFERROR(VLOOKUP(B232,Sheet1!$G$7:$J$4000,4,0),0)</f>
        <v>0</v>
      </c>
      <c r="E232" s="10">
        <f>IFERROR(VLOOKUP(B232,Sheet1!$G$7:$K$4000,5,0),0)</f>
        <v>0</v>
      </c>
      <c r="F232" s="10">
        <f>IFERROR(VLOOKUP(B232,Sheet1!$G$7:$N$4000,8,0),0)</f>
        <v>0</v>
      </c>
      <c r="G232" s="10">
        <f>IFERROR(VLOOKUP(B232,Sheet1!$G$7:$Q$4000,11,0),0)</f>
        <v>0</v>
      </c>
      <c r="H232" s="7">
        <f t="shared" si="129"/>
        <v>0</v>
      </c>
      <c r="I232" s="11" t="str">
        <f t="shared" si="131"/>
        <v/>
      </c>
      <c r="J232" s="11" t="str">
        <f t="shared" si="132"/>
        <v/>
      </c>
      <c r="K232" s="11" t="str">
        <f t="shared" si="133"/>
        <v/>
      </c>
      <c r="L232" s="11" t="str">
        <f t="shared" si="134"/>
        <v/>
      </c>
      <c r="M232" s="12" t="str">
        <f t="shared" si="130"/>
        <v/>
      </c>
      <c r="O232">
        <v>4</v>
      </c>
      <c r="P232">
        <f>Sheet1!$A$1</f>
        <v>1</v>
      </c>
    </row>
    <row r="233" spans="1:16">
      <c r="A233" s="9">
        <f t="shared" si="122"/>
        <v>487</v>
      </c>
      <c r="B233" s="13" t="str">
        <f t="shared" si="123"/>
        <v>May-1-Dega</v>
      </c>
      <c r="C233" s="7">
        <f t="shared" si="128"/>
        <v>0</v>
      </c>
      <c r="D233" s="10">
        <f>IFERROR(VLOOKUP(B233,Sheet1!$G$7:$J$4000,4,0),0)</f>
        <v>0</v>
      </c>
      <c r="E233" s="10">
        <f>IFERROR(VLOOKUP(B233,Sheet1!$G$7:$K$4000,5,0),0)</f>
        <v>0</v>
      </c>
      <c r="F233" s="10">
        <f>IFERROR(VLOOKUP(B233,Sheet1!$G$7:$N$4000,8,0),0)</f>
        <v>0</v>
      </c>
      <c r="G233" s="10">
        <f>IFERROR(VLOOKUP(B233,Sheet1!$G$7:$Q$4000,11,0),0)</f>
        <v>0</v>
      </c>
      <c r="H233" s="7">
        <f t="shared" si="129"/>
        <v>0</v>
      </c>
      <c r="I233" s="11" t="str">
        <f t="shared" si="131"/>
        <v/>
      </c>
      <c r="J233" s="11" t="str">
        <f t="shared" si="132"/>
        <v/>
      </c>
      <c r="K233" s="11" t="str">
        <f t="shared" si="133"/>
        <v/>
      </c>
      <c r="L233" s="11" t="str">
        <f t="shared" si="134"/>
        <v/>
      </c>
      <c r="M233" s="12" t="str">
        <f t="shared" si="130"/>
        <v/>
      </c>
      <c r="O233">
        <v>5</v>
      </c>
      <c r="P233">
        <f>Sheet1!$A$1</f>
        <v>1</v>
      </c>
    </row>
    <row r="234" spans="1:16">
      <c r="A234" s="9">
        <f t="shared" si="122"/>
        <v>518</v>
      </c>
      <c r="B234" s="13" t="str">
        <f t="shared" si="123"/>
        <v>Jun-1-Dega</v>
      </c>
      <c r="C234" s="7">
        <f t="shared" si="128"/>
        <v>0</v>
      </c>
      <c r="D234" s="10">
        <f>IFERROR(VLOOKUP(B234,Sheet1!$G$7:$J$4000,4,0),0)</f>
        <v>0</v>
      </c>
      <c r="E234" s="10">
        <f>IFERROR(VLOOKUP(B234,Sheet1!$G$7:$K$4000,5,0),0)</f>
        <v>0</v>
      </c>
      <c r="F234" s="10">
        <f>IFERROR(VLOOKUP(B234,Sheet1!$G$7:$N$4000,8,0),0)</f>
        <v>0</v>
      </c>
      <c r="G234" s="10">
        <f>IFERROR(VLOOKUP(B234,Sheet1!$G$7:$Q$4000,11,0),0)</f>
        <v>0</v>
      </c>
      <c r="H234" s="7">
        <f t="shared" si="129"/>
        <v>0</v>
      </c>
      <c r="I234" s="11" t="str">
        <f t="shared" si="131"/>
        <v/>
      </c>
      <c r="J234" s="11" t="str">
        <f t="shared" si="132"/>
        <v/>
      </c>
      <c r="K234" s="11" t="str">
        <f t="shared" si="133"/>
        <v/>
      </c>
      <c r="L234" s="11" t="str">
        <f t="shared" si="134"/>
        <v/>
      </c>
      <c r="M234" s="12" t="str">
        <f t="shared" si="130"/>
        <v/>
      </c>
      <c r="O234">
        <v>6</v>
      </c>
      <c r="P234">
        <f>Sheet1!$A$1</f>
        <v>1</v>
      </c>
    </row>
    <row r="235" spans="1:16">
      <c r="A235" s="9">
        <f t="shared" si="122"/>
        <v>548</v>
      </c>
      <c r="B235" s="13" t="str">
        <f t="shared" si="123"/>
        <v>Jul-1-Dega</v>
      </c>
      <c r="C235" s="7">
        <f t="shared" si="128"/>
        <v>0</v>
      </c>
      <c r="D235" s="10">
        <f>IFERROR(VLOOKUP(B235,Sheet1!$G$7:$J$4000,4,0),0)</f>
        <v>0</v>
      </c>
      <c r="E235" s="10">
        <f>IFERROR(VLOOKUP(B235,Sheet1!$G$7:$K$4000,5,0),0)</f>
        <v>0</v>
      </c>
      <c r="F235" s="10">
        <f>IFERROR(VLOOKUP(B235,Sheet1!$G$7:$N$4000,8,0),0)</f>
        <v>0</v>
      </c>
      <c r="G235" s="10">
        <f>IFERROR(VLOOKUP(B235,Sheet1!$G$7:$Q$4000,11,0),0)</f>
        <v>0</v>
      </c>
      <c r="H235" s="7">
        <f t="shared" si="129"/>
        <v>0</v>
      </c>
      <c r="I235" s="11" t="str">
        <f t="shared" si="131"/>
        <v/>
      </c>
      <c r="J235" s="11" t="str">
        <f t="shared" si="132"/>
        <v/>
      </c>
      <c r="K235" s="11" t="str">
        <f t="shared" si="133"/>
        <v/>
      </c>
      <c r="L235" s="11" t="str">
        <f t="shared" si="134"/>
        <v/>
      </c>
      <c r="M235" s="12" t="str">
        <f t="shared" si="130"/>
        <v/>
      </c>
      <c r="O235">
        <v>7</v>
      </c>
      <c r="P235">
        <f>Sheet1!$A$1</f>
        <v>1</v>
      </c>
    </row>
    <row r="236" spans="1:16">
      <c r="A236" s="9">
        <f t="shared" si="122"/>
        <v>579</v>
      </c>
      <c r="B236" s="13" t="str">
        <f t="shared" si="123"/>
        <v>Aug-1-Dega</v>
      </c>
      <c r="C236" s="7">
        <f t="shared" si="128"/>
        <v>0</v>
      </c>
      <c r="D236" s="10">
        <f>IFERROR(VLOOKUP(B236,Sheet1!$G$7:$J$4000,4,0),0)</f>
        <v>0</v>
      </c>
      <c r="E236" s="10">
        <f>IFERROR(VLOOKUP(B236,Sheet1!$G$7:$K$4000,5,0),0)</f>
        <v>0</v>
      </c>
      <c r="F236" s="10">
        <f>IFERROR(VLOOKUP(B236,Sheet1!$G$7:$N$4000,8,0),0)</f>
        <v>0</v>
      </c>
      <c r="G236" s="10">
        <f>IFERROR(VLOOKUP(B236,Sheet1!$G$7:$Q$4000,11,0),0)</f>
        <v>0</v>
      </c>
      <c r="H236" s="7">
        <f t="shared" si="129"/>
        <v>0</v>
      </c>
      <c r="I236" s="11" t="str">
        <f t="shared" si="131"/>
        <v/>
      </c>
      <c r="J236" s="11" t="str">
        <f t="shared" si="132"/>
        <v/>
      </c>
      <c r="K236" s="11" t="str">
        <f t="shared" si="133"/>
        <v/>
      </c>
      <c r="L236" s="11" t="str">
        <f t="shared" si="134"/>
        <v/>
      </c>
      <c r="M236" s="12" t="str">
        <f t="shared" si="130"/>
        <v/>
      </c>
      <c r="O236">
        <v>8</v>
      </c>
      <c r="P236">
        <f>Sheet1!$A$1</f>
        <v>1</v>
      </c>
    </row>
    <row r="237" spans="1:16">
      <c r="A237" s="9">
        <f t="shared" si="122"/>
        <v>610</v>
      </c>
      <c r="B237" s="13" t="str">
        <f t="shared" si="123"/>
        <v>Sep-1-Dega</v>
      </c>
      <c r="C237" s="7">
        <f t="shared" si="128"/>
        <v>0</v>
      </c>
      <c r="D237" s="10">
        <f>IFERROR(VLOOKUP(B237,Sheet1!$G$7:$J$4000,4,0),0)</f>
        <v>0</v>
      </c>
      <c r="E237" s="10">
        <f>IFERROR(VLOOKUP(B237,Sheet1!$G$7:$K$4000,5,0),0)</f>
        <v>0</v>
      </c>
      <c r="F237" s="10">
        <f>IFERROR(VLOOKUP(B237,Sheet1!$G$7:$N$4000,8,0),0)</f>
        <v>0</v>
      </c>
      <c r="G237" s="10">
        <f>IFERROR(VLOOKUP(B237,Sheet1!$G$7:$Q$4000,11,0),0)</f>
        <v>0</v>
      </c>
      <c r="H237" s="7">
        <f t="shared" si="129"/>
        <v>0</v>
      </c>
      <c r="I237" s="11" t="str">
        <f t="shared" si="131"/>
        <v/>
      </c>
      <c r="J237" s="11" t="str">
        <f t="shared" si="132"/>
        <v/>
      </c>
      <c r="K237" s="11" t="str">
        <f t="shared" si="133"/>
        <v/>
      </c>
      <c r="L237" s="11" t="str">
        <f t="shared" si="134"/>
        <v/>
      </c>
      <c r="M237" s="12" t="str">
        <f t="shared" si="130"/>
        <v/>
      </c>
      <c r="O237">
        <v>9</v>
      </c>
      <c r="P237">
        <f>Sheet1!$A$1</f>
        <v>1</v>
      </c>
    </row>
    <row r="238" spans="1:16">
      <c r="A238" s="9">
        <f t="shared" si="122"/>
        <v>640</v>
      </c>
      <c r="B238" s="13" t="str">
        <f t="shared" si="123"/>
        <v>Oct-1-Dega</v>
      </c>
      <c r="C238" s="7">
        <f t="shared" si="128"/>
        <v>0</v>
      </c>
      <c r="D238" s="10">
        <f>IFERROR(VLOOKUP(B238,Sheet1!$G$7:$J$4000,4,0),0)</f>
        <v>0</v>
      </c>
      <c r="E238" s="10">
        <f>IFERROR(VLOOKUP(B238,Sheet1!$G$7:$K$4000,5,0),0)</f>
        <v>0</v>
      </c>
      <c r="F238" s="10">
        <f>IFERROR(VLOOKUP(B238,Sheet1!$G$7:$N$4000,8,0),0)</f>
        <v>0</v>
      </c>
      <c r="G238" s="10">
        <f>IFERROR(VLOOKUP(B238,Sheet1!$G$7:$Q$4000,11,0),0)</f>
        <v>0</v>
      </c>
      <c r="H238" s="7">
        <f t="shared" si="129"/>
        <v>0</v>
      </c>
      <c r="I238" s="11" t="str">
        <f t="shared" si="131"/>
        <v/>
      </c>
      <c r="J238" s="11" t="str">
        <f t="shared" si="132"/>
        <v/>
      </c>
      <c r="K238" s="11" t="str">
        <f t="shared" si="133"/>
        <v/>
      </c>
      <c r="L238" s="11" t="str">
        <f t="shared" si="134"/>
        <v/>
      </c>
      <c r="M238" s="12" t="str">
        <f t="shared" si="130"/>
        <v/>
      </c>
      <c r="O238">
        <v>10</v>
      </c>
      <c r="P238">
        <f>Sheet1!$A$1</f>
        <v>1</v>
      </c>
    </row>
    <row r="239" spans="1:16">
      <c r="A239" s="9">
        <f t="shared" si="122"/>
        <v>671</v>
      </c>
      <c r="B239" s="13" t="str">
        <f t="shared" si="123"/>
        <v>Nov-1-Dega</v>
      </c>
      <c r="C239" s="7">
        <f t="shared" si="128"/>
        <v>0</v>
      </c>
      <c r="D239" s="10">
        <f>IFERROR(VLOOKUP(B239,Sheet1!$G$7:$J$4000,4,0),0)</f>
        <v>0</v>
      </c>
      <c r="E239" s="10">
        <f>IFERROR(VLOOKUP(B239,Sheet1!$G$7:$K$4000,5,0),0)</f>
        <v>0</v>
      </c>
      <c r="F239" s="10">
        <f>IFERROR(VLOOKUP(B239,Sheet1!$G$7:$N$4000,8,0),0)</f>
        <v>0</v>
      </c>
      <c r="G239" s="10">
        <f>IFERROR(VLOOKUP(B239,Sheet1!$G$7:$Q$4000,11,0),0)</f>
        <v>0</v>
      </c>
      <c r="H239" s="7">
        <f t="shared" si="129"/>
        <v>0</v>
      </c>
      <c r="I239" s="11" t="str">
        <f t="shared" si="131"/>
        <v/>
      </c>
      <c r="J239" s="11" t="str">
        <f t="shared" si="132"/>
        <v/>
      </c>
      <c r="K239" s="11" t="str">
        <f t="shared" si="133"/>
        <v/>
      </c>
      <c r="L239" s="11" t="str">
        <f t="shared" si="134"/>
        <v/>
      </c>
      <c r="M239" s="12" t="str">
        <f t="shared" si="130"/>
        <v/>
      </c>
      <c r="O239">
        <v>11</v>
      </c>
      <c r="P239">
        <f>Sheet1!$A$1</f>
        <v>1</v>
      </c>
    </row>
    <row r="240" spans="1:16">
      <c r="A240" s="9">
        <f t="shared" si="122"/>
        <v>701</v>
      </c>
      <c r="B240" s="13" t="str">
        <f t="shared" si="123"/>
        <v>Dec-1-Dega</v>
      </c>
      <c r="C240" s="7">
        <f t="shared" si="128"/>
        <v>0</v>
      </c>
      <c r="D240" s="10">
        <f>IFERROR(VLOOKUP(B240,Sheet1!$G$7:$J$4000,4,0),0)</f>
        <v>0</v>
      </c>
      <c r="E240" s="10">
        <f>IFERROR(VLOOKUP(B240,Sheet1!$G$7:$K$4000,5,0),0)</f>
        <v>0</v>
      </c>
      <c r="F240" s="10">
        <f>IFERROR(VLOOKUP(B240,Sheet1!$G$7:$N$4000,8,0),0)</f>
        <v>0</v>
      </c>
      <c r="G240" s="10">
        <f>IFERROR(VLOOKUP(B240,Sheet1!$G$7:$Q$4000,11,0),0)</f>
        <v>0</v>
      </c>
      <c r="H240" s="7">
        <f t="shared" si="129"/>
        <v>0</v>
      </c>
      <c r="I240" s="11" t="str">
        <f t="shared" si="131"/>
        <v/>
      </c>
      <c r="J240" s="11" t="str">
        <f t="shared" si="132"/>
        <v/>
      </c>
      <c r="K240" s="11" t="str">
        <f t="shared" si="133"/>
        <v/>
      </c>
      <c r="L240" s="11" t="str">
        <f t="shared" si="134"/>
        <v/>
      </c>
      <c r="M240" s="12" t="str">
        <f t="shared" si="130"/>
        <v/>
      </c>
      <c r="O240">
        <v>12</v>
      </c>
      <c r="P240">
        <f>Sheet1!$A$1</f>
        <v>1</v>
      </c>
    </row>
    <row r="241" spans="1:16">
      <c r="A241" s="4"/>
      <c r="B241" s="4"/>
      <c r="C241" s="4"/>
      <c r="D241" s="4"/>
      <c r="E241" s="4"/>
      <c r="F241" s="4"/>
      <c r="G241" s="4"/>
      <c r="H241" s="4"/>
      <c r="I241" s="5"/>
      <c r="J241" s="5"/>
      <c r="K241" s="5"/>
      <c r="L241" s="5"/>
      <c r="M241" s="5"/>
    </row>
    <row r="242" spans="1:16" ht="30" customHeight="1">
      <c r="A242" s="6" t="s">
        <v>147</v>
      </c>
      <c r="B242" s="20"/>
      <c r="C242" s="95" t="s">
        <v>35</v>
      </c>
      <c r="D242" s="96"/>
      <c r="E242" s="96"/>
      <c r="F242" s="96"/>
      <c r="G242" s="96"/>
      <c r="H242" s="97"/>
      <c r="I242" s="98" t="s">
        <v>36</v>
      </c>
      <c r="J242" s="99"/>
      <c r="K242" s="99"/>
      <c r="L242" s="99"/>
      <c r="M242" s="100"/>
      <c r="O242">
        <v>9</v>
      </c>
      <c r="P242" s="21" t="s">
        <v>44</v>
      </c>
    </row>
    <row r="243" spans="1:16" ht="102">
      <c r="A243" s="7" t="s">
        <v>89</v>
      </c>
      <c r="B243" s="7"/>
      <c r="C243" s="8" t="s">
        <v>132</v>
      </c>
      <c r="D243" s="8" t="s">
        <v>133</v>
      </c>
      <c r="E243" s="8" t="s">
        <v>134</v>
      </c>
      <c r="F243" s="8" t="s">
        <v>135</v>
      </c>
      <c r="G243" s="8" t="s">
        <v>136</v>
      </c>
      <c r="H243" s="8" t="s">
        <v>137</v>
      </c>
      <c r="I243" s="27" t="s">
        <v>138</v>
      </c>
      <c r="J243" s="27" t="s">
        <v>139</v>
      </c>
      <c r="K243" s="27" t="s">
        <v>140</v>
      </c>
      <c r="L243" s="27" t="s">
        <v>136</v>
      </c>
      <c r="M243" s="27" t="s">
        <v>141</v>
      </c>
    </row>
    <row r="244" spans="1:16">
      <c r="A244" s="9">
        <f>DATE(P244,O244,1)</f>
        <v>1</v>
      </c>
      <c r="B244" s="13" t="str">
        <f>TEXT(O244*29,"mmm")&amp;"-" &amp;P244&amp;"-"&amp;$P$242</f>
        <v>Jan-0-Shot</v>
      </c>
      <c r="C244" s="7">
        <f t="shared" ref="C244:C255" si="135">SUM(D244:G244)</f>
        <v>0</v>
      </c>
      <c r="D244" s="10">
        <f>IFERROR(VLOOKUP(B244,Sheet1!$G$7:$J$4000,4,0),0)</f>
        <v>0</v>
      </c>
      <c r="E244" s="10">
        <f>IFERROR(VLOOKUP(B244,Sheet1!$G$7:$K$4000,5,0),0)</f>
        <v>0</v>
      </c>
      <c r="F244" s="10">
        <f>IFERROR(VLOOKUP(B244,Sheet1!$G$7:$N$4000,8,0),0)</f>
        <v>0</v>
      </c>
      <c r="G244" s="10">
        <f>IFERROR(VLOOKUP(B244,Sheet1!$G$7:$Q$4000,11,0),0)</f>
        <v>0</v>
      </c>
      <c r="H244" s="7">
        <f t="shared" ref="H244:H255" si="136">D244+E244</f>
        <v>0</v>
      </c>
      <c r="I244" s="11" t="str">
        <f>IFERROR(D244/C244*100%,"")</f>
        <v/>
      </c>
      <c r="J244" s="11" t="str">
        <f>IFERROR(E244/C244*100%,"")</f>
        <v/>
      </c>
      <c r="K244" s="11" t="str">
        <f>IFERROR(F244/C244*100%,"")</f>
        <v/>
      </c>
      <c r="L244" s="11" t="str">
        <f>IFERROR(F244/C244*100%,"")</f>
        <v/>
      </c>
      <c r="M244" s="12" t="str">
        <f t="shared" ref="M244:M255" si="137">IFERROR(I244+J244,"")</f>
        <v/>
      </c>
      <c r="O244">
        <v>1</v>
      </c>
      <c r="P244">
        <f>Sheet1!$A$1-1</f>
        <v>0</v>
      </c>
    </row>
    <row r="245" spans="1:16">
      <c r="A245" s="9">
        <f t="shared" ref="A245:A267" si="138">DATE(P245,O245,1)</f>
        <v>32</v>
      </c>
      <c r="B245" s="13" t="str">
        <f t="shared" ref="B245:B267" si="139">TEXT(O245*29,"mmm")&amp;"-" &amp;P245&amp;"-"&amp;$P$242</f>
        <v>Feb-0-Shot</v>
      </c>
      <c r="C245" s="7">
        <f t="shared" si="135"/>
        <v>0</v>
      </c>
      <c r="D245" s="10">
        <f>IFERROR(VLOOKUP(B245,Sheet1!$G$7:$J$4000,4,0),0)</f>
        <v>0</v>
      </c>
      <c r="E245" s="10">
        <f>IFERROR(VLOOKUP(B245,Sheet1!$G$7:$K$4000,5,0),0)</f>
        <v>0</v>
      </c>
      <c r="F245" s="10">
        <f>IFERROR(VLOOKUP(B245,Sheet1!$G$7:$N$4000,8,0),0)</f>
        <v>0</v>
      </c>
      <c r="G245" s="10">
        <f>IFERROR(VLOOKUP(B245,Sheet1!$G$7:$Q$4000,11,0),0)</f>
        <v>0</v>
      </c>
      <c r="H245" s="7">
        <f t="shared" si="136"/>
        <v>0</v>
      </c>
      <c r="I245" s="11" t="str">
        <f t="shared" ref="I245:I255" si="140">IFERROR(D245/C245*100%,"")</f>
        <v/>
      </c>
      <c r="J245" s="11" t="str">
        <f t="shared" ref="J245:J255" si="141">IFERROR(E245/C245*100%,"")</f>
        <v/>
      </c>
      <c r="K245" s="11" t="str">
        <f t="shared" ref="K245:K255" si="142">IFERROR(F245/C245*100%,"")</f>
        <v/>
      </c>
      <c r="L245" s="11" t="str">
        <f t="shared" ref="L245:L255" si="143">IFERROR(F245/C245*100%,"")</f>
        <v/>
      </c>
      <c r="M245" s="12" t="str">
        <f t="shared" si="137"/>
        <v/>
      </c>
      <c r="O245">
        <v>2</v>
      </c>
      <c r="P245">
        <f>Sheet1!$A$1-1</f>
        <v>0</v>
      </c>
    </row>
    <row r="246" spans="1:16">
      <c r="A246" s="9">
        <f t="shared" si="138"/>
        <v>61</v>
      </c>
      <c r="B246" s="13" t="str">
        <f t="shared" si="139"/>
        <v>Mar-0-Shot</v>
      </c>
      <c r="C246" s="7">
        <f t="shared" si="135"/>
        <v>0</v>
      </c>
      <c r="D246" s="10">
        <f>IFERROR(VLOOKUP(B246,Sheet1!$G$7:$J$4000,4,0),0)</f>
        <v>0</v>
      </c>
      <c r="E246" s="10">
        <f>IFERROR(VLOOKUP(B246,Sheet1!$G$7:$K$4000,5,0),0)</f>
        <v>0</v>
      </c>
      <c r="F246" s="10">
        <f>IFERROR(VLOOKUP(B246,Sheet1!$G$7:$N$4000,8,0),0)</f>
        <v>0</v>
      </c>
      <c r="G246" s="10">
        <f>IFERROR(VLOOKUP(B246,Sheet1!$G$7:$Q$4000,11,0),0)</f>
        <v>0</v>
      </c>
      <c r="H246" s="7">
        <f t="shared" si="136"/>
        <v>0</v>
      </c>
      <c r="I246" s="11" t="str">
        <f t="shared" si="140"/>
        <v/>
      </c>
      <c r="J246" s="11" t="str">
        <f t="shared" si="141"/>
        <v/>
      </c>
      <c r="K246" s="11" t="str">
        <f t="shared" si="142"/>
        <v/>
      </c>
      <c r="L246" s="11" t="str">
        <f t="shared" si="143"/>
        <v/>
      </c>
      <c r="M246" s="12" t="str">
        <f t="shared" si="137"/>
        <v/>
      </c>
      <c r="O246">
        <v>3</v>
      </c>
      <c r="P246">
        <f>Sheet1!$A$1-1</f>
        <v>0</v>
      </c>
    </row>
    <row r="247" spans="1:16">
      <c r="A247" s="9">
        <f t="shared" si="138"/>
        <v>92</v>
      </c>
      <c r="B247" s="13" t="str">
        <f t="shared" si="139"/>
        <v>Apr-0-Shot</v>
      </c>
      <c r="C247" s="7">
        <f t="shared" si="135"/>
        <v>0</v>
      </c>
      <c r="D247" s="10">
        <f>IFERROR(VLOOKUP(B247,Sheet1!$G$7:$J$4000,4,0),0)</f>
        <v>0</v>
      </c>
      <c r="E247" s="10">
        <f>IFERROR(VLOOKUP(B247,Sheet1!$G$7:$K$4000,5,0),0)</f>
        <v>0</v>
      </c>
      <c r="F247" s="10">
        <f>IFERROR(VLOOKUP(B247,Sheet1!$G$7:$N$4000,8,0),0)</f>
        <v>0</v>
      </c>
      <c r="G247" s="10">
        <f>IFERROR(VLOOKUP(B247,Sheet1!$G$7:$Q$4000,11,0),0)</f>
        <v>0</v>
      </c>
      <c r="H247" s="7">
        <f t="shared" si="136"/>
        <v>0</v>
      </c>
      <c r="I247" s="11" t="str">
        <f t="shared" si="140"/>
        <v/>
      </c>
      <c r="J247" s="11" t="str">
        <f t="shared" si="141"/>
        <v/>
      </c>
      <c r="K247" s="11" t="str">
        <f t="shared" si="142"/>
        <v/>
      </c>
      <c r="L247" s="11" t="str">
        <f t="shared" si="143"/>
        <v/>
      </c>
      <c r="M247" s="12" t="str">
        <f t="shared" si="137"/>
        <v/>
      </c>
      <c r="O247">
        <v>4</v>
      </c>
      <c r="P247">
        <f>Sheet1!$A$1-1</f>
        <v>0</v>
      </c>
    </row>
    <row r="248" spans="1:16">
      <c r="A248" s="9">
        <f t="shared" si="138"/>
        <v>122</v>
      </c>
      <c r="B248" s="13" t="str">
        <f t="shared" si="139"/>
        <v>May-0-Shot</v>
      </c>
      <c r="C248" s="7">
        <f t="shared" si="135"/>
        <v>0</v>
      </c>
      <c r="D248" s="10">
        <f>IFERROR(VLOOKUP(B248,Sheet1!$G$7:$J$4000,4,0),0)</f>
        <v>0</v>
      </c>
      <c r="E248" s="10">
        <f>IFERROR(VLOOKUP(B248,Sheet1!$G$7:$K$4000,5,0),0)</f>
        <v>0</v>
      </c>
      <c r="F248" s="10">
        <f>IFERROR(VLOOKUP(B248,Sheet1!$G$7:$N$4000,8,0),0)</f>
        <v>0</v>
      </c>
      <c r="G248" s="10">
        <f>IFERROR(VLOOKUP(B248,Sheet1!$G$7:$Q$4000,11,0),0)</f>
        <v>0</v>
      </c>
      <c r="H248" s="7">
        <f t="shared" si="136"/>
        <v>0</v>
      </c>
      <c r="I248" s="11" t="str">
        <f t="shared" si="140"/>
        <v/>
      </c>
      <c r="J248" s="11" t="str">
        <f t="shared" si="141"/>
        <v/>
      </c>
      <c r="K248" s="11" t="str">
        <f t="shared" si="142"/>
        <v/>
      </c>
      <c r="L248" s="11" t="str">
        <f t="shared" si="143"/>
        <v/>
      </c>
      <c r="M248" s="12" t="str">
        <f t="shared" si="137"/>
        <v/>
      </c>
      <c r="O248">
        <v>5</v>
      </c>
      <c r="P248">
        <f>Sheet1!$A$1-1</f>
        <v>0</v>
      </c>
    </row>
    <row r="249" spans="1:16">
      <c r="A249" s="9">
        <f t="shared" si="138"/>
        <v>153</v>
      </c>
      <c r="B249" s="13" t="str">
        <f t="shared" si="139"/>
        <v>Jun-0-Shot</v>
      </c>
      <c r="C249" s="7">
        <f t="shared" si="135"/>
        <v>0</v>
      </c>
      <c r="D249" s="10">
        <f>IFERROR(VLOOKUP(B249,Sheet1!$G$7:$J$4000,4,0),0)</f>
        <v>0</v>
      </c>
      <c r="E249" s="10">
        <f>IFERROR(VLOOKUP(B249,Sheet1!$G$7:$K$4000,5,0),0)</f>
        <v>0</v>
      </c>
      <c r="F249" s="10">
        <f>IFERROR(VLOOKUP(B249,Sheet1!$G$7:$N$4000,8,0),0)</f>
        <v>0</v>
      </c>
      <c r="G249" s="10">
        <f>IFERROR(VLOOKUP(B249,Sheet1!$G$7:$Q$4000,11,0),0)</f>
        <v>0</v>
      </c>
      <c r="H249" s="7">
        <f t="shared" si="136"/>
        <v>0</v>
      </c>
      <c r="I249" s="11" t="str">
        <f t="shared" si="140"/>
        <v/>
      </c>
      <c r="J249" s="11" t="str">
        <f t="shared" si="141"/>
        <v/>
      </c>
      <c r="K249" s="11" t="str">
        <f t="shared" si="142"/>
        <v/>
      </c>
      <c r="L249" s="11" t="str">
        <f t="shared" si="143"/>
        <v/>
      </c>
      <c r="M249" s="12" t="str">
        <f t="shared" si="137"/>
        <v/>
      </c>
      <c r="O249">
        <v>6</v>
      </c>
      <c r="P249">
        <f>Sheet1!$A$1-1</f>
        <v>0</v>
      </c>
    </row>
    <row r="250" spans="1:16">
      <c r="A250" s="9">
        <f t="shared" si="138"/>
        <v>183</v>
      </c>
      <c r="B250" s="13" t="str">
        <f t="shared" si="139"/>
        <v>Jul-0-Shot</v>
      </c>
      <c r="C250" s="7">
        <f t="shared" si="135"/>
        <v>0</v>
      </c>
      <c r="D250" s="10">
        <f>IFERROR(VLOOKUP(B250,Sheet1!$G$7:$J$4000,4,0),0)</f>
        <v>0</v>
      </c>
      <c r="E250" s="10">
        <f>IFERROR(VLOOKUP(B250,Sheet1!$G$7:$K$4000,5,0),0)</f>
        <v>0</v>
      </c>
      <c r="F250" s="10">
        <f>IFERROR(VLOOKUP(B250,Sheet1!$G$7:$N$4000,8,0),0)</f>
        <v>0</v>
      </c>
      <c r="G250" s="10">
        <f>IFERROR(VLOOKUP(B250,Sheet1!$G$7:$Q$4000,11,0),0)</f>
        <v>0</v>
      </c>
      <c r="H250" s="7">
        <f t="shared" si="136"/>
        <v>0</v>
      </c>
      <c r="I250" s="11" t="str">
        <f t="shared" si="140"/>
        <v/>
      </c>
      <c r="J250" s="11" t="str">
        <f t="shared" si="141"/>
        <v/>
      </c>
      <c r="K250" s="11" t="str">
        <f t="shared" si="142"/>
        <v/>
      </c>
      <c r="L250" s="11" t="str">
        <f t="shared" si="143"/>
        <v/>
      </c>
      <c r="M250" s="12" t="str">
        <f t="shared" si="137"/>
        <v/>
      </c>
      <c r="O250">
        <v>7</v>
      </c>
      <c r="P250">
        <f>Sheet1!$A$1-1</f>
        <v>0</v>
      </c>
    </row>
    <row r="251" spans="1:16">
      <c r="A251" s="9">
        <f t="shared" si="138"/>
        <v>214</v>
      </c>
      <c r="B251" s="13" t="str">
        <f t="shared" si="139"/>
        <v>Aug-0-Shot</v>
      </c>
      <c r="C251" s="7">
        <f t="shared" si="135"/>
        <v>0</v>
      </c>
      <c r="D251" s="10">
        <f>IFERROR(VLOOKUP(B251,Sheet1!$G$7:$J$4000,4,0),0)</f>
        <v>0</v>
      </c>
      <c r="E251" s="10">
        <f>IFERROR(VLOOKUP(B251,Sheet1!$G$7:$K$4000,5,0),0)</f>
        <v>0</v>
      </c>
      <c r="F251" s="10">
        <f>IFERROR(VLOOKUP(B251,Sheet1!$G$7:$N$4000,8,0),0)</f>
        <v>0</v>
      </c>
      <c r="G251" s="10">
        <f>IFERROR(VLOOKUP(B251,Sheet1!$G$7:$Q$4000,11,0),0)</f>
        <v>0</v>
      </c>
      <c r="H251" s="7">
        <f t="shared" si="136"/>
        <v>0</v>
      </c>
      <c r="I251" s="11" t="str">
        <f t="shared" si="140"/>
        <v/>
      </c>
      <c r="J251" s="11" t="str">
        <f t="shared" si="141"/>
        <v/>
      </c>
      <c r="K251" s="11" t="str">
        <f t="shared" si="142"/>
        <v/>
      </c>
      <c r="L251" s="11" t="str">
        <f t="shared" si="143"/>
        <v/>
      </c>
      <c r="M251" s="12" t="str">
        <f t="shared" si="137"/>
        <v/>
      </c>
      <c r="O251">
        <v>8</v>
      </c>
      <c r="P251">
        <f>Sheet1!$A$1-1</f>
        <v>0</v>
      </c>
    </row>
    <row r="252" spans="1:16">
      <c r="A252" s="9">
        <f t="shared" si="138"/>
        <v>245</v>
      </c>
      <c r="B252" s="13" t="str">
        <f t="shared" si="139"/>
        <v>Sep-0-Shot</v>
      </c>
      <c r="C252" s="7">
        <f t="shared" si="135"/>
        <v>0</v>
      </c>
      <c r="D252" s="10">
        <f>IFERROR(VLOOKUP(B252,Sheet1!$G$7:$J$4000,4,0),0)</f>
        <v>0</v>
      </c>
      <c r="E252" s="10">
        <f>IFERROR(VLOOKUP(B252,Sheet1!$G$7:$K$4000,5,0),0)</f>
        <v>0</v>
      </c>
      <c r="F252" s="10">
        <f>IFERROR(VLOOKUP(B252,Sheet1!$G$7:$N$4000,8,0),0)</f>
        <v>0</v>
      </c>
      <c r="G252" s="10">
        <f>IFERROR(VLOOKUP(B252,Sheet1!$G$7:$Q$4000,11,0),0)</f>
        <v>0</v>
      </c>
      <c r="H252" s="7">
        <f t="shared" si="136"/>
        <v>0</v>
      </c>
      <c r="I252" s="11" t="str">
        <f t="shared" si="140"/>
        <v/>
      </c>
      <c r="J252" s="11" t="str">
        <f t="shared" si="141"/>
        <v/>
      </c>
      <c r="K252" s="11" t="str">
        <f t="shared" si="142"/>
        <v/>
      </c>
      <c r="L252" s="11" t="str">
        <f t="shared" si="143"/>
        <v/>
      </c>
      <c r="M252" s="12" t="str">
        <f t="shared" si="137"/>
        <v/>
      </c>
      <c r="O252">
        <v>9</v>
      </c>
      <c r="P252">
        <f>Sheet1!$A$1-1</f>
        <v>0</v>
      </c>
    </row>
    <row r="253" spans="1:16">
      <c r="A253" s="9">
        <f t="shared" si="138"/>
        <v>275</v>
      </c>
      <c r="B253" s="13" t="str">
        <f t="shared" si="139"/>
        <v>Oct-0-Shot</v>
      </c>
      <c r="C253" s="7">
        <f t="shared" si="135"/>
        <v>0</v>
      </c>
      <c r="D253" s="10">
        <f>IFERROR(VLOOKUP(B253,Sheet1!$G$7:$J$4000,4,0),0)</f>
        <v>0</v>
      </c>
      <c r="E253" s="10">
        <f>IFERROR(VLOOKUP(B253,Sheet1!$G$7:$K$4000,5,0),0)</f>
        <v>0</v>
      </c>
      <c r="F253" s="10">
        <f>IFERROR(VLOOKUP(B253,Sheet1!$G$7:$N$4000,8,0),0)</f>
        <v>0</v>
      </c>
      <c r="G253" s="10">
        <f>IFERROR(VLOOKUP(B253,Sheet1!$G$7:$Q$4000,11,0),0)</f>
        <v>0</v>
      </c>
      <c r="H253" s="7">
        <f t="shared" si="136"/>
        <v>0</v>
      </c>
      <c r="I253" s="11" t="str">
        <f t="shared" si="140"/>
        <v/>
      </c>
      <c r="J253" s="11" t="str">
        <f t="shared" si="141"/>
        <v/>
      </c>
      <c r="K253" s="11" t="str">
        <f t="shared" si="142"/>
        <v/>
      </c>
      <c r="L253" s="11" t="str">
        <f t="shared" si="143"/>
        <v/>
      </c>
      <c r="M253" s="12" t="str">
        <f t="shared" si="137"/>
        <v/>
      </c>
      <c r="O253">
        <v>10</v>
      </c>
      <c r="P253">
        <f>Sheet1!$A$1-1</f>
        <v>0</v>
      </c>
    </row>
    <row r="254" spans="1:16">
      <c r="A254" s="9">
        <f t="shared" si="138"/>
        <v>306</v>
      </c>
      <c r="B254" s="13" t="str">
        <f t="shared" si="139"/>
        <v>Nov-0-Shot</v>
      </c>
      <c r="C254" s="7">
        <f t="shared" si="135"/>
        <v>0</v>
      </c>
      <c r="D254" s="10">
        <f>IFERROR(VLOOKUP(B254,Sheet1!$G$7:$J$4000,4,0),0)</f>
        <v>0</v>
      </c>
      <c r="E254" s="10">
        <f>IFERROR(VLOOKUP(B254,Sheet1!$G$7:$K$4000,5,0),0)</f>
        <v>0</v>
      </c>
      <c r="F254" s="10">
        <f>IFERROR(VLOOKUP(B254,Sheet1!$G$7:$N$4000,8,0),0)</f>
        <v>0</v>
      </c>
      <c r="G254" s="10">
        <f>IFERROR(VLOOKUP(B254,Sheet1!$G$7:$Q$4000,11,0),0)</f>
        <v>0</v>
      </c>
      <c r="H254" s="7">
        <f t="shared" si="136"/>
        <v>0</v>
      </c>
      <c r="I254" s="11" t="str">
        <f t="shared" si="140"/>
        <v/>
      </c>
      <c r="J254" s="11" t="str">
        <f t="shared" si="141"/>
        <v/>
      </c>
      <c r="K254" s="11" t="str">
        <f t="shared" si="142"/>
        <v/>
      </c>
      <c r="L254" s="11" t="str">
        <f t="shared" si="143"/>
        <v/>
      </c>
      <c r="M254" s="12" t="str">
        <f t="shared" si="137"/>
        <v/>
      </c>
      <c r="O254">
        <v>11</v>
      </c>
      <c r="P254">
        <f>Sheet1!$A$1-1</f>
        <v>0</v>
      </c>
    </row>
    <row r="255" spans="1:16">
      <c r="A255" s="9">
        <f t="shared" si="138"/>
        <v>336</v>
      </c>
      <c r="B255" s="13" t="str">
        <f t="shared" si="139"/>
        <v>Dec-0-Shot</v>
      </c>
      <c r="C255" s="7">
        <f t="shared" si="135"/>
        <v>0</v>
      </c>
      <c r="D255" s="10">
        <f>IFERROR(VLOOKUP(B255,Sheet1!$G$7:$J$4000,4,0),0)</f>
        <v>0</v>
      </c>
      <c r="E255" s="10">
        <f>IFERROR(VLOOKUP(B255,Sheet1!$G$7:$K$4000,5,0),0)</f>
        <v>0</v>
      </c>
      <c r="F255" s="10">
        <f>IFERROR(VLOOKUP(B255,Sheet1!$G$7:$N$4000,8,0),0)</f>
        <v>0</v>
      </c>
      <c r="G255" s="10">
        <f>IFERROR(VLOOKUP(B255,Sheet1!$G$7:$Q$4000,11,0),0)</f>
        <v>0</v>
      </c>
      <c r="H255" s="7">
        <f t="shared" si="136"/>
        <v>0</v>
      </c>
      <c r="I255" s="11" t="str">
        <f t="shared" si="140"/>
        <v/>
      </c>
      <c r="J255" s="11" t="str">
        <f t="shared" si="141"/>
        <v/>
      </c>
      <c r="K255" s="11" t="str">
        <f t="shared" si="142"/>
        <v/>
      </c>
      <c r="L255" s="11" t="str">
        <f t="shared" si="143"/>
        <v/>
      </c>
      <c r="M255" s="12" t="str">
        <f t="shared" si="137"/>
        <v/>
      </c>
      <c r="O255">
        <v>12</v>
      </c>
      <c r="P255">
        <f>Sheet1!$A$1-1</f>
        <v>0</v>
      </c>
    </row>
    <row r="256" spans="1:16">
      <c r="A256" s="9">
        <f t="shared" si="138"/>
        <v>367</v>
      </c>
      <c r="B256" s="13" t="str">
        <f t="shared" si="139"/>
        <v>Jan-1-Shot</v>
      </c>
      <c r="C256" s="7">
        <f t="shared" ref="C256:C267" si="144">SUM(D256:G256)</f>
        <v>0</v>
      </c>
      <c r="D256" s="10">
        <f>IFERROR(VLOOKUP(B256,Sheet1!$G$7:$J$4000,4,0),0)</f>
        <v>0</v>
      </c>
      <c r="E256" s="10">
        <f>IFERROR(VLOOKUP(B256,Sheet1!$G$7:$K$4000,5,0),0)</f>
        <v>0</v>
      </c>
      <c r="F256" s="10">
        <f>IFERROR(VLOOKUP(B256,Sheet1!$G$7:$N$4000,8,0),0)</f>
        <v>0</v>
      </c>
      <c r="G256" s="10">
        <f>IFERROR(VLOOKUP(B256,Sheet1!$G$7:$Q$4000,11,0),0)</f>
        <v>0</v>
      </c>
      <c r="H256" s="7">
        <f t="shared" ref="H256:H267" si="145">D256+E256</f>
        <v>0</v>
      </c>
      <c r="I256" s="11" t="str">
        <f>IFERROR(D256/C256*100%,"")</f>
        <v/>
      </c>
      <c r="J256" s="11" t="str">
        <f>IFERROR(E256/C256*100%,"")</f>
        <v/>
      </c>
      <c r="K256" s="11" t="str">
        <f>IFERROR(F256/C256*100%,"")</f>
        <v/>
      </c>
      <c r="L256" s="11" t="str">
        <f>IFERROR(F256/C256*100%,"")</f>
        <v/>
      </c>
      <c r="M256" s="12" t="str">
        <f t="shared" ref="M256:M267" si="146">IFERROR(I256+J256,"")</f>
        <v/>
      </c>
      <c r="O256">
        <v>1</v>
      </c>
      <c r="P256">
        <f>Sheet1!$A$1</f>
        <v>1</v>
      </c>
    </row>
    <row r="257" spans="1:16">
      <c r="A257" s="9">
        <f t="shared" si="138"/>
        <v>398</v>
      </c>
      <c r="B257" s="13" t="str">
        <f t="shared" si="139"/>
        <v>Feb-1-Shot</v>
      </c>
      <c r="C257" s="7">
        <f t="shared" si="144"/>
        <v>0</v>
      </c>
      <c r="D257" s="10">
        <f>IFERROR(VLOOKUP(B257,Sheet1!$G$7:$J$4000,4,0),0)</f>
        <v>0</v>
      </c>
      <c r="E257" s="10">
        <f>IFERROR(VLOOKUP(B257,Sheet1!$G$7:$K$4000,5,0),0)</f>
        <v>0</v>
      </c>
      <c r="F257" s="10">
        <f>IFERROR(VLOOKUP(B257,Sheet1!$G$7:$N$4000,8,0),0)</f>
        <v>0</v>
      </c>
      <c r="G257" s="10">
        <f>IFERROR(VLOOKUP(B257,Sheet1!$G$7:$Q$4000,11,0),0)</f>
        <v>0</v>
      </c>
      <c r="H257" s="7">
        <f t="shared" si="145"/>
        <v>0</v>
      </c>
      <c r="I257" s="11" t="str">
        <f t="shared" ref="I257:I267" si="147">IFERROR(D257/C257*100%,"")</f>
        <v/>
      </c>
      <c r="J257" s="11" t="str">
        <f t="shared" ref="J257:J267" si="148">IFERROR(E257/C257*100%,"")</f>
        <v/>
      </c>
      <c r="K257" s="11" t="str">
        <f t="shared" ref="K257:K267" si="149">IFERROR(F257/C257*100%,"")</f>
        <v/>
      </c>
      <c r="L257" s="11" t="str">
        <f t="shared" ref="L257:L267" si="150">IFERROR(F257/C257*100%,"")</f>
        <v/>
      </c>
      <c r="M257" s="12" t="str">
        <f t="shared" si="146"/>
        <v/>
      </c>
      <c r="O257">
        <v>2</v>
      </c>
      <c r="P257">
        <f>Sheet1!$A$1</f>
        <v>1</v>
      </c>
    </row>
    <row r="258" spans="1:16">
      <c r="A258" s="9">
        <f t="shared" si="138"/>
        <v>426</v>
      </c>
      <c r="B258" s="13" t="str">
        <f t="shared" si="139"/>
        <v>Mar-1-Shot</v>
      </c>
      <c r="C258" s="7">
        <f t="shared" si="144"/>
        <v>0</v>
      </c>
      <c r="D258" s="10">
        <f>IFERROR(VLOOKUP(B258,Sheet1!$G$7:$J$4000,4,0),0)</f>
        <v>0</v>
      </c>
      <c r="E258" s="10">
        <f>IFERROR(VLOOKUP(B258,Sheet1!$G$7:$K$4000,5,0),0)</f>
        <v>0</v>
      </c>
      <c r="F258" s="10">
        <f>IFERROR(VLOOKUP(B258,Sheet1!$G$7:$N$4000,8,0),0)</f>
        <v>0</v>
      </c>
      <c r="G258" s="10">
        <f>IFERROR(VLOOKUP(B258,Sheet1!$G$7:$Q$4000,11,0),0)</f>
        <v>0</v>
      </c>
      <c r="H258" s="7">
        <f t="shared" si="145"/>
        <v>0</v>
      </c>
      <c r="I258" s="11" t="str">
        <f t="shared" si="147"/>
        <v/>
      </c>
      <c r="J258" s="11" t="str">
        <f t="shared" si="148"/>
        <v/>
      </c>
      <c r="K258" s="11" t="str">
        <f t="shared" si="149"/>
        <v/>
      </c>
      <c r="L258" s="11" t="str">
        <f t="shared" si="150"/>
        <v/>
      </c>
      <c r="M258" s="12" t="str">
        <f t="shared" si="146"/>
        <v/>
      </c>
      <c r="O258">
        <v>3</v>
      </c>
      <c r="P258">
        <f>Sheet1!$A$1</f>
        <v>1</v>
      </c>
    </row>
    <row r="259" spans="1:16">
      <c r="A259" s="9">
        <f t="shared" si="138"/>
        <v>457</v>
      </c>
      <c r="B259" s="13" t="str">
        <f t="shared" si="139"/>
        <v>Apr-1-Shot</v>
      </c>
      <c r="C259" s="7">
        <f t="shared" si="144"/>
        <v>0</v>
      </c>
      <c r="D259" s="10">
        <f>IFERROR(VLOOKUP(B259,Sheet1!$G$7:$J$4000,4,0),0)</f>
        <v>0</v>
      </c>
      <c r="E259" s="10">
        <f>IFERROR(VLOOKUP(B259,Sheet1!$G$7:$K$4000,5,0),0)</f>
        <v>0</v>
      </c>
      <c r="F259" s="10">
        <f>IFERROR(VLOOKUP(B259,Sheet1!$G$7:$N$4000,8,0),0)</f>
        <v>0</v>
      </c>
      <c r="G259" s="10">
        <f>IFERROR(VLOOKUP(B259,Sheet1!$G$7:$Q$4000,11,0),0)</f>
        <v>0</v>
      </c>
      <c r="H259" s="7">
        <f t="shared" si="145"/>
        <v>0</v>
      </c>
      <c r="I259" s="11" t="str">
        <f t="shared" si="147"/>
        <v/>
      </c>
      <c r="J259" s="11" t="str">
        <f t="shared" si="148"/>
        <v/>
      </c>
      <c r="K259" s="11" t="str">
        <f t="shared" si="149"/>
        <v/>
      </c>
      <c r="L259" s="11" t="str">
        <f t="shared" si="150"/>
        <v/>
      </c>
      <c r="M259" s="12" t="str">
        <f t="shared" si="146"/>
        <v/>
      </c>
      <c r="O259">
        <v>4</v>
      </c>
      <c r="P259">
        <f>Sheet1!$A$1</f>
        <v>1</v>
      </c>
    </row>
    <row r="260" spans="1:16">
      <c r="A260" s="9">
        <f t="shared" si="138"/>
        <v>487</v>
      </c>
      <c r="B260" s="13" t="str">
        <f t="shared" si="139"/>
        <v>May-1-Shot</v>
      </c>
      <c r="C260" s="7">
        <f t="shared" si="144"/>
        <v>0</v>
      </c>
      <c r="D260" s="10">
        <f>IFERROR(VLOOKUP(B260,Sheet1!$G$7:$J$4000,4,0),0)</f>
        <v>0</v>
      </c>
      <c r="E260" s="10">
        <f>IFERROR(VLOOKUP(B260,Sheet1!$G$7:$K$4000,5,0),0)</f>
        <v>0</v>
      </c>
      <c r="F260" s="10">
        <f>IFERROR(VLOOKUP(B260,Sheet1!$G$7:$N$4000,8,0),0)</f>
        <v>0</v>
      </c>
      <c r="G260" s="10">
        <f>IFERROR(VLOOKUP(B260,Sheet1!$G$7:$Q$4000,11,0),0)</f>
        <v>0</v>
      </c>
      <c r="H260" s="7">
        <f t="shared" si="145"/>
        <v>0</v>
      </c>
      <c r="I260" s="11" t="str">
        <f t="shared" si="147"/>
        <v/>
      </c>
      <c r="J260" s="11" t="str">
        <f t="shared" si="148"/>
        <v/>
      </c>
      <c r="K260" s="11" t="str">
        <f t="shared" si="149"/>
        <v/>
      </c>
      <c r="L260" s="11" t="str">
        <f t="shared" si="150"/>
        <v/>
      </c>
      <c r="M260" s="12" t="str">
        <f t="shared" si="146"/>
        <v/>
      </c>
      <c r="O260">
        <v>5</v>
      </c>
      <c r="P260">
        <f>Sheet1!$A$1</f>
        <v>1</v>
      </c>
    </row>
    <row r="261" spans="1:16">
      <c r="A261" s="9">
        <f t="shared" si="138"/>
        <v>518</v>
      </c>
      <c r="B261" s="13" t="str">
        <f t="shared" si="139"/>
        <v>Jun-1-Shot</v>
      </c>
      <c r="C261" s="7">
        <f t="shared" si="144"/>
        <v>0</v>
      </c>
      <c r="D261" s="10">
        <f>IFERROR(VLOOKUP(B261,Sheet1!$G$7:$J$4000,4,0),0)</f>
        <v>0</v>
      </c>
      <c r="E261" s="10">
        <f>IFERROR(VLOOKUP(B261,Sheet1!$G$7:$K$4000,5,0),0)</f>
        <v>0</v>
      </c>
      <c r="F261" s="10">
        <f>IFERROR(VLOOKUP(B261,Sheet1!$G$7:$N$4000,8,0),0)</f>
        <v>0</v>
      </c>
      <c r="G261" s="10">
        <f>IFERROR(VLOOKUP(B261,Sheet1!$G$7:$Q$4000,11,0),0)</f>
        <v>0</v>
      </c>
      <c r="H261" s="7">
        <f t="shared" si="145"/>
        <v>0</v>
      </c>
      <c r="I261" s="11" t="str">
        <f t="shared" si="147"/>
        <v/>
      </c>
      <c r="J261" s="11" t="str">
        <f t="shared" si="148"/>
        <v/>
      </c>
      <c r="K261" s="11" t="str">
        <f t="shared" si="149"/>
        <v/>
      </c>
      <c r="L261" s="11" t="str">
        <f t="shared" si="150"/>
        <v/>
      </c>
      <c r="M261" s="12" t="str">
        <f t="shared" si="146"/>
        <v/>
      </c>
      <c r="O261">
        <v>6</v>
      </c>
      <c r="P261">
        <f>Sheet1!$A$1</f>
        <v>1</v>
      </c>
    </row>
    <row r="262" spans="1:16">
      <c r="A262" s="9">
        <f t="shared" si="138"/>
        <v>548</v>
      </c>
      <c r="B262" s="13" t="str">
        <f t="shared" si="139"/>
        <v>Jul-1-Shot</v>
      </c>
      <c r="C262" s="7">
        <f t="shared" si="144"/>
        <v>0</v>
      </c>
      <c r="D262" s="10">
        <f>IFERROR(VLOOKUP(B262,Sheet1!$G$7:$J$4000,4,0),0)</f>
        <v>0</v>
      </c>
      <c r="E262" s="10">
        <f>IFERROR(VLOOKUP(B262,Sheet1!$G$7:$K$4000,5,0),0)</f>
        <v>0</v>
      </c>
      <c r="F262" s="10">
        <f>IFERROR(VLOOKUP(B262,Sheet1!$G$7:$N$4000,8,0),0)</f>
        <v>0</v>
      </c>
      <c r="G262" s="10">
        <f>IFERROR(VLOOKUP(B262,Sheet1!$G$7:$Q$4000,11,0),0)</f>
        <v>0</v>
      </c>
      <c r="H262" s="7">
        <f t="shared" si="145"/>
        <v>0</v>
      </c>
      <c r="I262" s="11" t="str">
        <f t="shared" si="147"/>
        <v/>
      </c>
      <c r="J262" s="11" t="str">
        <f t="shared" si="148"/>
        <v/>
      </c>
      <c r="K262" s="11" t="str">
        <f t="shared" si="149"/>
        <v/>
      </c>
      <c r="L262" s="11" t="str">
        <f t="shared" si="150"/>
        <v/>
      </c>
      <c r="M262" s="12" t="str">
        <f t="shared" si="146"/>
        <v/>
      </c>
      <c r="O262">
        <v>7</v>
      </c>
      <c r="P262">
        <f>Sheet1!$A$1</f>
        <v>1</v>
      </c>
    </row>
    <row r="263" spans="1:16">
      <c r="A263" s="9">
        <f t="shared" si="138"/>
        <v>579</v>
      </c>
      <c r="B263" s="13" t="str">
        <f t="shared" si="139"/>
        <v>Aug-1-Shot</v>
      </c>
      <c r="C263" s="7">
        <f t="shared" si="144"/>
        <v>0</v>
      </c>
      <c r="D263" s="10">
        <f>IFERROR(VLOOKUP(B263,Sheet1!$G$7:$J$4000,4,0),0)</f>
        <v>0</v>
      </c>
      <c r="E263" s="10">
        <f>IFERROR(VLOOKUP(B263,Sheet1!$G$7:$K$4000,5,0),0)</f>
        <v>0</v>
      </c>
      <c r="F263" s="10">
        <f>IFERROR(VLOOKUP(B263,Sheet1!$G$7:$N$4000,8,0),0)</f>
        <v>0</v>
      </c>
      <c r="G263" s="10">
        <f>IFERROR(VLOOKUP(B263,Sheet1!$G$7:$Q$4000,11,0),0)</f>
        <v>0</v>
      </c>
      <c r="H263" s="7">
        <f t="shared" si="145"/>
        <v>0</v>
      </c>
      <c r="I263" s="11" t="str">
        <f t="shared" si="147"/>
        <v/>
      </c>
      <c r="J263" s="11" t="str">
        <f t="shared" si="148"/>
        <v/>
      </c>
      <c r="K263" s="11" t="str">
        <f t="shared" si="149"/>
        <v/>
      </c>
      <c r="L263" s="11" t="str">
        <f t="shared" si="150"/>
        <v/>
      </c>
      <c r="M263" s="12" t="str">
        <f t="shared" si="146"/>
        <v/>
      </c>
      <c r="O263">
        <v>8</v>
      </c>
      <c r="P263">
        <f>Sheet1!$A$1</f>
        <v>1</v>
      </c>
    </row>
    <row r="264" spans="1:16">
      <c r="A264" s="9">
        <f t="shared" si="138"/>
        <v>610</v>
      </c>
      <c r="B264" s="13" t="str">
        <f t="shared" si="139"/>
        <v>Sep-1-Shot</v>
      </c>
      <c r="C264" s="7">
        <f t="shared" si="144"/>
        <v>0</v>
      </c>
      <c r="D264" s="10">
        <f>IFERROR(VLOOKUP(B264,Sheet1!$G$7:$J$4000,4,0),0)</f>
        <v>0</v>
      </c>
      <c r="E264" s="10">
        <f>IFERROR(VLOOKUP(B264,Sheet1!$G$7:$K$4000,5,0),0)</f>
        <v>0</v>
      </c>
      <c r="F264" s="10">
        <f>IFERROR(VLOOKUP(B264,Sheet1!$G$7:$N$4000,8,0),0)</f>
        <v>0</v>
      </c>
      <c r="G264" s="10">
        <f>IFERROR(VLOOKUP(B264,Sheet1!$G$7:$Q$4000,11,0),0)</f>
        <v>0</v>
      </c>
      <c r="H264" s="7">
        <f t="shared" si="145"/>
        <v>0</v>
      </c>
      <c r="I264" s="11" t="str">
        <f t="shared" si="147"/>
        <v/>
      </c>
      <c r="J264" s="11" t="str">
        <f t="shared" si="148"/>
        <v/>
      </c>
      <c r="K264" s="11" t="str">
        <f t="shared" si="149"/>
        <v/>
      </c>
      <c r="L264" s="11" t="str">
        <f t="shared" si="150"/>
        <v/>
      </c>
      <c r="M264" s="12" t="str">
        <f t="shared" si="146"/>
        <v/>
      </c>
      <c r="O264">
        <v>9</v>
      </c>
      <c r="P264">
        <f>Sheet1!$A$1</f>
        <v>1</v>
      </c>
    </row>
    <row r="265" spans="1:16">
      <c r="A265" s="9">
        <f t="shared" si="138"/>
        <v>640</v>
      </c>
      <c r="B265" s="13" t="str">
        <f t="shared" si="139"/>
        <v>Oct-1-Shot</v>
      </c>
      <c r="C265" s="7">
        <f t="shared" si="144"/>
        <v>0</v>
      </c>
      <c r="D265" s="10">
        <f>IFERROR(VLOOKUP(B265,Sheet1!$G$7:$J$4000,4,0),0)</f>
        <v>0</v>
      </c>
      <c r="E265" s="10">
        <f>IFERROR(VLOOKUP(B265,Sheet1!$G$7:$K$4000,5,0),0)</f>
        <v>0</v>
      </c>
      <c r="F265" s="10">
        <f>IFERROR(VLOOKUP(B265,Sheet1!$G$7:$N$4000,8,0),0)</f>
        <v>0</v>
      </c>
      <c r="G265" s="10">
        <f>IFERROR(VLOOKUP(B265,Sheet1!$G$7:$Q$4000,11,0),0)</f>
        <v>0</v>
      </c>
      <c r="H265" s="7">
        <f t="shared" si="145"/>
        <v>0</v>
      </c>
      <c r="I265" s="11" t="str">
        <f t="shared" si="147"/>
        <v/>
      </c>
      <c r="J265" s="11" t="str">
        <f t="shared" si="148"/>
        <v/>
      </c>
      <c r="K265" s="11" t="str">
        <f t="shared" si="149"/>
        <v/>
      </c>
      <c r="L265" s="11" t="str">
        <f t="shared" si="150"/>
        <v/>
      </c>
      <c r="M265" s="12" t="str">
        <f t="shared" si="146"/>
        <v/>
      </c>
      <c r="O265">
        <v>10</v>
      </c>
      <c r="P265">
        <f>Sheet1!$A$1</f>
        <v>1</v>
      </c>
    </row>
    <row r="266" spans="1:16">
      <c r="A266" s="9">
        <f t="shared" si="138"/>
        <v>671</v>
      </c>
      <c r="B266" s="13" t="str">
        <f t="shared" si="139"/>
        <v>Nov-1-Shot</v>
      </c>
      <c r="C266" s="7">
        <f t="shared" si="144"/>
        <v>0</v>
      </c>
      <c r="D266" s="10">
        <f>IFERROR(VLOOKUP(B266,Sheet1!$G$7:$J$4000,4,0),0)</f>
        <v>0</v>
      </c>
      <c r="E266" s="10">
        <f>IFERROR(VLOOKUP(B266,Sheet1!$G$7:$K$4000,5,0),0)</f>
        <v>0</v>
      </c>
      <c r="F266" s="10">
        <f>IFERROR(VLOOKUP(B266,Sheet1!$G$7:$N$4000,8,0),0)</f>
        <v>0</v>
      </c>
      <c r="G266" s="10">
        <f>IFERROR(VLOOKUP(B266,Sheet1!$G$7:$Q$4000,11,0),0)</f>
        <v>0</v>
      </c>
      <c r="H266" s="7">
        <f t="shared" si="145"/>
        <v>0</v>
      </c>
      <c r="I266" s="11" t="str">
        <f t="shared" si="147"/>
        <v/>
      </c>
      <c r="J266" s="11" t="str">
        <f t="shared" si="148"/>
        <v/>
      </c>
      <c r="K266" s="11" t="str">
        <f t="shared" si="149"/>
        <v/>
      </c>
      <c r="L266" s="11" t="str">
        <f t="shared" si="150"/>
        <v/>
      </c>
      <c r="M266" s="12" t="str">
        <f t="shared" si="146"/>
        <v/>
      </c>
      <c r="O266">
        <v>11</v>
      </c>
      <c r="P266">
        <f>Sheet1!$A$1</f>
        <v>1</v>
      </c>
    </row>
    <row r="267" spans="1:16">
      <c r="A267" s="9">
        <f t="shared" si="138"/>
        <v>701</v>
      </c>
      <c r="B267" s="13" t="str">
        <f t="shared" si="139"/>
        <v>Dec-1-Shot</v>
      </c>
      <c r="C267" s="7">
        <f t="shared" si="144"/>
        <v>0</v>
      </c>
      <c r="D267" s="10">
        <f>IFERROR(VLOOKUP(B267,Sheet1!$G$7:$J$4000,4,0),0)</f>
        <v>0</v>
      </c>
      <c r="E267" s="10">
        <f>IFERROR(VLOOKUP(B267,Sheet1!$G$7:$K$4000,5,0),0)</f>
        <v>0</v>
      </c>
      <c r="F267" s="10">
        <f>IFERROR(VLOOKUP(B267,Sheet1!$G$7:$N$4000,8,0),0)</f>
        <v>0</v>
      </c>
      <c r="G267" s="10">
        <f>IFERROR(VLOOKUP(B267,Sheet1!$G$7:$Q$4000,11,0),0)</f>
        <v>0</v>
      </c>
      <c r="H267" s="7">
        <f t="shared" si="145"/>
        <v>0</v>
      </c>
      <c r="I267" s="11" t="str">
        <f t="shared" si="147"/>
        <v/>
      </c>
      <c r="J267" s="11" t="str">
        <f t="shared" si="148"/>
        <v/>
      </c>
      <c r="K267" s="11" t="str">
        <f t="shared" si="149"/>
        <v/>
      </c>
      <c r="L267" s="11" t="str">
        <f t="shared" si="150"/>
        <v/>
      </c>
      <c r="M267" s="12" t="str">
        <f t="shared" si="146"/>
        <v/>
      </c>
      <c r="O267">
        <v>12</v>
      </c>
      <c r="P267">
        <f>Sheet1!$A$1</f>
        <v>1</v>
      </c>
    </row>
    <row r="268" spans="1:16">
      <c r="A268" s="4"/>
      <c r="B268" s="4"/>
      <c r="C268" s="4"/>
      <c r="D268" s="4"/>
      <c r="E268" s="4"/>
      <c r="F268" s="4"/>
      <c r="G268" s="4"/>
      <c r="H268" s="4"/>
      <c r="I268" s="5"/>
      <c r="J268" s="5"/>
      <c r="K268" s="5"/>
      <c r="L268" s="5"/>
      <c r="M268" s="5"/>
    </row>
    <row r="269" spans="1:16" ht="30" customHeight="1">
      <c r="A269" s="6" t="s">
        <v>131</v>
      </c>
      <c r="B269" s="20"/>
      <c r="C269" s="95" t="s">
        <v>35</v>
      </c>
      <c r="D269" s="96"/>
      <c r="E269" s="96"/>
      <c r="F269" s="96"/>
      <c r="G269" s="96"/>
      <c r="H269" s="97"/>
      <c r="I269" s="98" t="s">
        <v>36</v>
      </c>
      <c r="J269" s="99"/>
      <c r="K269" s="99"/>
      <c r="L269" s="99"/>
      <c r="M269" s="100"/>
      <c r="O269">
        <v>10</v>
      </c>
      <c r="P269" s="21" t="s">
        <v>40</v>
      </c>
    </row>
    <row r="270" spans="1:16" ht="102">
      <c r="A270" s="7" t="s">
        <v>89</v>
      </c>
      <c r="B270" s="7"/>
      <c r="C270" s="8" t="s">
        <v>132</v>
      </c>
      <c r="D270" s="8" t="s">
        <v>133</v>
      </c>
      <c r="E270" s="8" t="s">
        <v>134</v>
      </c>
      <c r="F270" s="8" t="s">
        <v>135</v>
      </c>
      <c r="G270" s="8" t="s">
        <v>136</v>
      </c>
      <c r="H270" s="8" t="s">
        <v>137</v>
      </c>
      <c r="I270" s="27" t="s">
        <v>138</v>
      </c>
      <c r="J270" s="27" t="s">
        <v>139</v>
      </c>
      <c r="K270" s="27" t="s">
        <v>140</v>
      </c>
      <c r="L270" s="27" t="s">
        <v>136</v>
      </c>
      <c r="M270" s="27" t="s">
        <v>141</v>
      </c>
    </row>
    <row r="271" spans="1:16">
      <c r="A271" s="9">
        <f>DATE(P271,O271,1)</f>
        <v>1</v>
      </c>
      <c r="B271" s="13" t="str">
        <f>TEXT(O271*29,"mmm")&amp;"-" &amp; P271&amp;"-"&amp;$P$269</f>
        <v>Jan-0-Debu</v>
      </c>
      <c r="C271" s="7">
        <f t="shared" ref="C271:C282" si="151">SUM(D271:G271)</f>
        <v>0</v>
      </c>
      <c r="D271" s="10">
        <f>IFERROR(VLOOKUP(B271,Sheet1!$G$7:$J$4000,4,0),0)</f>
        <v>0</v>
      </c>
      <c r="E271" s="10">
        <f>IFERROR(VLOOKUP(B271,Sheet1!$G$7:$K$4000,5,0),0)</f>
        <v>0</v>
      </c>
      <c r="F271" s="10">
        <f>IFERROR(VLOOKUP(B271,Sheet1!$G$7:$N$4000,8,0),0)</f>
        <v>0</v>
      </c>
      <c r="G271" s="10">
        <f>IFERROR(VLOOKUP(B271,Sheet1!$G$7:$Q$4000,11,0),0)</f>
        <v>0</v>
      </c>
      <c r="H271" s="7">
        <f t="shared" ref="H271:H282" si="152">D271+E271</f>
        <v>0</v>
      </c>
      <c r="I271" s="11" t="str">
        <f>IFERROR(D271/C271*100%,"")</f>
        <v/>
      </c>
      <c r="J271" s="11" t="str">
        <f>IFERROR(E271/C271*100%,"")</f>
        <v/>
      </c>
      <c r="K271" s="11" t="str">
        <f>IFERROR(F271/C271*100%,"")</f>
        <v/>
      </c>
      <c r="L271" s="11" t="str">
        <f>IFERROR(F271/C271*100%,"")</f>
        <v/>
      </c>
      <c r="M271" s="12" t="str">
        <f t="shared" ref="M271:M282" si="153">IFERROR(I271+J271,"")</f>
        <v/>
      </c>
      <c r="O271">
        <v>1</v>
      </c>
      <c r="P271">
        <f>Sheet1!$A$1-1</f>
        <v>0</v>
      </c>
    </row>
    <row r="272" spans="1:16">
      <c r="A272" s="9">
        <f t="shared" ref="A272:A294" si="154">DATE(P272,O272,1)</f>
        <v>32</v>
      </c>
      <c r="B272" s="13" t="str">
        <f t="shared" ref="B272:B294" si="155">TEXT(O272*29,"mmm")&amp;"-" &amp; P272&amp;"-"&amp;$P$269</f>
        <v>Feb-0-Debu</v>
      </c>
      <c r="C272" s="7">
        <f t="shared" si="151"/>
        <v>0</v>
      </c>
      <c r="D272" s="10">
        <f>IFERROR(VLOOKUP(B272,Sheet1!$G$7:$J$4000,4,0),0)</f>
        <v>0</v>
      </c>
      <c r="E272" s="10">
        <f>IFERROR(VLOOKUP(B272,Sheet1!$G$7:$K$4000,5,0),0)</f>
        <v>0</v>
      </c>
      <c r="F272" s="10">
        <f>IFERROR(VLOOKUP(B272,Sheet1!$G$7:$N$4000,8,0),0)</f>
        <v>0</v>
      </c>
      <c r="G272" s="10">
        <f>IFERROR(VLOOKUP(B272,Sheet1!$G$7:$Q$4000,11,0),0)</f>
        <v>0</v>
      </c>
      <c r="H272" s="7">
        <f t="shared" si="152"/>
        <v>0</v>
      </c>
      <c r="I272" s="11" t="str">
        <f t="shared" ref="I272:I282" si="156">IFERROR(D272/C272*100%,"")</f>
        <v/>
      </c>
      <c r="J272" s="11" t="str">
        <f t="shared" ref="J272:J282" si="157">IFERROR(E272/C272*100%,"")</f>
        <v/>
      </c>
      <c r="K272" s="11" t="str">
        <f t="shared" ref="K272:K282" si="158">IFERROR(F272/C272*100%,"")</f>
        <v/>
      </c>
      <c r="L272" s="11" t="str">
        <f t="shared" ref="L272:L282" si="159">IFERROR(F272/C272*100%,"")</f>
        <v/>
      </c>
      <c r="M272" s="12" t="str">
        <f t="shared" si="153"/>
        <v/>
      </c>
      <c r="O272">
        <v>2</v>
      </c>
      <c r="P272">
        <f>Sheet1!$A$1-1</f>
        <v>0</v>
      </c>
    </row>
    <row r="273" spans="1:16">
      <c r="A273" s="9">
        <f t="shared" si="154"/>
        <v>61</v>
      </c>
      <c r="B273" s="13" t="str">
        <f t="shared" si="155"/>
        <v>Mar-0-Debu</v>
      </c>
      <c r="C273" s="7">
        <f t="shared" si="151"/>
        <v>0</v>
      </c>
      <c r="D273" s="10">
        <f>IFERROR(VLOOKUP(B273,Sheet1!$G$7:$J$4000,4,0),0)</f>
        <v>0</v>
      </c>
      <c r="E273" s="10">
        <f>IFERROR(VLOOKUP(B273,Sheet1!$G$7:$K$4000,5,0),0)</f>
        <v>0</v>
      </c>
      <c r="F273" s="10">
        <f>IFERROR(VLOOKUP(B273,Sheet1!$G$7:$N$4000,8,0),0)</f>
        <v>0</v>
      </c>
      <c r="G273" s="10">
        <f>IFERROR(VLOOKUP(B273,Sheet1!$G$7:$Q$4000,11,0),0)</f>
        <v>0</v>
      </c>
      <c r="H273" s="7">
        <f t="shared" si="152"/>
        <v>0</v>
      </c>
      <c r="I273" s="11" t="str">
        <f t="shared" si="156"/>
        <v/>
      </c>
      <c r="J273" s="11" t="str">
        <f t="shared" si="157"/>
        <v/>
      </c>
      <c r="K273" s="11" t="str">
        <f t="shared" si="158"/>
        <v/>
      </c>
      <c r="L273" s="11" t="str">
        <f t="shared" si="159"/>
        <v/>
      </c>
      <c r="M273" s="12" t="str">
        <f t="shared" si="153"/>
        <v/>
      </c>
      <c r="O273">
        <v>3</v>
      </c>
      <c r="P273">
        <f>Sheet1!$A$1-1</f>
        <v>0</v>
      </c>
    </row>
    <row r="274" spans="1:16">
      <c r="A274" s="9">
        <f t="shared" si="154"/>
        <v>92</v>
      </c>
      <c r="B274" s="13" t="str">
        <f t="shared" si="155"/>
        <v>Apr-0-Debu</v>
      </c>
      <c r="C274" s="7">
        <f t="shared" si="151"/>
        <v>0</v>
      </c>
      <c r="D274" s="10">
        <f>IFERROR(VLOOKUP(B274,Sheet1!$G$7:$J$4000,4,0),0)</f>
        <v>0</v>
      </c>
      <c r="E274" s="10">
        <f>IFERROR(VLOOKUP(B274,Sheet1!$G$7:$K$4000,5,0),0)</f>
        <v>0</v>
      </c>
      <c r="F274" s="10">
        <f>IFERROR(VLOOKUP(B274,Sheet1!$G$7:$N$4000,8,0),0)</f>
        <v>0</v>
      </c>
      <c r="G274" s="10">
        <f>IFERROR(VLOOKUP(B274,Sheet1!$G$7:$Q$4000,11,0),0)</f>
        <v>0</v>
      </c>
      <c r="H274" s="7">
        <f t="shared" si="152"/>
        <v>0</v>
      </c>
      <c r="I274" s="11" t="str">
        <f t="shared" si="156"/>
        <v/>
      </c>
      <c r="J274" s="11" t="str">
        <f t="shared" si="157"/>
        <v/>
      </c>
      <c r="K274" s="11" t="str">
        <f t="shared" si="158"/>
        <v/>
      </c>
      <c r="L274" s="11" t="str">
        <f t="shared" si="159"/>
        <v/>
      </c>
      <c r="M274" s="12" t="str">
        <f t="shared" si="153"/>
        <v/>
      </c>
      <c r="O274">
        <v>4</v>
      </c>
      <c r="P274">
        <f>Sheet1!$A$1-1</f>
        <v>0</v>
      </c>
    </row>
    <row r="275" spans="1:16">
      <c r="A275" s="9">
        <f t="shared" si="154"/>
        <v>122</v>
      </c>
      <c r="B275" s="13" t="str">
        <f t="shared" si="155"/>
        <v>May-0-Debu</v>
      </c>
      <c r="C275" s="7">
        <f t="shared" si="151"/>
        <v>0</v>
      </c>
      <c r="D275" s="10">
        <f>IFERROR(VLOOKUP(B275,Sheet1!$G$7:$J$4000,4,0),0)</f>
        <v>0</v>
      </c>
      <c r="E275" s="10">
        <f>IFERROR(VLOOKUP(B275,Sheet1!$G$7:$K$4000,5,0),0)</f>
        <v>0</v>
      </c>
      <c r="F275" s="10">
        <f>IFERROR(VLOOKUP(B275,Sheet1!$G$7:$N$4000,8,0),0)</f>
        <v>0</v>
      </c>
      <c r="G275" s="10">
        <f>IFERROR(VLOOKUP(B275,Sheet1!$G$7:$Q$4000,11,0),0)</f>
        <v>0</v>
      </c>
      <c r="H275" s="7">
        <f t="shared" si="152"/>
        <v>0</v>
      </c>
      <c r="I275" s="11" t="str">
        <f t="shared" si="156"/>
        <v/>
      </c>
      <c r="J275" s="11" t="str">
        <f t="shared" si="157"/>
        <v/>
      </c>
      <c r="K275" s="11" t="str">
        <f t="shared" si="158"/>
        <v/>
      </c>
      <c r="L275" s="11" t="str">
        <f t="shared" si="159"/>
        <v/>
      </c>
      <c r="M275" s="12" t="str">
        <f t="shared" si="153"/>
        <v/>
      </c>
      <c r="O275">
        <v>5</v>
      </c>
      <c r="P275">
        <f>Sheet1!$A$1-1</f>
        <v>0</v>
      </c>
    </row>
    <row r="276" spans="1:16">
      <c r="A276" s="9">
        <f t="shared" si="154"/>
        <v>153</v>
      </c>
      <c r="B276" s="13" t="str">
        <f t="shared" si="155"/>
        <v>Jun-0-Debu</v>
      </c>
      <c r="C276" s="7">
        <f t="shared" si="151"/>
        <v>0</v>
      </c>
      <c r="D276" s="10">
        <f>IFERROR(VLOOKUP(B276,Sheet1!$G$7:$J$4000,4,0),0)</f>
        <v>0</v>
      </c>
      <c r="E276" s="10">
        <f>IFERROR(VLOOKUP(B276,Sheet1!$G$7:$K$4000,5,0),0)</f>
        <v>0</v>
      </c>
      <c r="F276" s="10">
        <f>IFERROR(VLOOKUP(B276,Sheet1!$G$7:$N$4000,8,0),0)</f>
        <v>0</v>
      </c>
      <c r="G276" s="10">
        <f>IFERROR(VLOOKUP(B276,Sheet1!$G$7:$Q$4000,11,0),0)</f>
        <v>0</v>
      </c>
      <c r="H276" s="7">
        <f t="shared" si="152"/>
        <v>0</v>
      </c>
      <c r="I276" s="11" t="str">
        <f t="shared" si="156"/>
        <v/>
      </c>
      <c r="J276" s="11" t="str">
        <f t="shared" si="157"/>
        <v/>
      </c>
      <c r="K276" s="11" t="str">
        <f t="shared" si="158"/>
        <v/>
      </c>
      <c r="L276" s="11" t="str">
        <f t="shared" si="159"/>
        <v/>
      </c>
      <c r="M276" s="12" t="str">
        <f t="shared" si="153"/>
        <v/>
      </c>
      <c r="O276">
        <v>6</v>
      </c>
      <c r="P276">
        <f>Sheet1!$A$1-1</f>
        <v>0</v>
      </c>
    </row>
    <row r="277" spans="1:16">
      <c r="A277" s="9">
        <f t="shared" si="154"/>
        <v>183</v>
      </c>
      <c r="B277" s="13" t="str">
        <f t="shared" si="155"/>
        <v>Jul-0-Debu</v>
      </c>
      <c r="C277" s="7">
        <f t="shared" si="151"/>
        <v>0</v>
      </c>
      <c r="D277" s="10">
        <f>IFERROR(VLOOKUP(B277,Sheet1!$G$7:$J$4000,4,0),0)</f>
        <v>0</v>
      </c>
      <c r="E277" s="10">
        <f>IFERROR(VLOOKUP(B277,Sheet1!$G$7:$K$4000,5,0),0)</f>
        <v>0</v>
      </c>
      <c r="F277" s="10">
        <f>IFERROR(VLOOKUP(B277,Sheet1!$G$7:$N$4000,8,0),0)</f>
        <v>0</v>
      </c>
      <c r="G277" s="10">
        <f>IFERROR(VLOOKUP(B277,Sheet1!$G$7:$Q$4000,11,0),0)</f>
        <v>0</v>
      </c>
      <c r="H277" s="7">
        <f t="shared" si="152"/>
        <v>0</v>
      </c>
      <c r="I277" s="11" t="str">
        <f t="shared" si="156"/>
        <v/>
      </c>
      <c r="J277" s="11" t="str">
        <f t="shared" si="157"/>
        <v/>
      </c>
      <c r="K277" s="11" t="str">
        <f t="shared" si="158"/>
        <v/>
      </c>
      <c r="L277" s="11" t="str">
        <f t="shared" si="159"/>
        <v/>
      </c>
      <c r="M277" s="12" t="str">
        <f t="shared" si="153"/>
        <v/>
      </c>
      <c r="O277">
        <v>7</v>
      </c>
      <c r="P277">
        <f>Sheet1!$A$1-1</f>
        <v>0</v>
      </c>
    </row>
    <row r="278" spans="1:16">
      <c r="A278" s="9">
        <f t="shared" si="154"/>
        <v>214</v>
      </c>
      <c r="B278" s="13" t="str">
        <f t="shared" si="155"/>
        <v>Aug-0-Debu</v>
      </c>
      <c r="C278" s="7">
        <f t="shared" si="151"/>
        <v>0</v>
      </c>
      <c r="D278" s="10">
        <f>IFERROR(VLOOKUP(B278,Sheet1!$G$7:$J$4000,4,0),0)</f>
        <v>0</v>
      </c>
      <c r="E278" s="10">
        <f>IFERROR(VLOOKUP(B278,Sheet1!$G$7:$K$4000,5,0),0)</f>
        <v>0</v>
      </c>
      <c r="F278" s="10">
        <f>IFERROR(VLOOKUP(B278,Sheet1!$G$7:$N$4000,8,0),0)</f>
        <v>0</v>
      </c>
      <c r="G278" s="10">
        <f>IFERROR(VLOOKUP(B278,Sheet1!$G$7:$Q$4000,11,0),0)</f>
        <v>0</v>
      </c>
      <c r="H278" s="7">
        <f t="shared" si="152"/>
        <v>0</v>
      </c>
      <c r="I278" s="11" t="str">
        <f t="shared" si="156"/>
        <v/>
      </c>
      <c r="J278" s="11" t="str">
        <f t="shared" si="157"/>
        <v/>
      </c>
      <c r="K278" s="11" t="str">
        <f t="shared" si="158"/>
        <v/>
      </c>
      <c r="L278" s="11" t="str">
        <f t="shared" si="159"/>
        <v/>
      </c>
      <c r="M278" s="12" t="str">
        <f t="shared" si="153"/>
        <v/>
      </c>
      <c r="O278">
        <v>8</v>
      </c>
      <c r="P278">
        <f>Sheet1!$A$1-1</f>
        <v>0</v>
      </c>
    </row>
    <row r="279" spans="1:16">
      <c r="A279" s="9">
        <f t="shared" si="154"/>
        <v>245</v>
      </c>
      <c r="B279" s="13" t="str">
        <f t="shared" si="155"/>
        <v>Sep-0-Debu</v>
      </c>
      <c r="C279" s="7">
        <f t="shared" si="151"/>
        <v>0</v>
      </c>
      <c r="D279" s="10">
        <f>IFERROR(VLOOKUP(B279,Sheet1!$G$7:$J$4000,4,0),0)</f>
        <v>0</v>
      </c>
      <c r="E279" s="10">
        <f>IFERROR(VLOOKUP(B279,Sheet1!$G$7:$K$4000,5,0),0)</f>
        <v>0</v>
      </c>
      <c r="F279" s="10">
        <f>IFERROR(VLOOKUP(B279,Sheet1!$G$7:$N$4000,8,0),0)</f>
        <v>0</v>
      </c>
      <c r="G279" s="10">
        <f>IFERROR(VLOOKUP(B279,Sheet1!$G$7:$Q$4000,11,0),0)</f>
        <v>0</v>
      </c>
      <c r="H279" s="7">
        <f t="shared" si="152"/>
        <v>0</v>
      </c>
      <c r="I279" s="11" t="str">
        <f t="shared" si="156"/>
        <v/>
      </c>
      <c r="J279" s="11" t="str">
        <f t="shared" si="157"/>
        <v/>
      </c>
      <c r="K279" s="11" t="str">
        <f t="shared" si="158"/>
        <v/>
      </c>
      <c r="L279" s="11" t="str">
        <f t="shared" si="159"/>
        <v/>
      </c>
      <c r="M279" s="12" t="str">
        <f t="shared" si="153"/>
        <v/>
      </c>
      <c r="O279">
        <v>9</v>
      </c>
      <c r="P279">
        <f>Sheet1!$A$1-1</f>
        <v>0</v>
      </c>
    </row>
    <row r="280" spans="1:16">
      <c r="A280" s="9">
        <f t="shared" si="154"/>
        <v>275</v>
      </c>
      <c r="B280" s="13" t="str">
        <f t="shared" si="155"/>
        <v>Oct-0-Debu</v>
      </c>
      <c r="C280" s="7">
        <f t="shared" si="151"/>
        <v>0</v>
      </c>
      <c r="D280" s="10">
        <f>IFERROR(VLOOKUP(B280,Sheet1!$G$7:$J$4000,4,0),0)</f>
        <v>0</v>
      </c>
      <c r="E280" s="10">
        <f>IFERROR(VLOOKUP(B280,Sheet1!$G$7:$K$4000,5,0),0)</f>
        <v>0</v>
      </c>
      <c r="F280" s="10">
        <f>IFERROR(VLOOKUP(B280,Sheet1!$G$7:$N$4000,8,0),0)</f>
        <v>0</v>
      </c>
      <c r="G280" s="10">
        <f>IFERROR(VLOOKUP(B280,Sheet1!$G$7:$Q$4000,11,0),0)</f>
        <v>0</v>
      </c>
      <c r="H280" s="7">
        <f t="shared" si="152"/>
        <v>0</v>
      </c>
      <c r="I280" s="11" t="str">
        <f t="shared" si="156"/>
        <v/>
      </c>
      <c r="J280" s="11" t="str">
        <f t="shared" si="157"/>
        <v/>
      </c>
      <c r="K280" s="11" t="str">
        <f t="shared" si="158"/>
        <v/>
      </c>
      <c r="L280" s="11" t="str">
        <f t="shared" si="159"/>
        <v/>
      </c>
      <c r="M280" s="12" t="str">
        <f t="shared" si="153"/>
        <v/>
      </c>
      <c r="O280">
        <v>10</v>
      </c>
      <c r="P280">
        <f>Sheet1!$A$1-1</f>
        <v>0</v>
      </c>
    </row>
    <row r="281" spans="1:16">
      <c r="A281" s="9">
        <f t="shared" si="154"/>
        <v>306</v>
      </c>
      <c r="B281" s="13" t="str">
        <f t="shared" si="155"/>
        <v>Nov-0-Debu</v>
      </c>
      <c r="C281" s="7">
        <f t="shared" si="151"/>
        <v>0</v>
      </c>
      <c r="D281" s="10">
        <f>IFERROR(VLOOKUP(B281,Sheet1!$G$7:$J$4000,4,0),0)</f>
        <v>0</v>
      </c>
      <c r="E281" s="10">
        <f>IFERROR(VLOOKUP(B281,Sheet1!$G$7:$K$4000,5,0),0)</f>
        <v>0</v>
      </c>
      <c r="F281" s="10">
        <f>IFERROR(VLOOKUP(B281,Sheet1!$G$7:$N$4000,8,0),0)</f>
        <v>0</v>
      </c>
      <c r="G281" s="10">
        <f>IFERROR(VLOOKUP(B281,Sheet1!$G$7:$Q$4000,11,0),0)</f>
        <v>0</v>
      </c>
      <c r="H281" s="7">
        <f t="shared" si="152"/>
        <v>0</v>
      </c>
      <c r="I281" s="11" t="str">
        <f t="shared" si="156"/>
        <v/>
      </c>
      <c r="J281" s="11" t="str">
        <f t="shared" si="157"/>
        <v/>
      </c>
      <c r="K281" s="11" t="str">
        <f t="shared" si="158"/>
        <v/>
      </c>
      <c r="L281" s="11" t="str">
        <f t="shared" si="159"/>
        <v/>
      </c>
      <c r="M281" s="12" t="str">
        <f t="shared" si="153"/>
        <v/>
      </c>
      <c r="O281">
        <v>11</v>
      </c>
      <c r="P281">
        <f>Sheet1!$A$1-1</f>
        <v>0</v>
      </c>
    </row>
    <row r="282" spans="1:16">
      <c r="A282" s="9">
        <f t="shared" si="154"/>
        <v>336</v>
      </c>
      <c r="B282" s="13" t="str">
        <f t="shared" si="155"/>
        <v>Dec-0-Debu</v>
      </c>
      <c r="C282" s="7">
        <f t="shared" si="151"/>
        <v>0</v>
      </c>
      <c r="D282" s="10">
        <f>IFERROR(VLOOKUP(B282,Sheet1!$G$7:$J$4000,4,0),0)</f>
        <v>0</v>
      </c>
      <c r="E282" s="10">
        <f>IFERROR(VLOOKUP(B282,Sheet1!$G$7:$K$4000,5,0),0)</f>
        <v>0</v>
      </c>
      <c r="F282" s="10">
        <f>IFERROR(VLOOKUP(B282,Sheet1!$G$7:$N$4000,8,0),0)</f>
        <v>0</v>
      </c>
      <c r="G282" s="10">
        <f>IFERROR(VLOOKUP(B282,Sheet1!$G$7:$Q$4000,11,0),0)</f>
        <v>0</v>
      </c>
      <c r="H282" s="7">
        <f t="shared" si="152"/>
        <v>0</v>
      </c>
      <c r="I282" s="11" t="str">
        <f t="shared" si="156"/>
        <v/>
      </c>
      <c r="J282" s="11" t="str">
        <f t="shared" si="157"/>
        <v/>
      </c>
      <c r="K282" s="11" t="str">
        <f t="shared" si="158"/>
        <v/>
      </c>
      <c r="L282" s="11" t="str">
        <f t="shared" si="159"/>
        <v/>
      </c>
      <c r="M282" s="12" t="str">
        <f t="shared" si="153"/>
        <v/>
      </c>
      <c r="O282">
        <v>12</v>
      </c>
      <c r="P282">
        <f>Sheet1!$A$1-1</f>
        <v>0</v>
      </c>
    </row>
    <row r="283" spans="1:16">
      <c r="A283" s="9">
        <f t="shared" si="154"/>
        <v>367</v>
      </c>
      <c r="B283" s="13" t="str">
        <f t="shared" si="155"/>
        <v>Jan-1-Debu</v>
      </c>
      <c r="C283" s="7">
        <f t="shared" ref="C283:C294" si="160">SUM(D283:G283)</f>
        <v>0</v>
      </c>
      <c r="D283" s="10">
        <f>IFERROR(VLOOKUP(B283,Sheet1!$G$7:$J$4000,4,0),0)</f>
        <v>0</v>
      </c>
      <c r="E283" s="10">
        <f>IFERROR(VLOOKUP(B283,Sheet1!$G$7:$K$4000,5,0),0)</f>
        <v>0</v>
      </c>
      <c r="F283" s="10">
        <f>IFERROR(VLOOKUP(B283,Sheet1!$G$7:$N$4000,8,0),0)</f>
        <v>0</v>
      </c>
      <c r="G283" s="10">
        <f>IFERROR(VLOOKUP(B283,Sheet1!$G$7:$Q$4000,11,0),0)</f>
        <v>0</v>
      </c>
      <c r="H283" s="7">
        <f t="shared" ref="H283:H294" si="161">D283+E283</f>
        <v>0</v>
      </c>
      <c r="I283" s="11" t="str">
        <f>IFERROR(D283/C283*100%,"")</f>
        <v/>
      </c>
      <c r="J283" s="11" t="str">
        <f>IFERROR(E283/C283*100%,"")</f>
        <v/>
      </c>
      <c r="K283" s="11" t="str">
        <f>IFERROR(F283/C283*100%,"")</f>
        <v/>
      </c>
      <c r="L283" s="11" t="str">
        <f>IFERROR(F283/C283*100%,"")</f>
        <v/>
      </c>
      <c r="M283" s="12" t="str">
        <f t="shared" ref="M283:M294" si="162">IFERROR(I283+J283,"")</f>
        <v/>
      </c>
      <c r="O283">
        <v>1</v>
      </c>
      <c r="P283">
        <f>Sheet1!$A$1</f>
        <v>1</v>
      </c>
    </row>
    <row r="284" spans="1:16">
      <c r="A284" s="9">
        <f t="shared" si="154"/>
        <v>398</v>
      </c>
      <c r="B284" s="13" t="str">
        <f t="shared" si="155"/>
        <v>Feb-1-Debu</v>
      </c>
      <c r="C284" s="7">
        <f t="shared" si="160"/>
        <v>0</v>
      </c>
      <c r="D284" s="10">
        <f>IFERROR(VLOOKUP(B284,Sheet1!$G$7:$J$4000,4,0),0)</f>
        <v>0</v>
      </c>
      <c r="E284" s="10">
        <f>IFERROR(VLOOKUP(B284,Sheet1!$G$7:$K$4000,5,0),0)</f>
        <v>0</v>
      </c>
      <c r="F284" s="10">
        <f>IFERROR(VLOOKUP(B284,Sheet1!$G$7:$N$4000,8,0),0)</f>
        <v>0</v>
      </c>
      <c r="G284" s="10">
        <f>IFERROR(VLOOKUP(B284,Sheet1!$G$7:$Q$4000,11,0),0)</f>
        <v>0</v>
      </c>
      <c r="H284" s="7">
        <f t="shared" si="161"/>
        <v>0</v>
      </c>
      <c r="I284" s="11" t="str">
        <f t="shared" ref="I284:I294" si="163">IFERROR(D284/C284*100%,"")</f>
        <v/>
      </c>
      <c r="J284" s="11" t="str">
        <f t="shared" ref="J284:J294" si="164">IFERROR(E284/C284*100%,"")</f>
        <v/>
      </c>
      <c r="K284" s="11" t="str">
        <f t="shared" ref="K284:K294" si="165">IFERROR(F284/C284*100%,"")</f>
        <v/>
      </c>
      <c r="L284" s="11" t="str">
        <f t="shared" ref="L284:L294" si="166">IFERROR(F284/C284*100%,"")</f>
        <v/>
      </c>
      <c r="M284" s="12" t="str">
        <f t="shared" si="162"/>
        <v/>
      </c>
      <c r="O284">
        <v>2</v>
      </c>
      <c r="P284">
        <f>Sheet1!$A$1</f>
        <v>1</v>
      </c>
    </row>
    <row r="285" spans="1:16">
      <c r="A285" s="9">
        <f t="shared" si="154"/>
        <v>426</v>
      </c>
      <c r="B285" s="13" t="str">
        <f t="shared" si="155"/>
        <v>Mar-1-Debu</v>
      </c>
      <c r="C285" s="7">
        <f t="shared" si="160"/>
        <v>0</v>
      </c>
      <c r="D285" s="10">
        <f>IFERROR(VLOOKUP(B285,Sheet1!$G$7:$J$4000,4,0),0)</f>
        <v>0</v>
      </c>
      <c r="E285" s="10">
        <f>IFERROR(VLOOKUP(B285,Sheet1!$G$7:$K$4000,5,0),0)</f>
        <v>0</v>
      </c>
      <c r="F285" s="10">
        <f>IFERROR(VLOOKUP(B285,Sheet1!$G$7:$N$4000,8,0),0)</f>
        <v>0</v>
      </c>
      <c r="G285" s="10">
        <f>IFERROR(VLOOKUP(B285,Sheet1!$G$7:$Q$4000,11,0),0)</f>
        <v>0</v>
      </c>
      <c r="H285" s="7">
        <f t="shared" si="161"/>
        <v>0</v>
      </c>
      <c r="I285" s="11" t="str">
        <f t="shared" si="163"/>
        <v/>
      </c>
      <c r="J285" s="11" t="str">
        <f t="shared" si="164"/>
        <v/>
      </c>
      <c r="K285" s="11" t="str">
        <f t="shared" si="165"/>
        <v/>
      </c>
      <c r="L285" s="11" t="str">
        <f t="shared" si="166"/>
        <v/>
      </c>
      <c r="M285" s="12" t="str">
        <f t="shared" si="162"/>
        <v/>
      </c>
      <c r="O285">
        <v>3</v>
      </c>
      <c r="P285">
        <f>Sheet1!$A$1</f>
        <v>1</v>
      </c>
    </row>
    <row r="286" spans="1:16">
      <c r="A286" s="9">
        <f t="shared" si="154"/>
        <v>457</v>
      </c>
      <c r="B286" s="13" t="str">
        <f t="shared" si="155"/>
        <v>Apr-1-Debu</v>
      </c>
      <c r="C286" s="7">
        <f t="shared" si="160"/>
        <v>0</v>
      </c>
      <c r="D286" s="10">
        <f>IFERROR(VLOOKUP(B286,Sheet1!$G$7:$J$4000,4,0),0)</f>
        <v>0</v>
      </c>
      <c r="E286" s="10">
        <f>IFERROR(VLOOKUP(B286,Sheet1!$G$7:$K$4000,5,0),0)</f>
        <v>0</v>
      </c>
      <c r="F286" s="10">
        <f>IFERROR(VLOOKUP(B286,Sheet1!$G$7:$N$4000,8,0),0)</f>
        <v>0</v>
      </c>
      <c r="G286" s="10">
        <f>IFERROR(VLOOKUP(B286,Sheet1!$G$7:$Q$4000,11,0),0)</f>
        <v>0</v>
      </c>
      <c r="H286" s="7">
        <f t="shared" si="161"/>
        <v>0</v>
      </c>
      <c r="I286" s="11" t="str">
        <f t="shared" si="163"/>
        <v/>
      </c>
      <c r="J286" s="11" t="str">
        <f t="shared" si="164"/>
        <v/>
      </c>
      <c r="K286" s="11" t="str">
        <f t="shared" si="165"/>
        <v/>
      </c>
      <c r="L286" s="11" t="str">
        <f t="shared" si="166"/>
        <v/>
      </c>
      <c r="M286" s="12" t="str">
        <f t="shared" si="162"/>
        <v/>
      </c>
      <c r="O286">
        <v>4</v>
      </c>
      <c r="P286">
        <f>Sheet1!$A$1</f>
        <v>1</v>
      </c>
    </row>
    <row r="287" spans="1:16">
      <c r="A287" s="9">
        <f t="shared" si="154"/>
        <v>487</v>
      </c>
      <c r="B287" s="13" t="str">
        <f t="shared" si="155"/>
        <v>May-1-Debu</v>
      </c>
      <c r="C287" s="7">
        <f t="shared" si="160"/>
        <v>0</v>
      </c>
      <c r="D287" s="10">
        <f>IFERROR(VLOOKUP(B287,Sheet1!$G$7:$J$4000,4,0),0)</f>
        <v>0</v>
      </c>
      <c r="E287" s="10">
        <f>IFERROR(VLOOKUP(B287,Sheet1!$G$7:$K$4000,5,0),0)</f>
        <v>0</v>
      </c>
      <c r="F287" s="10">
        <f>IFERROR(VLOOKUP(B287,Sheet1!$G$7:$N$4000,8,0),0)</f>
        <v>0</v>
      </c>
      <c r="G287" s="10">
        <f>IFERROR(VLOOKUP(B287,Sheet1!$G$7:$Q$4000,11,0),0)</f>
        <v>0</v>
      </c>
      <c r="H287" s="7">
        <f t="shared" si="161"/>
        <v>0</v>
      </c>
      <c r="I287" s="11" t="str">
        <f t="shared" si="163"/>
        <v/>
      </c>
      <c r="J287" s="11" t="str">
        <f t="shared" si="164"/>
        <v/>
      </c>
      <c r="K287" s="11" t="str">
        <f t="shared" si="165"/>
        <v/>
      </c>
      <c r="L287" s="11" t="str">
        <f t="shared" si="166"/>
        <v/>
      </c>
      <c r="M287" s="12" t="str">
        <f t="shared" si="162"/>
        <v/>
      </c>
      <c r="O287">
        <v>5</v>
      </c>
      <c r="P287">
        <f>Sheet1!$A$1</f>
        <v>1</v>
      </c>
    </row>
    <row r="288" spans="1:16">
      <c r="A288" s="9">
        <f t="shared" si="154"/>
        <v>518</v>
      </c>
      <c r="B288" s="13" t="str">
        <f t="shared" si="155"/>
        <v>Jun-1-Debu</v>
      </c>
      <c r="C288" s="7">
        <f t="shared" si="160"/>
        <v>0</v>
      </c>
      <c r="D288" s="10">
        <f>IFERROR(VLOOKUP(B288,Sheet1!$G$7:$J$4000,4,0),0)</f>
        <v>0</v>
      </c>
      <c r="E288" s="10">
        <f>IFERROR(VLOOKUP(B288,Sheet1!$G$7:$K$4000,5,0),0)</f>
        <v>0</v>
      </c>
      <c r="F288" s="10">
        <f>IFERROR(VLOOKUP(B288,Sheet1!$G$7:$N$4000,8,0),0)</f>
        <v>0</v>
      </c>
      <c r="G288" s="10">
        <f>IFERROR(VLOOKUP(B288,Sheet1!$G$7:$Q$4000,11,0),0)</f>
        <v>0</v>
      </c>
      <c r="H288" s="7">
        <f t="shared" si="161"/>
        <v>0</v>
      </c>
      <c r="I288" s="11" t="str">
        <f t="shared" si="163"/>
        <v/>
      </c>
      <c r="J288" s="11" t="str">
        <f t="shared" si="164"/>
        <v/>
      </c>
      <c r="K288" s="11" t="str">
        <f t="shared" si="165"/>
        <v/>
      </c>
      <c r="L288" s="11" t="str">
        <f t="shared" si="166"/>
        <v/>
      </c>
      <c r="M288" s="12" t="str">
        <f t="shared" si="162"/>
        <v/>
      </c>
      <c r="O288">
        <v>6</v>
      </c>
      <c r="P288">
        <f>Sheet1!$A$1</f>
        <v>1</v>
      </c>
    </row>
    <row r="289" spans="1:16">
      <c r="A289" s="9">
        <f t="shared" si="154"/>
        <v>548</v>
      </c>
      <c r="B289" s="13" t="str">
        <f t="shared" si="155"/>
        <v>Jul-1-Debu</v>
      </c>
      <c r="C289" s="7">
        <f t="shared" si="160"/>
        <v>0</v>
      </c>
      <c r="D289" s="10">
        <f>IFERROR(VLOOKUP(B289,Sheet1!$G$7:$J$4000,4,0),0)</f>
        <v>0</v>
      </c>
      <c r="E289" s="10">
        <f>IFERROR(VLOOKUP(B289,Sheet1!$G$7:$K$4000,5,0),0)</f>
        <v>0</v>
      </c>
      <c r="F289" s="10">
        <f>IFERROR(VLOOKUP(B289,Sheet1!$G$7:$N$4000,8,0),0)</f>
        <v>0</v>
      </c>
      <c r="G289" s="10">
        <f>IFERROR(VLOOKUP(B289,Sheet1!$G$7:$Q$4000,11,0),0)</f>
        <v>0</v>
      </c>
      <c r="H289" s="7">
        <f t="shared" si="161"/>
        <v>0</v>
      </c>
      <c r="I289" s="11" t="str">
        <f t="shared" si="163"/>
        <v/>
      </c>
      <c r="J289" s="11" t="str">
        <f t="shared" si="164"/>
        <v/>
      </c>
      <c r="K289" s="11" t="str">
        <f t="shared" si="165"/>
        <v/>
      </c>
      <c r="L289" s="11" t="str">
        <f t="shared" si="166"/>
        <v/>
      </c>
      <c r="M289" s="12" t="str">
        <f t="shared" si="162"/>
        <v/>
      </c>
      <c r="O289">
        <v>7</v>
      </c>
      <c r="P289">
        <f>Sheet1!$A$1</f>
        <v>1</v>
      </c>
    </row>
    <row r="290" spans="1:16">
      <c r="A290" s="9">
        <f t="shared" si="154"/>
        <v>579</v>
      </c>
      <c r="B290" s="13" t="str">
        <f t="shared" si="155"/>
        <v>Aug-1-Debu</v>
      </c>
      <c r="C290" s="7">
        <f t="shared" si="160"/>
        <v>0</v>
      </c>
      <c r="D290" s="10">
        <f>IFERROR(VLOOKUP(B290,Sheet1!$G$7:$J$4000,4,0),0)</f>
        <v>0</v>
      </c>
      <c r="E290" s="10">
        <f>IFERROR(VLOOKUP(B290,Sheet1!$G$7:$K$4000,5,0),0)</f>
        <v>0</v>
      </c>
      <c r="F290" s="10">
        <f>IFERROR(VLOOKUP(B290,Sheet1!$G$7:$N$4000,8,0),0)</f>
        <v>0</v>
      </c>
      <c r="G290" s="10">
        <f>IFERROR(VLOOKUP(B290,Sheet1!$G$7:$Q$4000,11,0),0)</f>
        <v>0</v>
      </c>
      <c r="H290" s="7">
        <f t="shared" si="161"/>
        <v>0</v>
      </c>
      <c r="I290" s="11" t="str">
        <f t="shared" si="163"/>
        <v/>
      </c>
      <c r="J290" s="11" t="str">
        <f t="shared" si="164"/>
        <v/>
      </c>
      <c r="K290" s="11" t="str">
        <f t="shared" si="165"/>
        <v/>
      </c>
      <c r="L290" s="11" t="str">
        <f t="shared" si="166"/>
        <v/>
      </c>
      <c r="M290" s="12" t="str">
        <f t="shared" si="162"/>
        <v/>
      </c>
      <c r="O290">
        <v>8</v>
      </c>
      <c r="P290">
        <f>Sheet1!$A$1</f>
        <v>1</v>
      </c>
    </row>
    <row r="291" spans="1:16">
      <c r="A291" s="9">
        <f t="shared" si="154"/>
        <v>610</v>
      </c>
      <c r="B291" s="13" t="str">
        <f t="shared" si="155"/>
        <v>Sep-1-Debu</v>
      </c>
      <c r="C291" s="7">
        <f t="shared" si="160"/>
        <v>0</v>
      </c>
      <c r="D291" s="10">
        <f>IFERROR(VLOOKUP(B291,Sheet1!$G$7:$J$4000,4,0),0)</f>
        <v>0</v>
      </c>
      <c r="E291" s="10">
        <f>IFERROR(VLOOKUP(B291,Sheet1!$G$7:$K$4000,5,0),0)</f>
        <v>0</v>
      </c>
      <c r="F291" s="10">
        <f>IFERROR(VLOOKUP(B291,Sheet1!$G$7:$N$4000,8,0),0)</f>
        <v>0</v>
      </c>
      <c r="G291" s="10">
        <f>IFERROR(VLOOKUP(B291,Sheet1!$G$7:$Q$4000,11,0),0)</f>
        <v>0</v>
      </c>
      <c r="H291" s="7">
        <f t="shared" si="161"/>
        <v>0</v>
      </c>
      <c r="I291" s="11" t="str">
        <f t="shared" si="163"/>
        <v/>
      </c>
      <c r="J291" s="11" t="str">
        <f t="shared" si="164"/>
        <v/>
      </c>
      <c r="K291" s="11" t="str">
        <f t="shared" si="165"/>
        <v/>
      </c>
      <c r="L291" s="11" t="str">
        <f t="shared" si="166"/>
        <v/>
      </c>
      <c r="M291" s="12" t="str">
        <f t="shared" si="162"/>
        <v/>
      </c>
      <c r="O291">
        <v>9</v>
      </c>
      <c r="P291">
        <f>Sheet1!$A$1</f>
        <v>1</v>
      </c>
    </row>
    <row r="292" spans="1:16">
      <c r="A292" s="9">
        <f t="shared" si="154"/>
        <v>640</v>
      </c>
      <c r="B292" s="13" t="str">
        <f t="shared" si="155"/>
        <v>Oct-1-Debu</v>
      </c>
      <c r="C292" s="7">
        <f t="shared" si="160"/>
        <v>0</v>
      </c>
      <c r="D292" s="10">
        <f>IFERROR(VLOOKUP(B292,Sheet1!$G$7:$J$4000,4,0),0)</f>
        <v>0</v>
      </c>
      <c r="E292" s="10">
        <f>IFERROR(VLOOKUP(B292,Sheet1!$G$7:$K$4000,5,0),0)</f>
        <v>0</v>
      </c>
      <c r="F292" s="10">
        <f>IFERROR(VLOOKUP(B292,Sheet1!$G$7:$N$4000,8,0),0)</f>
        <v>0</v>
      </c>
      <c r="G292" s="10">
        <f>IFERROR(VLOOKUP(B292,Sheet1!$G$7:$Q$4000,11,0),0)</f>
        <v>0</v>
      </c>
      <c r="H292" s="7">
        <f t="shared" si="161"/>
        <v>0</v>
      </c>
      <c r="I292" s="11" t="str">
        <f t="shared" si="163"/>
        <v/>
      </c>
      <c r="J292" s="11" t="str">
        <f t="shared" si="164"/>
        <v/>
      </c>
      <c r="K292" s="11" t="str">
        <f t="shared" si="165"/>
        <v/>
      </c>
      <c r="L292" s="11" t="str">
        <f t="shared" si="166"/>
        <v/>
      </c>
      <c r="M292" s="12" t="str">
        <f t="shared" si="162"/>
        <v/>
      </c>
      <c r="O292">
        <v>10</v>
      </c>
      <c r="P292">
        <f>Sheet1!$A$1</f>
        <v>1</v>
      </c>
    </row>
    <row r="293" spans="1:16">
      <c r="A293" s="9">
        <f t="shared" si="154"/>
        <v>671</v>
      </c>
      <c r="B293" s="13" t="str">
        <f t="shared" si="155"/>
        <v>Nov-1-Debu</v>
      </c>
      <c r="C293" s="7">
        <f t="shared" si="160"/>
        <v>0</v>
      </c>
      <c r="D293" s="10">
        <f>IFERROR(VLOOKUP(B293,Sheet1!$G$7:$J$4000,4,0),0)</f>
        <v>0</v>
      </c>
      <c r="E293" s="10">
        <f>IFERROR(VLOOKUP(B293,Sheet1!$G$7:$K$4000,5,0),0)</f>
        <v>0</v>
      </c>
      <c r="F293" s="10">
        <f>IFERROR(VLOOKUP(B293,Sheet1!$G$7:$N$4000,8,0),0)</f>
        <v>0</v>
      </c>
      <c r="G293" s="10">
        <f>IFERROR(VLOOKUP(B293,Sheet1!$G$7:$Q$4000,11,0),0)</f>
        <v>0</v>
      </c>
      <c r="H293" s="7">
        <f t="shared" si="161"/>
        <v>0</v>
      </c>
      <c r="I293" s="11" t="str">
        <f t="shared" si="163"/>
        <v/>
      </c>
      <c r="J293" s="11" t="str">
        <f t="shared" si="164"/>
        <v/>
      </c>
      <c r="K293" s="11" t="str">
        <f t="shared" si="165"/>
        <v/>
      </c>
      <c r="L293" s="11" t="str">
        <f t="shared" si="166"/>
        <v/>
      </c>
      <c r="M293" s="12" t="str">
        <f t="shared" si="162"/>
        <v/>
      </c>
      <c r="O293">
        <v>11</v>
      </c>
      <c r="P293">
        <f>Sheet1!$A$1</f>
        <v>1</v>
      </c>
    </row>
    <row r="294" spans="1:16">
      <c r="A294" s="9">
        <f t="shared" si="154"/>
        <v>701</v>
      </c>
      <c r="B294" s="13" t="str">
        <f t="shared" si="155"/>
        <v>Dec-1-Debu</v>
      </c>
      <c r="C294" s="7">
        <f t="shared" si="160"/>
        <v>0</v>
      </c>
      <c r="D294" s="10">
        <f>IFERROR(VLOOKUP(B294,Sheet1!$G$7:$J$4000,4,0),0)</f>
        <v>0</v>
      </c>
      <c r="E294" s="10">
        <f>IFERROR(VLOOKUP(B294,Sheet1!$G$7:$K$4000,5,0),0)</f>
        <v>0</v>
      </c>
      <c r="F294" s="10">
        <f>IFERROR(VLOOKUP(B294,Sheet1!$G$7:$N$4000,8,0),0)</f>
        <v>0</v>
      </c>
      <c r="G294" s="10">
        <f>IFERROR(VLOOKUP(B294,Sheet1!$G$7:$Q$4000,11,0),0)</f>
        <v>0</v>
      </c>
      <c r="H294" s="7">
        <f t="shared" si="161"/>
        <v>0</v>
      </c>
      <c r="I294" s="11" t="str">
        <f t="shared" si="163"/>
        <v/>
      </c>
      <c r="J294" s="11" t="str">
        <f t="shared" si="164"/>
        <v/>
      </c>
      <c r="K294" s="11" t="str">
        <f t="shared" si="165"/>
        <v/>
      </c>
      <c r="L294" s="11" t="str">
        <f t="shared" si="166"/>
        <v/>
      </c>
      <c r="M294" s="12" t="str">
        <f t="shared" si="162"/>
        <v/>
      </c>
      <c r="O294">
        <v>12</v>
      </c>
      <c r="P294">
        <f>Sheet1!$A$1</f>
        <v>1</v>
      </c>
    </row>
    <row r="295" spans="1:16">
      <c r="A295" s="4"/>
      <c r="B295" s="4"/>
      <c r="C295" s="4"/>
      <c r="D295" s="4"/>
      <c r="E295" s="4"/>
      <c r="F295" s="4"/>
      <c r="G295" s="4"/>
      <c r="H295" s="4"/>
      <c r="I295" s="5"/>
      <c r="J295" s="5"/>
      <c r="K295" s="5"/>
      <c r="L295" s="5"/>
      <c r="M295" s="5"/>
    </row>
    <row r="296" spans="1:16" ht="30" customHeight="1">
      <c r="A296" s="6" t="s">
        <v>73</v>
      </c>
      <c r="B296" s="20"/>
      <c r="C296" s="95" t="s">
        <v>35</v>
      </c>
      <c r="D296" s="96"/>
      <c r="E296" s="96"/>
      <c r="F296" s="96"/>
      <c r="G296" s="96"/>
      <c r="H296" s="97"/>
      <c r="I296" s="98" t="s">
        <v>36</v>
      </c>
      <c r="J296" s="99"/>
      <c r="K296" s="99"/>
      <c r="L296" s="99"/>
      <c r="M296" s="100"/>
      <c r="O296">
        <v>11</v>
      </c>
      <c r="P296" s="21" t="s">
        <v>42</v>
      </c>
    </row>
    <row r="297" spans="1:16" ht="102">
      <c r="A297" s="7" t="s">
        <v>89</v>
      </c>
      <c r="B297" s="7"/>
      <c r="C297" s="8" t="s">
        <v>132</v>
      </c>
      <c r="D297" s="8" t="s">
        <v>133</v>
      </c>
      <c r="E297" s="8" t="s">
        <v>134</v>
      </c>
      <c r="F297" s="8" t="s">
        <v>135</v>
      </c>
      <c r="G297" s="8" t="s">
        <v>136</v>
      </c>
      <c r="H297" s="8" t="s">
        <v>137</v>
      </c>
      <c r="I297" s="27" t="s">
        <v>138</v>
      </c>
      <c r="J297" s="27" t="s">
        <v>139</v>
      </c>
      <c r="K297" s="27" t="s">
        <v>140</v>
      </c>
      <c r="L297" s="27" t="s">
        <v>136</v>
      </c>
      <c r="M297" s="27" t="s">
        <v>141</v>
      </c>
    </row>
    <row r="298" spans="1:16">
      <c r="A298" s="9">
        <f>DATE(P298,O298,1)</f>
        <v>1</v>
      </c>
      <c r="B298" s="13" t="str">
        <f>TEXT(O298*29,"mmm")&amp;"-" &amp; P298&amp;"-"&amp;$P$296</f>
        <v>Jan-0-Insp</v>
      </c>
      <c r="C298" s="7">
        <f t="shared" ref="C298:C309" si="167">SUM(D298:G298)</f>
        <v>0</v>
      </c>
      <c r="D298" s="10">
        <f>IFERROR(VLOOKUP(B298,Sheet1!$G$7:$J$4000,4,0),0)</f>
        <v>0</v>
      </c>
      <c r="E298" s="10">
        <f>IFERROR(VLOOKUP(B298,Sheet1!$G$7:$K$4000,5,0),0)</f>
        <v>0</v>
      </c>
      <c r="F298" s="10">
        <f>IFERROR(VLOOKUP(B298,Sheet1!$G$7:$N$4000,8,0),0)</f>
        <v>0</v>
      </c>
      <c r="G298" s="10">
        <f>IFERROR(VLOOKUP(B298,Sheet1!$G$7:$Q$4000,11,0),0)</f>
        <v>0</v>
      </c>
      <c r="H298" s="7">
        <f t="shared" ref="H298:H309" si="168">D298+E298</f>
        <v>0</v>
      </c>
      <c r="I298" s="11" t="str">
        <f>IFERROR(D298/C298*100%,"")</f>
        <v/>
      </c>
      <c r="J298" s="11" t="str">
        <f>IFERROR(E298/C298*100%,"")</f>
        <v/>
      </c>
      <c r="K298" s="11" t="str">
        <f>IFERROR(F298/C298*100%,"")</f>
        <v/>
      </c>
      <c r="L298" s="11" t="str">
        <f>IFERROR(F298/C298*100%,"")</f>
        <v/>
      </c>
      <c r="M298" s="12" t="str">
        <f t="shared" ref="M298:M309" si="169">IFERROR(I298+J298,"")</f>
        <v/>
      </c>
      <c r="O298">
        <v>1</v>
      </c>
      <c r="P298">
        <f>Sheet1!$A$1-1</f>
        <v>0</v>
      </c>
    </row>
    <row r="299" spans="1:16">
      <c r="A299" s="9">
        <f t="shared" ref="A299:A321" si="170">DATE(P299,O299,1)</f>
        <v>32</v>
      </c>
      <c r="B299" s="13" t="str">
        <f t="shared" ref="B299:B321" si="171">TEXT(O299*29,"mmm")&amp;"-" &amp; P299&amp;"-"&amp;$P$296</f>
        <v>Feb-0-Insp</v>
      </c>
      <c r="C299" s="7">
        <f t="shared" si="167"/>
        <v>0</v>
      </c>
      <c r="D299" s="10">
        <f>IFERROR(VLOOKUP(B299,Sheet1!$G$7:$J$4000,4,0),0)</f>
        <v>0</v>
      </c>
      <c r="E299" s="10">
        <f>IFERROR(VLOOKUP(B299,Sheet1!$G$7:$K$4000,5,0),0)</f>
        <v>0</v>
      </c>
      <c r="F299" s="10">
        <f>IFERROR(VLOOKUP(B299,Sheet1!$G$7:$N$4000,8,0),0)</f>
        <v>0</v>
      </c>
      <c r="G299" s="10">
        <f>IFERROR(VLOOKUP(B299,Sheet1!$G$7:$Q$4000,11,0),0)</f>
        <v>0</v>
      </c>
      <c r="H299" s="7">
        <f t="shared" si="168"/>
        <v>0</v>
      </c>
      <c r="I299" s="11" t="str">
        <f t="shared" ref="I299:I309" si="172">IFERROR(D299/C299*100%,"")</f>
        <v/>
      </c>
      <c r="J299" s="11" t="str">
        <f t="shared" ref="J299:J309" si="173">IFERROR(E299/C299*100%,"")</f>
        <v/>
      </c>
      <c r="K299" s="11" t="str">
        <f t="shared" ref="K299:K309" si="174">IFERROR(F299/C299*100%,"")</f>
        <v/>
      </c>
      <c r="L299" s="11" t="str">
        <f t="shared" ref="L299:L309" si="175">IFERROR(F299/C299*100%,"")</f>
        <v/>
      </c>
      <c r="M299" s="12" t="str">
        <f t="shared" si="169"/>
        <v/>
      </c>
      <c r="O299">
        <v>2</v>
      </c>
      <c r="P299">
        <f>Sheet1!$A$1-1</f>
        <v>0</v>
      </c>
    </row>
    <row r="300" spans="1:16">
      <c r="A300" s="9">
        <f t="shared" si="170"/>
        <v>61</v>
      </c>
      <c r="B300" s="13" t="str">
        <f t="shared" si="171"/>
        <v>Mar-0-Insp</v>
      </c>
      <c r="C300" s="7">
        <f t="shared" si="167"/>
        <v>0</v>
      </c>
      <c r="D300" s="10">
        <f>IFERROR(VLOOKUP(B300,Sheet1!$G$7:$J$4000,4,0),0)</f>
        <v>0</v>
      </c>
      <c r="E300" s="10">
        <f>IFERROR(VLOOKUP(B300,Sheet1!$G$7:$K$4000,5,0),0)</f>
        <v>0</v>
      </c>
      <c r="F300" s="10">
        <f>IFERROR(VLOOKUP(B300,Sheet1!$G$7:$N$4000,8,0),0)</f>
        <v>0</v>
      </c>
      <c r="G300" s="10">
        <f>IFERROR(VLOOKUP(B300,Sheet1!$G$7:$Q$4000,11,0),0)</f>
        <v>0</v>
      </c>
      <c r="H300" s="7">
        <f t="shared" si="168"/>
        <v>0</v>
      </c>
      <c r="I300" s="11" t="str">
        <f t="shared" si="172"/>
        <v/>
      </c>
      <c r="J300" s="11" t="str">
        <f t="shared" si="173"/>
        <v/>
      </c>
      <c r="K300" s="11" t="str">
        <f t="shared" si="174"/>
        <v/>
      </c>
      <c r="L300" s="11" t="str">
        <f t="shared" si="175"/>
        <v/>
      </c>
      <c r="M300" s="12" t="str">
        <f t="shared" si="169"/>
        <v/>
      </c>
      <c r="O300">
        <v>3</v>
      </c>
      <c r="P300">
        <f>Sheet1!$A$1-1</f>
        <v>0</v>
      </c>
    </row>
    <row r="301" spans="1:16">
      <c r="A301" s="9">
        <f t="shared" si="170"/>
        <v>92</v>
      </c>
      <c r="B301" s="13" t="str">
        <f t="shared" si="171"/>
        <v>Apr-0-Insp</v>
      </c>
      <c r="C301" s="7">
        <f t="shared" si="167"/>
        <v>0</v>
      </c>
      <c r="D301" s="10">
        <f>IFERROR(VLOOKUP(B301,Sheet1!$G$7:$J$4000,4,0),0)</f>
        <v>0</v>
      </c>
      <c r="E301" s="10">
        <f>IFERROR(VLOOKUP(B301,Sheet1!$G$7:$K$4000,5,0),0)</f>
        <v>0</v>
      </c>
      <c r="F301" s="10">
        <f>IFERROR(VLOOKUP(B301,Sheet1!$G$7:$N$4000,8,0),0)</f>
        <v>0</v>
      </c>
      <c r="G301" s="10">
        <f>IFERROR(VLOOKUP(B301,Sheet1!$G$7:$Q$4000,11,0),0)</f>
        <v>0</v>
      </c>
      <c r="H301" s="7">
        <f t="shared" si="168"/>
        <v>0</v>
      </c>
      <c r="I301" s="11" t="str">
        <f t="shared" si="172"/>
        <v/>
      </c>
      <c r="J301" s="11" t="str">
        <f t="shared" si="173"/>
        <v/>
      </c>
      <c r="K301" s="11" t="str">
        <f t="shared" si="174"/>
        <v/>
      </c>
      <c r="L301" s="11" t="str">
        <f t="shared" si="175"/>
        <v/>
      </c>
      <c r="M301" s="12" t="str">
        <f t="shared" si="169"/>
        <v/>
      </c>
      <c r="O301">
        <v>4</v>
      </c>
      <c r="P301">
        <f>Sheet1!$A$1-1</f>
        <v>0</v>
      </c>
    </row>
    <row r="302" spans="1:16">
      <c r="A302" s="9">
        <f t="shared" si="170"/>
        <v>122</v>
      </c>
      <c r="B302" s="13" t="str">
        <f t="shared" si="171"/>
        <v>May-0-Insp</v>
      </c>
      <c r="C302" s="7">
        <f t="shared" si="167"/>
        <v>0</v>
      </c>
      <c r="D302" s="10">
        <f>IFERROR(VLOOKUP(B302,Sheet1!$G$7:$J$4000,4,0),0)</f>
        <v>0</v>
      </c>
      <c r="E302" s="10">
        <f>IFERROR(VLOOKUP(B302,Sheet1!$G$7:$K$4000,5,0),0)</f>
        <v>0</v>
      </c>
      <c r="F302" s="10">
        <f>IFERROR(VLOOKUP(B302,Sheet1!$G$7:$N$4000,8,0),0)</f>
        <v>0</v>
      </c>
      <c r="G302" s="10">
        <f>IFERROR(VLOOKUP(B302,Sheet1!$G$7:$Q$4000,11,0),0)</f>
        <v>0</v>
      </c>
      <c r="H302" s="7">
        <f t="shared" si="168"/>
        <v>0</v>
      </c>
      <c r="I302" s="11" t="str">
        <f t="shared" si="172"/>
        <v/>
      </c>
      <c r="J302" s="11" t="str">
        <f t="shared" si="173"/>
        <v/>
      </c>
      <c r="K302" s="11" t="str">
        <f t="shared" si="174"/>
        <v/>
      </c>
      <c r="L302" s="11" t="str">
        <f t="shared" si="175"/>
        <v/>
      </c>
      <c r="M302" s="12" t="str">
        <f t="shared" si="169"/>
        <v/>
      </c>
      <c r="O302">
        <v>5</v>
      </c>
      <c r="P302">
        <f>Sheet1!$A$1-1</f>
        <v>0</v>
      </c>
    </row>
    <row r="303" spans="1:16">
      <c r="A303" s="9">
        <f t="shared" si="170"/>
        <v>153</v>
      </c>
      <c r="B303" s="13" t="str">
        <f t="shared" si="171"/>
        <v>Jun-0-Insp</v>
      </c>
      <c r="C303" s="7">
        <f t="shared" si="167"/>
        <v>0</v>
      </c>
      <c r="D303" s="10">
        <f>IFERROR(VLOOKUP(B303,Sheet1!$G$7:$J$4000,4,0),0)</f>
        <v>0</v>
      </c>
      <c r="E303" s="10">
        <f>IFERROR(VLOOKUP(B303,Sheet1!$G$7:$K$4000,5,0),0)</f>
        <v>0</v>
      </c>
      <c r="F303" s="10">
        <f>IFERROR(VLOOKUP(B303,Sheet1!$G$7:$N$4000,8,0),0)</f>
        <v>0</v>
      </c>
      <c r="G303" s="10">
        <f>IFERROR(VLOOKUP(B303,Sheet1!$G$7:$Q$4000,11,0),0)</f>
        <v>0</v>
      </c>
      <c r="H303" s="7">
        <f t="shared" si="168"/>
        <v>0</v>
      </c>
      <c r="I303" s="11" t="str">
        <f t="shared" si="172"/>
        <v/>
      </c>
      <c r="J303" s="11" t="str">
        <f t="shared" si="173"/>
        <v/>
      </c>
      <c r="K303" s="11" t="str">
        <f t="shared" si="174"/>
        <v/>
      </c>
      <c r="L303" s="11" t="str">
        <f t="shared" si="175"/>
        <v/>
      </c>
      <c r="M303" s="12" t="str">
        <f t="shared" si="169"/>
        <v/>
      </c>
      <c r="O303">
        <v>6</v>
      </c>
      <c r="P303">
        <f>Sheet1!$A$1-1</f>
        <v>0</v>
      </c>
    </row>
    <row r="304" spans="1:16">
      <c r="A304" s="9">
        <f t="shared" si="170"/>
        <v>183</v>
      </c>
      <c r="B304" s="13" t="str">
        <f t="shared" si="171"/>
        <v>Jul-0-Insp</v>
      </c>
      <c r="C304" s="7">
        <f t="shared" si="167"/>
        <v>0</v>
      </c>
      <c r="D304" s="10">
        <f>IFERROR(VLOOKUP(B304,Sheet1!$G$7:$J$4000,4,0),0)</f>
        <v>0</v>
      </c>
      <c r="E304" s="10">
        <f>IFERROR(VLOOKUP(B304,Sheet1!$G$7:$K$4000,5,0),0)</f>
        <v>0</v>
      </c>
      <c r="F304" s="10">
        <f>IFERROR(VLOOKUP(B304,Sheet1!$G$7:$N$4000,8,0),0)</f>
        <v>0</v>
      </c>
      <c r="G304" s="10">
        <f>IFERROR(VLOOKUP(B304,Sheet1!$G$7:$Q$4000,11,0),0)</f>
        <v>0</v>
      </c>
      <c r="H304" s="7">
        <f t="shared" si="168"/>
        <v>0</v>
      </c>
      <c r="I304" s="11" t="str">
        <f t="shared" si="172"/>
        <v/>
      </c>
      <c r="J304" s="11" t="str">
        <f t="shared" si="173"/>
        <v/>
      </c>
      <c r="K304" s="11" t="str">
        <f t="shared" si="174"/>
        <v/>
      </c>
      <c r="L304" s="11" t="str">
        <f t="shared" si="175"/>
        <v/>
      </c>
      <c r="M304" s="12" t="str">
        <f t="shared" si="169"/>
        <v/>
      </c>
      <c r="O304">
        <v>7</v>
      </c>
      <c r="P304">
        <f>Sheet1!$A$1-1</f>
        <v>0</v>
      </c>
    </row>
    <row r="305" spans="1:16">
      <c r="A305" s="9">
        <f t="shared" si="170"/>
        <v>214</v>
      </c>
      <c r="B305" s="13" t="str">
        <f t="shared" si="171"/>
        <v>Aug-0-Insp</v>
      </c>
      <c r="C305" s="7">
        <f t="shared" si="167"/>
        <v>0</v>
      </c>
      <c r="D305" s="10">
        <f>IFERROR(VLOOKUP(B305,Sheet1!$G$7:$J$4000,4,0),0)</f>
        <v>0</v>
      </c>
      <c r="E305" s="10">
        <f>IFERROR(VLOOKUP(B305,Sheet1!$G$7:$K$4000,5,0),0)</f>
        <v>0</v>
      </c>
      <c r="F305" s="10">
        <f>IFERROR(VLOOKUP(B305,Sheet1!$G$7:$N$4000,8,0),0)</f>
        <v>0</v>
      </c>
      <c r="G305" s="10">
        <f>IFERROR(VLOOKUP(B305,Sheet1!$G$7:$Q$4000,11,0),0)</f>
        <v>0</v>
      </c>
      <c r="H305" s="7">
        <f t="shared" si="168"/>
        <v>0</v>
      </c>
      <c r="I305" s="11" t="str">
        <f t="shared" si="172"/>
        <v/>
      </c>
      <c r="J305" s="11" t="str">
        <f t="shared" si="173"/>
        <v/>
      </c>
      <c r="K305" s="11" t="str">
        <f t="shared" si="174"/>
        <v/>
      </c>
      <c r="L305" s="11" t="str">
        <f t="shared" si="175"/>
        <v/>
      </c>
      <c r="M305" s="12" t="str">
        <f t="shared" si="169"/>
        <v/>
      </c>
      <c r="O305">
        <v>8</v>
      </c>
      <c r="P305">
        <f>Sheet1!$A$1-1</f>
        <v>0</v>
      </c>
    </row>
    <row r="306" spans="1:16">
      <c r="A306" s="9">
        <f t="shared" si="170"/>
        <v>245</v>
      </c>
      <c r="B306" s="13" t="str">
        <f t="shared" si="171"/>
        <v>Sep-0-Insp</v>
      </c>
      <c r="C306" s="7">
        <f t="shared" si="167"/>
        <v>0</v>
      </c>
      <c r="D306" s="10">
        <f>IFERROR(VLOOKUP(B306,Sheet1!$G$7:$J$4000,4,0),0)</f>
        <v>0</v>
      </c>
      <c r="E306" s="10">
        <f>IFERROR(VLOOKUP(B306,Sheet1!$G$7:$K$4000,5,0),0)</f>
        <v>0</v>
      </c>
      <c r="F306" s="10">
        <f>IFERROR(VLOOKUP(B306,Sheet1!$G$7:$N$4000,8,0),0)</f>
        <v>0</v>
      </c>
      <c r="G306" s="10">
        <f>IFERROR(VLOOKUP(B306,Sheet1!$G$7:$Q$4000,11,0),0)</f>
        <v>0</v>
      </c>
      <c r="H306" s="7">
        <f t="shared" si="168"/>
        <v>0</v>
      </c>
      <c r="I306" s="11" t="str">
        <f t="shared" si="172"/>
        <v/>
      </c>
      <c r="J306" s="11" t="str">
        <f t="shared" si="173"/>
        <v/>
      </c>
      <c r="K306" s="11" t="str">
        <f t="shared" si="174"/>
        <v/>
      </c>
      <c r="L306" s="11" t="str">
        <f t="shared" si="175"/>
        <v/>
      </c>
      <c r="M306" s="12" t="str">
        <f t="shared" si="169"/>
        <v/>
      </c>
      <c r="O306">
        <v>9</v>
      </c>
      <c r="P306">
        <f>Sheet1!$A$1-1</f>
        <v>0</v>
      </c>
    </row>
    <row r="307" spans="1:16">
      <c r="A307" s="9">
        <f t="shared" si="170"/>
        <v>275</v>
      </c>
      <c r="B307" s="13" t="str">
        <f t="shared" si="171"/>
        <v>Oct-0-Insp</v>
      </c>
      <c r="C307" s="7">
        <f t="shared" si="167"/>
        <v>0</v>
      </c>
      <c r="D307" s="10">
        <f>IFERROR(VLOOKUP(B307,Sheet1!$G$7:$J$4000,4,0),0)</f>
        <v>0</v>
      </c>
      <c r="E307" s="10">
        <f>IFERROR(VLOOKUP(B307,Sheet1!$G$7:$K$4000,5,0),0)</f>
        <v>0</v>
      </c>
      <c r="F307" s="10">
        <f>IFERROR(VLOOKUP(B307,Sheet1!$G$7:$N$4000,8,0),0)</f>
        <v>0</v>
      </c>
      <c r="G307" s="10">
        <f>IFERROR(VLOOKUP(B307,Sheet1!$G$7:$Q$4000,11,0),0)</f>
        <v>0</v>
      </c>
      <c r="H307" s="7">
        <f t="shared" si="168"/>
        <v>0</v>
      </c>
      <c r="I307" s="11" t="str">
        <f t="shared" si="172"/>
        <v/>
      </c>
      <c r="J307" s="11" t="str">
        <f t="shared" si="173"/>
        <v/>
      </c>
      <c r="K307" s="11" t="str">
        <f t="shared" si="174"/>
        <v/>
      </c>
      <c r="L307" s="11" t="str">
        <f t="shared" si="175"/>
        <v/>
      </c>
      <c r="M307" s="12" t="str">
        <f t="shared" si="169"/>
        <v/>
      </c>
      <c r="O307">
        <v>10</v>
      </c>
      <c r="P307">
        <f>Sheet1!$A$1-1</f>
        <v>0</v>
      </c>
    </row>
    <row r="308" spans="1:16">
      <c r="A308" s="9">
        <f t="shared" si="170"/>
        <v>306</v>
      </c>
      <c r="B308" s="13" t="str">
        <f t="shared" si="171"/>
        <v>Nov-0-Insp</v>
      </c>
      <c r="C308" s="7">
        <f t="shared" si="167"/>
        <v>0</v>
      </c>
      <c r="D308" s="10">
        <f>IFERROR(VLOOKUP(B308,Sheet1!$G$7:$J$4000,4,0),0)</f>
        <v>0</v>
      </c>
      <c r="E308" s="10">
        <f>IFERROR(VLOOKUP(B308,Sheet1!$G$7:$K$4000,5,0),0)</f>
        <v>0</v>
      </c>
      <c r="F308" s="10">
        <f>IFERROR(VLOOKUP(B308,Sheet1!$G$7:$N$4000,8,0),0)</f>
        <v>0</v>
      </c>
      <c r="G308" s="10">
        <f>IFERROR(VLOOKUP(B308,Sheet1!$G$7:$Q$4000,11,0),0)</f>
        <v>0</v>
      </c>
      <c r="H308" s="7">
        <f t="shared" si="168"/>
        <v>0</v>
      </c>
      <c r="I308" s="11" t="str">
        <f t="shared" si="172"/>
        <v/>
      </c>
      <c r="J308" s="11" t="str">
        <f t="shared" si="173"/>
        <v/>
      </c>
      <c r="K308" s="11" t="str">
        <f t="shared" si="174"/>
        <v/>
      </c>
      <c r="L308" s="11" t="str">
        <f t="shared" si="175"/>
        <v/>
      </c>
      <c r="M308" s="12" t="str">
        <f t="shared" si="169"/>
        <v/>
      </c>
      <c r="O308">
        <v>11</v>
      </c>
      <c r="P308">
        <f>Sheet1!$A$1-1</f>
        <v>0</v>
      </c>
    </row>
    <row r="309" spans="1:16">
      <c r="A309" s="9">
        <f t="shared" si="170"/>
        <v>336</v>
      </c>
      <c r="B309" s="13" t="str">
        <f t="shared" si="171"/>
        <v>Dec-0-Insp</v>
      </c>
      <c r="C309" s="7">
        <f t="shared" si="167"/>
        <v>0</v>
      </c>
      <c r="D309" s="10">
        <f>IFERROR(VLOOKUP(B309,Sheet1!$G$7:$J$4000,4,0),0)</f>
        <v>0</v>
      </c>
      <c r="E309" s="10">
        <f>IFERROR(VLOOKUP(B309,Sheet1!$G$7:$K$4000,5,0),0)</f>
        <v>0</v>
      </c>
      <c r="F309" s="10">
        <f>IFERROR(VLOOKUP(B309,Sheet1!$G$7:$N$4000,8,0),0)</f>
        <v>0</v>
      </c>
      <c r="G309" s="10">
        <f>IFERROR(VLOOKUP(B309,Sheet1!$G$7:$Q$4000,11,0),0)</f>
        <v>0</v>
      </c>
      <c r="H309" s="7">
        <f t="shared" si="168"/>
        <v>0</v>
      </c>
      <c r="I309" s="11" t="str">
        <f t="shared" si="172"/>
        <v/>
      </c>
      <c r="J309" s="11" t="str">
        <f t="shared" si="173"/>
        <v/>
      </c>
      <c r="K309" s="11" t="str">
        <f t="shared" si="174"/>
        <v/>
      </c>
      <c r="L309" s="11" t="str">
        <f t="shared" si="175"/>
        <v/>
      </c>
      <c r="M309" s="12" t="str">
        <f t="shared" si="169"/>
        <v/>
      </c>
      <c r="O309">
        <v>12</v>
      </c>
      <c r="P309">
        <f>Sheet1!$A$1-1</f>
        <v>0</v>
      </c>
    </row>
    <row r="310" spans="1:16">
      <c r="A310" s="9">
        <f t="shared" si="170"/>
        <v>367</v>
      </c>
      <c r="B310" s="13" t="str">
        <f t="shared" si="171"/>
        <v>Jan-1-Insp</v>
      </c>
      <c r="C310" s="7">
        <f t="shared" ref="C310:C321" si="176">SUM(D310:G310)</f>
        <v>0</v>
      </c>
      <c r="D310" s="10">
        <f>IFERROR(VLOOKUP(B310,Sheet1!$G$7:$J$4000,4,0),0)</f>
        <v>0</v>
      </c>
      <c r="E310" s="10">
        <f>IFERROR(VLOOKUP(B310,Sheet1!$G$7:$K$4000,5,0),0)</f>
        <v>0</v>
      </c>
      <c r="F310" s="10">
        <f>IFERROR(VLOOKUP(B310,Sheet1!$G$7:$N$4000,8,0),0)</f>
        <v>0</v>
      </c>
      <c r="G310" s="10">
        <f>IFERROR(VLOOKUP(B310,Sheet1!$G$7:$Q$4000,11,0),0)</f>
        <v>0</v>
      </c>
      <c r="H310" s="7">
        <f t="shared" ref="H310:H321" si="177">D310+E310</f>
        <v>0</v>
      </c>
      <c r="I310" s="11" t="str">
        <f>IFERROR(D310/C310*100%,"")</f>
        <v/>
      </c>
      <c r="J310" s="11" t="str">
        <f>IFERROR(E310/C310*100%,"")</f>
        <v/>
      </c>
      <c r="K310" s="11" t="str">
        <f>IFERROR(F310/C310*100%,"")</f>
        <v/>
      </c>
      <c r="L310" s="11" t="str">
        <f>IFERROR(F310/C310*100%,"")</f>
        <v/>
      </c>
      <c r="M310" s="12" t="str">
        <f t="shared" ref="M310:M321" si="178">IFERROR(I310+J310,"")</f>
        <v/>
      </c>
      <c r="O310">
        <v>1</v>
      </c>
      <c r="P310">
        <f>Sheet1!$A$1</f>
        <v>1</v>
      </c>
    </row>
    <row r="311" spans="1:16">
      <c r="A311" s="9">
        <f t="shared" si="170"/>
        <v>398</v>
      </c>
      <c r="B311" s="13" t="str">
        <f t="shared" si="171"/>
        <v>Feb-1-Insp</v>
      </c>
      <c r="C311" s="7">
        <f t="shared" si="176"/>
        <v>0</v>
      </c>
      <c r="D311" s="10">
        <f>IFERROR(VLOOKUP(B311,Sheet1!$G$7:$J$4000,4,0),0)</f>
        <v>0</v>
      </c>
      <c r="E311" s="10">
        <f>IFERROR(VLOOKUP(B311,Sheet1!$G$7:$K$4000,5,0),0)</f>
        <v>0</v>
      </c>
      <c r="F311" s="10">
        <f>IFERROR(VLOOKUP(B311,Sheet1!$G$7:$N$4000,8,0),0)</f>
        <v>0</v>
      </c>
      <c r="G311" s="10">
        <f>IFERROR(VLOOKUP(B311,Sheet1!$G$7:$Q$4000,11,0),0)</f>
        <v>0</v>
      </c>
      <c r="H311" s="7">
        <f t="shared" si="177"/>
        <v>0</v>
      </c>
      <c r="I311" s="11" t="str">
        <f t="shared" ref="I311:I321" si="179">IFERROR(D311/C311*100%,"")</f>
        <v/>
      </c>
      <c r="J311" s="11" t="str">
        <f t="shared" ref="J311:J321" si="180">IFERROR(E311/C311*100%,"")</f>
        <v/>
      </c>
      <c r="K311" s="11" t="str">
        <f t="shared" ref="K311:K321" si="181">IFERROR(F311/C311*100%,"")</f>
        <v/>
      </c>
      <c r="L311" s="11" t="str">
        <f t="shared" ref="L311:L321" si="182">IFERROR(F311/C311*100%,"")</f>
        <v/>
      </c>
      <c r="M311" s="12" t="str">
        <f t="shared" si="178"/>
        <v/>
      </c>
      <c r="O311">
        <v>2</v>
      </c>
      <c r="P311">
        <f>Sheet1!$A$1</f>
        <v>1</v>
      </c>
    </row>
    <row r="312" spans="1:16">
      <c r="A312" s="9">
        <f t="shared" si="170"/>
        <v>426</v>
      </c>
      <c r="B312" s="13" t="str">
        <f t="shared" si="171"/>
        <v>Mar-1-Insp</v>
      </c>
      <c r="C312" s="7">
        <f t="shared" si="176"/>
        <v>0</v>
      </c>
      <c r="D312" s="10">
        <f>IFERROR(VLOOKUP(B312,Sheet1!$G$7:$J$4000,4,0),0)</f>
        <v>0</v>
      </c>
      <c r="E312" s="10">
        <f>IFERROR(VLOOKUP(B312,Sheet1!$G$7:$K$4000,5,0),0)</f>
        <v>0</v>
      </c>
      <c r="F312" s="10">
        <f>IFERROR(VLOOKUP(B312,Sheet1!$G$7:$N$4000,8,0),0)</f>
        <v>0</v>
      </c>
      <c r="G312" s="10">
        <f>IFERROR(VLOOKUP(B312,Sheet1!$G$7:$Q$4000,11,0),0)</f>
        <v>0</v>
      </c>
      <c r="H312" s="7">
        <f t="shared" si="177"/>
        <v>0</v>
      </c>
      <c r="I312" s="11" t="str">
        <f t="shared" si="179"/>
        <v/>
      </c>
      <c r="J312" s="11" t="str">
        <f t="shared" si="180"/>
        <v/>
      </c>
      <c r="K312" s="11" t="str">
        <f t="shared" si="181"/>
        <v/>
      </c>
      <c r="L312" s="11" t="str">
        <f t="shared" si="182"/>
        <v/>
      </c>
      <c r="M312" s="12" t="str">
        <f t="shared" si="178"/>
        <v/>
      </c>
      <c r="O312">
        <v>3</v>
      </c>
      <c r="P312">
        <f>Sheet1!$A$1</f>
        <v>1</v>
      </c>
    </row>
    <row r="313" spans="1:16">
      <c r="A313" s="9">
        <f t="shared" si="170"/>
        <v>457</v>
      </c>
      <c r="B313" s="13" t="str">
        <f t="shared" si="171"/>
        <v>Apr-1-Insp</v>
      </c>
      <c r="C313" s="7">
        <f t="shared" si="176"/>
        <v>0</v>
      </c>
      <c r="D313" s="10">
        <f>IFERROR(VLOOKUP(B313,Sheet1!$G$7:$J$4000,4,0),0)</f>
        <v>0</v>
      </c>
      <c r="E313" s="10">
        <f>IFERROR(VLOOKUP(B313,Sheet1!$G$7:$K$4000,5,0),0)</f>
        <v>0</v>
      </c>
      <c r="F313" s="10">
        <f>IFERROR(VLOOKUP(B313,Sheet1!$G$7:$N$4000,8,0),0)</f>
        <v>0</v>
      </c>
      <c r="G313" s="10">
        <f>IFERROR(VLOOKUP(B313,Sheet1!$G$7:$Q$4000,11,0),0)</f>
        <v>0</v>
      </c>
      <c r="H313" s="7">
        <f t="shared" si="177"/>
        <v>0</v>
      </c>
      <c r="I313" s="11" t="str">
        <f t="shared" si="179"/>
        <v/>
      </c>
      <c r="J313" s="11" t="str">
        <f t="shared" si="180"/>
        <v/>
      </c>
      <c r="K313" s="11" t="str">
        <f t="shared" si="181"/>
        <v/>
      </c>
      <c r="L313" s="11" t="str">
        <f t="shared" si="182"/>
        <v/>
      </c>
      <c r="M313" s="12" t="str">
        <f t="shared" si="178"/>
        <v/>
      </c>
      <c r="O313">
        <v>4</v>
      </c>
      <c r="P313">
        <f>Sheet1!$A$1</f>
        <v>1</v>
      </c>
    </row>
    <row r="314" spans="1:16">
      <c r="A314" s="9">
        <f t="shared" si="170"/>
        <v>487</v>
      </c>
      <c r="B314" s="13" t="str">
        <f t="shared" si="171"/>
        <v>May-1-Insp</v>
      </c>
      <c r="C314" s="7">
        <f t="shared" si="176"/>
        <v>0</v>
      </c>
      <c r="D314" s="10">
        <f>IFERROR(VLOOKUP(B314,Sheet1!$G$7:$J$4000,4,0),0)</f>
        <v>0</v>
      </c>
      <c r="E314" s="10">
        <f>IFERROR(VLOOKUP(B314,Sheet1!$G$7:$K$4000,5,0),0)</f>
        <v>0</v>
      </c>
      <c r="F314" s="10">
        <f>IFERROR(VLOOKUP(B314,Sheet1!$G$7:$N$4000,8,0),0)</f>
        <v>0</v>
      </c>
      <c r="G314" s="10">
        <f>IFERROR(VLOOKUP(B314,Sheet1!$G$7:$Q$4000,11,0),0)</f>
        <v>0</v>
      </c>
      <c r="H314" s="7">
        <f t="shared" si="177"/>
        <v>0</v>
      </c>
      <c r="I314" s="11" t="str">
        <f t="shared" si="179"/>
        <v/>
      </c>
      <c r="J314" s="11" t="str">
        <f t="shared" si="180"/>
        <v/>
      </c>
      <c r="K314" s="11" t="str">
        <f t="shared" si="181"/>
        <v/>
      </c>
      <c r="L314" s="11" t="str">
        <f t="shared" si="182"/>
        <v/>
      </c>
      <c r="M314" s="12" t="str">
        <f t="shared" si="178"/>
        <v/>
      </c>
      <c r="O314">
        <v>5</v>
      </c>
      <c r="P314">
        <f>Sheet1!$A$1</f>
        <v>1</v>
      </c>
    </row>
    <row r="315" spans="1:16">
      <c r="A315" s="9">
        <f t="shared" si="170"/>
        <v>518</v>
      </c>
      <c r="B315" s="13" t="str">
        <f t="shared" si="171"/>
        <v>Jun-1-Insp</v>
      </c>
      <c r="C315" s="7">
        <f t="shared" si="176"/>
        <v>0</v>
      </c>
      <c r="D315" s="10">
        <f>IFERROR(VLOOKUP(B315,Sheet1!$G$7:$J$4000,4,0),0)</f>
        <v>0</v>
      </c>
      <c r="E315" s="10">
        <f>IFERROR(VLOOKUP(B315,Sheet1!$G$7:$K$4000,5,0),0)</f>
        <v>0</v>
      </c>
      <c r="F315" s="10">
        <f>IFERROR(VLOOKUP(B315,Sheet1!$G$7:$N$4000,8,0),0)</f>
        <v>0</v>
      </c>
      <c r="G315" s="10">
        <f>IFERROR(VLOOKUP(B315,Sheet1!$G$7:$Q$4000,11,0),0)</f>
        <v>0</v>
      </c>
      <c r="H315" s="7">
        <f t="shared" si="177"/>
        <v>0</v>
      </c>
      <c r="I315" s="11" t="str">
        <f t="shared" si="179"/>
        <v/>
      </c>
      <c r="J315" s="11" t="str">
        <f t="shared" si="180"/>
        <v/>
      </c>
      <c r="K315" s="11" t="str">
        <f t="shared" si="181"/>
        <v/>
      </c>
      <c r="L315" s="11" t="str">
        <f t="shared" si="182"/>
        <v/>
      </c>
      <c r="M315" s="12" t="str">
        <f t="shared" si="178"/>
        <v/>
      </c>
      <c r="O315">
        <v>6</v>
      </c>
      <c r="P315">
        <f>Sheet1!$A$1</f>
        <v>1</v>
      </c>
    </row>
    <row r="316" spans="1:16">
      <c r="A316" s="9">
        <f t="shared" si="170"/>
        <v>548</v>
      </c>
      <c r="B316" s="13" t="str">
        <f t="shared" si="171"/>
        <v>Jul-1-Insp</v>
      </c>
      <c r="C316" s="7">
        <f t="shared" si="176"/>
        <v>0</v>
      </c>
      <c r="D316" s="10">
        <f>IFERROR(VLOOKUP(B316,Sheet1!$G$7:$J$4000,4,0),0)</f>
        <v>0</v>
      </c>
      <c r="E316" s="10">
        <f>IFERROR(VLOOKUP(B316,Sheet1!$G$7:$K$4000,5,0),0)</f>
        <v>0</v>
      </c>
      <c r="F316" s="10">
        <f>IFERROR(VLOOKUP(B316,Sheet1!$G$7:$N$4000,8,0),0)</f>
        <v>0</v>
      </c>
      <c r="G316" s="10">
        <f>IFERROR(VLOOKUP(B316,Sheet1!$G$7:$Q$4000,11,0),0)</f>
        <v>0</v>
      </c>
      <c r="H316" s="7">
        <f t="shared" si="177"/>
        <v>0</v>
      </c>
      <c r="I316" s="11" t="str">
        <f t="shared" si="179"/>
        <v/>
      </c>
      <c r="J316" s="11" t="str">
        <f t="shared" si="180"/>
        <v/>
      </c>
      <c r="K316" s="11" t="str">
        <f t="shared" si="181"/>
        <v/>
      </c>
      <c r="L316" s="11" t="str">
        <f t="shared" si="182"/>
        <v/>
      </c>
      <c r="M316" s="12" t="str">
        <f t="shared" si="178"/>
        <v/>
      </c>
      <c r="O316">
        <v>7</v>
      </c>
      <c r="P316">
        <f>Sheet1!$A$1</f>
        <v>1</v>
      </c>
    </row>
    <row r="317" spans="1:16">
      <c r="A317" s="9">
        <f t="shared" si="170"/>
        <v>579</v>
      </c>
      <c r="B317" s="13" t="str">
        <f t="shared" si="171"/>
        <v>Aug-1-Insp</v>
      </c>
      <c r="C317" s="7">
        <f t="shared" si="176"/>
        <v>0</v>
      </c>
      <c r="D317" s="10">
        <f>IFERROR(VLOOKUP(B317,Sheet1!$G$7:$J$4000,4,0),0)</f>
        <v>0</v>
      </c>
      <c r="E317" s="10">
        <f>IFERROR(VLOOKUP(B317,Sheet1!$G$7:$K$4000,5,0),0)</f>
        <v>0</v>
      </c>
      <c r="F317" s="10">
        <f>IFERROR(VLOOKUP(B317,Sheet1!$G$7:$N$4000,8,0),0)</f>
        <v>0</v>
      </c>
      <c r="G317" s="10">
        <f>IFERROR(VLOOKUP(B317,Sheet1!$G$7:$Q$4000,11,0),0)</f>
        <v>0</v>
      </c>
      <c r="H317" s="7">
        <f t="shared" si="177"/>
        <v>0</v>
      </c>
      <c r="I317" s="11" t="str">
        <f t="shared" si="179"/>
        <v/>
      </c>
      <c r="J317" s="11" t="str">
        <f t="shared" si="180"/>
        <v/>
      </c>
      <c r="K317" s="11" t="str">
        <f t="shared" si="181"/>
        <v/>
      </c>
      <c r="L317" s="11" t="str">
        <f t="shared" si="182"/>
        <v/>
      </c>
      <c r="M317" s="12" t="str">
        <f t="shared" si="178"/>
        <v/>
      </c>
      <c r="O317">
        <v>8</v>
      </c>
      <c r="P317">
        <f>Sheet1!$A$1</f>
        <v>1</v>
      </c>
    </row>
    <row r="318" spans="1:16">
      <c r="A318" s="9">
        <f t="shared" si="170"/>
        <v>610</v>
      </c>
      <c r="B318" s="13" t="str">
        <f t="shared" si="171"/>
        <v>Sep-1-Insp</v>
      </c>
      <c r="C318" s="7">
        <f t="shared" si="176"/>
        <v>0</v>
      </c>
      <c r="D318" s="10">
        <f>IFERROR(VLOOKUP(B318,Sheet1!$G$7:$J$4000,4,0),0)</f>
        <v>0</v>
      </c>
      <c r="E318" s="10">
        <f>IFERROR(VLOOKUP(B318,Sheet1!$G$7:$K$4000,5,0),0)</f>
        <v>0</v>
      </c>
      <c r="F318" s="10">
        <f>IFERROR(VLOOKUP(B318,Sheet1!$G$7:$N$4000,8,0),0)</f>
        <v>0</v>
      </c>
      <c r="G318" s="10">
        <f>IFERROR(VLOOKUP(B318,Sheet1!$G$7:$Q$4000,11,0),0)</f>
        <v>0</v>
      </c>
      <c r="H318" s="7">
        <f t="shared" si="177"/>
        <v>0</v>
      </c>
      <c r="I318" s="11" t="str">
        <f t="shared" si="179"/>
        <v/>
      </c>
      <c r="J318" s="11" t="str">
        <f t="shared" si="180"/>
        <v/>
      </c>
      <c r="K318" s="11" t="str">
        <f t="shared" si="181"/>
        <v/>
      </c>
      <c r="L318" s="11" t="str">
        <f t="shared" si="182"/>
        <v/>
      </c>
      <c r="M318" s="12" t="str">
        <f t="shared" si="178"/>
        <v/>
      </c>
      <c r="O318">
        <v>9</v>
      </c>
      <c r="P318">
        <f>Sheet1!$A$1</f>
        <v>1</v>
      </c>
    </row>
    <row r="319" spans="1:16">
      <c r="A319" s="9">
        <f t="shared" si="170"/>
        <v>640</v>
      </c>
      <c r="B319" s="13" t="str">
        <f t="shared" si="171"/>
        <v>Oct-1-Insp</v>
      </c>
      <c r="C319" s="7">
        <f t="shared" si="176"/>
        <v>0</v>
      </c>
      <c r="D319" s="10">
        <f>IFERROR(VLOOKUP(B319,Sheet1!$G$7:$J$4000,4,0),0)</f>
        <v>0</v>
      </c>
      <c r="E319" s="10">
        <f>IFERROR(VLOOKUP(B319,Sheet1!$G$7:$K$4000,5,0),0)</f>
        <v>0</v>
      </c>
      <c r="F319" s="10">
        <f>IFERROR(VLOOKUP(B319,Sheet1!$G$7:$N$4000,8,0),0)</f>
        <v>0</v>
      </c>
      <c r="G319" s="10">
        <f>IFERROR(VLOOKUP(B319,Sheet1!$G$7:$Q$4000,11,0),0)</f>
        <v>0</v>
      </c>
      <c r="H319" s="7">
        <f t="shared" si="177"/>
        <v>0</v>
      </c>
      <c r="I319" s="11" t="str">
        <f t="shared" si="179"/>
        <v/>
      </c>
      <c r="J319" s="11" t="str">
        <f t="shared" si="180"/>
        <v/>
      </c>
      <c r="K319" s="11" t="str">
        <f t="shared" si="181"/>
        <v/>
      </c>
      <c r="L319" s="11" t="str">
        <f t="shared" si="182"/>
        <v/>
      </c>
      <c r="M319" s="12" t="str">
        <f t="shared" si="178"/>
        <v/>
      </c>
      <c r="O319">
        <v>10</v>
      </c>
      <c r="P319">
        <f>Sheet1!$A$1</f>
        <v>1</v>
      </c>
    </row>
    <row r="320" spans="1:16">
      <c r="A320" s="9">
        <f t="shared" si="170"/>
        <v>671</v>
      </c>
      <c r="B320" s="13" t="str">
        <f t="shared" si="171"/>
        <v>Nov-1-Insp</v>
      </c>
      <c r="C320" s="7">
        <f t="shared" si="176"/>
        <v>0</v>
      </c>
      <c r="D320" s="10">
        <f>IFERROR(VLOOKUP(B320,Sheet1!$G$7:$J$4000,4,0),0)</f>
        <v>0</v>
      </c>
      <c r="E320" s="10">
        <f>IFERROR(VLOOKUP(B320,Sheet1!$G$7:$K$4000,5,0),0)</f>
        <v>0</v>
      </c>
      <c r="F320" s="10">
        <f>IFERROR(VLOOKUP(B320,Sheet1!$G$7:$N$4000,8,0),0)</f>
        <v>0</v>
      </c>
      <c r="G320" s="10">
        <f>IFERROR(VLOOKUP(B320,Sheet1!$G$7:$Q$4000,11,0),0)</f>
        <v>0</v>
      </c>
      <c r="H320" s="7">
        <f t="shared" si="177"/>
        <v>0</v>
      </c>
      <c r="I320" s="11" t="str">
        <f t="shared" si="179"/>
        <v/>
      </c>
      <c r="J320" s="11" t="str">
        <f t="shared" si="180"/>
        <v/>
      </c>
      <c r="K320" s="11" t="str">
        <f t="shared" si="181"/>
        <v/>
      </c>
      <c r="L320" s="11" t="str">
        <f t="shared" si="182"/>
        <v/>
      </c>
      <c r="M320" s="12" t="str">
        <f t="shared" si="178"/>
        <v/>
      </c>
      <c r="O320">
        <v>11</v>
      </c>
      <c r="P320">
        <f>Sheet1!$A$1</f>
        <v>1</v>
      </c>
    </row>
    <row r="321" spans="1:16">
      <c r="A321" s="9">
        <f t="shared" si="170"/>
        <v>701</v>
      </c>
      <c r="B321" s="13" t="str">
        <f t="shared" si="171"/>
        <v>Dec-1-Insp</v>
      </c>
      <c r="C321" s="7">
        <f t="shared" si="176"/>
        <v>0</v>
      </c>
      <c r="D321" s="10">
        <f>IFERROR(VLOOKUP(B321,Sheet1!$G$7:$J$4000,4,0),0)</f>
        <v>0</v>
      </c>
      <c r="E321" s="10">
        <f>IFERROR(VLOOKUP(B321,Sheet1!$G$7:$K$4000,5,0),0)</f>
        <v>0</v>
      </c>
      <c r="F321" s="10">
        <f>IFERROR(VLOOKUP(B321,Sheet1!$G$7:$N$4000,8,0),0)</f>
        <v>0</v>
      </c>
      <c r="G321" s="10">
        <f>IFERROR(VLOOKUP(B321,Sheet1!$G$7:$Q$4000,11,0),0)</f>
        <v>0</v>
      </c>
      <c r="H321" s="7">
        <f t="shared" si="177"/>
        <v>0</v>
      </c>
      <c r="I321" s="11" t="str">
        <f t="shared" si="179"/>
        <v/>
      </c>
      <c r="J321" s="11" t="str">
        <f t="shared" si="180"/>
        <v/>
      </c>
      <c r="K321" s="11" t="str">
        <f t="shared" si="181"/>
        <v/>
      </c>
      <c r="L321" s="11" t="str">
        <f t="shared" si="182"/>
        <v/>
      </c>
      <c r="M321" s="12" t="str">
        <f t="shared" si="178"/>
        <v/>
      </c>
      <c r="O321">
        <v>12</v>
      </c>
      <c r="P321">
        <f>Sheet1!$A$1</f>
        <v>1</v>
      </c>
    </row>
    <row r="322" spans="1:16">
      <c r="A322" s="4"/>
      <c r="B322" s="4"/>
      <c r="C322" s="4"/>
      <c r="D322" s="4"/>
      <c r="E322" s="4"/>
      <c r="F322" s="4"/>
      <c r="G322" s="4"/>
      <c r="H322" s="4"/>
      <c r="I322" s="5"/>
      <c r="J322" s="5"/>
      <c r="K322" s="5"/>
      <c r="L322" s="5"/>
      <c r="M322" s="5"/>
    </row>
    <row r="323" spans="1:16">
      <c r="A323" s="4"/>
      <c r="B323" s="4"/>
      <c r="C323" s="4"/>
      <c r="D323" s="4"/>
      <c r="E323" s="4"/>
      <c r="F323" s="4"/>
      <c r="G323" s="4"/>
      <c r="H323" s="4"/>
      <c r="I323" s="5"/>
      <c r="J323" s="5"/>
      <c r="K323" s="5"/>
      <c r="L323" s="5"/>
      <c r="M323" s="5"/>
    </row>
    <row r="330" spans="1:16">
      <c r="A330" s="4"/>
      <c r="B330" s="4"/>
      <c r="C330" s="4"/>
      <c r="D330" s="4"/>
      <c r="E330" s="4"/>
      <c r="F330" s="4"/>
      <c r="G330" s="4"/>
      <c r="H330" s="4"/>
      <c r="I330" s="5"/>
      <c r="J330" s="5"/>
      <c r="K330" s="5"/>
      <c r="L330" s="5"/>
      <c r="M330" s="5"/>
    </row>
    <row r="331" spans="1:16">
      <c r="A331" s="4"/>
      <c r="B331" s="4"/>
      <c r="C331" s="4"/>
      <c r="D331" s="4"/>
      <c r="E331" s="4"/>
      <c r="F331" s="4"/>
      <c r="G331" s="4"/>
      <c r="H331" s="4"/>
      <c r="I331" s="5"/>
      <c r="J331" s="5"/>
      <c r="K331" s="5"/>
      <c r="L331" s="5"/>
      <c r="M331" s="5"/>
    </row>
    <row r="332" spans="1:16">
      <c r="A332" s="4"/>
      <c r="B332" s="4"/>
      <c r="C332" s="4"/>
      <c r="D332" s="4"/>
      <c r="E332" s="4"/>
      <c r="F332" s="4"/>
      <c r="G332" s="4"/>
      <c r="H332" s="4"/>
      <c r="I332" s="5"/>
      <c r="J332" s="5"/>
      <c r="K332" s="5"/>
      <c r="L332" s="5"/>
      <c r="M332" s="5"/>
    </row>
    <row r="333" spans="1:16">
      <c r="A333" s="4"/>
      <c r="B333" s="4"/>
      <c r="C333" s="4"/>
      <c r="D333" s="4"/>
      <c r="E333" s="4"/>
      <c r="F333" s="4"/>
      <c r="G333" s="4"/>
      <c r="H333" s="4"/>
      <c r="I333" s="5"/>
      <c r="J333" s="5"/>
      <c r="K333" s="5"/>
      <c r="L333" s="5"/>
      <c r="M333" s="5"/>
    </row>
    <row r="334" spans="1:16">
      <c r="A334" s="4"/>
      <c r="B334" s="4"/>
      <c r="C334" s="4"/>
      <c r="D334" s="4"/>
      <c r="E334" s="4"/>
      <c r="F334" s="4"/>
      <c r="G334" s="4"/>
      <c r="H334" s="4"/>
      <c r="I334" s="5"/>
      <c r="J334" s="5"/>
      <c r="K334" s="5"/>
      <c r="L334" s="5"/>
      <c r="M334" s="5"/>
    </row>
    <row r="335" spans="1:16">
      <c r="A335" s="4"/>
      <c r="B335" s="4"/>
      <c r="C335" s="4"/>
      <c r="D335" s="4"/>
      <c r="E335" s="4"/>
      <c r="F335" s="4"/>
      <c r="G335" s="4"/>
      <c r="H335" s="4"/>
      <c r="I335" s="5"/>
      <c r="J335" s="5"/>
      <c r="K335" s="5"/>
      <c r="L335" s="5"/>
      <c r="M335" s="5"/>
    </row>
    <row r="336" spans="1:16">
      <c r="A336" s="4"/>
      <c r="B336" s="4"/>
      <c r="C336" s="4"/>
      <c r="D336" s="4"/>
      <c r="E336" s="4"/>
      <c r="F336" s="4"/>
      <c r="G336" s="4"/>
      <c r="H336" s="4"/>
      <c r="I336" s="5"/>
      <c r="J336" s="5"/>
      <c r="K336" s="5"/>
      <c r="L336" s="5"/>
      <c r="M336" s="5"/>
    </row>
    <row r="337" spans="1:13">
      <c r="A337" s="4"/>
      <c r="B337" s="4"/>
      <c r="C337" s="4"/>
      <c r="D337" s="4"/>
      <c r="E337" s="4"/>
      <c r="F337" s="4"/>
      <c r="G337" s="4"/>
      <c r="H337" s="4"/>
      <c r="I337" s="5"/>
      <c r="J337" s="5"/>
      <c r="K337" s="5"/>
      <c r="L337" s="5"/>
      <c r="M337" s="5"/>
    </row>
    <row r="338" spans="1:13">
      <c r="A338" s="4"/>
      <c r="B338" s="4"/>
      <c r="C338" s="4"/>
      <c r="D338" s="4"/>
      <c r="E338" s="4"/>
      <c r="F338" s="4"/>
      <c r="G338" s="4"/>
      <c r="H338" s="4"/>
      <c r="I338" s="5"/>
      <c r="J338" s="5"/>
      <c r="K338" s="5"/>
      <c r="L338" s="5"/>
      <c r="M338" s="5"/>
    </row>
    <row r="339" spans="1:13">
      <c r="A339" s="4"/>
      <c r="B339" s="4"/>
      <c r="C339" s="4"/>
      <c r="D339" s="4"/>
      <c r="E339" s="4"/>
      <c r="F339" s="4"/>
      <c r="G339" s="4"/>
      <c r="H339" s="4"/>
      <c r="I339" s="5"/>
      <c r="J339" s="5"/>
      <c r="K339" s="5"/>
      <c r="L339" s="5"/>
      <c r="M339" s="5"/>
    </row>
    <row r="340" spans="1:13">
      <c r="A340" s="4"/>
      <c r="B340" s="4"/>
      <c r="C340" s="4"/>
      <c r="D340" s="4"/>
      <c r="E340" s="4"/>
      <c r="F340" s="4"/>
      <c r="G340" s="4"/>
      <c r="H340" s="4"/>
      <c r="I340" s="5"/>
      <c r="J340" s="5"/>
      <c r="K340" s="5"/>
      <c r="L340" s="5"/>
      <c r="M340" s="5"/>
    </row>
    <row r="341" spans="1:13">
      <c r="A341" s="4"/>
      <c r="B341" s="4"/>
      <c r="C341" s="4"/>
      <c r="D341" s="4"/>
      <c r="E341" s="4"/>
      <c r="F341" s="4"/>
      <c r="G341" s="4"/>
      <c r="H341" s="4"/>
      <c r="I341" s="5"/>
      <c r="J341" s="5"/>
      <c r="K341" s="5"/>
      <c r="L341" s="5"/>
      <c r="M341" s="5"/>
    </row>
    <row r="342" spans="1:13">
      <c r="A342" s="4"/>
      <c r="B342" s="4"/>
      <c r="C342" s="4"/>
      <c r="D342" s="4"/>
      <c r="E342" s="4"/>
      <c r="F342" s="4"/>
      <c r="G342" s="4"/>
      <c r="H342" s="4"/>
      <c r="I342" s="5"/>
      <c r="J342" s="5"/>
      <c r="K342" s="5"/>
      <c r="L342" s="5"/>
      <c r="M342" s="5"/>
    </row>
    <row r="343" spans="1:13">
      <c r="A343" s="4"/>
      <c r="B343" s="4"/>
      <c r="C343" s="4"/>
      <c r="D343" s="4"/>
      <c r="E343" s="4"/>
      <c r="F343" s="4"/>
      <c r="G343" s="4"/>
      <c r="H343" s="4"/>
      <c r="I343" s="5"/>
      <c r="J343" s="5"/>
      <c r="K343" s="5"/>
      <c r="L343" s="5"/>
      <c r="M343" s="5"/>
    </row>
    <row r="344" spans="1:13">
      <c r="A344" s="4"/>
      <c r="B344" s="4"/>
      <c r="C344" s="4"/>
      <c r="D344" s="4"/>
      <c r="E344" s="4"/>
      <c r="F344" s="4"/>
      <c r="G344" s="4"/>
      <c r="H344" s="4"/>
      <c r="I344" s="5"/>
      <c r="J344" s="5"/>
      <c r="K344" s="5"/>
      <c r="L344" s="5"/>
      <c r="M344" s="5"/>
    </row>
    <row r="345" spans="1:13">
      <c r="A345" s="4"/>
      <c r="B345" s="4"/>
      <c r="C345" s="4"/>
      <c r="D345" s="4"/>
      <c r="E345" s="4"/>
      <c r="F345" s="4"/>
      <c r="G345" s="4"/>
      <c r="H345" s="4"/>
      <c r="I345" s="5"/>
      <c r="J345" s="5"/>
      <c r="K345" s="5"/>
      <c r="L345" s="5"/>
      <c r="M345" s="5"/>
    </row>
    <row r="346" spans="1:13">
      <c r="A346" s="4"/>
      <c r="B346" s="4"/>
      <c r="C346" s="4"/>
      <c r="D346" s="4"/>
      <c r="E346" s="4"/>
      <c r="F346" s="4"/>
      <c r="G346" s="4"/>
      <c r="H346" s="4"/>
      <c r="I346" s="5"/>
      <c r="J346" s="5"/>
      <c r="K346" s="5"/>
      <c r="L346" s="5"/>
      <c r="M346" s="5"/>
    </row>
    <row r="347" spans="1:13">
      <c r="A347" s="4"/>
      <c r="B347" s="4"/>
      <c r="C347" s="4"/>
      <c r="D347" s="4"/>
      <c r="E347" s="4"/>
      <c r="F347" s="4"/>
      <c r="G347" s="4"/>
      <c r="H347" s="4"/>
      <c r="I347" s="5"/>
      <c r="J347" s="5"/>
      <c r="K347" s="5"/>
      <c r="L347" s="5"/>
      <c r="M347" s="5"/>
    </row>
    <row r="348" spans="1:13">
      <c r="A348" s="4"/>
      <c r="B348" s="4"/>
      <c r="C348" s="4"/>
      <c r="D348" s="4"/>
      <c r="E348" s="4"/>
      <c r="F348" s="4"/>
      <c r="G348" s="4"/>
      <c r="H348" s="4"/>
      <c r="I348" s="5"/>
      <c r="J348" s="5"/>
      <c r="K348" s="5"/>
      <c r="L348" s="5"/>
      <c r="M348" s="5"/>
    </row>
    <row r="349" spans="1:13">
      <c r="A349" s="4"/>
      <c r="B349" s="4"/>
      <c r="C349" s="4"/>
      <c r="D349" s="4"/>
      <c r="E349" s="4"/>
      <c r="F349" s="4"/>
      <c r="G349" s="4"/>
      <c r="H349" s="4"/>
      <c r="I349" s="5"/>
      <c r="J349" s="5"/>
      <c r="K349" s="5"/>
      <c r="L349" s="5"/>
      <c r="M349" s="5"/>
    </row>
    <row r="350" spans="1:13">
      <c r="A350" s="4"/>
      <c r="B350" s="4"/>
      <c r="C350" s="4"/>
      <c r="D350" s="4"/>
      <c r="E350" s="4"/>
      <c r="F350" s="4"/>
      <c r="G350" s="4"/>
      <c r="H350" s="4"/>
      <c r="I350" s="5"/>
      <c r="J350" s="5"/>
      <c r="K350" s="5"/>
      <c r="L350" s="5"/>
      <c r="M350" s="5"/>
    </row>
    <row r="351" spans="1:13">
      <c r="A351" s="4"/>
      <c r="B351" s="4"/>
      <c r="C351" s="4"/>
      <c r="D351" s="4"/>
      <c r="E351" s="4"/>
      <c r="F351" s="4"/>
      <c r="G351" s="4"/>
      <c r="H351" s="4"/>
      <c r="I351" s="5"/>
      <c r="J351" s="5"/>
      <c r="K351" s="5"/>
      <c r="L351" s="5"/>
      <c r="M351" s="5"/>
    </row>
    <row r="352" spans="1:13">
      <c r="A352" s="4"/>
      <c r="B352" s="4"/>
      <c r="C352" s="4"/>
      <c r="D352" s="4"/>
      <c r="E352" s="4"/>
      <c r="F352" s="4"/>
      <c r="G352" s="4"/>
      <c r="H352" s="4"/>
      <c r="I352" s="5"/>
      <c r="J352" s="5"/>
      <c r="K352" s="5"/>
      <c r="L352" s="5"/>
      <c r="M352" s="5"/>
    </row>
    <row r="353" spans="1:13">
      <c r="A353" s="4"/>
      <c r="B353" s="4"/>
      <c r="C353" s="4"/>
      <c r="D353" s="4"/>
      <c r="E353" s="4"/>
      <c r="F353" s="4"/>
      <c r="G353" s="4"/>
      <c r="H353" s="4"/>
      <c r="I353" s="5"/>
      <c r="J353" s="5"/>
      <c r="K353" s="5"/>
      <c r="L353" s="5"/>
      <c r="M353" s="5"/>
    </row>
    <row r="354" spans="1:13">
      <c r="A354" s="4"/>
      <c r="B354" s="4"/>
      <c r="C354" s="4"/>
      <c r="D354" s="4"/>
      <c r="E354" s="4"/>
      <c r="F354" s="4"/>
      <c r="G354" s="4"/>
      <c r="H354" s="4"/>
      <c r="I354" s="5"/>
      <c r="J354" s="5"/>
      <c r="K354" s="5"/>
      <c r="L354" s="5"/>
      <c r="M354" s="5"/>
    </row>
    <row r="355" spans="1:13">
      <c r="A355" s="4"/>
      <c r="B355" s="4"/>
      <c r="C355" s="4"/>
      <c r="D355" s="4"/>
      <c r="E355" s="4"/>
      <c r="F355" s="4"/>
      <c r="G355" s="4"/>
      <c r="H355" s="4"/>
      <c r="I355" s="5"/>
      <c r="J355" s="5"/>
      <c r="K355" s="5"/>
      <c r="L355" s="5"/>
      <c r="M355" s="5"/>
    </row>
    <row r="356" spans="1:13">
      <c r="A356" s="4"/>
      <c r="B356" s="4"/>
      <c r="C356" s="4"/>
      <c r="D356" s="4"/>
      <c r="E356" s="4"/>
      <c r="F356" s="4"/>
      <c r="G356" s="4"/>
      <c r="H356" s="4"/>
      <c r="I356" s="5"/>
      <c r="J356" s="5"/>
      <c r="K356" s="5"/>
      <c r="L356" s="5"/>
      <c r="M356" s="5"/>
    </row>
    <row r="357" spans="1:13">
      <c r="A357" s="4"/>
      <c r="B357" s="4"/>
      <c r="C357" s="4"/>
      <c r="D357" s="4"/>
      <c r="E357" s="4"/>
      <c r="F357" s="4"/>
      <c r="G357" s="4"/>
      <c r="H357" s="4"/>
      <c r="I357" s="5"/>
      <c r="J357" s="5"/>
      <c r="K357" s="5"/>
      <c r="L357" s="5"/>
      <c r="M357" s="5"/>
    </row>
    <row r="358" spans="1:13">
      <c r="A358" s="4"/>
      <c r="B358" s="4"/>
      <c r="C358" s="4"/>
      <c r="D358" s="4"/>
      <c r="E358" s="4"/>
      <c r="F358" s="4"/>
      <c r="G358" s="4"/>
      <c r="H358" s="4"/>
      <c r="I358" s="5"/>
      <c r="J358" s="5"/>
      <c r="K358" s="5"/>
      <c r="L358" s="5"/>
      <c r="M358" s="5"/>
    </row>
    <row r="359" spans="1:13">
      <c r="A359" s="4"/>
      <c r="B359" s="4"/>
      <c r="C359" s="4"/>
      <c r="D359" s="4"/>
      <c r="E359" s="4"/>
      <c r="F359" s="4"/>
      <c r="G359" s="4"/>
      <c r="H359" s="4"/>
      <c r="I359" s="5"/>
      <c r="J359" s="5"/>
      <c r="K359" s="5"/>
      <c r="L359" s="5"/>
      <c r="M359" s="5"/>
    </row>
    <row r="360" spans="1:13">
      <c r="A360" s="4"/>
      <c r="B360" s="4"/>
      <c r="C360" s="4"/>
      <c r="D360" s="4"/>
      <c r="E360" s="4"/>
      <c r="F360" s="4"/>
      <c r="G360" s="4"/>
      <c r="H360" s="4"/>
      <c r="I360" s="5"/>
      <c r="J360" s="5"/>
      <c r="K360" s="5"/>
      <c r="L360" s="5"/>
      <c r="M360" s="5"/>
    </row>
    <row r="361" spans="1:13">
      <c r="A361" s="4"/>
      <c r="B361" s="4"/>
      <c r="C361" s="4"/>
      <c r="D361" s="4"/>
      <c r="E361" s="4"/>
      <c r="F361" s="4"/>
      <c r="G361" s="4"/>
      <c r="H361" s="4"/>
      <c r="I361" s="5"/>
      <c r="J361" s="5"/>
      <c r="K361" s="5"/>
      <c r="L361" s="5"/>
      <c r="M361" s="5"/>
    </row>
    <row r="362" spans="1:13">
      <c r="A362" s="4"/>
      <c r="B362" s="4"/>
      <c r="C362" s="4"/>
      <c r="D362" s="4"/>
      <c r="E362" s="4"/>
      <c r="F362" s="4"/>
      <c r="G362" s="4"/>
      <c r="H362" s="4"/>
      <c r="I362" s="5"/>
      <c r="J362" s="5"/>
      <c r="K362" s="5"/>
      <c r="L362" s="5"/>
      <c r="M362" s="5"/>
    </row>
    <row r="363" spans="1:13">
      <c r="A363" s="4"/>
      <c r="B363" s="4"/>
      <c r="C363" s="4"/>
      <c r="D363" s="4"/>
      <c r="E363" s="4"/>
      <c r="F363" s="4"/>
      <c r="G363" s="4"/>
      <c r="H363" s="4"/>
      <c r="I363" s="5"/>
      <c r="J363" s="5"/>
      <c r="K363" s="5"/>
      <c r="L363" s="5"/>
      <c r="M363" s="5"/>
    </row>
    <row r="364" spans="1:13">
      <c r="A364" s="4"/>
      <c r="B364" s="4"/>
      <c r="C364" s="4"/>
      <c r="D364" s="4"/>
      <c r="E364" s="4"/>
      <c r="F364" s="4"/>
      <c r="G364" s="4"/>
      <c r="H364" s="4"/>
      <c r="I364" s="5"/>
      <c r="J364" s="5"/>
      <c r="K364" s="5"/>
      <c r="L364" s="5"/>
      <c r="M364" s="5"/>
    </row>
    <row r="365" spans="1:13">
      <c r="A365" s="4"/>
      <c r="B365" s="4"/>
      <c r="C365" s="4"/>
      <c r="D365" s="4"/>
      <c r="E365" s="4"/>
      <c r="F365" s="4"/>
      <c r="G365" s="4"/>
      <c r="H365" s="4"/>
      <c r="I365" s="5"/>
      <c r="J365" s="5"/>
      <c r="K365" s="5"/>
      <c r="L365" s="5"/>
      <c r="M365" s="5"/>
    </row>
    <row r="366" spans="1:13">
      <c r="A366" s="4"/>
      <c r="B366" s="4"/>
      <c r="C366" s="4"/>
      <c r="D366" s="4"/>
      <c r="E366" s="4"/>
      <c r="F366" s="4"/>
      <c r="G366" s="4"/>
      <c r="H366" s="4"/>
      <c r="I366" s="5"/>
      <c r="J366" s="5"/>
      <c r="K366" s="5"/>
      <c r="L366" s="5"/>
      <c r="M366" s="5"/>
    </row>
    <row r="367" spans="1:13">
      <c r="A367" s="4"/>
      <c r="B367" s="4"/>
      <c r="C367" s="4"/>
      <c r="D367" s="4"/>
      <c r="E367" s="4"/>
      <c r="F367" s="4"/>
      <c r="G367" s="4"/>
      <c r="H367" s="4"/>
      <c r="I367" s="5"/>
      <c r="J367" s="5"/>
      <c r="K367" s="5"/>
      <c r="L367" s="5"/>
      <c r="M367" s="5"/>
    </row>
    <row r="368" spans="1:13">
      <c r="A368" s="4"/>
      <c r="B368" s="4"/>
      <c r="C368" s="4"/>
      <c r="D368" s="4"/>
      <c r="E368" s="4"/>
      <c r="F368" s="4"/>
      <c r="G368" s="4"/>
      <c r="H368" s="4"/>
      <c r="I368" s="5"/>
      <c r="J368" s="5"/>
      <c r="K368" s="5"/>
      <c r="L368" s="5"/>
      <c r="M368" s="5"/>
    </row>
    <row r="369" spans="1:13">
      <c r="A369" s="4"/>
      <c r="B369" s="4"/>
      <c r="C369" s="4"/>
      <c r="D369" s="4"/>
      <c r="E369" s="4"/>
      <c r="F369" s="4"/>
      <c r="G369" s="4"/>
      <c r="H369" s="4"/>
      <c r="I369" s="5"/>
      <c r="J369" s="5"/>
      <c r="K369" s="5"/>
      <c r="L369" s="5"/>
      <c r="M369" s="5"/>
    </row>
    <row r="370" spans="1:13">
      <c r="A370" s="4"/>
      <c r="B370" s="4"/>
      <c r="C370" s="4"/>
      <c r="D370" s="4"/>
      <c r="E370" s="4"/>
      <c r="F370" s="4"/>
      <c r="G370" s="4"/>
      <c r="H370" s="4"/>
      <c r="I370" s="5"/>
      <c r="J370" s="5"/>
      <c r="K370" s="5"/>
      <c r="L370" s="5"/>
      <c r="M370" s="5"/>
    </row>
    <row r="371" spans="1:13">
      <c r="A371" s="4"/>
      <c r="B371" s="4"/>
      <c r="C371" s="4"/>
      <c r="D371" s="4"/>
      <c r="E371" s="4"/>
      <c r="F371" s="4"/>
      <c r="G371" s="4"/>
      <c r="H371" s="4"/>
      <c r="I371" s="5"/>
      <c r="J371" s="5"/>
      <c r="K371" s="5"/>
      <c r="L371" s="5"/>
      <c r="M371" s="5"/>
    </row>
    <row r="372" spans="1:13">
      <c r="A372" s="4"/>
      <c r="B372" s="4"/>
      <c r="C372" s="4"/>
      <c r="D372" s="4"/>
      <c r="E372" s="4"/>
      <c r="F372" s="4"/>
      <c r="G372" s="4"/>
      <c r="H372" s="4"/>
      <c r="I372" s="5"/>
      <c r="J372" s="5"/>
      <c r="K372" s="5"/>
      <c r="L372" s="5"/>
      <c r="M372" s="5"/>
    </row>
    <row r="373" spans="1:13">
      <c r="A373" s="4"/>
      <c r="B373" s="4"/>
      <c r="C373" s="4"/>
      <c r="D373" s="4"/>
      <c r="E373" s="4"/>
      <c r="F373" s="4"/>
      <c r="G373" s="4"/>
      <c r="H373" s="4"/>
      <c r="I373" s="5"/>
      <c r="J373" s="5"/>
      <c r="K373" s="5"/>
      <c r="L373" s="5"/>
      <c r="M373" s="5"/>
    </row>
    <row r="374" spans="1:13">
      <c r="A374" s="4"/>
      <c r="B374" s="4"/>
      <c r="C374" s="4"/>
      <c r="D374" s="4"/>
      <c r="E374" s="4"/>
      <c r="F374" s="4"/>
      <c r="G374" s="4"/>
      <c r="H374" s="4"/>
      <c r="I374" s="5"/>
      <c r="J374" s="5"/>
      <c r="K374" s="5"/>
      <c r="L374" s="5"/>
      <c r="M374" s="5"/>
    </row>
    <row r="375" spans="1:13">
      <c r="A375" s="4"/>
      <c r="B375" s="4"/>
      <c r="C375" s="4"/>
      <c r="D375" s="4"/>
      <c r="E375" s="4"/>
      <c r="F375" s="4"/>
      <c r="G375" s="4"/>
      <c r="H375" s="4"/>
      <c r="I375" s="5"/>
      <c r="J375" s="5"/>
      <c r="K375" s="5"/>
      <c r="L375" s="5"/>
      <c r="M375" s="5"/>
    </row>
    <row r="376" spans="1:13">
      <c r="A376" s="4"/>
      <c r="B376" s="4"/>
      <c r="C376" s="4"/>
      <c r="D376" s="4"/>
      <c r="E376" s="4"/>
      <c r="F376" s="4"/>
      <c r="G376" s="4"/>
      <c r="H376" s="4"/>
      <c r="I376" s="5"/>
      <c r="J376" s="5"/>
      <c r="K376" s="5"/>
      <c r="L376" s="5"/>
      <c r="M376" s="5"/>
    </row>
    <row r="377" spans="1:13">
      <c r="A377" s="4"/>
      <c r="B377" s="4"/>
      <c r="C377" s="4"/>
      <c r="D377" s="4"/>
      <c r="E377" s="4"/>
      <c r="F377" s="4"/>
      <c r="G377" s="4"/>
      <c r="H377" s="4"/>
      <c r="I377" s="5"/>
      <c r="J377" s="5"/>
      <c r="K377" s="5"/>
      <c r="L377" s="5"/>
      <c r="M377" s="5"/>
    </row>
    <row r="378" spans="1:13">
      <c r="A378" s="4"/>
      <c r="B378" s="4"/>
      <c r="C378" s="4"/>
      <c r="D378" s="4"/>
      <c r="E378" s="4"/>
      <c r="F378" s="4"/>
      <c r="G378" s="4"/>
      <c r="H378" s="4"/>
      <c r="I378" s="5"/>
      <c r="J378" s="5"/>
      <c r="K378" s="5"/>
      <c r="L378" s="5"/>
      <c r="M378" s="5"/>
    </row>
    <row r="379" spans="1:13">
      <c r="A379" s="4"/>
      <c r="B379" s="4"/>
      <c r="C379" s="4"/>
      <c r="D379" s="4"/>
      <c r="E379" s="4"/>
      <c r="F379" s="4"/>
      <c r="G379" s="4"/>
      <c r="H379" s="4"/>
      <c r="I379" s="5"/>
      <c r="J379" s="5"/>
      <c r="K379" s="5"/>
      <c r="L379" s="5"/>
      <c r="M379" s="5"/>
    </row>
    <row r="380" spans="1:13">
      <c r="A380" s="4"/>
      <c r="B380" s="4"/>
      <c r="C380" s="4"/>
      <c r="D380" s="4"/>
      <c r="E380" s="4"/>
      <c r="F380" s="4"/>
      <c r="G380" s="4"/>
      <c r="H380" s="4"/>
      <c r="I380" s="5"/>
      <c r="J380" s="5"/>
      <c r="K380" s="5"/>
      <c r="L380" s="5"/>
      <c r="M380" s="5"/>
    </row>
    <row r="381" spans="1:13">
      <c r="A381" s="4"/>
      <c r="B381" s="4"/>
      <c r="C381" s="4"/>
      <c r="D381" s="4"/>
      <c r="E381" s="4"/>
      <c r="F381" s="4"/>
      <c r="G381" s="4"/>
      <c r="H381" s="4"/>
      <c r="I381" s="5"/>
      <c r="J381" s="5"/>
      <c r="K381" s="5"/>
      <c r="L381" s="5"/>
      <c r="M381" s="5"/>
    </row>
    <row r="382" spans="1:13">
      <c r="A382" s="4"/>
      <c r="B382" s="4"/>
      <c r="C382" s="4"/>
      <c r="D382" s="4"/>
      <c r="E382" s="4"/>
      <c r="F382" s="4"/>
      <c r="G382" s="4"/>
      <c r="H382" s="4"/>
      <c r="I382" s="5"/>
      <c r="J382" s="5"/>
      <c r="K382" s="5"/>
      <c r="L382" s="5"/>
      <c r="M382" s="5"/>
    </row>
    <row r="383" spans="1:13">
      <c r="A383" s="4"/>
      <c r="B383" s="4"/>
      <c r="C383" s="4"/>
      <c r="D383" s="4"/>
      <c r="E383" s="4"/>
      <c r="F383" s="4"/>
      <c r="G383" s="4"/>
      <c r="H383" s="4"/>
      <c r="I383" s="5"/>
      <c r="J383" s="5"/>
      <c r="K383" s="5"/>
      <c r="L383" s="5"/>
      <c r="M383" s="5"/>
    </row>
    <row r="384" spans="1:13">
      <c r="A384" s="4"/>
      <c r="B384" s="4"/>
      <c r="C384" s="4"/>
      <c r="D384" s="4"/>
      <c r="E384" s="4"/>
      <c r="F384" s="4"/>
      <c r="G384" s="4"/>
      <c r="H384" s="4"/>
      <c r="I384" s="5"/>
      <c r="J384" s="5"/>
      <c r="K384" s="5"/>
      <c r="L384" s="5"/>
      <c r="M384" s="5"/>
    </row>
    <row r="385" spans="1:13">
      <c r="A385" s="4"/>
      <c r="B385" s="4"/>
      <c r="C385" s="4"/>
      <c r="D385" s="4"/>
      <c r="E385" s="4"/>
      <c r="F385" s="4"/>
      <c r="G385" s="4"/>
      <c r="H385" s="4"/>
      <c r="I385" s="5"/>
      <c r="J385" s="5"/>
      <c r="K385" s="5"/>
      <c r="L385" s="5"/>
      <c r="M385" s="5"/>
    </row>
    <row r="386" spans="1:13">
      <c r="A386" s="4"/>
      <c r="B386" s="4"/>
      <c r="C386" s="4"/>
      <c r="D386" s="4"/>
      <c r="E386" s="4"/>
      <c r="F386" s="4"/>
      <c r="G386" s="4"/>
      <c r="H386" s="4"/>
      <c r="I386" s="5"/>
      <c r="J386" s="5"/>
      <c r="K386" s="5"/>
      <c r="L386" s="5"/>
      <c r="M386" s="5"/>
    </row>
    <row r="387" spans="1:13">
      <c r="A387" s="4"/>
      <c r="B387" s="4"/>
      <c r="C387" s="4"/>
      <c r="D387" s="4"/>
      <c r="E387" s="4"/>
      <c r="F387" s="4"/>
      <c r="G387" s="4"/>
      <c r="H387" s="4"/>
      <c r="I387" s="5"/>
      <c r="J387" s="5"/>
      <c r="K387" s="5"/>
      <c r="L387" s="5"/>
      <c r="M387" s="5"/>
    </row>
    <row r="388" spans="1:13">
      <c r="A388" s="4"/>
      <c r="B388" s="4"/>
      <c r="C388" s="4"/>
      <c r="D388" s="4"/>
      <c r="E388" s="4"/>
      <c r="F388" s="4"/>
      <c r="G388" s="4"/>
      <c r="H388" s="4"/>
      <c r="I388" s="5"/>
      <c r="J388" s="5"/>
      <c r="K388" s="5"/>
      <c r="L388" s="5"/>
      <c r="M388" s="5"/>
    </row>
    <row r="389" spans="1:13">
      <c r="A389" s="4"/>
      <c r="B389" s="4"/>
      <c r="C389" s="4"/>
      <c r="D389" s="4"/>
      <c r="E389" s="4"/>
      <c r="F389" s="4"/>
      <c r="G389" s="4"/>
      <c r="H389" s="4"/>
      <c r="I389" s="5"/>
      <c r="J389" s="5"/>
      <c r="K389" s="5"/>
      <c r="L389" s="5"/>
      <c r="M389" s="5"/>
    </row>
    <row r="390" spans="1:13">
      <c r="A390" s="4"/>
      <c r="B390" s="4"/>
      <c r="C390" s="4"/>
      <c r="D390" s="4"/>
      <c r="E390" s="4"/>
      <c r="F390" s="4"/>
      <c r="G390" s="4"/>
      <c r="H390" s="4"/>
      <c r="I390" s="5"/>
      <c r="J390" s="5"/>
      <c r="K390" s="5"/>
      <c r="L390" s="5"/>
      <c r="M390" s="5"/>
    </row>
    <row r="391" spans="1:13">
      <c r="A391" s="4"/>
      <c r="B391" s="4"/>
      <c r="C391" s="4"/>
      <c r="D391" s="4"/>
      <c r="E391" s="4"/>
      <c r="F391" s="4"/>
      <c r="G391" s="4"/>
      <c r="H391" s="4"/>
      <c r="I391" s="5"/>
      <c r="J391" s="5"/>
      <c r="K391" s="5"/>
      <c r="L391" s="5"/>
      <c r="M391" s="5"/>
    </row>
    <row r="392" spans="1:13">
      <c r="A392" s="4"/>
      <c r="B392" s="4"/>
      <c r="C392" s="4"/>
      <c r="D392" s="4"/>
      <c r="E392" s="4"/>
      <c r="F392" s="4"/>
      <c r="G392" s="4"/>
      <c r="H392" s="4"/>
      <c r="I392" s="5"/>
      <c r="J392" s="5"/>
      <c r="K392" s="5"/>
      <c r="L392" s="5"/>
      <c r="M392" s="5"/>
    </row>
    <row r="393" spans="1:13">
      <c r="A393" s="4"/>
      <c r="B393" s="4"/>
      <c r="C393" s="4"/>
      <c r="D393" s="4"/>
      <c r="E393" s="4"/>
      <c r="F393" s="4"/>
      <c r="G393" s="4"/>
      <c r="H393" s="4"/>
      <c r="I393" s="5"/>
      <c r="J393" s="5"/>
      <c r="K393" s="5"/>
      <c r="L393" s="5"/>
      <c r="M393" s="5"/>
    </row>
    <row r="394" spans="1:13">
      <c r="A394" s="4"/>
      <c r="B394" s="4"/>
      <c r="C394" s="4"/>
      <c r="D394" s="4"/>
      <c r="E394" s="4"/>
      <c r="F394" s="4"/>
      <c r="G394" s="4"/>
      <c r="H394" s="4"/>
      <c r="I394" s="5"/>
      <c r="J394" s="5"/>
      <c r="K394" s="5"/>
      <c r="L394" s="5"/>
      <c r="M394" s="5"/>
    </row>
    <row r="395" spans="1:13">
      <c r="A395" s="4"/>
      <c r="B395" s="4"/>
      <c r="C395" s="4"/>
      <c r="D395" s="4"/>
      <c r="E395" s="4"/>
      <c r="F395" s="4"/>
      <c r="G395" s="4"/>
      <c r="H395" s="4"/>
      <c r="I395" s="5"/>
      <c r="J395" s="5"/>
      <c r="K395" s="5"/>
      <c r="L395" s="5"/>
      <c r="M395" s="5"/>
    </row>
    <row r="396" spans="1:13">
      <c r="A396" s="4"/>
      <c r="B396" s="4"/>
      <c r="C396" s="4"/>
      <c r="D396" s="4"/>
      <c r="E396" s="4"/>
      <c r="F396" s="4"/>
      <c r="G396" s="4"/>
      <c r="H396" s="4"/>
      <c r="I396" s="5"/>
      <c r="J396" s="5"/>
      <c r="K396" s="5"/>
      <c r="L396" s="5"/>
      <c r="M396" s="5"/>
    </row>
    <row r="397" spans="1:13">
      <c r="A397" s="4"/>
      <c r="B397" s="4"/>
      <c r="C397" s="4"/>
      <c r="D397" s="4"/>
      <c r="E397" s="4"/>
      <c r="F397" s="4"/>
      <c r="G397" s="4"/>
      <c r="H397" s="4"/>
      <c r="I397" s="5"/>
      <c r="J397" s="5"/>
      <c r="K397" s="5"/>
      <c r="L397" s="5"/>
      <c r="M397" s="5"/>
    </row>
    <row r="398" spans="1:13">
      <c r="A398" s="4"/>
      <c r="B398" s="4"/>
      <c r="C398" s="4"/>
      <c r="D398" s="4"/>
      <c r="E398" s="4"/>
      <c r="F398" s="4"/>
      <c r="G398" s="4"/>
      <c r="H398" s="4"/>
      <c r="I398" s="5"/>
      <c r="J398" s="5"/>
      <c r="K398" s="5"/>
      <c r="L398" s="5"/>
      <c r="M398" s="5"/>
    </row>
    <row r="399" spans="1:13">
      <c r="A399" s="4"/>
      <c r="B399" s="4"/>
      <c r="C399" s="4"/>
      <c r="D399" s="4"/>
      <c r="E399" s="4"/>
      <c r="F399" s="4"/>
      <c r="G399" s="4"/>
      <c r="H399" s="4"/>
      <c r="I399" s="5"/>
      <c r="J399" s="5"/>
      <c r="K399" s="5"/>
      <c r="L399" s="5"/>
      <c r="M399" s="5"/>
    </row>
    <row r="400" spans="1:13">
      <c r="A400" s="4"/>
      <c r="B400" s="4"/>
      <c r="C400" s="4"/>
      <c r="D400" s="4"/>
      <c r="E400" s="4"/>
      <c r="F400" s="4"/>
      <c r="G400" s="4"/>
      <c r="H400" s="4"/>
      <c r="I400" s="5"/>
      <c r="J400" s="5"/>
      <c r="K400" s="5"/>
      <c r="L400" s="5"/>
      <c r="M400" s="5"/>
    </row>
    <row r="401" spans="1:13">
      <c r="A401" s="4"/>
      <c r="B401" s="4"/>
      <c r="C401" s="4"/>
      <c r="D401" s="4"/>
      <c r="E401" s="4"/>
      <c r="F401" s="4"/>
      <c r="G401" s="4"/>
      <c r="H401" s="4"/>
      <c r="I401" s="5"/>
      <c r="J401" s="5"/>
      <c r="K401" s="5"/>
      <c r="L401" s="5"/>
      <c r="M401" s="5"/>
    </row>
    <row r="402" spans="1:13">
      <c r="A402" s="4"/>
      <c r="B402" s="4"/>
      <c r="C402" s="4"/>
      <c r="D402" s="4"/>
      <c r="E402" s="4"/>
      <c r="F402" s="4"/>
      <c r="G402" s="4"/>
      <c r="H402" s="4"/>
      <c r="I402" s="5"/>
      <c r="J402" s="5"/>
      <c r="K402" s="5"/>
      <c r="L402" s="5"/>
      <c r="M402" s="5"/>
    </row>
    <row r="403" spans="1:13">
      <c r="A403" s="4"/>
      <c r="B403" s="4"/>
      <c r="C403" s="4"/>
      <c r="D403" s="4"/>
      <c r="E403" s="4"/>
      <c r="F403" s="4"/>
      <c r="G403" s="4"/>
      <c r="H403" s="4"/>
      <c r="I403" s="5"/>
      <c r="J403" s="5"/>
      <c r="K403" s="5"/>
      <c r="L403" s="5"/>
      <c r="M403" s="5"/>
    </row>
    <row r="404" spans="1:13">
      <c r="A404" s="4"/>
      <c r="B404" s="4"/>
      <c r="C404" s="4"/>
      <c r="D404" s="4"/>
      <c r="E404" s="4"/>
      <c r="F404" s="4"/>
      <c r="G404" s="4"/>
      <c r="H404" s="4"/>
      <c r="I404" s="5"/>
      <c r="J404" s="5"/>
      <c r="K404" s="5"/>
      <c r="L404" s="5"/>
      <c r="M404" s="5"/>
    </row>
    <row r="405" spans="1:13">
      <c r="A405" s="4"/>
      <c r="B405" s="4"/>
      <c r="C405" s="4"/>
      <c r="D405" s="4"/>
      <c r="E405" s="4"/>
      <c r="F405" s="4"/>
      <c r="G405" s="4"/>
      <c r="H405" s="4"/>
      <c r="I405" s="5"/>
      <c r="J405" s="5"/>
      <c r="K405" s="5"/>
      <c r="L405" s="5"/>
      <c r="M405" s="5"/>
    </row>
    <row r="406" spans="1:13">
      <c r="A406" s="4"/>
      <c r="B406" s="4"/>
      <c r="C406" s="4"/>
      <c r="D406" s="4"/>
      <c r="E406" s="4"/>
      <c r="F406" s="4"/>
      <c r="G406" s="4"/>
      <c r="H406" s="4"/>
      <c r="I406" s="5"/>
      <c r="J406" s="5"/>
      <c r="K406" s="5"/>
      <c r="L406" s="5"/>
      <c r="M406" s="5"/>
    </row>
    <row r="407" spans="1:13">
      <c r="A407" s="4"/>
      <c r="B407" s="4"/>
      <c r="C407" s="4"/>
      <c r="D407" s="4"/>
      <c r="E407" s="4"/>
      <c r="F407" s="4"/>
      <c r="G407" s="4"/>
      <c r="H407" s="4"/>
      <c r="I407" s="5"/>
      <c r="J407" s="5"/>
      <c r="K407" s="5"/>
      <c r="L407" s="5"/>
      <c r="M407" s="5"/>
    </row>
    <row r="408" spans="1:13">
      <c r="A408" s="4"/>
      <c r="B408" s="4"/>
      <c r="C408" s="4"/>
      <c r="D408" s="4"/>
      <c r="E408" s="4"/>
      <c r="F408" s="4"/>
      <c r="G408" s="4"/>
      <c r="H408" s="4"/>
      <c r="I408" s="5"/>
      <c r="J408" s="5"/>
      <c r="K408" s="5"/>
      <c r="L408" s="5"/>
      <c r="M408" s="5"/>
    </row>
    <row r="409" spans="1:13">
      <c r="A409" s="4"/>
      <c r="B409" s="4"/>
      <c r="C409" s="4"/>
      <c r="D409" s="4"/>
      <c r="E409" s="4"/>
      <c r="F409" s="4"/>
      <c r="G409" s="4"/>
      <c r="H409" s="4"/>
      <c r="I409" s="5"/>
      <c r="J409" s="5"/>
      <c r="K409" s="5"/>
      <c r="L409" s="5"/>
      <c r="M409" s="5"/>
    </row>
    <row r="410" spans="1:13">
      <c r="A410" s="4"/>
      <c r="B410" s="4"/>
      <c r="C410" s="4"/>
      <c r="D410" s="4"/>
      <c r="E410" s="4"/>
      <c r="F410" s="4"/>
      <c r="G410" s="4"/>
      <c r="H410" s="4"/>
      <c r="I410" s="5"/>
      <c r="J410" s="5"/>
      <c r="K410" s="5"/>
      <c r="L410" s="5"/>
      <c r="M410" s="5"/>
    </row>
    <row r="411" spans="1:13">
      <c r="A411" s="4"/>
      <c r="B411" s="4"/>
      <c r="C411" s="4"/>
      <c r="D411" s="4"/>
      <c r="E411" s="4"/>
      <c r="F411" s="4"/>
      <c r="G411" s="4"/>
      <c r="H411" s="4"/>
      <c r="I411" s="5"/>
      <c r="J411" s="5"/>
      <c r="K411" s="5"/>
      <c r="L411" s="5"/>
      <c r="M411" s="5"/>
    </row>
    <row r="412" spans="1:13">
      <c r="A412" s="4"/>
      <c r="B412" s="4"/>
      <c r="C412" s="4"/>
      <c r="D412" s="4"/>
      <c r="E412" s="4"/>
      <c r="F412" s="4"/>
      <c r="G412" s="4"/>
      <c r="H412" s="4"/>
      <c r="I412" s="5"/>
      <c r="J412" s="5"/>
      <c r="K412" s="5"/>
      <c r="L412" s="5"/>
      <c r="M412" s="5"/>
    </row>
    <row r="413" spans="1:13">
      <c r="A413" s="4"/>
      <c r="B413" s="4"/>
      <c r="C413" s="4"/>
      <c r="D413" s="4"/>
      <c r="E413" s="4"/>
      <c r="F413" s="4"/>
      <c r="G413" s="4"/>
      <c r="H413" s="4"/>
      <c r="I413" s="5"/>
      <c r="J413" s="5"/>
      <c r="K413" s="5"/>
      <c r="L413" s="5"/>
      <c r="M413" s="5"/>
    </row>
    <row r="414" spans="1:13">
      <c r="A414" s="4"/>
      <c r="B414" s="4"/>
      <c r="C414" s="4"/>
      <c r="D414" s="4"/>
      <c r="E414" s="4"/>
      <c r="F414" s="4"/>
      <c r="G414" s="4"/>
      <c r="H414" s="4"/>
      <c r="I414" s="5"/>
      <c r="J414" s="5"/>
      <c r="K414" s="5"/>
      <c r="L414" s="5"/>
      <c r="M414" s="5"/>
    </row>
    <row r="415" spans="1:13">
      <c r="A415" s="4"/>
      <c r="B415" s="4"/>
      <c r="C415" s="4"/>
      <c r="D415" s="4"/>
      <c r="E415" s="4"/>
      <c r="F415" s="4"/>
      <c r="G415" s="4"/>
      <c r="H415" s="4"/>
      <c r="I415" s="5"/>
      <c r="J415" s="5"/>
      <c r="K415" s="5"/>
      <c r="L415" s="5"/>
      <c r="M415" s="5"/>
    </row>
    <row r="416" spans="1:13">
      <c r="A416" s="4"/>
      <c r="B416" s="4"/>
      <c r="C416" s="4"/>
      <c r="D416" s="4"/>
      <c r="E416" s="4"/>
      <c r="F416" s="4"/>
      <c r="G416" s="4"/>
      <c r="H416" s="4"/>
      <c r="I416" s="5"/>
      <c r="J416" s="5"/>
      <c r="K416" s="5"/>
      <c r="L416" s="5"/>
      <c r="M416" s="5"/>
    </row>
    <row r="417" spans="1:13">
      <c r="A417" s="4"/>
      <c r="B417" s="4"/>
      <c r="C417" s="4"/>
      <c r="D417" s="4"/>
      <c r="E417" s="4"/>
      <c r="F417" s="4"/>
      <c r="G417" s="4"/>
      <c r="H417" s="4"/>
      <c r="I417" s="5"/>
      <c r="J417" s="5"/>
      <c r="K417" s="5"/>
      <c r="L417" s="5"/>
      <c r="M417" s="5"/>
    </row>
    <row r="418" spans="1:13">
      <c r="A418" s="4"/>
      <c r="B418" s="4"/>
      <c r="C418" s="4"/>
      <c r="D418" s="4"/>
      <c r="E418" s="4"/>
      <c r="F418" s="4"/>
      <c r="G418" s="4"/>
      <c r="H418" s="4"/>
      <c r="I418" s="5"/>
      <c r="J418" s="5"/>
      <c r="K418" s="5"/>
      <c r="L418" s="5"/>
      <c r="M418" s="5"/>
    </row>
    <row r="419" spans="1:13">
      <c r="A419" s="4"/>
      <c r="B419" s="4"/>
      <c r="C419" s="4"/>
      <c r="D419" s="4"/>
      <c r="E419" s="4"/>
      <c r="F419" s="4"/>
      <c r="G419" s="4"/>
      <c r="H419" s="4"/>
      <c r="I419" s="5"/>
      <c r="J419" s="5"/>
      <c r="K419" s="5"/>
      <c r="L419" s="5"/>
      <c r="M419" s="5"/>
    </row>
    <row r="420" spans="1:13">
      <c r="A420" s="4"/>
      <c r="B420" s="4"/>
      <c r="C420" s="4"/>
      <c r="D420" s="4"/>
      <c r="E420" s="4"/>
      <c r="F420" s="4"/>
      <c r="G420" s="4"/>
      <c r="H420" s="4"/>
      <c r="I420" s="5"/>
      <c r="J420" s="5"/>
      <c r="K420" s="5"/>
      <c r="L420" s="5"/>
      <c r="M420" s="5"/>
    </row>
  </sheetData>
  <mergeCells count="22">
    <mergeCell ref="C3:H3"/>
    <mergeCell ref="I3:M3"/>
    <mergeCell ref="C53:H53"/>
    <mergeCell ref="I53:M53"/>
    <mergeCell ref="C80:H80"/>
    <mergeCell ref="I80:M80"/>
    <mergeCell ref="C188:H188"/>
    <mergeCell ref="I188:M188"/>
    <mergeCell ref="C215:H215"/>
    <mergeCell ref="I215:M215"/>
    <mergeCell ref="C107:H107"/>
    <mergeCell ref="I107:M107"/>
    <mergeCell ref="C134:H134"/>
    <mergeCell ref="I134:M134"/>
    <mergeCell ref="C161:H161"/>
    <mergeCell ref="I161:M161"/>
    <mergeCell ref="C242:H242"/>
    <mergeCell ref="I242:M242"/>
    <mergeCell ref="C269:H269"/>
    <mergeCell ref="I269:M269"/>
    <mergeCell ref="C296:H296"/>
    <mergeCell ref="I296:M29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3"/>
  <sheetViews>
    <sheetView zoomScale="85" zoomScaleNormal="85" workbookViewId="0">
      <selection activeCell="A6" sqref="A6"/>
    </sheetView>
  </sheetViews>
  <sheetFormatPr defaultRowHeight="15"/>
  <cols>
    <col min="1" max="1" width="12.7109375" customWidth="1"/>
    <col min="2" max="2" width="8.42578125" style="25" hidden="1" customWidth="1"/>
    <col min="3" max="3" width="8.42578125" style="25" customWidth="1"/>
    <col min="4" max="14" width="8.42578125" customWidth="1"/>
    <col min="15" max="16" width="8.42578125" hidden="1" customWidth="1"/>
    <col min="17" max="25" width="8.42578125" customWidth="1"/>
    <col min="28" max="33" width="9.140625" hidden="1" customWidth="1"/>
  </cols>
  <sheetData>
    <row r="1" spans="1:33">
      <c r="A1" s="3" t="s">
        <v>46</v>
      </c>
      <c r="B1" s="30"/>
      <c r="C1" s="3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33">
      <c r="A2" s="5"/>
      <c r="B2" s="31"/>
      <c r="C2" s="31"/>
      <c r="D2" s="5"/>
      <c r="E2" s="5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33">
      <c r="A3" s="94" t="s">
        <v>110</v>
      </c>
      <c r="B3" s="94"/>
      <c r="C3" s="94"/>
      <c r="D3" s="94"/>
      <c r="E3" s="94" t="s">
        <v>108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 t="s">
        <v>109</v>
      </c>
      <c r="R3" s="94"/>
      <c r="S3" s="94"/>
      <c r="T3" s="94"/>
      <c r="U3" s="94"/>
      <c r="V3" s="94"/>
      <c r="W3" s="94"/>
      <c r="X3" s="94"/>
      <c r="Y3" s="94"/>
      <c r="Z3" s="94"/>
    </row>
    <row r="4" spans="1:33" ht="76.5">
      <c r="A4" s="48" t="s">
        <v>89</v>
      </c>
      <c r="B4" s="27" t="s">
        <v>149</v>
      </c>
      <c r="C4" s="27" t="s">
        <v>50</v>
      </c>
      <c r="D4" s="27" t="s">
        <v>90</v>
      </c>
      <c r="E4" s="8" t="s">
        <v>91</v>
      </c>
      <c r="F4" s="49" t="s">
        <v>92</v>
      </c>
      <c r="G4" s="50" t="s">
        <v>93</v>
      </c>
      <c r="H4" s="8" t="s">
        <v>94</v>
      </c>
      <c r="I4" s="8" t="s">
        <v>95</v>
      </c>
      <c r="J4" s="8" t="s">
        <v>96</v>
      </c>
      <c r="K4" s="8" t="s">
        <v>97</v>
      </c>
      <c r="L4" s="8" t="s">
        <v>86</v>
      </c>
      <c r="M4" s="8" t="s">
        <v>85</v>
      </c>
      <c r="N4" s="8" t="s">
        <v>98</v>
      </c>
      <c r="O4" s="8" t="s">
        <v>87</v>
      </c>
      <c r="P4" s="8" t="s">
        <v>88</v>
      </c>
      <c r="Q4" s="28" t="s">
        <v>99</v>
      </c>
      <c r="R4" s="28" t="s">
        <v>100</v>
      </c>
      <c r="S4" s="27" t="s">
        <v>101</v>
      </c>
      <c r="T4" s="27" t="s">
        <v>102</v>
      </c>
      <c r="U4" s="27" t="s">
        <v>103</v>
      </c>
      <c r="V4" s="28" t="s">
        <v>104</v>
      </c>
      <c r="W4" s="28" t="s">
        <v>105</v>
      </c>
      <c r="X4" s="28" t="s">
        <v>106</v>
      </c>
      <c r="Y4" s="28" t="s">
        <v>107</v>
      </c>
      <c r="Z4" s="28" t="s">
        <v>47</v>
      </c>
      <c r="AD4" s="76" t="s">
        <v>150</v>
      </c>
      <c r="AE4" s="76" t="s">
        <v>151</v>
      </c>
      <c r="AF4" s="76" t="s">
        <v>152</v>
      </c>
      <c r="AG4" s="76" t="s">
        <v>153</v>
      </c>
    </row>
    <row r="5" spans="1:33">
      <c r="A5" s="13">
        <f>DATE(C5,AB5,1)</f>
        <v>1</v>
      </c>
      <c r="B5" s="33" t="str">
        <f>TEXT(AB5*29,"mmm")&amp; "-" &amp; AC5</f>
        <v>Jan-0</v>
      </c>
      <c r="C5" s="32">
        <f>Sheet1!$A$1-1</f>
        <v>0</v>
      </c>
      <c r="D5" s="29">
        <f>IFERROR(VLOOKUP(B5,Sheet1!$F$7:$V$4000,17,0),0)</f>
        <v>0</v>
      </c>
      <c r="E5" s="29">
        <f>Q5/8</f>
        <v>0</v>
      </c>
      <c r="F5" s="29">
        <f>SUMIF(Sheet1!$F$7:$F$4000,B5,Sheet1!$K$7:$K$4000)</f>
        <v>0</v>
      </c>
      <c r="G5" s="29">
        <f>S5/10.5</f>
        <v>0</v>
      </c>
      <c r="H5" s="29">
        <f>SUMIF(Sheet1!$F$7:$F$4000,B5,Sheet1!$M$7:$M$4000)</f>
        <v>0</v>
      </c>
      <c r="I5" s="29">
        <f>(R5-S5)/10.5</f>
        <v>0</v>
      </c>
      <c r="J5" s="29">
        <f>T5/8</f>
        <v>0</v>
      </c>
      <c r="K5" s="29">
        <f>U5/8</f>
        <v>0</v>
      </c>
      <c r="L5" s="29">
        <f>SUMIF(Sheet1!$F$7:$F$4000,B5,Sheet1!$R$7:$R$4000)</f>
        <v>0</v>
      </c>
      <c r="M5" s="29">
        <f>SUMIF(Sheet1!$F$7:$F$4000,B5,Sheet1!$S$7:$S$4000)</f>
        <v>0</v>
      </c>
      <c r="N5" s="29">
        <f>SUMIF(Sheet1!$F$7:$F$4000,B5,Sheet1!$T$7:$T$4000)</f>
        <v>0</v>
      </c>
      <c r="O5" s="29"/>
      <c r="P5" s="29"/>
      <c r="Q5" s="29">
        <f>SUMIF(Sheet1!$F$7:$F$4000,B5,Sheet1!$J$7:$J$4000)</f>
        <v>0</v>
      </c>
      <c r="R5" s="29">
        <f>SUMIF(Sheet1!$F$7:$F$4000,B5,Sheet1!$N$7:$N$4000)</f>
        <v>0</v>
      </c>
      <c r="S5" s="29">
        <f>SUMIF(Sheet1!$F$7:$F$4000,B5,Sheet1!$L$7:$L$4000)</f>
        <v>0</v>
      </c>
      <c r="T5" s="29">
        <f>SUMIF(Sheet1!$F$7:$F$4000,B5,Sheet1!$O$7:$O$4000)</f>
        <v>0</v>
      </c>
      <c r="U5" s="29">
        <f>SUMIF(Sheet1!$F$7:$F$4000,B5,Sheet1!$P$7:$P$4000)</f>
        <v>0</v>
      </c>
      <c r="V5" s="29">
        <f t="shared" ref="V5" si="0">W5+X5</f>
        <v>0</v>
      </c>
      <c r="W5" s="14">
        <f>Q5+R5+F5</f>
        <v>0</v>
      </c>
      <c r="X5" s="14">
        <f>L5+M5+N5+T5+U5</f>
        <v>0</v>
      </c>
      <c r="Y5" s="14">
        <f>SUMIF(Sheet1!$F$7:$F$4000,B5,Sheet1!$Q$7:$Q$4000)</f>
        <v>0</v>
      </c>
      <c r="Z5" s="48">
        <f>Q5+F5</f>
        <v>0</v>
      </c>
      <c r="AB5">
        <v>1</v>
      </c>
      <c r="AC5">
        <f>Sheet1!$A$1-1</f>
        <v>0</v>
      </c>
      <c r="AD5">
        <f>IFERROR(Q5/V5,0)</f>
        <v>0</v>
      </c>
      <c r="AE5">
        <f>IFERROR(F5/V5,0)</f>
        <v>0</v>
      </c>
      <c r="AF5">
        <f>IFERROR((I5+S5)/V5,0)</f>
        <v>0</v>
      </c>
      <c r="AG5">
        <f>IFERROR(X5/V5,0)</f>
        <v>0</v>
      </c>
    </row>
    <row r="6" spans="1:33">
      <c r="A6" s="13">
        <f t="shared" ref="A6:A28" si="1">DATE(C6,AB6,1)</f>
        <v>32</v>
      </c>
      <c r="B6" s="33" t="str">
        <f t="shared" ref="B6:B28" si="2">TEXT(AB6*29,"mmm")&amp; "-" &amp; AC6</f>
        <v>Feb-0</v>
      </c>
      <c r="C6" s="32">
        <f>Sheet1!$A$1-1</f>
        <v>0</v>
      </c>
      <c r="D6" s="29">
        <f>IFERROR(VLOOKUP(B6,Sheet1!$F$7:$V$4000,17,0),0)</f>
        <v>0</v>
      </c>
      <c r="E6" s="29">
        <f t="shared" ref="E6:E28" si="3">Q6/8</f>
        <v>0</v>
      </c>
      <c r="F6" s="29">
        <f>SUMIF(Sheet1!$F$7:$F$4000,B6,Sheet1!$K$7:$K$4000)</f>
        <v>0</v>
      </c>
      <c r="G6" s="29">
        <f t="shared" ref="G6:G28" si="4">S6/10.5</f>
        <v>0</v>
      </c>
      <c r="H6" s="29">
        <f>SUMIF(Sheet1!$F$7:$F$4000,B6,Sheet1!$M$7:$M$4000)</f>
        <v>0</v>
      </c>
      <c r="I6" s="29">
        <f t="shared" ref="I6:I28" si="5">(R6-S6)/10.5</f>
        <v>0</v>
      </c>
      <c r="J6" s="29">
        <f t="shared" ref="J6:J28" si="6">T6/8</f>
        <v>0</v>
      </c>
      <c r="K6" s="29">
        <f t="shared" ref="K6:K28" si="7">U6/8</f>
        <v>0</v>
      </c>
      <c r="L6" s="29">
        <f>SUMIF(Sheet1!$F$7:$F$4000,B6,Sheet1!$R$7:$R$4000)</f>
        <v>0</v>
      </c>
      <c r="M6" s="29">
        <f>SUMIF(Sheet1!$F$7:$F$4000,B6,Sheet1!$S$7:$S$4000)</f>
        <v>0</v>
      </c>
      <c r="N6" s="29">
        <f>SUMIF(Sheet1!$F$7:$F$4000,B6,Sheet1!$T$7:$T$4000)</f>
        <v>0</v>
      </c>
      <c r="O6" s="29"/>
      <c r="P6" s="29"/>
      <c r="Q6" s="29">
        <f>SUMIF(Sheet1!$F$7:$F$4000,B6,Sheet1!$J$7:$J$4000)</f>
        <v>0</v>
      </c>
      <c r="R6" s="29">
        <f>SUMIF(Sheet1!$F$7:$F$4000,B6,Sheet1!$N$7:$N$4000)</f>
        <v>0</v>
      </c>
      <c r="S6" s="29">
        <f>SUMIF(Sheet1!$F$7:$F$4000,B6,Sheet1!$L$7:$L$4000)</f>
        <v>0</v>
      </c>
      <c r="T6" s="29">
        <f>SUMIF(Sheet1!$F$7:$F$4000,B6,Sheet1!$O$7:$O$4000)</f>
        <v>0</v>
      </c>
      <c r="U6" s="29">
        <f>SUMIF(Sheet1!$F$7:$F$4000,B6,Sheet1!$P$7:$P$4000)</f>
        <v>0</v>
      </c>
      <c r="V6" s="29">
        <f t="shared" ref="V6:V28" si="8">W6+X6</f>
        <v>0</v>
      </c>
      <c r="W6" s="14">
        <f t="shared" ref="W6:W28" si="9">Q6+R6+F6</f>
        <v>0</v>
      </c>
      <c r="X6" s="48">
        <f t="shared" ref="X6:X28" si="10">L6+M6+N6+T6+U6</f>
        <v>0</v>
      </c>
      <c r="Y6" s="48">
        <f>SUMIF(Sheet1!$F$7:$F$4000,B6,Sheet1!$Q$7:$Q$4000)</f>
        <v>0</v>
      </c>
      <c r="Z6" s="48">
        <f t="shared" ref="Z6:Z28" si="11">Q6+F6</f>
        <v>0</v>
      </c>
      <c r="AB6">
        <v>2</v>
      </c>
      <c r="AC6">
        <f>Sheet1!$A$1-1</f>
        <v>0</v>
      </c>
      <c r="AD6">
        <f t="shared" ref="AD6:AD28" si="12">IFERROR(Q6/V6,0)</f>
        <v>0</v>
      </c>
      <c r="AE6">
        <f t="shared" ref="AE6:AE28" si="13">IFERROR(F6/V6,0)</f>
        <v>0</v>
      </c>
      <c r="AF6">
        <f t="shared" ref="AF6:AF28" si="14">IFERROR((I6+S6)/V6,0)</f>
        <v>0</v>
      </c>
      <c r="AG6">
        <f t="shared" ref="AG6:AG28" si="15">IFERROR(X6/V6,0)</f>
        <v>0</v>
      </c>
    </row>
    <row r="7" spans="1:33">
      <c r="A7" s="13">
        <f t="shared" si="1"/>
        <v>61</v>
      </c>
      <c r="B7" s="33" t="str">
        <f t="shared" si="2"/>
        <v>Mar-0</v>
      </c>
      <c r="C7" s="32">
        <f>Sheet1!$A$1-1</f>
        <v>0</v>
      </c>
      <c r="D7" s="29">
        <f>IFERROR(VLOOKUP(B7,Sheet1!$F$7:$V$4000,17,0),0)</f>
        <v>0</v>
      </c>
      <c r="E7" s="29">
        <f t="shared" si="3"/>
        <v>0</v>
      </c>
      <c r="F7" s="29">
        <f>SUMIF(Sheet1!$F$7:$F$4000,B7,Sheet1!$K$7:$K$4000)</f>
        <v>0</v>
      </c>
      <c r="G7" s="29">
        <f t="shared" si="4"/>
        <v>0</v>
      </c>
      <c r="H7" s="29">
        <f>SUMIF(Sheet1!$F$7:$F$4000,B7,Sheet1!$M$7:$M$4000)</f>
        <v>0</v>
      </c>
      <c r="I7" s="29">
        <f t="shared" si="5"/>
        <v>0</v>
      </c>
      <c r="J7" s="29">
        <f t="shared" si="6"/>
        <v>0</v>
      </c>
      <c r="K7" s="29">
        <f t="shared" si="7"/>
        <v>0</v>
      </c>
      <c r="L7" s="29">
        <f>SUMIF(Sheet1!$F$7:$F$4000,B7,Sheet1!$R$7:$R$4000)</f>
        <v>0</v>
      </c>
      <c r="M7" s="29">
        <f>SUMIF(Sheet1!$F$7:$F$4000,B7,Sheet1!$S$7:$S$4000)</f>
        <v>0</v>
      </c>
      <c r="N7" s="29">
        <f>SUMIF(Sheet1!$F$7:$F$4000,B7,Sheet1!$T$7:$T$4000)</f>
        <v>0</v>
      </c>
      <c r="O7" s="29"/>
      <c r="P7" s="29"/>
      <c r="Q7" s="29">
        <f>SUMIF(Sheet1!$F$7:$F$4000,B7,Sheet1!$J$7:$J$4000)</f>
        <v>0</v>
      </c>
      <c r="R7" s="29">
        <f>SUMIF(Sheet1!$F$7:$F$4000,B7,Sheet1!$N$7:$N$4000)</f>
        <v>0</v>
      </c>
      <c r="S7" s="29">
        <f>SUMIF(Sheet1!$F$7:$F$4000,B7,Sheet1!$L$7:$L$4000)</f>
        <v>0</v>
      </c>
      <c r="T7" s="29">
        <f>SUMIF(Sheet1!$F$7:$F$4000,B7,Sheet1!$O$7:$O$4000)</f>
        <v>0</v>
      </c>
      <c r="U7" s="29">
        <f>SUMIF(Sheet1!$F$7:$F$4000,B7,Sheet1!$P$7:$P$4000)</f>
        <v>0</v>
      </c>
      <c r="V7" s="29">
        <f t="shared" si="8"/>
        <v>0</v>
      </c>
      <c r="W7" s="14">
        <f t="shared" si="9"/>
        <v>0</v>
      </c>
      <c r="X7" s="48">
        <f t="shared" si="10"/>
        <v>0</v>
      </c>
      <c r="Y7" s="48">
        <f>SUMIF(Sheet1!$F$7:$F$4000,B7,Sheet1!$Q$7:$Q$4000)</f>
        <v>0</v>
      </c>
      <c r="Z7" s="48">
        <f t="shared" si="11"/>
        <v>0</v>
      </c>
      <c r="AB7">
        <v>3</v>
      </c>
      <c r="AC7">
        <f>Sheet1!$A$1-1</f>
        <v>0</v>
      </c>
      <c r="AD7">
        <f t="shared" si="12"/>
        <v>0</v>
      </c>
      <c r="AE7">
        <f t="shared" si="13"/>
        <v>0</v>
      </c>
      <c r="AF7">
        <f t="shared" si="14"/>
        <v>0</v>
      </c>
      <c r="AG7">
        <f t="shared" si="15"/>
        <v>0</v>
      </c>
    </row>
    <row r="8" spans="1:33">
      <c r="A8" s="13">
        <f t="shared" si="1"/>
        <v>92</v>
      </c>
      <c r="B8" s="33" t="str">
        <f t="shared" si="2"/>
        <v>Apr-0</v>
      </c>
      <c r="C8" s="32">
        <f>Sheet1!$A$1-1</f>
        <v>0</v>
      </c>
      <c r="D8" s="29">
        <f>IFERROR(VLOOKUP(B8,Sheet1!$F$7:$V$4000,17,0),0)</f>
        <v>0</v>
      </c>
      <c r="E8" s="29">
        <f t="shared" si="3"/>
        <v>0</v>
      </c>
      <c r="F8" s="29">
        <f>SUMIF(Sheet1!$F$7:$F$4000,B8,Sheet1!$K$7:$K$4000)</f>
        <v>0</v>
      </c>
      <c r="G8" s="29">
        <f t="shared" si="4"/>
        <v>0</v>
      </c>
      <c r="H8" s="29">
        <f>SUMIF(Sheet1!$F$7:$F$4000,B8,Sheet1!$M$7:$M$4000)</f>
        <v>0</v>
      </c>
      <c r="I8" s="29">
        <f t="shared" si="5"/>
        <v>0</v>
      </c>
      <c r="J8" s="29">
        <f t="shared" si="6"/>
        <v>0</v>
      </c>
      <c r="K8" s="29">
        <f t="shared" si="7"/>
        <v>0</v>
      </c>
      <c r="L8" s="29">
        <f>SUMIF(Sheet1!$F$7:$F$4000,B8,Sheet1!$R$7:$R$4000)</f>
        <v>0</v>
      </c>
      <c r="M8" s="29">
        <f>SUMIF(Sheet1!$F$7:$F$4000,B8,Sheet1!$S$7:$S$4000)</f>
        <v>0</v>
      </c>
      <c r="N8" s="29">
        <f>SUMIF(Sheet1!$F$7:$F$4000,B8,Sheet1!$T$7:$T$4000)</f>
        <v>0</v>
      </c>
      <c r="O8" s="29"/>
      <c r="P8" s="29"/>
      <c r="Q8" s="29">
        <f>SUMIF(Sheet1!$F$7:$F$4000,B8,Sheet1!$J$7:$J$4000)</f>
        <v>0</v>
      </c>
      <c r="R8" s="29">
        <f>SUMIF(Sheet1!$F$7:$F$4000,B8,Sheet1!$N$7:$N$4000)</f>
        <v>0</v>
      </c>
      <c r="S8" s="29">
        <f>SUMIF(Sheet1!$F$7:$F$4000,B8,Sheet1!$L$7:$L$4000)</f>
        <v>0</v>
      </c>
      <c r="T8" s="29">
        <f>SUMIF(Sheet1!$F$7:$F$4000,B8,Sheet1!$O$7:$O$4000)</f>
        <v>0</v>
      </c>
      <c r="U8" s="29">
        <f>SUMIF(Sheet1!$F$7:$F$4000,B8,Sheet1!$P$7:$P$4000)</f>
        <v>0</v>
      </c>
      <c r="V8" s="29">
        <f t="shared" si="8"/>
        <v>0</v>
      </c>
      <c r="W8" s="14">
        <f t="shared" si="9"/>
        <v>0</v>
      </c>
      <c r="X8" s="48">
        <f t="shared" si="10"/>
        <v>0</v>
      </c>
      <c r="Y8" s="48">
        <f>SUMIF(Sheet1!$F$7:$F$4000,B8,Sheet1!$Q$7:$Q$4000)</f>
        <v>0</v>
      </c>
      <c r="Z8" s="48">
        <f t="shared" si="11"/>
        <v>0</v>
      </c>
      <c r="AB8">
        <v>4</v>
      </c>
      <c r="AC8">
        <f>Sheet1!$A$1-1</f>
        <v>0</v>
      </c>
      <c r="AD8">
        <f t="shared" si="12"/>
        <v>0</v>
      </c>
      <c r="AE8">
        <f t="shared" si="13"/>
        <v>0</v>
      </c>
      <c r="AF8">
        <f t="shared" si="14"/>
        <v>0</v>
      </c>
      <c r="AG8">
        <f t="shared" si="15"/>
        <v>0</v>
      </c>
    </row>
    <row r="9" spans="1:33">
      <c r="A9" s="13">
        <f t="shared" si="1"/>
        <v>122</v>
      </c>
      <c r="B9" s="33" t="str">
        <f t="shared" si="2"/>
        <v>May-0</v>
      </c>
      <c r="C9" s="32">
        <f>Sheet1!$A$1-1</f>
        <v>0</v>
      </c>
      <c r="D9" s="29">
        <f>IFERROR(VLOOKUP(B9,Sheet1!$F$7:$V$4000,17,0),0)</f>
        <v>0</v>
      </c>
      <c r="E9" s="29">
        <f t="shared" si="3"/>
        <v>0</v>
      </c>
      <c r="F9" s="29">
        <f>SUMIF(Sheet1!$F$7:$F$4000,B9,Sheet1!$K$7:$K$4000)</f>
        <v>0</v>
      </c>
      <c r="G9" s="29">
        <f t="shared" si="4"/>
        <v>0</v>
      </c>
      <c r="H9" s="29">
        <f>SUMIF(Sheet1!$F$7:$F$4000,B9,Sheet1!$M$7:$M$4000)</f>
        <v>0</v>
      </c>
      <c r="I9" s="29">
        <f t="shared" si="5"/>
        <v>0</v>
      </c>
      <c r="J9" s="29">
        <f t="shared" si="6"/>
        <v>0</v>
      </c>
      <c r="K9" s="29">
        <f t="shared" si="7"/>
        <v>0</v>
      </c>
      <c r="L9" s="29">
        <f>SUMIF(Sheet1!$F$7:$F$4000,B9,Sheet1!$R$7:$R$4000)</f>
        <v>0</v>
      </c>
      <c r="M9" s="29">
        <f>SUMIF(Sheet1!$F$7:$F$4000,B9,Sheet1!$S$7:$S$4000)</f>
        <v>0</v>
      </c>
      <c r="N9" s="29">
        <f>SUMIF(Sheet1!$F$7:$F$4000,B9,Sheet1!$T$7:$T$4000)</f>
        <v>0</v>
      </c>
      <c r="O9" s="29"/>
      <c r="P9" s="29"/>
      <c r="Q9" s="29">
        <f>SUMIF(Sheet1!$F$7:$F$4000,B9,Sheet1!$J$7:$J$4000)</f>
        <v>0</v>
      </c>
      <c r="R9" s="29">
        <f>SUMIF(Sheet1!$F$7:$F$4000,B9,Sheet1!$N$7:$N$4000)</f>
        <v>0</v>
      </c>
      <c r="S9" s="29">
        <f>SUMIF(Sheet1!$F$7:$F$4000,B9,Sheet1!$L$7:$L$4000)</f>
        <v>0</v>
      </c>
      <c r="T9" s="29">
        <f>SUMIF(Sheet1!$F$7:$F$4000,B9,Sheet1!$O$7:$O$4000)</f>
        <v>0</v>
      </c>
      <c r="U9" s="29">
        <f>SUMIF(Sheet1!$F$7:$F$4000,B9,Sheet1!$P$7:$P$4000)</f>
        <v>0</v>
      </c>
      <c r="V9" s="29">
        <f t="shared" si="8"/>
        <v>0</v>
      </c>
      <c r="W9" s="14">
        <f t="shared" si="9"/>
        <v>0</v>
      </c>
      <c r="X9" s="48">
        <f t="shared" si="10"/>
        <v>0</v>
      </c>
      <c r="Y9" s="48">
        <f>SUMIF(Sheet1!$F$7:$F$4000,B9,Sheet1!$Q$7:$Q$4000)</f>
        <v>0</v>
      </c>
      <c r="Z9" s="48">
        <f t="shared" si="11"/>
        <v>0</v>
      </c>
      <c r="AB9">
        <v>5</v>
      </c>
      <c r="AC9">
        <f>Sheet1!$A$1-1</f>
        <v>0</v>
      </c>
      <c r="AD9">
        <f t="shared" si="12"/>
        <v>0</v>
      </c>
      <c r="AE9">
        <f t="shared" si="13"/>
        <v>0</v>
      </c>
      <c r="AF9">
        <f t="shared" si="14"/>
        <v>0</v>
      </c>
      <c r="AG9">
        <f t="shared" si="15"/>
        <v>0</v>
      </c>
    </row>
    <row r="10" spans="1:33">
      <c r="A10" s="13">
        <f t="shared" si="1"/>
        <v>153</v>
      </c>
      <c r="B10" s="33" t="str">
        <f t="shared" si="2"/>
        <v>Jun-0</v>
      </c>
      <c r="C10" s="32">
        <f>Sheet1!$A$1-1</f>
        <v>0</v>
      </c>
      <c r="D10" s="29">
        <f>IFERROR(VLOOKUP(B10,Sheet1!$F$7:$V$4000,17,0),0)</f>
        <v>0</v>
      </c>
      <c r="E10" s="29">
        <f t="shared" si="3"/>
        <v>0</v>
      </c>
      <c r="F10" s="29">
        <f>SUMIF(Sheet1!$F$7:$F$4000,B10,Sheet1!$K$7:$K$4000)</f>
        <v>0</v>
      </c>
      <c r="G10" s="29">
        <f t="shared" si="4"/>
        <v>0</v>
      </c>
      <c r="H10" s="29">
        <f>SUMIF(Sheet1!$F$7:$F$4000,B10,Sheet1!$M$7:$M$4000)</f>
        <v>0</v>
      </c>
      <c r="I10" s="29">
        <f t="shared" si="5"/>
        <v>0</v>
      </c>
      <c r="J10" s="29">
        <f t="shared" si="6"/>
        <v>0</v>
      </c>
      <c r="K10" s="29">
        <f t="shared" si="7"/>
        <v>0</v>
      </c>
      <c r="L10" s="29">
        <f>SUMIF(Sheet1!$F$7:$F$4000,B10,Sheet1!$R$7:$R$4000)</f>
        <v>0</v>
      </c>
      <c r="M10" s="29">
        <f>SUMIF(Sheet1!$F$7:$F$4000,B10,Sheet1!$S$7:$S$4000)</f>
        <v>0</v>
      </c>
      <c r="N10" s="29">
        <f>SUMIF(Sheet1!$F$7:$F$4000,B10,Sheet1!$T$7:$T$4000)</f>
        <v>0</v>
      </c>
      <c r="O10" s="29"/>
      <c r="P10" s="29"/>
      <c r="Q10" s="29">
        <f>SUMIF(Sheet1!$F$7:$F$4000,B10,Sheet1!$J$7:$J$4000)</f>
        <v>0</v>
      </c>
      <c r="R10" s="29">
        <f>SUMIF(Sheet1!$F$7:$F$4000,B10,Sheet1!$N$7:$N$4000)</f>
        <v>0</v>
      </c>
      <c r="S10" s="29">
        <f>SUMIF(Sheet1!$F$7:$F$4000,B10,Sheet1!$L$7:$L$4000)</f>
        <v>0</v>
      </c>
      <c r="T10" s="29">
        <f>SUMIF(Sheet1!$F$7:$F$4000,B10,Sheet1!$O$7:$O$4000)</f>
        <v>0</v>
      </c>
      <c r="U10" s="29">
        <f>SUMIF(Sheet1!$F$7:$F$4000,B10,Sheet1!$P$7:$P$4000)</f>
        <v>0</v>
      </c>
      <c r="V10" s="29">
        <f t="shared" si="8"/>
        <v>0</v>
      </c>
      <c r="W10" s="14">
        <f t="shared" si="9"/>
        <v>0</v>
      </c>
      <c r="X10" s="48">
        <f t="shared" si="10"/>
        <v>0</v>
      </c>
      <c r="Y10" s="48">
        <f>SUMIF(Sheet1!$F$7:$F$4000,B10,Sheet1!$Q$7:$Q$4000)</f>
        <v>0</v>
      </c>
      <c r="Z10" s="48">
        <f t="shared" si="11"/>
        <v>0</v>
      </c>
      <c r="AB10">
        <v>6</v>
      </c>
      <c r="AC10">
        <f>Sheet1!$A$1-1</f>
        <v>0</v>
      </c>
      <c r="AD10">
        <f t="shared" si="12"/>
        <v>0</v>
      </c>
      <c r="AE10">
        <f t="shared" si="13"/>
        <v>0</v>
      </c>
      <c r="AF10">
        <f t="shared" si="14"/>
        <v>0</v>
      </c>
      <c r="AG10">
        <f t="shared" si="15"/>
        <v>0</v>
      </c>
    </row>
    <row r="11" spans="1:33">
      <c r="A11" s="13">
        <f t="shared" si="1"/>
        <v>183</v>
      </c>
      <c r="B11" s="33" t="str">
        <f t="shared" si="2"/>
        <v>Jul-0</v>
      </c>
      <c r="C11" s="32">
        <f>Sheet1!$A$1-1</f>
        <v>0</v>
      </c>
      <c r="D11" s="29">
        <f>IFERROR(VLOOKUP(B11,Sheet1!$F$7:$V$4000,17,0),0)</f>
        <v>0</v>
      </c>
      <c r="E11" s="29">
        <f t="shared" si="3"/>
        <v>0</v>
      </c>
      <c r="F11" s="29">
        <f>SUMIF(Sheet1!$F$7:$F$4000,B11,Sheet1!$K$7:$K$4000)</f>
        <v>0</v>
      </c>
      <c r="G11" s="29">
        <f t="shared" si="4"/>
        <v>0</v>
      </c>
      <c r="H11" s="29">
        <f>SUMIF(Sheet1!$F$7:$F$4000,B11,Sheet1!$M$7:$M$4000)</f>
        <v>0</v>
      </c>
      <c r="I11" s="29">
        <f t="shared" si="5"/>
        <v>0</v>
      </c>
      <c r="J11" s="29">
        <f t="shared" si="6"/>
        <v>0</v>
      </c>
      <c r="K11" s="29">
        <f t="shared" si="7"/>
        <v>0</v>
      </c>
      <c r="L11" s="29">
        <f>SUMIF(Sheet1!$F$7:$F$4000,B11,Sheet1!$R$7:$R$4000)</f>
        <v>0</v>
      </c>
      <c r="M11" s="29">
        <f>SUMIF(Sheet1!$F$7:$F$4000,B11,Sheet1!$S$7:$S$4000)</f>
        <v>0</v>
      </c>
      <c r="N11" s="29">
        <f>SUMIF(Sheet1!$F$7:$F$4000,B11,Sheet1!$T$7:$T$4000)</f>
        <v>0</v>
      </c>
      <c r="O11" s="29"/>
      <c r="P11" s="29"/>
      <c r="Q11" s="29">
        <f>SUMIF(Sheet1!$F$7:$F$4000,B11,Sheet1!$J$7:$J$4000)</f>
        <v>0</v>
      </c>
      <c r="R11" s="29">
        <f>SUMIF(Sheet1!$F$7:$F$4000,B11,Sheet1!$N$7:$N$4000)</f>
        <v>0</v>
      </c>
      <c r="S11" s="29">
        <f>SUMIF(Sheet1!$F$7:$F$4000,B11,Sheet1!$L$7:$L$4000)</f>
        <v>0</v>
      </c>
      <c r="T11" s="29">
        <f>SUMIF(Sheet1!$F$7:$F$4000,B11,Sheet1!$O$7:$O$4000)</f>
        <v>0</v>
      </c>
      <c r="U11" s="29">
        <f>SUMIF(Sheet1!$F$7:$F$4000,B11,Sheet1!$P$7:$P$4000)</f>
        <v>0</v>
      </c>
      <c r="V11" s="29">
        <f t="shared" si="8"/>
        <v>0</v>
      </c>
      <c r="W11" s="14">
        <f t="shared" si="9"/>
        <v>0</v>
      </c>
      <c r="X11" s="48">
        <f t="shared" si="10"/>
        <v>0</v>
      </c>
      <c r="Y11" s="48">
        <f>SUMIF(Sheet1!$F$7:$F$4000,B11,Sheet1!$Q$7:$Q$4000)</f>
        <v>0</v>
      </c>
      <c r="Z11" s="48">
        <f t="shared" si="11"/>
        <v>0</v>
      </c>
      <c r="AB11">
        <v>7</v>
      </c>
      <c r="AC11">
        <f>Sheet1!$A$1-1</f>
        <v>0</v>
      </c>
      <c r="AD11">
        <f t="shared" si="12"/>
        <v>0</v>
      </c>
      <c r="AE11">
        <f t="shared" si="13"/>
        <v>0</v>
      </c>
      <c r="AF11">
        <f t="shared" si="14"/>
        <v>0</v>
      </c>
      <c r="AG11">
        <f t="shared" si="15"/>
        <v>0</v>
      </c>
    </row>
    <row r="12" spans="1:33">
      <c r="A12" s="13">
        <f t="shared" si="1"/>
        <v>214</v>
      </c>
      <c r="B12" s="33" t="str">
        <f t="shared" si="2"/>
        <v>Aug-0</v>
      </c>
      <c r="C12" s="32">
        <f>Sheet1!$A$1-1</f>
        <v>0</v>
      </c>
      <c r="D12" s="29">
        <f>IFERROR(VLOOKUP(B12,Sheet1!$F$7:$V$4000,17,0),0)</f>
        <v>0</v>
      </c>
      <c r="E12" s="29">
        <f t="shared" si="3"/>
        <v>0</v>
      </c>
      <c r="F12" s="29">
        <f>SUMIF(Sheet1!$F$7:$F$4000,B12,Sheet1!$K$7:$K$4000)</f>
        <v>0</v>
      </c>
      <c r="G12" s="29">
        <f t="shared" si="4"/>
        <v>0</v>
      </c>
      <c r="H12" s="29">
        <f>SUMIF(Sheet1!$F$7:$F$4000,B12,Sheet1!$M$7:$M$4000)</f>
        <v>0</v>
      </c>
      <c r="I12" s="29">
        <f t="shared" si="5"/>
        <v>0</v>
      </c>
      <c r="J12" s="29">
        <f t="shared" si="6"/>
        <v>0</v>
      </c>
      <c r="K12" s="29">
        <f t="shared" si="7"/>
        <v>0</v>
      </c>
      <c r="L12" s="29">
        <f>SUMIF(Sheet1!$F$7:$F$4000,B12,Sheet1!$R$7:$R$4000)</f>
        <v>0</v>
      </c>
      <c r="M12" s="29">
        <f>SUMIF(Sheet1!$F$7:$F$4000,B12,Sheet1!$S$7:$S$4000)</f>
        <v>0</v>
      </c>
      <c r="N12" s="29">
        <f>SUMIF(Sheet1!$F$7:$F$4000,B12,Sheet1!$T$7:$T$4000)</f>
        <v>0</v>
      </c>
      <c r="O12" s="29"/>
      <c r="P12" s="29"/>
      <c r="Q12" s="29">
        <f>SUMIF(Sheet1!$F$7:$F$4000,B12,Sheet1!$J$7:$J$4000)</f>
        <v>0</v>
      </c>
      <c r="R12" s="29">
        <f>SUMIF(Sheet1!$F$7:$F$4000,B12,Sheet1!$N$7:$N$4000)</f>
        <v>0</v>
      </c>
      <c r="S12" s="29">
        <f>SUMIF(Sheet1!$F$7:$F$4000,B12,Sheet1!$L$7:$L$4000)</f>
        <v>0</v>
      </c>
      <c r="T12" s="29">
        <f>SUMIF(Sheet1!$F$7:$F$4000,B12,Sheet1!$O$7:$O$4000)</f>
        <v>0</v>
      </c>
      <c r="U12" s="29">
        <f>SUMIF(Sheet1!$F$7:$F$4000,B12,Sheet1!$P$7:$P$4000)</f>
        <v>0</v>
      </c>
      <c r="V12" s="29">
        <f t="shared" si="8"/>
        <v>0</v>
      </c>
      <c r="W12" s="14">
        <f t="shared" si="9"/>
        <v>0</v>
      </c>
      <c r="X12" s="48">
        <f t="shared" si="10"/>
        <v>0</v>
      </c>
      <c r="Y12" s="48">
        <f>SUMIF(Sheet1!$F$7:$F$4000,B12,Sheet1!$Q$7:$Q$4000)</f>
        <v>0</v>
      </c>
      <c r="Z12" s="48">
        <f t="shared" si="11"/>
        <v>0</v>
      </c>
      <c r="AB12">
        <v>8</v>
      </c>
      <c r="AC12">
        <f>Sheet1!$A$1-1</f>
        <v>0</v>
      </c>
      <c r="AD12">
        <f t="shared" si="12"/>
        <v>0</v>
      </c>
      <c r="AE12">
        <f t="shared" si="13"/>
        <v>0</v>
      </c>
      <c r="AF12">
        <f t="shared" si="14"/>
        <v>0</v>
      </c>
      <c r="AG12">
        <f t="shared" si="15"/>
        <v>0</v>
      </c>
    </row>
    <row r="13" spans="1:33">
      <c r="A13" s="13">
        <f t="shared" si="1"/>
        <v>245</v>
      </c>
      <c r="B13" s="33" t="str">
        <f t="shared" si="2"/>
        <v>Sep-0</v>
      </c>
      <c r="C13" s="32">
        <f>Sheet1!$A$1-1</f>
        <v>0</v>
      </c>
      <c r="D13" s="29">
        <f>IFERROR(VLOOKUP(B13,Sheet1!$F$7:$V$4000,17,0),0)</f>
        <v>0</v>
      </c>
      <c r="E13" s="29">
        <f t="shared" si="3"/>
        <v>0</v>
      </c>
      <c r="F13" s="29">
        <f>SUMIF(Sheet1!$F$7:$F$4000,B13,Sheet1!$K$7:$K$4000)</f>
        <v>0</v>
      </c>
      <c r="G13" s="29">
        <f t="shared" si="4"/>
        <v>0</v>
      </c>
      <c r="H13" s="29">
        <f>SUMIF(Sheet1!$F$7:$F$4000,B13,Sheet1!$M$7:$M$4000)</f>
        <v>0</v>
      </c>
      <c r="I13" s="29">
        <f t="shared" si="5"/>
        <v>0</v>
      </c>
      <c r="J13" s="29">
        <f t="shared" si="6"/>
        <v>0</v>
      </c>
      <c r="K13" s="29">
        <f t="shared" si="7"/>
        <v>0</v>
      </c>
      <c r="L13" s="29">
        <f>SUMIF(Sheet1!$F$7:$F$4000,B13,Sheet1!$R$7:$R$4000)</f>
        <v>0</v>
      </c>
      <c r="M13" s="29">
        <f>SUMIF(Sheet1!$F$7:$F$4000,B13,Sheet1!$S$7:$S$4000)</f>
        <v>0</v>
      </c>
      <c r="N13" s="29">
        <f>SUMIF(Sheet1!$F$7:$F$4000,B13,Sheet1!$T$7:$T$4000)</f>
        <v>0</v>
      </c>
      <c r="O13" s="29"/>
      <c r="P13" s="29"/>
      <c r="Q13" s="29">
        <f>SUMIF(Sheet1!$F$7:$F$4000,B13,Sheet1!$J$7:$J$4000)</f>
        <v>0</v>
      </c>
      <c r="R13" s="29">
        <f>SUMIF(Sheet1!$F$7:$F$4000,B13,Sheet1!$N$7:$N$4000)</f>
        <v>0</v>
      </c>
      <c r="S13" s="29">
        <f>SUMIF(Sheet1!$F$7:$F$4000,B13,Sheet1!$L$7:$L$4000)</f>
        <v>0</v>
      </c>
      <c r="T13" s="29">
        <f>SUMIF(Sheet1!$F$7:$F$4000,B13,Sheet1!$O$7:$O$4000)</f>
        <v>0</v>
      </c>
      <c r="U13" s="29">
        <f>SUMIF(Sheet1!$F$7:$F$4000,B13,Sheet1!$P$7:$P$4000)</f>
        <v>0</v>
      </c>
      <c r="V13" s="29">
        <f t="shared" si="8"/>
        <v>0</v>
      </c>
      <c r="W13" s="14">
        <f t="shared" si="9"/>
        <v>0</v>
      </c>
      <c r="X13" s="48">
        <f t="shared" si="10"/>
        <v>0</v>
      </c>
      <c r="Y13" s="48">
        <f>SUMIF(Sheet1!$F$7:$F$4000,B13,Sheet1!$Q$7:$Q$4000)</f>
        <v>0</v>
      </c>
      <c r="Z13" s="48">
        <f t="shared" si="11"/>
        <v>0</v>
      </c>
      <c r="AB13">
        <v>9</v>
      </c>
      <c r="AC13">
        <f>Sheet1!$A$1-1</f>
        <v>0</v>
      </c>
      <c r="AD13">
        <f t="shared" si="12"/>
        <v>0</v>
      </c>
      <c r="AE13">
        <f t="shared" si="13"/>
        <v>0</v>
      </c>
      <c r="AF13">
        <f t="shared" si="14"/>
        <v>0</v>
      </c>
      <c r="AG13">
        <f t="shared" si="15"/>
        <v>0</v>
      </c>
    </row>
    <row r="14" spans="1:33">
      <c r="A14" s="13">
        <f t="shared" si="1"/>
        <v>275</v>
      </c>
      <c r="B14" s="33" t="str">
        <f t="shared" si="2"/>
        <v>Oct-0</v>
      </c>
      <c r="C14" s="32">
        <f>Sheet1!$A$1-1</f>
        <v>0</v>
      </c>
      <c r="D14" s="29">
        <f>IFERROR(VLOOKUP(B14,Sheet1!$F$7:$V$4000,17,0),0)</f>
        <v>0</v>
      </c>
      <c r="E14" s="29">
        <f t="shared" si="3"/>
        <v>0</v>
      </c>
      <c r="F14" s="29">
        <f>SUMIF(Sheet1!$F$7:$F$4000,B14,Sheet1!$K$7:$K$4000)</f>
        <v>0</v>
      </c>
      <c r="G14" s="29">
        <f t="shared" si="4"/>
        <v>0</v>
      </c>
      <c r="H14" s="29">
        <f>SUMIF(Sheet1!$F$7:$F$4000,B14,Sheet1!$M$7:$M$4000)</f>
        <v>0</v>
      </c>
      <c r="I14" s="29">
        <f t="shared" si="5"/>
        <v>0</v>
      </c>
      <c r="J14" s="29">
        <f t="shared" si="6"/>
        <v>0</v>
      </c>
      <c r="K14" s="29">
        <f t="shared" si="7"/>
        <v>0</v>
      </c>
      <c r="L14" s="29">
        <f>SUMIF(Sheet1!$F$7:$F$4000,B14,Sheet1!$R$7:$R$4000)</f>
        <v>0</v>
      </c>
      <c r="M14" s="29">
        <f>SUMIF(Sheet1!$F$7:$F$4000,B14,Sheet1!$S$7:$S$4000)</f>
        <v>0</v>
      </c>
      <c r="N14" s="29">
        <f>SUMIF(Sheet1!$F$7:$F$4000,B14,Sheet1!$T$7:$T$4000)</f>
        <v>0</v>
      </c>
      <c r="O14" s="29"/>
      <c r="P14" s="29"/>
      <c r="Q14" s="29">
        <f>SUMIF(Sheet1!$F$7:$F$4000,B14,Sheet1!$J$7:$J$4000)</f>
        <v>0</v>
      </c>
      <c r="R14" s="29">
        <f>SUMIF(Sheet1!$F$7:$F$4000,B14,Sheet1!$N$7:$N$4000)</f>
        <v>0</v>
      </c>
      <c r="S14" s="29">
        <f>SUMIF(Sheet1!$F$7:$F$4000,B14,Sheet1!$L$7:$L$4000)</f>
        <v>0</v>
      </c>
      <c r="T14" s="29">
        <f>SUMIF(Sheet1!$F$7:$F$4000,B14,Sheet1!$O$7:$O$4000)</f>
        <v>0</v>
      </c>
      <c r="U14" s="29">
        <f>SUMIF(Sheet1!$F$7:$F$4000,B14,Sheet1!$P$7:$P$4000)</f>
        <v>0</v>
      </c>
      <c r="V14" s="29">
        <f t="shared" si="8"/>
        <v>0</v>
      </c>
      <c r="W14" s="14">
        <f t="shared" si="9"/>
        <v>0</v>
      </c>
      <c r="X14" s="48">
        <f t="shared" si="10"/>
        <v>0</v>
      </c>
      <c r="Y14" s="48">
        <f>SUMIF(Sheet1!$F$7:$F$4000,B14,Sheet1!$Q$7:$Q$4000)</f>
        <v>0</v>
      </c>
      <c r="Z14" s="48">
        <f t="shared" si="11"/>
        <v>0</v>
      </c>
      <c r="AB14">
        <v>10</v>
      </c>
      <c r="AC14">
        <f>Sheet1!$A$1-1</f>
        <v>0</v>
      </c>
      <c r="AD14">
        <f t="shared" si="12"/>
        <v>0</v>
      </c>
      <c r="AE14">
        <f t="shared" si="13"/>
        <v>0</v>
      </c>
      <c r="AF14">
        <f t="shared" si="14"/>
        <v>0</v>
      </c>
      <c r="AG14">
        <f t="shared" si="15"/>
        <v>0</v>
      </c>
    </row>
    <row r="15" spans="1:33">
      <c r="A15" s="13">
        <f t="shared" si="1"/>
        <v>306</v>
      </c>
      <c r="B15" s="33" t="str">
        <f t="shared" si="2"/>
        <v>Nov-0</v>
      </c>
      <c r="C15" s="32">
        <f>Sheet1!$A$1-1</f>
        <v>0</v>
      </c>
      <c r="D15" s="29">
        <f>IFERROR(VLOOKUP(B15,Sheet1!$F$7:$V$4000,17,0),0)</f>
        <v>0</v>
      </c>
      <c r="E15" s="29">
        <f t="shared" si="3"/>
        <v>0</v>
      </c>
      <c r="F15" s="29">
        <f>SUMIF(Sheet1!$F$7:$F$4000,B15,Sheet1!$K$7:$K$4000)</f>
        <v>0</v>
      </c>
      <c r="G15" s="29">
        <f t="shared" si="4"/>
        <v>0</v>
      </c>
      <c r="H15" s="29">
        <f>SUMIF(Sheet1!$F$7:$F$4000,B15,Sheet1!$M$7:$M$4000)</f>
        <v>0</v>
      </c>
      <c r="I15" s="29">
        <f t="shared" si="5"/>
        <v>0</v>
      </c>
      <c r="J15" s="29">
        <f t="shared" si="6"/>
        <v>0</v>
      </c>
      <c r="K15" s="29">
        <f t="shared" si="7"/>
        <v>0</v>
      </c>
      <c r="L15" s="29">
        <f>SUMIF(Sheet1!$F$7:$F$4000,B15,Sheet1!$R$7:$R$4000)</f>
        <v>0</v>
      </c>
      <c r="M15" s="29">
        <f>SUMIF(Sheet1!$F$7:$F$4000,B15,Sheet1!$S$7:$S$4000)</f>
        <v>0</v>
      </c>
      <c r="N15" s="29">
        <f>SUMIF(Sheet1!$F$7:$F$4000,B15,Sheet1!$T$7:$T$4000)</f>
        <v>0</v>
      </c>
      <c r="O15" s="29"/>
      <c r="P15" s="29"/>
      <c r="Q15" s="29">
        <f>SUMIF(Sheet1!$F$7:$F$4000,B15,Sheet1!$J$7:$J$4000)</f>
        <v>0</v>
      </c>
      <c r="R15" s="29">
        <f>SUMIF(Sheet1!$F$7:$F$4000,B15,Sheet1!$N$7:$N$4000)</f>
        <v>0</v>
      </c>
      <c r="S15" s="29">
        <f>SUMIF(Sheet1!$F$7:$F$4000,B15,Sheet1!$L$7:$L$4000)</f>
        <v>0</v>
      </c>
      <c r="T15" s="29">
        <f>SUMIF(Sheet1!$F$7:$F$4000,B15,Sheet1!$O$7:$O$4000)</f>
        <v>0</v>
      </c>
      <c r="U15" s="29">
        <f>SUMIF(Sheet1!$F$7:$F$4000,B15,Sheet1!$P$7:$P$4000)</f>
        <v>0</v>
      </c>
      <c r="V15" s="29">
        <f t="shared" si="8"/>
        <v>0</v>
      </c>
      <c r="W15" s="14">
        <f t="shared" si="9"/>
        <v>0</v>
      </c>
      <c r="X15" s="48">
        <f t="shared" si="10"/>
        <v>0</v>
      </c>
      <c r="Y15" s="48">
        <f>SUMIF(Sheet1!$F$7:$F$4000,B15,Sheet1!$Q$7:$Q$4000)</f>
        <v>0</v>
      </c>
      <c r="Z15" s="48">
        <f t="shared" si="11"/>
        <v>0</v>
      </c>
      <c r="AB15">
        <v>11</v>
      </c>
      <c r="AC15">
        <f>Sheet1!$A$1-1</f>
        <v>0</v>
      </c>
      <c r="AD15">
        <f t="shared" si="12"/>
        <v>0</v>
      </c>
      <c r="AE15">
        <f t="shared" si="13"/>
        <v>0</v>
      </c>
      <c r="AF15">
        <f t="shared" si="14"/>
        <v>0</v>
      </c>
      <c r="AG15">
        <f t="shared" si="15"/>
        <v>0</v>
      </c>
    </row>
    <row r="16" spans="1:33">
      <c r="A16" s="13">
        <f t="shared" si="1"/>
        <v>336</v>
      </c>
      <c r="B16" s="33" t="str">
        <f t="shared" si="2"/>
        <v>Dec-0</v>
      </c>
      <c r="C16" s="32">
        <f>Sheet1!$A$1-1</f>
        <v>0</v>
      </c>
      <c r="D16" s="29">
        <f>IFERROR(VLOOKUP(B16,Sheet1!$F$7:$V$4000,17,0),0)</f>
        <v>0</v>
      </c>
      <c r="E16" s="29">
        <f t="shared" si="3"/>
        <v>0</v>
      </c>
      <c r="F16" s="29">
        <f>SUMIF(Sheet1!$F$7:$F$4000,B16,Sheet1!$K$7:$K$4000)</f>
        <v>0</v>
      </c>
      <c r="G16" s="29">
        <f t="shared" si="4"/>
        <v>0</v>
      </c>
      <c r="H16" s="29">
        <f>SUMIF(Sheet1!$F$7:$F$4000,B16,Sheet1!$M$7:$M$4000)</f>
        <v>0</v>
      </c>
      <c r="I16" s="29">
        <f t="shared" si="5"/>
        <v>0</v>
      </c>
      <c r="J16" s="29">
        <f t="shared" si="6"/>
        <v>0</v>
      </c>
      <c r="K16" s="29">
        <f t="shared" si="7"/>
        <v>0</v>
      </c>
      <c r="L16" s="29">
        <f>SUMIF(Sheet1!$F$7:$F$4000,B16,Sheet1!$R$7:$R$4000)</f>
        <v>0</v>
      </c>
      <c r="M16" s="29">
        <f>SUMIF(Sheet1!$F$7:$F$4000,B16,Sheet1!$S$7:$S$4000)</f>
        <v>0</v>
      </c>
      <c r="N16" s="29">
        <f>SUMIF(Sheet1!$F$7:$F$4000,B16,Sheet1!$T$7:$T$4000)</f>
        <v>0</v>
      </c>
      <c r="O16" s="29"/>
      <c r="P16" s="29"/>
      <c r="Q16" s="29">
        <f>SUMIF(Sheet1!$F$7:$F$4000,B16,Sheet1!$J$7:$J$4000)</f>
        <v>0</v>
      </c>
      <c r="R16" s="29">
        <f>SUMIF(Sheet1!$F$7:$F$4000,B16,Sheet1!$N$7:$N$4000)</f>
        <v>0</v>
      </c>
      <c r="S16" s="29">
        <f>SUMIF(Sheet1!$F$7:$F$4000,B16,Sheet1!$L$7:$L$4000)</f>
        <v>0</v>
      </c>
      <c r="T16" s="29">
        <f>SUMIF(Sheet1!$F$7:$F$4000,B16,Sheet1!$O$7:$O$4000)</f>
        <v>0</v>
      </c>
      <c r="U16" s="29">
        <f>SUMIF(Sheet1!$F$7:$F$4000,B16,Sheet1!$P$7:$P$4000)</f>
        <v>0</v>
      </c>
      <c r="V16" s="29">
        <f t="shared" si="8"/>
        <v>0</v>
      </c>
      <c r="W16" s="14">
        <f t="shared" si="9"/>
        <v>0</v>
      </c>
      <c r="X16" s="48">
        <f t="shared" si="10"/>
        <v>0</v>
      </c>
      <c r="Y16" s="48">
        <f>SUMIF(Sheet1!$F$7:$F$4000,B16,Sheet1!$Q$7:$Q$4000)</f>
        <v>0</v>
      </c>
      <c r="Z16" s="48">
        <f t="shared" si="11"/>
        <v>0</v>
      </c>
      <c r="AB16">
        <v>12</v>
      </c>
      <c r="AC16">
        <f>Sheet1!$A$1-1</f>
        <v>0</v>
      </c>
      <c r="AD16">
        <f t="shared" si="12"/>
        <v>0</v>
      </c>
      <c r="AE16">
        <f t="shared" si="13"/>
        <v>0</v>
      </c>
      <c r="AF16">
        <f t="shared" si="14"/>
        <v>0</v>
      </c>
      <c r="AG16">
        <f t="shared" si="15"/>
        <v>0</v>
      </c>
    </row>
    <row r="17" spans="1:33">
      <c r="A17" s="13">
        <f t="shared" si="1"/>
        <v>367</v>
      </c>
      <c r="B17" s="33" t="str">
        <f t="shared" si="2"/>
        <v>Jan-1</v>
      </c>
      <c r="C17" s="32">
        <f>Sheet1!$A$1</f>
        <v>1</v>
      </c>
      <c r="D17" s="29">
        <f>IFERROR(VLOOKUP(B17,Sheet1!$F$7:$V$4000,17,0),0)</f>
        <v>0</v>
      </c>
      <c r="E17" s="29">
        <f t="shared" si="3"/>
        <v>0</v>
      </c>
      <c r="F17" s="29">
        <f>SUMIF(Sheet1!$F$7:$F$4000,B17,Sheet1!$K$7:$K$4000)</f>
        <v>0</v>
      </c>
      <c r="G17" s="29">
        <f t="shared" si="4"/>
        <v>0</v>
      </c>
      <c r="H17" s="29">
        <f>SUMIF(Sheet1!$F$7:$F$4000,B17,Sheet1!$M$7:$M$4000)</f>
        <v>0</v>
      </c>
      <c r="I17" s="29">
        <f t="shared" si="5"/>
        <v>0</v>
      </c>
      <c r="J17" s="29">
        <f t="shared" si="6"/>
        <v>0</v>
      </c>
      <c r="K17" s="29">
        <f t="shared" si="7"/>
        <v>0</v>
      </c>
      <c r="L17" s="29">
        <f>SUMIF(Sheet1!$F$7:$F$4000,B17,Sheet1!$R$7:$R$4000)</f>
        <v>0</v>
      </c>
      <c r="M17" s="29">
        <f>SUMIF(Sheet1!$F$7:$F$4000,B17,Sheet1!$S$7:$S$4000)</f>
        <v>0</v>
      </c>
      <c r="N17" s="29">
        <f>SUMIF(Sheet1!$F$7:$F$4000,B17,Sheet1!$T$7:$T$4000)</f>
        <v>0</v>
      </c>
      <c r="O17" s="29"/>
      <c r="P17" s="29"/>
      <c r="Q17" s="29">
        <f>SUMIF(Sheet1!$F$7:$F$4000,B17,Sheet1!$J$7:$J$4000)</f>
        <v>0</v>
      </c>
      <c r="R17" s="29">
        <f>SUMIF(Sheet1!$F$7:$F$4000,B17,Sheet1!$N$7:$N$4000)</f>
        <v>0</v>
      </c>
      <c r="S17" s="29">
        <f>SUMIF(Sheet1!$F$7:$F$4000,B17,Sheet1!$L$7:$L$4000)</f>
        <v>0</v>
      </c>
      <c r="T17" s="29">
        <f>SUMIF(Sheet1!$F$7:$F$4000,B17,Sheet1!$O$7:$O$4000)</f>
        <v>0</v>
      </c>
      <c r="U17" s="29">
        <f>SUMIF(Sheet1!$F$7:$F$4000,B17,Sheet1!$P$7:$P$4000)</f>
        <v>0</v>
      </c>
      <c r="V17" s="29">
        <f t="shared" si="8"/>
        <v>0</v>
      </c>
      <c r="W17" s="14">
        <f t="shared" si="9"/>
        <v>0</v>
      </c>
      <c r="X17" s="48">
        <f t="shared" si="10"/>
        <v>0</v>
      </c>
      <c r="Y17" s="48">
        <f>SUMIF(Sheet1!$F$7:$F$4000,B17,Sheet1!$Q$7:$Q$4000)</f>
        <v>0</v>
      </c>
      <c r="Z17" s="48">
        <f t="shared" si="11"/>
        <v>0</v>
      </c>
      <c r="AB17">
        <v>1</v>
      </c>
      <c r="AC17">
        <f>Sheet1!$A$1</f>
        <v>1</v>
      </c>
      <c r="AD17">
        <f t="shared" si="12"/>
        <v>0</v>
      </c>
      <c r="AE17">
        <f t="shared" si="13"/>
        <v>0</v>
      </c>
      <c r="AF17">
        <f t="shared" si="14"/>
        <v>0</v>
      </c>
      <c r="AG17">
        <f t="shared" si="15"/>
        <v>0</v>
      </c>
    </row>
    <row r="18" spans="1:33">
      <c r="A18" s="13">
        <f t="shared" si="1"/>
        <v>398</v>
      </c>
      <c r="B18" s="33" t="str">
        <f t="shared" si="2"/>
        <v>Feb-1</v>
      </c>
      <c r="C18" s="32">
        <f>Sheet1!$A$1</f>
        <v>1</v>
      </c>
      <c r="D18" s="29">
        <f>IFERROR(VLOOKUP(B18,Sheet1!$F$7:$V$4000,17,0),0)</f>
        <v>0</v>
      </c>
      <c r="E18" s="29">
        <f t="shared" si="3"/>
        <v>0</v>
      </c>
      <c r="F18" s="29">
        <f>SUMIF(Sheet1!$F$7:$F$4000,B18,Sheet1!$K$7:$K$4000)</f>
        <v>0</v>
      </c>
      <c r="G18" s="29">
        <f t="shared" si="4"/>
        <v>0</v>
      </c>
      <c r="H18" s="29">
        <f>SUMIF(Sheet1!$F$7:$F$4000,B18,Sheet1!$M$7:$M$4000)</f>
        <v>0</v>
      </c>
      <c r="I18" s="29">
        <f t="shared" si="5"/>
        <v>0</v>
      </c>
      <c r="J18" s="29">
        <f t="shared" si="6"/>
        <v>0</v>
      </c>
      <c r="K18" s="29">
        <f t="shared" si="7"/>
        <v>0</v>
      </c>
      <c r="L18" s="29">
        <f>SUMIF(Sheet1!$F$7:$F$4000,B18,Sheet1!$R$7:$R$4000)</f>
        <v>0</v>
      </c>
      <c r="M18" s="29">
        <f>SUMIF(Sheet1!$F$7:$F$4000,B18,Sheet1!$S$7:$S$4000)</f>
        <v>0</v>
      </c>
      <c r="N18" s="29">
        <f>SUMIF(Sheet1!$F$7:$F$4000,B18,Sheet1!$T$7:$T$4000)</f>
        <v>0</v>
      </c>
      <c r="O18" s="29"/>
      <c r="P18" s="29"/>
      <c r="Q18" s="29">
        <f>SUMIF(Sheet1!$F$7:$F$4000,B18,Sheet1!$J$7:$J$4000)</f>
        <v>0</v>
      </c>
      <c r="R18" s="29">
        <f>SUMIF(Sheet1!$F$7:$F$4000,B18,Sheet1!$N$7:$N$4000)</f>
        <v>0</v>
      </c>
      <c r="S18" s="29">
        <f>SUMIF(Sheet1!$F$7:$F$4000,B18,Sheet1!$L$7:$L$4000)</f>
        <v>0</v>
      </c>
      <c r="T18" s="29">
        <f>SUMIF(Sheet1!$F$7:$F$4000,B18,Sheet1!$O$7:$O$4000)</f>
        <v>0</v>
      </c>
      <c r="U18" s="29">
        <f>SUMIF(Sheet1!$F$7:$F$4000,B18,Sheet1!$P$7:$P$4000)</f>
        <v>0</v>
      </c>
      <c r="V18" s="29">
        <f t="shared" si="8"/>
        <v>0</v>
      </c>
      <c r="W18" s="14">
        <f t="shared" si="9"/>
        <v>0</v>
      </c>
      <c r="X18" s="48">
        <f t="shared" si="10"/>
        <v>0</v>
      </c>
      <c r="Y18" s="48">
        <f>SUMIF(Sheet1!$F$7:$F$4000,B18,Sheet1!$Q$7:$Q$4000)</f>
        <v>0</v>
      </c>
      <c r="Z18" s="48">
        <f t="shared" si="11"/>
        <v>0</v>
      </c>
      <c r="AB18">
        <v>2</v>
      </c>
      <c r="AC18">
        <f>Sheet1!$A$1</f>
        <v>1</v>
      </c>
      <c r="AD18">
        <f t="shared" si="12"/>
        <v>0</v>
      </c>
      <c r="AE18">
        <f t="shared" si="13"/>
        <v>0</v>
      </c>
      <c r="AF18">
        <f t="shared" si="14"/>
        <v>0</v>
      </c>
      <c r="AG18">
        <f t="shared" si="15"/>
        <v>0</v>
      </c>
    </row>
    <row r="19" spans="1:33">
      <c r="A19" s="13">
        <f t="shared" si="1"/>
        <v>426</v>
      </c>
      <c r="B19" s="33" t="str">
        <f t="shared" si="2"/>
        <v>Mar-1</v>
      </c>
      <c r="C19" s="32">
        <f>Sheet1!$A$1</f>
        <v>1</v>
      </c>
      <c r="D19" s="29">
        <f>IFERROR(VLOOKUP(B19,Sheet1!$F$7:$V$4000,17,0),0)</f>
        <v>0</v>
      </c>
      <c r="E19" s="29">
        <f t="shared" si="3"/>
        <v>0</v>
      </c>
      <c r="F19" s="29">
        <f>SUMIF(Sheet1!$F$7:$F$4000,B19,Sheet1!$K$7:$K$4000)</f>
        <v>0</v>
      </c>
      <c r="G19" s="29">
        <f t="shared" si="4"/>
        <v>0</v>
      </c>
      <c r="H19" s="29">
        <f>SUMIF(Sheet1!$F$7:$F$4000,B19,Sheet1!$M$7:$M$4000)</f>
        <v>0</v>
      </c>
      <c r="I19" s="29">
        <f t="shared" si="5"/>
        <v>0</v>
      </c>
      <c r="J19" s="29">
        <f t="shared" si="6"/>
        <v>0</v>
      </c>
      <c r="K19" s="29">
        <f t="shared" si="7"/>
        <v>0</v>
      </c>
      <c r="L19" s="29">
        <f>SUMIF(Sheet1!$F$7:$F$4000,B19,Sheet1!$R$7:$R$4000)</f>
        <v>0</v>
      </c>
      <c r="M19" s="29">
        <f>SUMIF(Sheet1!$F$7:$F$4000,B19,Sheet1!$S$7:$S$4000)</f>
        <v>0</v>
      </c>
      <c r="N19" s="29">
        <f>SUMIF(Sheet1!$F$7:$F$4000,B19,Sheet1!$T$7:$T$4000)</f>
        <v>0</v>
      </c>
      <c r="O19" s="29"/>
      <c r="P19" s="29"/>
      <c r="Q19" s="29">
        <f>SUMIF(Sheet1!$F$7:$F$4000,B19,Sheet1!$J$7:$J$4000)</f>
        <v>0</v>
      </c>
      <c r="R19" s="29">
        <f>SUMIF(Sheet1!$F$7:$F$4000,B19,Sheet1!$N$7:$N$4000)</f>
        <v>0</v>
      </c>
      <c r="S19" s="29">
        <f>SUMIF(Sheet1!$F$7:$F$4000,B19,Sheet1!$L$7:$L$4000)</f>
        <v>0</v>
      </c>
      <c r="T19" s="29">
        <f>SUMIF(Sheet1!$F$7:$F$4000,B19,Sheet1!$O$7:$O$4000)</f>
        <v>0</v>
      </c>
      <c r="U19" s="29">
        <f>SUMIF(Sheet1!$F$7:$F$4000,B19,Sheet1!$P$7:$P$4000)</f>
        <v>0</v>
      </c>
      <c r="V19" s="29">
        <f t="shared" si="8"/>
        <v>0</v>
      </c>
      <c r="W19" s="14">
        <f t="shared" si="9"/>
        <v>0</v>
      </c>
      <c r="X19" s="48">
        <f t="shared" si="10"/>
        <v>0</v>
      </c>
      <c r="Y19" s="48">
        <f>SUMIF(Sheet1!$F$7:$F$4000,B19,Sheet1!$Q$7:$Q$4000)</f>
        <v>0</v>
      </c>
      <c r="Z19" s="48">
        <f t="shared" si="11"/>
        <v>0</v>
      </c>
      <c r="AB19">
        <v>3</v>
      </c>
      <c r="AC19">
        <f>Sheet1!$A$1</f>
        <v>1</v>
      </c>
      <c r="AD19">
        <f t="shared" si="12"/>
        <v>0</v>
      </c>
      <c r="AE19">
        <f t="shared" si="13"/>
        <v>0</v>
      </c>
      <c r="AF19">
        <f t="shared" si="14"/>
        <v>0</v>
      </c>
      <c r="AG19">
        <f t="shared" si="15"/>
        <v>0</v>
      </c>
    </row>
    <row r="20" spans="1:33">
      <c r="A20" s="13">
        <f t="shared" si="1"/>
        <v>457</v>
      </c>
      <c r="B20" s="33" t="str">
        <f t="shared" si="2"/>
        <v>Apr-1</v>
      </c>
      <c r="C20" s="32">
        <f>Sheet1!$A$1</f>
        <v>1</v>
      </c>
      <c r="D20" s="29">
        <f>IFERROR(VLOOKUP(B20,Sheet1!$F$7:$V$4000,17,0),0)</f>
        <v>0</v>
      </c>
      <c r="E20" s="29">
        <f t="shared" si="3"/>
        <v>0</v>
      </c>
      <c r="F20" s="29">
        <f>SUMIF(Sheet1!$F$7:$F$4000,B20,Sheet1!$K$7:$K$4000)</f>
        <v>0</v>
      </c>
      <c r="G20" s="29">
        <f t="shared" si="4"/>
        <v>0</v>
      </c>
      <c r="H20" s="29">
        <f>SUMIF(Sheet1!$F$7:$F$4000,B20,Sheet1!$M$7:$M$4000)</f>
        <v>0</v>
      </c>
      <c r="I20" s="29">
        <f t="shared" si="5"/>
        <v>0</v>
      </c>
      <c r="J20" s="29">
        <f t="shared" si="6"/>
        <v>0</v>
      </c>
      <c r="K20" s="29">
        <f t="shared" si="7"/>
        <v>0</v>
      </c>
      <c r="L20" s="29">
        <f>SUMIF(Sheet1!$F$7:$F$4000,B20,Sheet1!$R$7:$R$4000)</f>
        <v>0</v>
      </c>
      <c r="M20" s="29">
        <f>SUMIF(Sheet1!$F$7:$F$4000,B20,Sheet1!$S$7:$S$4000)</f>
        <v>0</v>
      </c>
      <c r="N20" s="29">
        <f>SUMIF(Sheet1!$F$7:$F$4000,B20,Sheet1!$T$7:$T$4000)</f>
        <v>0</v>
      </c>
      <c r="O20" s="29"/>
      <c r="P20" s="29"/>
      <c r="Q20" s="29">
        <f>SUMIF(Sheet1!$F$7:$F$4000,B20,Sheet1!$J$7:$J$4000)</f>
        <v>0</v>
      </c>
      <c r="R20" s="29">
        <f>SUMIF(Sheet1!$F$7:$F$4000,B20,Sheet1!$N$7:$N$4000)</f>
        <v>0</v>
      </c>
      <c r="S20" s="29">
        <f>SUMIF(Sheet1!$F$7:$F$4000,B20,Sheet1!$L$7:$L$4000)</f>
        <v>0</v>
      </c>
      <c r="T20" s="29">
        <f>SUMIF(Sheet1!$F$7:$F$4000,B20,Sheet1!$O$7:$O$4000)</f>
        <v>0</v>
      </c>
      <c r="U20" s="29">
        <f>SUMIF(Sheet1!$F$7:$F$4000,B20,Sheet1!$P$7:$P$4000)</f>
        <v>0</v>
      </c>
      <c r="V20" s="29">
        <f t="shared" si="8"/>
        <v>0</v>
      </c>
      <c r="W20" s="14">
        <f t="shared" si="9"/>
        <v>0</v>
      </c>
      <c r="X20" s="48">
        <f t="shared" si="10"/>
        <v>0</v>
      </c>
      <c r="Y20" s="48">
        <f>SUMIF(Sheet1!$F$7:$F$4000,B20,Sheet1!$Q$7:$Q$4000)</f>
        <v>0</v>
      </c>
      <c r="Z20" s="48">
        <f t="shared" si="11"/>
        <v>0</v>
      </c>
      <c r="AB20">
        <v>4</v>
      </c>
      <c r="AC20">
        <f>Sheet1!$A$1</f>
        <v>1</v>
      </c>
      <c r="AD20">
        <f t="shared" si="12"/>
        <v>0</v>
      </c>
      <c r="AE20">
        <f t="shared" si="13"/>
        <v>0</v>
      </c>
      <c r="AF20">
        <f t="shared" si="14"/>
        <v>0</v>
      </c>
      <c r="AG20">
        <f t="shared" si="15"/>
        <v>0</v>
      </c>
    </row>
    <row r="21" spans="1:33">
      <c r="A21" s="13">
        <f t="shared" si="1"/>
        <v>487</v>
      </c>
      <c r="B21" s="33" t="str">
        <f t="shared" si="2"/>
        <v>May-1</v>
      </c>
      <c r="C21" s="32">
        <f>Sheet1!$A$1</f>
        <v>1</v>
      </c>
      <c r="D21" s="29">
        <f>IFERROR(VLOOKUP(B21,Sheet1!$F$7:$V$4000,17,0),0)</f>
        <v>0</v>
      </c>
      <c r="E21" s="29">
        <f t="shared" si="3"/>
        <v>0</v>
      </c>
      <c r="F21" s="29">
        <f>SUMIF(Sheet1!$F$7:$F$4000,B21,Sheet1!$K$7:$K$4000)</f>
        <v>0</v>
      </c>
      <c r="G21" s="29">
        <f t="shared" si="4"/>
        <v>0</v>
      </c>
      <c r="H21" s="29">
        <f>SUMIF(Sheet1!$F$7:$F$4000,B21,Sheet1!$M$7:$M$4000)</f>
        <v>0</v>
      </c>
      <c r="I21" s="29">
        <f t="shared" si="5"/>
        <v>0</v>
      </c>
      <c r="J21" s="29">
        <f t="shared" si="6"/>
        <v>0</v>
      </c>
      <c r="K21" s="29">
        <f t="shared" si="7"/>
        <v>0</v>
      </c>
      <c r="L21" s="29">
        <f>SUMIF(Sheet1!$F$7:$F$4000,B21,Sheet1!$R$7:$R$4000)</f>
        <v>0</v>
      </c>
      <c r="M21" s="29">
        <f>SUMIF(Sheet1!$F$7:$F$4000,B21,Sheet1!$S$7:$S$4000)</f>
        <v>0</v>
      </c>
      <c r="N21" s="29">
        <f>SUMIF(Sheet1!$F$7:$F$4000,B21,Sheet1!$T$7:$T$4000)</f>
        <v>0</v>
      </c>
      <c r="O21" s="29"/>
      <c r="P21" s="29"/>
      <c r="Q21" s="29">
        <f>SUMIF(Sheet1!$F$7:$F$4000,B21,Sheet1!$J$7:$J$4000)</f>
        <v>0</v>
      </c>
      <c r="R21" s="29">
        <f>SUMIF(Sheet1!$F$7:$F$4000,B21,Sheet1!$N$7:$N$4000)</f>
        <v>0</v>
      </c>
      <c r="S21" s="29">
        <f>SUMIF(Sheet1!$F$7:$F$4000,B21,Sheet1!$L$7:$L$4000)</f>
        <v>0</v>
      </c>
      <c r="T21" s="29">
        <f>SUMIF(Sheet1!$F$7:$F$4000,B21,Sheet1!$O$7:$O$4000)</f>
        <v>0</v>
      </c>
      <c r="U21" s="29">
        <f>SUMIF(Sheet1!$F$7:$F$4000,B21,Sheet1!$P$7:$P$4000)</f>
        <v>0</v>
      </c>
      <c r="V21" s="29">
        <f t="shared" si="8"/>
        <v>0</v>
      </c>
      <c r="W21" s="14">
        <f t="shared" si="9"/>
        <v>0</v>
      </c>
      <c r="X21" s="48">
        <f t="shared" si="10"/>
        <v>0</v>
      </c>
      <c r="Y21" s="48">
        <f>SUMIF(Sheet1!$F$7:$F$4000,B21,Sheet1!$Q$7:$Q$4000)</f>
        <v>0</v>
      </c>
      <c r="Z21" s="48">
        <f t="shared" si="11"/>
        <v>0</v>
      </c>
      <c r="AB21">
        <v>5</v>
      </c>
      <c r="AC21">
        <f>Sheet1!$A$1</f>
        <v>1</v>
      </c>
      <c r="AD21">
        <f t="shared" si="12"/>
        <v>0</v>
      </c>
      <c r="AE21">
        <f t="shared" si="13"/>
        <v>0</v>
      </c>
      <c r="AF21">
        <f t="shared" si="14"/>
        <v>0</v>
      </c>
      <c r="AG21">
        <f t="shared" si="15"/>
        <v>0</v>
      </c>
    </row>
    <row r="22" spans="1:33">
      <c r="A22" s="13">
        <f t="shared" si="1"/>
        <v>518</v>
      </c>
      <c r="B22" s="33" t="str">
        <f t="shared" si="2"/>
        <v>Jun-1</v>
      </c>
      <c r="C22" s="32">
        <f>Sheet1!$A$1</f>
        <v>1</v>
      </c>
      <c r="D22" s="29">
        <f>IFERROR(VLOOKUP(B22,Sheet1!$F$7:$V$4000,17,0),0)</f>
        <v>0</v>
      </c>
      <c r="E22" s="29">
        <f t="shared" si="3"/>
        <v>0</v>
      </c>
      <c r="F22" s="29">
        <f>SUMIF(Sheet1!$F$7:$F$4000,B22,Sheet1!$K$7:$K$4000)</f>
        <v>0</v>
      </c>
      <c r="G22" s="29">
        <f t="shared" si="4"/>
        <v>0</v>
      </c>
      <c r="H22" s="29">
        <f>SUMIF(Sheet1!$F$7:$F$4000,B22,Sheet1!$M$7:$M$4000)</f>
        <v>0</v>
      </c>
      <c r="I22" s="29">
        <f t="shared" si="5"/>
        <v>0</v>
      </c>
      <c r="J22" s="29">
        <f t="shared" si="6"/>
        <v>0</v>
      </c>
      <c r="K22" s="29">
        <f t="shared" si="7"/>
        <v>0</v>
      </c>
      <c r="L22" s="29">
        <f>SUMIF(Sheet1!$F$7:$F$4000,B22,Sheet1!$R$7:$R$4000)</f>
        <v>0</v>
      </c>
      <c r="M22" s="29">
        <f>SUMIF(Sheet1!$F$7:$F$4000,B22,Sheet1!$S$7:$S$4000)</f>
        <v>0</v>
      </c>
      <c r="N22" s="29">
        <f>SUMIF(Sheet1!$F$7:$F$4000,B22,Sheet1!$T$7:$T$4000)</f>
        <v>0</v>
      </c>
      <c r="O22" s="29"/>
      <c r="P22" s="29"/>
      <c r="Q22" s="29">
        <f>SUMIF(Sheet1!$F$7:$F$4000,B22,Sheet1!$J$7:$J$4000)</f>
        <v>0</v>
      </c>
      <c r="R22" s="29">
        <f>SUMIF(Sheet1!$F$7:$F$4000,B22,Sheet1!$N$7:$N$4000)</f>
        <v>0</v>
      </c>
      <c r="S22" s="29">
        <f>SUMIF(Sheet1!$F$7:$F$4000,B22,Sheet1!$L$7:$L$4000)</f>
        <v>0</v>
      </c>
      <c r="T22" s="29">
        <f>SUMIF(Sheet1!$F$7:$F$4000,B22,Sheet1!$O$7:$O$4000)</f>
        <v>0</v>
      </c>
      <c r="U22" s="29">
        <f>SUMIF(Sheet1!$F$7:$F$4000,B22,Sheet1!$P$7:$P$4000)</f>
        <v>0</v>
      </c>
      <c r="V22" s="29">
        <f t="shared" si="8"/>
        <v>0</v>
      </c>
      <c r="W22" s="14">
        <f t="shared" si="9"/>
        <v>0</v>
      </c>
      <c r="X22" s="48">
        <f t="shared" si="10"/>
        <v>0</v>
      </c>
      <c r="Y22" s="48">
        <f>SUMIF(Sheet1!$F$7:$F$4000,B22,Sheet1!$Q$7:$Q$4000)</f>
        <v>0</v>
      </c>
      <c r="Z22" s="48">
        <f t="shared" si="11"/>
        <v>0</v>
      </c>
      <c r="AB22">
        <v>6</v>
      </c>
      <c r="AC22">
        <f>Sheet1!$A$1</f>
        <v>1</v>
      </c>
      <c r="AD22">
        <f t="shared" si="12"/>
        <v>0</v>
      </c>
      <c r="AE22">
        <f t="shared" si="13"/>
        <v>0</v>
      </c>
      <c r="AF22">
        <f t="shared" si="14"/>
        <v>0</v>
      </c>
      <c r="AG22">
        <f t="shared" si="15"/>
        <v>0</v>
      </c>
    </row>
    <row r="23" spans="1:33">
      <c r="A23" s="13">
        <f t="shared" si="1"/>
        <v>548</v>
      </c>
      <c r="B23" s="33" t="str">
        <f t="shared" si="2"/>
        <v>Jul-1</v>
      </c>
      <c r="C23" s="32">
        <f>Sheet1!$A$1</f>
        <v>1</v>
      </c>
      <c r="D23" s="29">
        <f>IFERROR(VLOOKUP(B23,Sheet1!$F$7:$V$4000,17,0),0)</f>
        <v>0</v>
      </c>
      <c r="E23" s="29">
        <f t="shared" si="3"/>
        <v>0</v>
      </c>
      <c r="F23" s="29">
        <f>SUMIF(Sheet1!$F$7:$F$4000,B23,Sheet1!$K$7:$K$4000)</f>
        <v>0</v>
      </c>
      <c r="G23" s="29">
        <f t="shared" si="4"/>
        <v>0</v>
      </c>
      <c r="H23" s="29">
        <f>SUMIF(Sheet1!$F$7:$F$4000,B23,Sheet1!$M$7:$M$4000)</f>
        <v>0</v>
      </c>
      <c r="I23" s="29">
        <f t="shared" si="5"/>
        <v>0</v>
      </c>
      <c r="J23" s="29">
        <f t="shared" si="6"/>
        <v>0</v>
      </c>
      <c r="K23" s="29">
        <f t="shared" si="7"/>
        <v>0</v>
      </c>
      <c r="L23" s="29">
        <f>SUMIF(Sheet1!$F$7:$F$4000,B23,Sheet1!$R$7:$R$4000)</f>
        <v>0</v>
      </c>
      <c r="M23" s="29">
        <f>SUMIF(Sheet1!$F$7:$F$4000,B23,Sheet1!$S$7:$S$4000)</f>
        <v>0</v>
      </c>
      <c r="N23" s="29">
        <f>SUMIF(Sheet1!$F$7:$F$4000,B23,Sheet1!$T$7:$T$4000)</f>
        <v>0</v>
      </c>
      <c r="O23" s="29"/>
      <c r="P23" s="29"/>
      <c r="Q23" s="29">
        <f>SUMIF(Sheet1!$F$7:$F$4000,B23,Sheet1!$J$7:$J$4000)</f>
        <v>0</v>
      </c>
      <c r="R23" s="29">
        <f>SUMIF(Sheet1!$F$7:$F$4000,B23,Sheet1!$N$7:$N$4000)</f>
        <v>0</v>
      </c>
      <c r="S23" s="29">
        <f>SUMIF(Sheet1!$F$7:$F$4000,B23,Sheet1!$L$7:$L$4000)</f>
        <v>0</v>
      </c>
      <c r="T23" s="29">
        <f>SUMIF(Sheet1!$F$7:$F$4000,B23,Sheet1!$O$7:$O$4000)</f>
        <v>0</v>
      </c>
      <c r="U23" s="29">
        <f>SUMIF(Sheet1!$F$7:$F$4000,B23,Sheet1!$P$7:$P$4000)</f>
        <v>0</v>
      </c>
      <c r="V23" s="29">
        <f t="shared" si="8"/>
        <v>0</v>
      </c>
      <c r="W23" s="14">
        <f t="shared" si="9"/>
        <v>0</v>
      </c>
      <c r="X23" s="48">
        <f t="shared" si="10"/>
        <v>0</v>
      </c>
      <c r="Y23" s="48">
        <f>SUMIF(Sheet1!$F$7:$F$4000,B23,Sheet1!$Q$7:$Q$4000)</f>
        <v>0</v>
      </c>
      <c r="Z23" s="48">
        <f t="shared" si="11"/>
        <v>0</v>
      </c>
      <c r="AB23">
        <v>7</v>
      </c>
      <c r="AC23">
        <f>Sheet1!$A$1</f>
        <v>1</v>
      </c>
      <c r="AD23">
        <f t="shared" si="12"/>
        <v>0</v>
      </c>
      <c r="AE23">
        <f t="shared" si="13"/>
        <v>0</v>
      </c>
      <c r="AF23">
        <f t="shared" si="14"/>
        <v>0</v>
      </c>
      <c r="AG23">
        <f t="shared" si="15"/>
        <v>0</v>
      </c>
    </row>
    <row r="24" spans="1:33">
      <c r="A24" s="13">
        <f t="shared" si="1"/>
        <v>579</v>
      </c>
      <c r="B24" s="33" t="str">
        <f t="shared" si="2"/>
        <v>Aug-1</v>
      </c>
      <c r="C24" s="32">
        <f>Sheet1!$A$1</f>
        <v>1</v>
      </c>
      <c r="D24" s="29">
        <f>IFERROR(VLOOKUP(B24,Sheet1!$F$7:$V$4000,17,0),0)</f>
        <v>0</v>
      </c>
      <c r="E24" s="29">
        <f t="shared" si="3"/>
        <v>0</v>
      </c>
      <c r="F24" s="29">
        <f>SUMIF(Sheet1!$F$7:$F$4000,B24,Sheet1!$K$7:$K$4000)</f>
        <v>0</v>
      </c>
      <c r="G24" s="29">
        <f t="shared" si="4"/>
        <v>0</v>
      </c>
      <c r="H24" s="29">
        <f>SUMIF(Sheet1!$F$7:$F$4000,B24,Sheet1!$M$7:$M$4000)</f>
        <v>0</v>
      </c>
      <c r="I24" s="29">
        <f t="shared" si="5"/>
        <v>0</v>
      </c>
      <c r="J24" s="29">
        <f t="shared" si="6"/>
        <v>0</v>
      </c>
      <c r="K24" s="29">
        <f t="shared" si="7"/>
        <v>0</v>
      </c>
      <c r="L24" s="29">
        <f>SUMIF(Sheet1!$F$7:$F$4000,B24,Sheet1!$R$7:$R$4000)</f>
        <v>0</v>
      </c>
      <c r="M24" s="29">
        <f>SUMIF(Sheet1!$F$7:$F$4000,B24,Sheet1!$S$7:$S$4000)</f>
        <v>0</v>
      </c>
      <c r="N24" s="29">
        <f>SUMIF(Sheet1!$F$7:$F$4000,B24,Sheet1!$T$7:$T$4000)</f>
        <v>0</v>
      </c>
      <c r="O24" s="29"/>
      <c r="P24" s="29"/>
      <c r="Q24" s="29">
        <f>SUMIF(Sheet1!$F$7:$F$4000,B24,Sheet1!$J$7:$J$4000)</f>
        <v>0</v>
      </c>
      <c r="R24" s="29">
        <f>SUMIF(Sheet1!$F$7:$F$4000,B24,Sheet1!$N$7:$N$4000)</f>
        <v>0</v>
      </c>
      <c r="S24" s="29">
        <f>SUMIF(Sheet1!$F$7:$F$4000,B24,Sheet1!$L$7:$L$4000)</f>
        <v>0</v>
      </c>
      <c r="T24" s="29">
        <f>SUMIF(Sheet1!$F$7:$F$4000,B24,Sheet1!$O$7:$O$4000)</f>
        <v>0</v>
      </c>
      <c r="U24" s="29">
        <f>SUMIF(Sheet1!$F$7:$F$4000,B24,Sheet1!$P$7:$P$4000)</f>
        <v>0</v>
      </c>
      <c r="V24" s="29">
        <f t="shared" si="8"/>
        <v>0</v>
      </c>
      <c r="W24" s="14">
        <f t="shared" si="9"/>
        <v>0</v>
      </c>
      <c r="X24" s="48">
        <f t="shared" si="10"/>
        <v>0</v>
      </c>
      <c r="Y24" s="48">
        <f>SUMIF(Sheet1!$F$7:$F$4000,B24,Sheet1!$Q$7:$Q$4000)</f>
        <v>0</v>
      </c>
      <c r="Z24" s="48">
        <f t="shared" si="11"/>
        <v>0</v>
      </c>
      <c r="AB24">
        <v>8</v>
      </c>
      <c r="AC24">
        <f>Sheet1!$A$1</f>
        <v>1</v>
      </c>
      <c r="AD24">
        <f t="shared" si="12"/>
        <v>0</v>
      </c>
      <c r="AE24">
        <f t="shared" si="13"/>
        <v>0</v>
      </c>
      <c r="AF24">
        <f t="shared" si="14"/>
        <v>0</v>
      </c>
      <c r="AG24">
        <f t="shared" si="15"/>
        <v>0</v>
      </c>
    </row>
    <row r="25" spans="1:33">
      <c r="A25" s="13">
        <f t="shared" si="1"/>
        <v>610</v>
      </c>
      <c r="B25" s="33" t="str">
        <f t="shared" si="2"/>
        <v>Sep-1</v>
      </c>
      <c r="C25" s="32">
        <f>Sheet1!$A$1</f>
        <v>1</v>
      </c>
      <c r="D25" s="29">
        <f>IFERROR(VLOOKUP(B25,Sheet1!$F$7:$V$4000,17,0),0)</f>
        <v>0</v>
      </c>
      <c r="E25" s="29">
        <f t="shared" si="3"/>
        <v>0</v>
      </c>
      <c r="F25" s="29">
        <f>SUMIF(Sheet1!$F$7:$F$4000,B25,Sheet1!$K$7:$K$4000)</f>
        <v>0</v>
      </c>
      <c r="G25" s="29">
        <f t="shared" si="4"/>
        <v>0</v>
      </c>
      <c r="H25" s="29">
        <f>SUMIF(Sheet1!$F$7:$F$4000,B25,Sheet1!$M$7:$M$4000)</f>
        <v>0</v>
      </c>
      <c r="I25" s="29">
        <f t="shared" si="5"/>
        <v>0</v>
      </c>
      <c r="J25" s="29">
        <f t="shared" si="6"/>
        <v>0</v>
      </c>
      <c r="K25" s="29">
        <f t="shared" si="7"/>
        <v>0</v>
      </c>
      <c r="L25" s="29">
        <f>SUMIF(Sheet1!$F$7:$F$4000,B25,Sheet1!$R$7:$R$4000)</f>
        <v>0</v>
      </c>
      <c r="M25" s="29">
        <f>SUMIF(Sheet1!$F$7:$F$4000,B25,Sheet1!$S$7:$S$4000)</f>
        <v>0</v>
      </c>
      <c r="N25" s="29">
        <f>SUMIF(Sheet1!$F$7:$F$4000,B25,Sheet1!$T$7:$T$4000)</f>
        <v>0</v>
      </c>
      <c r="O25" s="29"/>
      <c r="P25" s="29"/>
      <c r="Q25" s="29">
        <f>SUMIF(Sheet1!$F$7:$F$4000,B25,Sheet1!$J$7:$J$4000)</f>
        <v>0</v>
      </c>
      <c r="R25" s="29">
        <f>SUMIF(Sheet1!$F$7:$F$4000,B25,Sheet1!$N$7:$N$4000)</f>
        <v>0</v>
      </c>
      <c r="S25" s="29">
        <f>SUMIF(Sheet1!$F$7:$F$4000,B25,Sheet1!$L$7:$L$4000)</f>
        <v>0</v>
      </c>
      <c r="T25" s="29">
        <f>SUMIF(Sheet1!$F$7:$F$4000,B25,Sheet1!$O$7:$O$4000)</f>
        <v>0</v>
      </c>
      <c r="U25" s="29">
        <f>SUMIF(Sheet1!$F$7:$F$4000,B25,Sheet1!$P$7:$P$4000)</f>
        <v>0</v>
      </c>
      <c r="V25" s="29">
        <f t="shared" si="8"/>
        <v>0</v>
      </c>
      <c r="W25" s="14">
        <f t="shared" si="9"/>
        <v>0</v>
      </c>
      <c r="X25" s="48">
        <f t="shared" si="10"/>
        <v>0</v>
      </c>
      <c r="Y25" s="48">
        <f>SUMIF(Sheet1!$F$7:$F$4000,B25,Sheet1!$Q$7:$Q$4000)</f>
        <v>0</v>
      </c>
      <c r="Z25" s="48">
        <f t="shared" si="11"/>
        <v>0</v>
      </c>
      <c r="AB25">
        <v>9</v>
      </c>
      <c r="AC25">
        <f>Sheet1!$A$1</f>
        <v>1</v>
      </c>
      <c r="AD25">
        <f t="shared" si="12"/>
        <v>0</v>
      </c>
      <c r="AE25">
        <f t="shared" si="13"/>
        <v>0</v>
      </c>
      <c r="AF25">
        <f t="shared" si="14"/>
        <v>0</v>
      </c>
      <c r="AG25">
        <f t="shared" si="15"/>
        <v>0</v>
      </c>
    </row>
    <row r="26" spans="1:33">
      <c r="A26" s="13">
        <f t="shared" si="1"/>
        <v>640</v>
      </c>
      <c r="B26" s="33" t="str">
        <f t="shared" si="2"/>
        <v>Oct-1</v>
      </c>
      <c r="C26" s="32">
        <f>Sheet1!$A$1</f>
        <v>1</v>
      </c>
      <c r="D26" s="29">
        <f>IFERROR(VLOOKUP(B26,Sheet1!$F$7:$V$4000,17,0),0)</f>
        <v>0</v>
      </c>
      <c r="E26" s="29">
        <f t="shared" si="3"/>
        <v>0</v>
      </c>
      <c r="F26" s="29">
        <f>SUMIF(Sheet1!$F$7:$F$4000,B26,Sheet1!$K$7:$K$4000)</f>
        <v>0</v>
      </c>
      <c r="G26" s="29">
        <f t="shared" si="4"/>
        <v>0</v>
      </c>
      <c r="H26" s="29">
        <f>SUMIF(Sheet1!$F$7:$F$4000,B26,Sheet1!$M$7:$M$4000)</f>
        <v>0</v>
      </c>
      <c r="I26" s="29">
        <f t="shared" si="5"/>
        <v>0</v>
      </c>
      <c r="J26" s="29">
        <f t="shared" si="6"/>
        <v>0</v>
      </c>
      <c r="K26" s="29">
        <f t="shared" si="7"/>
        <v>0</v>
      </c>
      <c r="L26" s="29">
        <f>SUMIF(Sheet1!$F$7:$F$4000,B26,Sheet1!$R$7:$R$4000)</f>
        <v>0</v>
      </c>
      <c r="M26" s="29">
        <f>SUMIF(Sheet1!$F$7:$F$4000,B26,Sheet1!$S$7:$S$4000)</f>
        <v>0</v>
      </c>
      <c r="N26" s="29">
        <f>SUMIF(Sheet1!$F$7:$F$4000,B26,Sheet1!$T$7:$T$4000)</f>
        <v>0</v>
      </c>
      <c r="O26" s="29"/>
      <c r="P26" s="29"/>
      <c r="Q26" s="29">
        <f>SUMIF(Sheet1!$F$7:$F$4000,B26,Sheet1!$J$7:$J$4000)</f>
        <v>0</v>
      </c>
      <c r="R26" s="29">
        <f>SUMIF(Sheet1!$F$7:$F$4000,B26,Sheet1!$N$7:$N$4000)</f>
        <v>0</v>
      </c>
      <c r="S26" s="29">
        <f>SUMIF(Sheet1!$F$7:$F$4000,B26,Sheet1!$L$7:$L$4000)</f>
        <v>0</v>
      </c>
      <c r="T26" s="29">
        <f>SUMIF(Sheet1!$F$7:$F$4000,B26,Sheet1!$O$7:$O$4000)</f>
        <v>0</v>
      </c>
      <c r="U26" s="29">
        <f>SUMIF(Sheet1!$F$7:$F$4000,B26,Sheet1!$P$7:$P$4000)</f>
        <v>0</v>
      </c>
      <c r="V26" s="29">
        <f t="shared" si="8"/>
        <v>0</v>
      </c>
      <c r="W26" s="14">
        <f t="shared" si="9"/>
        <v>0</v>
      </c>
      <c r="X26" s="48">
        <f t="shared" si="10"/>
        <v>0</v>
      </c>
      <c r="Y26" s="48">
        <f>SUMIF(Sheet1!$F$7:$F$4000,B26,Sheet1!$Q$7:$Q$4000)</f>
        <v>0</v>
      </c>
      <c r="Z26" s="48">
        <f t="shared" si="11"/>
        <v>0</v>
      </c>
      <c r="AB26">
        <v>10</v>
      </c>
      <c r="AC26">
        <f>Sheet1!$A$1</f>
        <v>1</v>
      </c>
      <c r="AD26">
        <f t="shared" si="12"/>
        <v>0</v>
      </c>
      <c r="AE26">
        <f t="shared" si="13"/>
        <v>0</v>
      </c>
      <c r="AF26">
        <f t="shared" si="14"/>
        <v>0</v>
      </c>
      <c r="AG26">
        <f t="shared" si="15"/>
        <v>0</v>
      </c>
    </row>
    <row r="27" spans="1:33">
      <c r="A27" s="13">
        <f t="shared" si="1"/>
        <v>671</v>
      </c>
      <c r="B27" s="33" t="str">
        <f t="shared" si="2"/>
        <v>Nov-1</v>
      </c>
      <c r="C27" s="32">
        <f>Sheet1!$A$1</f>
        <v>1</v>
      </c>
      <c r="D27" s="29">
        <f>IFERROR(VLOOKUP(B27,Sheet1!$F$7:$V$4000,17,0),0)</f>
        <v>0</v>
      </c>
      <c r="E27" s="29">
        <f t="shared" si="3"/>
        <v>0</v>
      </c>
      <c r="F27" s="29">
        <f>SUMIF(Sheet1!$F$7:$F$4000,B27,Sheet1!$K$7:$K$4000)</f>
        <v>0</v>
      </c>
      <c r="G27" s="29">
        <f t="shared" si="4"/>
        <v>0</v>
      </c>
      <c r="H27" s="29">
        <f>SUMIF(Sheet1!$F$7:$F$4000,B27,Sheet1!$M$7:$M$4000)</f>
        <v>0</v>
      </c>
      <c r="I27" s="29">
        <f t="shared" si="5"/>
        <v>0</v>
      </c>
      <c r="J27" s="29">
        <f t="shared" si="6"/>
        <v>0</v>
      </c>
      <c r="K27" s="29">
        <f t="shared" si="7"/>
        <v>0</v>
      </c>
      <c r="L27" s="29">
        <f>SUMIF(Sheet1!$F$7:$F$4000,B27,Sheet1!$R$7:$R$4000)</f>
        <v>0</v>
      </c>
      <c r="M27" s="29">
        <f>SUMIF(Sheet1!$F$7:$F$4000,B27,Sheet1!$S$7:$S$4000)</f>
        <v>0</v>
      </c>
      <c r="N27" s="29">
        <f>SUMIF(Sheet1!$F$7:$F$4000,B27,Sheet1!$T$7:$T$4000)</f>
        <v>0</v>
      </c>
      <c r="O27" s="29"/>
      <c r="P27" s="29"/>
      <c r="Q27" s="29">
        <f>SUMIF(Sheet1!$F$7:$F$4000,B27,Sheet1!$J$7:$J$4000)</f>
        <v>0</v>
      </c>
      <c r="R27" s="29">
        <f>SUMIF(Sheet1!$F$7:$F$4000,B27,Sheet1!$N$7:$N$4000)</f>
        <v>0</v>
      </c>
      <c r="S27" s="29">
        <f>SUMIF(Sheet1!$F$7:$F$4000,B27,Sheet1!$L$7:$L$4000)</f>
        <v>0</v>
      </c>
      <c r="T27" s="29">
        <f>SUMIF(Sheet1!$F$7:$F$4000,B27,Sheet1!$O$7:$O$4000)</f>
        <v>0</v>
      </c>
      <c r="U27" s="29">
        <f>SUMIF(Sheet1!$F$7:$F$4000,B27,Sheet1!$P$7:$P$4000)</f>
        <v>0</v>
      </c>
      <c r="V27" s="29">
        <f t="shared" si="8"/>
        <v>0</v>
      </c>
      <c r="W27" s="14">
        <f t="shared" si="9"/>
        <v>0</v>
      </c>
      <c r="X27" s="48">
        <f t="shared" si="10"/>
        <v>0</v>
      </c>
      <c r="Y27" s="48">
        <f>SUMIF(Sheet1!$F$7:$F$4000,B27,Sheet1!$Q$7:$Q$4000)</f>
        <v>0</v>
      </c>
      <c r="Z27" s="48">
        <f t="shared" si="11"/>
        <v>0</v>
      </c>
      <c r="AB27">
        <v>11</v>
      </c>
      <c r="AC27">
        <f>Sheet1!$A$1</f>
        <v>1</v>
      </c>
      <c r="AD27">
        <f t="shared" si="12"/>
        <v>0</v>
      </c>
      <c r="AE27">
        <f t="shared" si="13"/>
        <v>0</v>
      </c>
      <c r="AF27">
        <f t="shared" si="14"/>
        <v>0</v>
      </c>
      <c r="AG27">
        <f t="shared" si="15"/>
        <v>0</v>
      </c>
    </row>
    <row r="28" spans="1:33">
      <c r="A28" s="13">
        <f t="shared" si="1"/>
        <v>701</v>
      </c>
      <c r="B28" s="33" t="str">
        <f t="shared" si="2"/>
        <v>Dec-1</v>
      </c>
      <c r="C28" s="32">
        <f>Sheet1!$A$1</f>
        <v>1</v>
      </c>
      <c r="D28" s="29">
        <f>IFERROR(VLOOKUP(B28,Sheet1!$F$7:$V$4000,17,0),0)</f>
        <v>0</v>
      </c>
      <c r="E28" s="29">
        <f t="shared" si="3"/>
        <v>0</v>
      </c>
      <c r="F28" s="29">
        <f>SUMIF(Sheet1!$F$7:$F$4000,B28,Sheet1!$K$7:$K$4000)</f>
        <v>0</v>
      </c>
      <c r="G28" s="29">
        <f t="shared" si="4"/>
        <v>0</v>
      </c>
      <c r="H28" s="29">
        <f>SUMIF(Sheet1!$F$7:$F$4000,B28,Sheet1!$M$7:$M$4000)</f>
        <v>0</v>
      </c>
      <c r="I28" s="29">
        <f t="shared" si="5"/>
        <v>0</v>
      </c>
      <c r="J28" s="29">
        <f t="shared" si="6"/>
        <v>0</v>
      </c>
      <c r="K28" s="29">
        <f t="shared" si="7"/>
        <v>0</v>
      </c>
      <c r="L28" s="29">
        <f>SUMIF(Sheet1!$F$7:$F$4000,B28,Sheet1!$R$7:$R$4000)</f>
        <v>0</v>
      </c>
      <c r="M28" s="29">
        <f>SUMIF(Sheet1!$F$7:$F$4000,B28,Sheet1!$S$7:$S$4000)</f>
        <v>0</v>
      </c>
      <c r="N28" s="29">
        <f>SUMIF(Sheet1!$F$7:$F$4000,B28,Sheet1!$T$7:$T$4000)</f>
        <v>0</v>
      </c>
      <c r="O28" s="29"/>
      <c r="P28" s="29"/>
      <c r="Q28" s="29">
        <f>SUMIF(Sheet1!$F$7:$F$4000,B28,Sheet1!$J$7:$J$4000)</f>
        <v>0</v>
      </c>
      <c r="R28" s="29">
        <f>SUMIF(Sheet1!$F$7:$F$4000,B28,Sheet1!$N$7:$N$4000)</f>
        <v>0</v>
      </c>
      <c r="S28" s="29">
        <f>SUMIF(Sheet1!$F$7:$F$4000,B28,Sheet1!$L$7:$L$4000)</f>
        <v>0</v>
      </c>
      <c r="T28" s="29">
        <f>SUMIF(Sheet1!$F$7:$F$4000,B28,Sheet1!$O$7:$O$4000)</f>
        <v>0</v>
      </c>
      <c r="U28" s="29">
        <f>SUMIF(Sheet1!$F$7:$F$4000,B28,Sheet1!$P$7:$P$4000)</f>
        <v>0</v>
      </c>
      <c r="V28" s="29">
        <f t="shared" si="8"/>
        <v>0</v>
      </c>
      <c r="W28" s="14">
        <f t="shared" si="9"/>
        <v>0</v>
      </c>
      <c r="X28" s="48">
        <f t="shared" si="10"/>
        <v>0</v>
      </c>
      <c r="Y28" s="48">
        <f>SUMIF(Sheet1!$F$7:$F$4000,B28,Sheet1!$Q$7:$Q$4000)</f>
        <v>0</v>
      </c>
      <c r="Z28" s="48">
        <f t="shared" si="11"/>
        <v>0</v>
      </c>
      <c r="AB28">
        <v>12</v>
      </c>
      <c r="AC28">
        <f>Sheet1!$A$1</f>
        <v>1</v>
      </c>
      <c r="AD28">
        <f t="shared" si="12"/>
        <v>0</v>
      </c>
      <c r="AE28">
        <f t="shared" si="13"/>
        <v>0</v>
      </c>
      <c r="AF28">
        <f t="shared" si="14"/>
        <v>0</v>
      </c>
      <c r="AG28">
        <f t="shared" si="15"/>
        <v>0</v>
      </c>
    </row>
    <row r="29" spans="1:33">
      <c r="A29" s="5"/>
      <c r="B29" s="31"/>
      <c r="C29" s="3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33">
      <c r="A30" s="5"/>
      <c r="B30" s="31"/>
      <c r="C30" s="3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33">
      <c r="A31" s="5"/>
      <c r="B31" s="31"/>
      <c r="C31" s="3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33">
      <c r="A32" s="5"/>
      <c r="B32" s="31"/>
      <c r="C32" s="3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31"/>
      <c r="C33" s="3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31"/>
      <c r="C34" s="3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31"/>
      <c r="C35" s="3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31"/>
      <c r="C36" s="3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31"/>
      <c r="C37" s="3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31"/>
      <c r="C38" s="3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31"/>
      <c r="C39" s="3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31"/>
      <c r="C40" s="3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31"/>
      <c r="C41" s="3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31"/>
      <c r="C42" s="3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31"/>
      <c r="C43" s="3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31"/>
      <c r="C44" s="3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31"/>
      <c r="C45" s="3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31"/>
      <c r="C46" s="3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31"/>
      <c r="C47" s="3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31"/>
      <c r="C48" s="3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31"/>
      <c r="C49" s="3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31"/>
      <c r="C50" s="3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31"/>
      <c r="C51" s="3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31"/>
      <c r="C52" s="3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31"/>
      <c r="C53" s="3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31"/>
      <c r="C54" s="3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31"/>
      <c r="C55" s="3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31"/>
      <c r="C56" s="3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31"/>
      <c r="C57" s="3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31"/>
      <c r="C58" s="3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31"/>
      <c r="C59" s="3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31"/>
      <c r="C60" s="3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31"/>
      <c r="C61" s="3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31"/>
      <c r="C62" s="3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31"/>
      <c r="C63" s="3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31"/>
      <c r="C64" s="3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31"/>
      <c r="C65" s="3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31"/>
      <c r="C66" s="3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31"/>
      <c r="C67" s="3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31"/>
      <c r="C68" s="3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31"/>
      <c r="C69" s="3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31"/>
      <c r="C70" s="3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31"/>
      <c r="C71" s="3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31"/>
      <c r="C72" s="3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31"/>
      <c r="C73" s="3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31"/>
      <c r="C74" s="3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31"/>
      <c r="C75" s="3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31"/>
      <c r="C76" s="3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31"/>
      <c r="C77" s="3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31"/>
      <c r="C78" s="3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31"/>
      <c r="C79" s="3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31"/>
      <c r="C80" s="3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31"/>
      <c r="C81" s="3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31"/>
      <c r="C82" s="3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31"/>
      <c r="C83" s="3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31"/>
      <c r="C84" s="3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31"/>
      <c r="C85" s="3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31"/>
      <c r="C86" s="3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31"/>
      <c r="C87" s="3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31"/>
      <c r="C88" s="3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31"/>
      <c r="C89" s="3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31"/>
      <c r="C90" s="3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31"/>
      <c r="C91" s="3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31"/>
      <c r="C92" s="3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31"/>
      <c r="C93" s="3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31"/>
      <c r="C94" s="3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31"/>
      <c r="C95" s="3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31"/>
      <c r="C96" s="3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31"/>
      <c r="C97" s="3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31"/>
      <c r="C98" s="3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31"/>
      <c r="C99" s="3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31"/>
      <c r="C100" s="3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31"/>
      <c r="C101" s="3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31"/>
      <c r="C102" s="3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31"/>
      <c r="C103" s="3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</sheetData>
  <mergeCells count="3">
    <mergeCell ref="A3:D3"/>
    <mergeCell ref="E3:P3"/>
    <mergeCell ref="Q3:Z3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Sales per employees</vt:lpstr>
      <vt:lpstr>비교 So sánh</vt:lpstr>
      <vt:lpstr>월별분석 Phân tích theo tháng</vt:lpstr>
      <vt:lpstr>업무월별분석 Phân tích CV theo tháng</vt:lpstr>
      <vt:lpstr>월별 기본데이터 합계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2021-11-02T08:19:50Z</dcterms:modified>
</cp:coreProperties>
</file>