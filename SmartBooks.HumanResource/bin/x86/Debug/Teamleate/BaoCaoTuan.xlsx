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SAUDIT\GitHub\ISVietNam\SmartBooks.HumanResource\bin\x86\Debug\Teamleate\"/>
    </mc:Choice>
  </mc:AlternateContent>
  <bookViews>
    <workbookView xWindow="0" yWindow="0" windowWidth="20490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" l="1"/>
  <c r="C23" i="1"/>
  <c r="H60" i="1" l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CV16" i="1"/>
  <c r="CY16" i="1" s="1"/>
  <c r="CU16" i="1"/>
  <c r="CC16" i="1"/>
  <c r="CF16" i="1" s="1"/>
  <c r="CB16" i="1"/>
  <c r="BJ16" i="1"/>
  <c r="BM16" i="1" s="1"/>
  <c r="BI16" i="1"/>
  <c r="AQ16" i="1"/>
  <c r="AP16" i="1"/>
  <c r="AP11" i="1" s="1"/>
  <c r="X16" i="1"/>
  <c r="AA16" i="1" s="1"/>
  <c r="W16" i="1"/>
  <c r="W11" i="1" s="1"/>
  <c r="K15" i="1"/>
  <c r="L15" i="1" s="1"/>
  <c r="M15" i="1" s="1"/>
  <c r="N15" i="1" s="1"/>
  <c r="O15" i="1" s="1"/>
  <c r="P15" i="1" s="1"/>
  <c r="Q15" i="1" s="1"/>
  <c r="R15" i="1" s="1"/>
  <c r="S15" i="1" s="1"/>
  <c r="T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Z15" i="1" s="1"/>
  <c r="DA15" i="1" s="1"/>
  <c r="DB15" i="1" s="1"/>
  <c r="DC15" i="1" s="1"/>
  <c r="J15" i="1"/>
  <c r="D26" i="1"/>
  <c r="DD11" i="1"/>
  <c r="DC11" i="1"/>
  <c r="DB11" i="1"/>
  <c r="DA11" i="1"/>
  <c r="CZ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F11" i="1"/>
  <c r="E11" i="1"/>
  <c r="D11" i="1"/>
  <c r="C11" i="1"/>
  <c r="CW16" i="1" l="1"/>
  <c r="CX16" i="1" s="1"/>
  <c r="CD16" i="1"/>
  <c r="CE16" i="1" s="1"/>
  <c r="O7" i="1" s="1"/>
  <c r="J8" i="1"/>
  <c r="J6" i="1"/>
  <c r="Y16" i="1"/>
  <c r="P8" i="1"/>
  <c r="P6" i="1"/>
  <c r="P7" i="1"/>
  <c r="P9" i="1"/>
  <c r="N6" i="1"/>
  <c r="N8" i="1"/>
  <c r="N9" i="1"/>
  <c r="N7" i="1"/>
  <c r="R6" i="1"/>
  <c r="R8" i="1"/>
  <c r="R9" i="1"/>
  <c r="R7" i="1"/>
  <c r="J7" i="1"/>
  <c r="O8" i="1"/>
  <c r="J9" i="1"/>
  <c r="CU11" i="1"/>
  <c r="I33" i="1"/>
  <c r="J33" i="1"/>
  <c r="AT16" i="1"/>
  <c r="AR16" i="1"/>
  <c r="DE16" i="1"/>
  <c r="DF16" i="1"/>
  <c r="DF22" i="1" s="1"/>
  <c r="AQ11" i="1"/>
  <c r="BJ11" i="1"/>
  <c r="Z16" i="1"/>
  <c r="BI11" i="1"/>
  <c r="BK16" i="1"/>
  <c r="J40" i="1"/>
  <c r="I40" i="1"/>
  <c r="X11" i="1"/>
  <c r="CB11" i="1"/>
  <c r="CV11" i="1"/>
  <c r="I47" i="1"/>
  <c r="J47" i="1"/>
  <c r="CC11" i="1"/>
  <c r="K12" i="1"/>
  <c r="J26" i="1"/>
  <c r="I26" i="1"/>
  <c r="J54" i="1"/>
  <c r="I54" i="1"/>
  <c r="O9" i="1" l="1"/>
  <c r="O6" i="1"/>
  <c r="Q9" i="1"/>
  <c r="Q7" i="1"/>
  <c r="Q8" i="1"/>
  <c r="Q6" i="1"/>
  <c r="L8" i="1"/>
  <c r="L6" i="1"/>
  <c r="L7" i="1"/>
  <c r="L9" i="1"/>
  <c r="I9" i="1"/>
  <c r="I6" i="1"/>
  <c r="I7" i="1"/>
  <c r="I8" i="1"/>
  <c r="CF11" i="1"/>
  <c r="Y11" i="1"/>
  <c r="BL16" i="1"/>
  <c r="BK11" i="1"/>
  <c r="CE11" i="1"/>
  <c r="AT11" i="1"/>
  <c r="CW11" i="1"/>
  <c r="DE11" i="1"/>
  <c r="CD11" i="1"/>
  <c r="CY11" i="1"/>
  <c r="AS16" i="1"/>
  <c r="AR11" i="1"/>
  <c r="BM11" i="1"/>
  <c r="D27" i="1"/>
  <c r="M12" i="1"/>
  <c r="Z11" i="1"/>
  <c r="CX11" i="1"/>
  <c r="AA11" i="1"/>
  <c r="DG16" i="1"/>
  <c r="DF11" i="1"/>
  <c r="T7" i="1" l="1"/>
  <c r="T9" i="1"/>
  <c r="T6" i="1"/>
  <c r="T8" i="1"/>
  <c r="K7" i="1"/>
  <c r="K9" i="1"/>
  <c r="K6" i="1"/>
  <c r="K8" i="1"/>
  <c r="M9" i="1"/>
  <c r="M7" i="1"/>
  <c r="M8" i="1"/>
  <c r="M6" i="1"/>
  <c r="D28" i="1"/>
  <c r="O12" i="1"/>
  <c r="AS11" i="1"/>
  <c r="BL11" i="1"/>
  <c r="DG11" i="1"/>
  <c r="D29" i="1" l="1"/>
  <c r="Q12" i="1"/>
  <c r="D30" i="1" l="1"/>
  <c r="S12" i="1"/>
  <c r="D31" i="1" l="1"/>
  <c r="AB12" i="1"/>
  <c r="U12" i="1"/>
  <c r="D32" i="1" s="1"/>
  <c r="D33" i="1" l="1"/>
  <c r="AD12" i="1"/>
  <c r="D34" i="1" l="1"/>
  <c r="AF12" i="1"/>
  <c r="D35" i="1" l="1"/>
  <c r="AH12" i="1"/>
  <c r="D36" i="1" l="1"/>
  <c r="AJ12" i="1"/>
  <c r="D37" i="1" l="1"/>
  <c r="AL12" i="1"/>
  <c r="D38" i="1" l="1"/>
  <c r="AN12" i="1"/>
  <c r="D39" i="1" s="1"/>
  <c r="AU12" i="1"/>
  <c r="D40" i="1" l="1"/>
  <c r="AW12" i="1"/>
  <c r="D41" i="1" l="1"/>
  <c r="AY12" i="1"/>
  <c r="D42" i="1" l="1"/>
  <c r="BA12" i="1"/>
  <c r="D43" i="1" l="1"/>
  <c r="BC12" i="1"/>
  <c r="D44" i="1" l="1"/>
  <c r="BE12" i="1"/>
  <c r="D45" i="1" l="1"/>
  <c r="BN12" i="1"/>
  <c r="BG12" i="1"/>
  <c r="D46" i="1" s="1"/>
  <c r="D47" i="1" l="1"/>
  <c r="BP12" i="1"/>
  <c r="D48" i="1" l="1"/>
  <c r="BR12" i="1"/>
  <c r="D49" i="1" l="1"/>
  <c r="BT12" i="1"/>
  <c r="D50" i="1" l="1"/>
  <c r="BV12" i="1"/>
  <c r="D51" i="1" l="1"/>
  <c r="BX12" i="1"/>
  <c r="D52" i="1" l="1"/>
  <c r="BZ12" i="1"/>
  <c r="D53" i="1" s="1"/>
  <c r="CG12" i="1"/>
  <c r="D54" i="1" l="1"/>
  <c r="CI12" i="1"/>
  <c r="D55" i="1" l="1"/>
  <c r="CK12" i="1"/>
  <c r="D56" i="1" l="1"/>
  <c r="CM12" i="1"/>
  <c r="D57" i="1" l="1"/>
  <c r="CO12" i="1"/>
  <c r="D58" i="1" l="1"/>
  <c r="CQ12" i="1"/>
  <c r="D59" i="1" l="1"/>
  <c r="CZ12" i="1"/>
  <c r="DB12" i="1" s="1"/>
  <c r="CS12" i="1"/>
  <c r="D60" i="1" s="1"/>
</calcChain>
</file>

<file path=xl/sharedStrings.xml><?xml version="1.0" encoding="utf-8"?>
<sst xmlns="http://schemas.openxmlformats.org/spreadsheetml/2006/main" count="296" uniqueCount="141">
  <si>
    <t>CÔNG TY TNHH I.S VIỆT NAM</t>
  </si>
  <si>
    <t>BẢNG CHẤM CÔNG THÁNG 12/2019</t>
  </si>
  <si>
    <t>TUAN I</t>
  </si>
  <si>
    <t>TUAN II</t>
  </si>
  <si>
    <t>TUAN III</t>
  </si>
  <si>
    <t>TUAN IV</t>
  </si>
  <si>
    <t>TUAN V</t>
  </si>
  <si>
    <t>OT MONTHLY</t>
  </si>
  <si>
    <t>BẢNG PHÂN TÍCH</t>
  </si>
  <si>
    <t>WH +OT</t>
  </si>
  <si>
    <t>OT</t>
  </si>
  <si>
    <t>WH + OT</t>
  </si>
  <si>
    <t>A</t>
  </si>
  <si>
    <t>&lt;48</t>
  </si>
  <si>
    <t>&lt;12</t>
  </si>
  <si>
    <t>B</t>
  </si>
  <si>
    <t>48 &lt; 60</t>
  </si>
  <si>
    <t>=12</t>
  </si>
  <si>
    <t>=48</t>
  </si>
  <si>
    <t>C</t>
  </si>
  <si>
    <t>&gt;60&lt;72</t>
  </si>
  <si>
    <t>&gt;12&lt;=15</t>
  </si>
  <si>
    <t>&gt;48&lt;=60</t>
  </si>
  <si>
    <t>D</t>
  </si>
  <si>
    <t>&gt;72</t>
  </si>
  <si>
    <t>&gt;15</t>
  </si>
  <si>
    <t>&gt;60</t>
  </si>
  <si>
    <t>STT</t>
  </si>
  <si>
    <t>MSNV</t>
  </si>
  <si>
    <t>VỊ TRÍ</t>
  </si>
  <si>
    <t>HỌ VÀ TÊN</t>
  </si>
  <si>
    <t>Nu</t>
  </si>
  <si>
    <t>Ngày vào làm</t>
  </si>
  <si>
    <t>KẾT QuẢ</t>
  </si>
  <si>
    <t>Phân loại (A,B,C,D)</t>
  </si>
  <si>
    <t xml:space="preserve">SỐ GIỜ </t>
  </si>
  <si>
    <t>Chủ nhật</t>
  </si>
  <si>
    <t>TUẦN I</t>
  </si>
  <si>
    <t>TUẦN II</t>
  </si>
  <si>
    <t>TUẦN III</t>
  </si>
  <si>
    <t>TUẦN IV</t>
  </si>
  <si>
    <t>TUẦN V</t>
  </si>
  <si>
    <t>THÁNG</t>
  </si>
  <si>
    <t xml:space="preserve">Số giờ </t>
  </si>
  <si>
    <t>Tăngca</t>
  </si>
  <si>
    <t>Tăng ca</t>
  </si>
  <si>
    <t>Tổng giờ</t>
  </si>
  <si>
    <t>Giờ +tăng ca</t>
  </si>
  <si>
    <t>Tổng giờ làm thêm trong tháng</t>
  </si>
  <si>
    <t xml:space="preserve">Date </t>
  </si>
  <si>
    <t>Week</t>
  </si>
  <si>
    <t>Daily maximum OT (hours)</t>
  </si>
  <si>
    <t>No. of workers worked OT &gt; 4 hours/day</t>
  </si>
  <si>
    <t>Weekly maximum OT (hours)</t>
  </si>
  <si>
    <t>No. of workers worked OT &gt; 12 hours/week</t>
  </si>
  <si>
    <t>No. of workers worked on Sundays with supplemental rest days</t>
  </si>
  <si>
    <t>Remark</t>
  </si>
  <si>
    <t>Week 1</t>
  </si>
  <si>
    <t>Sunday</t>
  </si>
  <si>
    <t>Week 2</t>
  </si>
  <si>
    <t>Week 3</t>
  </si>
  <si>
    <t>Week 4</t>
  </si>
  <si>
    <t>Week 5</t>
  </si>
  <si>
    <t>NgayDau</t>
  </si>
  <si>
    <t>No</t>
  </si>
  <si>
    <t>Employee_ID</t>
  </si>
  <si>
    <t>PositionFullName</t>
  </si>
  <si>
    <t>FullName</t>
  </si>
  <si>
    <t>Sex</t>
  </si>
  <si>
    <t>StartedDate</t>
  </si>
  <si>
    <t>Normal_Monday1</t>
  </si>
  <si>
    <t>Extra_Monday1</t>
  </si>
  <si>
    <t>Normal_Tuesday1</t>
  </si>
  <si>
    <t>Extra_Tuesday1</t>
  </si>
  <si>
    <t>Normal_Wednesday1</t>
  </si>
  <si>
    <t>Extra_Wednesday1</t>
  </si>
  <si>
    <t>Normal_Thursday1</t>
  </si>
  <si>
    <t>Extra_Thursday1</t>
  </si>
  <si>
    <t>Normal_Friday1</t>
  </si>
  <si>
    <t>Extra_Friday1</t>
  </si>
  <si>
    <t>Normal_Saturday1</t>
  </si>
  <si>
    <t>Extra_Saturday1</t>
  </si>
  <si>
    <t>Normal_Sunday2</t>
  </si>
  <si>
    <t>Extra_Sunday2</t>
  </si>
  <si>
    <t>Normal_Monday2</t>
  </si>
  <si>
    <t>Extra_Monday2</t>
  </si>
  <si>
    <t>Normal_Tuesday2</t>
  </si>
  <si>
    <t>Extra_Tuesday2</t>
  </si>
  <si>
    <t>Normal_Wednesday2</t>
  </si>
  <si>
    <t>Extra_Wednesday2</t>
  </si>
  <si>
    <t>Normal_Thursday2</t>
  </si>
  <si>
    <t>Extra_Thursday2</t>
  </si>
  <si>
    <t>Normal_Friday2</t>
  </si>
  <si>
    <t>Extra_Friday2</t>
  </si>
  <si>
    <t>Normal_Saturday2</t>
  </si>
  <si>
    <t>Extra_Saturday2</t>
  </si>
  <si>
    <t>Normal_Sunday3</t>
  </si>
  <si>
    <t>Extra_Sunday3</t>
  </si>
  <si>
    <t>Normal_Monday3</t>
  </si>
  <si>
    <t>Extra_Monday3</t>
  </si>
  <si>
    <t>Normal_Tuesday3</t>
  </si>
  <si>
    <t>Extra_Tuesday3</t>
  </si>
  <si>
    <t>Normal_Wednesday3</t>
  </si>
  <si>
    <t>Extra_Wednesday3</t>
  </si>
  <si>
    <t>Normal_Thursday3</t>
  </si>
  <si>
    <t>Extra_Thursday3</t>
  </si>
  <si>
    <t>Normal_Friday3</t>
  </si>
  <si>
    <t>Extra_Friday3</t>
  </si>
  <si>
    <t>Normal_Saturday3</t>
  </si>
  <si>
    <t>Extra_Saturday3</t>
  </si>
  <si>
    <t>Normal_Sunday4</t>
  </si>
  <si>
    <t>Extra_Sunday4</t>
  </si>
  <si>
    <t>Normal_Monday4</t>
  </si>
  <si>
    <t>Extra_Monday4</t>
  </si>
  <si>
    <t>Normal_Tuesday4</t>
  </si>
  <si>
    <t>Extra_Tuesday4</t>
  </si>
  <si>
    <t>Normal_Wednesday4</t>
  </si>
  <si>
    <t>Extra_Wednesday4</t>
  </si>
  <si>
    <t>Normal_Thursday4</t>
  </si>
  <si>
    <t>Extra_Thursday4</t>
  </si>
  <si>
    <t>Normal_Friday4</t>
  </si>
  <si>
    <t>Extra_Friday4</t>
  </si>
  <si>
    <t>Normal_Saturday4</t>
  </si>
  <si>
    <t>Extra_Saturday4</t>
  </si>
  <si>
    <t>Normal_Sunday5</t>
  </si>
  <si>
    <t>Extra_Sunday5</t>
  </si>
  <si>
    <t>Normal_Monday5</t>
  </si>
  <si>
    <t>Extra_Monday5</t>
  </si>
  <si>
    <t>Normal_Tuesday5</t>
  </si>
  <si>
    <t>Extra_Tuesday5</t>
  </si>
  <si>
    <t>Normal_Wednesday5</t>
  </si>
  <si>
    <t>Extra_Wednesday5</t>
  </si>
  <si>
    <t>Normal_Thursday5</t>
  </si>
  <si>
    <t>Extra_Thursday5</t>
  </si>
  <si>
    <t>Normal_Friday5</t>
  </si>
  <si>
    <t>Extra_Friday5</t>
  </si>
  <si>
    <t>Normal_Saturday5</t>
  </si>
  <si>
    <t>Extra_Saturday5</t>
  </si>
  <si>
    <t>Normal_Sunday6</t>
  </si>
  <si>
    <t>Extra_Sunday6</t>
  </si>
  <si>
    <t>Ngày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</si>
</sst>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5" formatCode="_-&quot;$&quot;* #,##0.00_-;\-&quot;$&quot;* #,##0.00_-;_-&quot;$&quot;* &quot;-&quot;??_-;_-@_-"/>
    <numFmt numFmtId="166" formatCode="[$-409]d\-mmm\-yy;@"/>
    <numFmt numFmtId="167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name val="Times New Roman"/>
      <family val="1"/>
    </font>
    <font>
      <b/>
      <sz val="20"/>
      <name val="Times New Roman"/>
      <family val="1"/>
    </font>
    <font>
      <b/>
      <sz val="10"/>
      <color indexed="12"/>
      <name val="Times New Roman"/>
      <family val="1"/>
    </font>
    <font>
      <b/>
      <sz val="10"/>
      <name val="Times New Roman"/>
      <family val="1"/>
    </font>
    <font>
      <b/>
      <u/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Times New Roman"/>
      <family val="1"/>
    </font>
    <font>
      <b/>
      <sz val="11"/>
      <color indexed="56"/>
      <name val="Times New Roman"/>
      <family val="1"/>
    </font>
    <font>
      <b/>
      <sz val="11"/>
      <color indexed="10"/>
      <name val="Times New Roman"/>
      <family val="1"/>
    </font>
    <font>
      <b/>
      <sz val="11"/>
      <color indexed="12"/>
      <name val="Times New Roman"/>
      <family val="1"/>
    </font>
    <font>
      <b/>
      <sz val="12"/>
      <color indexed="12"/>
      <name val="Times New Roman"/>
      <family val="1"/>
    </font>
    <font>
      <sz val="10"/>
      <color indexed="1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Arial"/>
      <family val="2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5" fontId="18" fillId="0" borderId="0"/>
    <xf numFmtId="0" fontId="18" fillId="0" borderId="0"/>
    <xf numFmtId="0" fontId="18" fillId="0" borderId="0"/>
  </cellStyleXfs>
  <cellXfs count="100">
    <xf numFmtId="0" fontId="0" fillId="0" borderId="0" xfId="0"/>
    <xf numFmtId="0" fontId="2" fillId="0" borderId="0" xfId="0" applyNumberFormat="1" applyFont="1" applyAlignme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/>
    <xf numFmtId="0" fontId="4" fillId="2" borderId="1" xfId="0" applyNumberFormat="1" applyFont="1" applyFill="1" applyBorder="1" applyAlignment="1">
      <alignment horizontal="center"/>
    </xf>
    <xf numFmtId="0" fontId="4" fillId="2" borderId="2" xfId="0" applyNumberFormat="1" applyFont="1" applyFill="1" applyBorder="1" applyAlignment="1">
      <alignment horizontal="center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4" fillId="2" borderId="5" xfId="0" applyNumberFormat="1" applyFont="1" applyFill="1" applyBorder="1" applyAlignment="1"/>
    <xf numFmtId="0" fontId="8" fillId="2" borderId="5" xfId="0" applyNumberFormat="1" applyFont="1" applyFill="1" applyBorder="1" applyAlignment="1">
      <alignment horizont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9" fillId="0" borderId="5" xfId="0" applyNumberFormat="1" applyFont="1" applyBorder="1" applyAlignment="1"/>
    <xf numFmtId="0" fontId="10" fillId="0" borderId="5" xfId="0" applyNumberFormat="1" applyFont="1" applyBorder="1" applyAlignment="1"/>
    <xf numFmtId="0" fontId="0" fillId="3" borderId="5" xfId="0" applyFill="1" applyBorder="1" applyAlignment="1">
      <alignment horizontal="center"/>
    </xf>
    <xf numFmtId="0" fontId="11" fillId="3" borderId="5" xfId="0" applyNumberFormat="1" applyFont="1" applyFill="1" applyBorder="1" applyAlignment="1">
      <alignment horizontal="center"/>
    </xf>
    <xf numFmtId="0" fontId="0" fillId="3" borderId="0" xfId="0" quotePrefix="1" applyFill="1" applyAlignment="1">
      <alignment horizontal="center"/>
    </xf>
    <xf numFmtId="0" fontId="0" fillId="3" borderId="5" xfId="0" quotePrefix="1" applyFill="1" applyBorder="1" applyAlignment="1">
      <alignment horizontal="center"/>
    </xf>
    <xf numFmtId="0" fontId="3" fillId="4" borderId="0" xfId="0" applyNumberFormat="1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9" fillId="4" borderId="5" xfId="0" applyNumberFormat="1" applyFont="1" applyFill="1" applyBorder="1" applyAlignment="1"/>
    <xf numFmtId="0" fontId="3" fillId="4" borderId="5" xfId="0" applyNumberFormat="1" applyFont="1" applyFill="1" applyBorder="1" applyAlignment="1"/>
    <xf numFmtId="0" fontId="4" fillId="0" borderId="0" xfId="0" applyNumberFormat="1" applyFont="1" applyAlignment="1">
      <alignment horizontal="center" vertical="center"/>
    </xf>
    <xf numFmtId="0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14" fontId="12" fillId="5" borderId="5" xfId="0" applyNumberFormat="1" applyFont="1" applyFill="1" applyBorder="1" applyAlignment="1">
      <alignment horizontal="center" vertical="center" wrapText="1"/>
    </xf>
    <xf numFmtId="14" fontId="12" fillId="3" borderId="1" xfId="0" applyNumberFormat="1" applyFont="1" applyFill="1" applyBorder="1" applyAlignment="1">
      <alignment horizontal="center" vertical="center" wrapText="1"/>
    </xf>
    <xf numFmtId="14" fontId="12" fillId="3" borderId="2" xfId="0" applyNumberFormat="1" applyFont="1" applyFill="1" applyBorder="1" applyAlignment="1">
      <alignment horizontal="center" vertical="center" wrapText="1"/>
    </xf>
    <xf numFmtId="14" fontId="12" fillId="3" borderId="5" xfId="0" applyNumberFormat="1" applyFont="1" applyFill="1" applyBorder="1" applyAlignment="1">
      <alignment horizontal="center" vertical="center" wrapText="1"/>
    </xf>
    <xf numFmtId="14" fontId="12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/>
    <xf numFmtId="14" fontId="12" fillId="4" borderId="5" xfId="0" applyNumberFormat="1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3" borderId="5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Fill="1" applyBorder="1" applyAlignment="1">
      <alignment horizontal="center" vertical="center" wrapText="1"/>
    </xf>
    <xf numFmtId="0" fontId="12" fillId="4" borderId="5" xfId="0" applyNumberFormat="1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12" fillId="3" borderId="5" xfId="0" applyNumberFormat="1" applyFont="1" applyFill="1" applyBorder="1" applyAlignment="1">
      <alignment horizontal="center" vertical="center" wrapText="1"/>
    </xf>
    <xf numFmtId="0" fontId="12" fillId="2" borderId="5" xfId="0" applyNumberFormat="1" applyFont="1" applyFill="1" applyBorder="1" applyAlignment="1">
      <alignment horizontal="center" vertical="center" wrapText="1"/>
    </xf>
    <xf numFmtId="0" fontId="12" fillId="4" borderId="5" xfId="0" applyNumberFormat="1" applyFont="1" applyFill="1" applyBorder="1" applyAlignment="1">
      <alignment horizontal="center" vertical="center" wrapText="1"/>
    </xf>
    <xf numFmtId="0" fontId="13" fillId="4" borderId="5" xfId="0" applyNumberFormat="1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4" fillId="0" borderId="5" xfId="0" applyNumberFormat="1" applyFont="1" applyFill="1" applyBorder="1" applyAlignment="1">
      <alignment horizontal="center" vertical="center"/>
    </xf>
    <xf numFmtId="0" fontId="15" fillId="0" borderId="11" xfId="1" applyNumberFormat="1" applyFont="1" applyFill="1" applyBorder="1" applyAlignment="1">
      <alignment horizontal="center"/>
    </xf>
    <xf numFmtId="4" fontId="14" fillId="0" borderId="5" xfId="0" applyNumberFormat="1" applyFont="1" applyBorder="1" applyAlignment="1">
      <alignment horizontal="center"/>
    </xf>
    <xf numFmtId="4" fontId="14" fillId="0" borderId="5" xfId="0" applyNumberFormat="1" applyFont="1" applyBorder="1" applyAlignment="1">
      <alignment horizontal="left"/>
    </xf>
    <xf numFmtId="14" fontId="14" fillId="0" borderId="5" xfId="0" applyNumberFormat="1" applyFont="1" applyBorder="1" applyAlignment="1">
      <alignment horizontal="center"/>
    </xf>
    <xf numFmtId="43" fontId="14" fillId="0" borderId="5" xfId="1" applyFont="1" applyBorder="1"/>
    <xf numFmtId="43" fontId="16" fillId="0" borderId="5" xfId="1" applyFont="1" applyBorder="1"/>
    <xf numFmtId="43" fontId="17" fillId="3" borderId="5" xfId="1" applyFont="1" applyFill="1" applyBorder="1"/>
    <xf numFmtId="43" fontId="0" fillId="2" borderId="5" xfId="1" applyFont="1" applyFill="1" applyBorder="1" applyAlignment="1">
      <alignment horizontal="center"/>
    </xf>
    <xf numFmtId="43" fontId="0" fillId="0" borderId="5" xfId="1" applyFont="1" applyBorder="1"/>
    <xf numFmtId="43" fontId="17" fillId="4" borderId="5" xfId="1" applyFont="1" applyFill="1" applyBorder="1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" fontId="14" fillId="0" borderId="9" xfId="0" applyNumberFormat="1" applyFont="1" applyFill="1" applyBorder="1"/>
    <xf numFmtId="4" fontId="0" fillId="0" borderId="0" xfId="0" applyNumberFormat="1"/>
    <xf numFmtId="0" fontId="7" fillId="4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4" borderId="5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66" fontId="0" fillId="0" borderId="13" xfId="0" applyNumberFormat="1" applyBorder="1" applyAlignment="1">
      <alignment horizontal="center" vertical="center" wrapText="1"/>
    </xf>
    <xf numFmtId="43" fontId="0" fillId="0" borderId="13" xfId="1" applyFont="1" applyBorder="1" applyAlignment="1">
      <alignment horizontal="center" vertical="center" wrapText="1"/>
    </xf>
    <xf numFmtId="43" fontId="18" fillId="0" borderId="13" xfId="1" applyFont="1" applyBorder="1" applyAlignment="1">
      <alignment vertical="center" wrapText="1"/>
    </xf>
    <xf numFmtId="43" fontId="18" fillId="0" borderId="13" xfId="1" applyFont="1" applyBorder="1" applyAlignment="1">
      <alignment horizontal="center" vertical="center" wrapText="1"/>
    </xf>
    <xf numFmtId="43" fontId="18" fillId="0" borderId="13" xfId="1" applyFont="1" applyBorder="1" applyAlignment="1">
      <alignment horizontal="center" vertical="center" wrapText="1"/>
    </xf>
    <xf numFmtId="167" fontId="18" fillId="0" borderId="13" xfId="1" applyNumberFormat="1" applyFont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166" fontId="0" fillId="0" borderId="15" xfId="0" applyNumberFormat="1" applyBorder="1" applyAlignment="1">
      <alignment horizontal="center" vertical="center" wrapText="1"/>
    </xf>
    <xf numFmtId="43" fontId="0" fillId="0" borderId="15" xfId="1" applyFont="1" applyBorder="1" applyAlignment="1">
      <alignment horizontal="center" vertical="center" wrapText="1"/>
    </xf>
    <xf numFmtId="43" fontId="18" fillId="0" borderId="15" xfId="1" applyFont="1" applyBorder="1" applyAlignment="1">
      <alignment vertical="center" wrapText="1"/>
    </xf>
    <xf numFmtId="43" fontId="18" fillId="0" borderId="15" xfId="1" applyFont="1" applyBorder="1" applyAlignment="1">
      <alignment horizontal="center" vertical="center" wrapText="1"/>
    </xf>
    <xf numFmtId="43" fontId="18" fillId="0" borderId="15" xfId="1" applyFont="1" applyBorder="1" applyAlignment="1">
      <alignment horizontal="center" vertical="center" wrapText="1"/>
    </xf>
    <xf numFmtId="167" fontId="18" fillId="0" borderId="15" xfId="1" applyNumberFormat="1" applyFont="1" applyBorder="1" applyAlignment="1">
      <alignment horizontal="center" vertical="center" wrapText="1"/>
    </xf>
    <xf numFmtId="0" fontId="0" fillId="0" borderId="15" xfId="0" applyBorder="1"/>
    <xf numFmtId="0" fontId="0" fillId="0" borderId="0" xfId="0" applyBorder="1"/>
    <xf numFmtId="0" fontId="0" fillId="0" borderId="16" xfId="0" applyBorder="1"/>
    <xf numFmtId="14" fontId="0" fillId="3" borderId="17" xfId="0" applyNumberFormat="1" applyFill="1" applyBorder="1" applyAlignment="1">
      <alignment horizontal="center"/>
    </xf>
    <xf numFmtId="0" fontId="19" fillId="0" borderId="17" xfId="0" applyFont="1" applyBorder="1" applyAlignment="1">
      <alignment horizontal="center"/>
    </xf>
    <xf numFmtId="4" fontId="0" fillId="3" borderId="17" xfId="0" applyNumberFormat="1" applyFill="1" applyBorder="1"/>
    <xf numFmtId="4" fontId="0" fillId="3" borderId="17" xfId="0" applyNumberFormat="1" applyFill="1" applyBorder="1" applyAlignment="1">
      <alignment horizontal="center"/>
    </xf>
    <xf numFmtId="0" fontId="0" fillId="3" borderId="17" xfId="0" applyFill="1" applyBorder="1"/>
    <xf numFmtId="0" fontId="0" fillId="0" borderId="18" xfId="0" applyBorder="1"/>
    <xf numFmtId="0" fontId="0" fillId="0" borderId="7" xfId="0" applyBorder="1"/>
    <xf numFmtId="0" fontId="0" fillId="0" borderId="5" xfId="0" applyBorder="1" applyAlignment="1">
      <alignment horizontal="center" vertical="center"/>
    </xf>
  </cellXfs>
  <cellStyles count="8">
    <cellStyle name="Comma" xfId="1" builtinId="3"/>
    <cellStyle name="Normal" xfId="0" builtinId="0"/>
    <cellStyle name="Normal 15" xfId="4"/>
    <cellStyle name="Normal 17" xfId="5"/>
    <cellStyle name="Normal 5" xfId="6"/>
    <cellStyle name="Normal 6" xfId="7"/>
    <cellStyle name="Normal 7" xfId="2"/>
    <cellStyle name="Normal 9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60"/>
  <sheetViews>
    <sheetView tabSelected="1" topLeftCell="C3" workbookViewId="0">
      <selection activeCell="B7" sqref="A1:B1048576"/>
    </sheetView>
  </sheetViews>
  <sheetFormatPr defaultRowHeight="15" x14ac:dyDescent="0.25"/>
  <cols>
    <col min="1" max="2" width="9.140625" hidden="1" customWidth="1"/>
    <col min="3" max="3" width="6.140625" style="62" customWidth="1"/>
    <col min="4" max="4" width="11.7109375" style="63" customWidth="1"/>
    <col min="5" max="5" width="10.7109375" style="63" customWidth="1"/>
    <col min="6" max="6" width="31.42578125" customWidth="1"/>
    <col min="7" max="7" width="9.140625" style="63"/>
    <col min="8" max="8" width="11" style="63" customWidth="1"/>
    <col min="9" max="10" width="9.28515625" bestFit="1" customWidth="1"/>
    <col min="12" max="12" width="9.28515625" bestFit="1" customWidth="1"/>
    <col min="14" max="14" width="9.28515625" bestFit="1" customWidth="1"/>
    <col min="16" max="16" width="10.140625" bestFit="1" customWidth="1"/>
    <col min="18" max="20" width="9.28515625" bestFit="1" customWidth="1"/>
    <col min="109" max="109" width="10.140625" bestFit="1" customWidth="1"/>
  </cols>
  <sheetData>
    <row r="1" spans="1:111" ht="15" hidden="1" customHeight="1" x14ac:dyDescent="0.25">
      <c r="A1">
        <v>1</v>
      </c>
      <c r="B1">
        <v>2</v>
      </c>
      <c r="C1">
        <v>2</v>
      </c>
      <c r="D1">
        <v>2</v>
      </c>
      <c r="E1">
        <v>2</v>
      </c>
      <c r="F1">
        <v>2</v>
      </c>
      <c r="G1">
        <v>2</v>
      </c>
      <c r="H1">
        <v>2</v>
      </c>
      <c r="I1">
        <v>2</v>
      </c>
      <c r="J1">
        <v>2</v>
      </c>
      <c r="K1">
        <v>2</v>
      </c>
      <c r="L1">
        <v>2</v>
      </c>
      <c r="M1">
        <v>2</v>
      </c>
      <c r="N1">
        <v>2</v>
      </c>
      <c r="O1">
        <v>2</v>
      </c>
      <c r="P1">
        <v>2</v>
      </c>
      <c r="Q1">
        <v>2</v>
      </c>
      <c r="R1">
        <v>2</v>
      </c>
      <c r="S1">
        <v>2</v>
      </c>
      <c r="T1">
        <v>2</v>
      </c>
      <c r="U1">
        <v>2</v>
      </c>
      <c r="V1">
        <v>2</v>
      </c>
      <c r="W1">
        <v>2</v>
      </c>
      <c r="X1">
        <v>2</v>
      </c>
      <c r="Y1">
        <v>2</v>
      </c>
      <c r="Z1">
        <v>2</v>
      </c>
      <c r="AA1">
        <v>2</v>
      </c>
      <c r="AB1">
        <v>2</v>
      </c>
      <c r="AC1">
        <v>2</v>
      </c>
      <c r="AD1">
        <v>2</v>
      </c>
      <c r="AE1">
        <v>2</v>
      </c>
      <c r="AF1">
        <v>2</v>
      </c>
      <c r="AG1">
        <v>2</v>
      </c>
      <c r="AH1">
        <v>2</v>
      </c>
      <c r="AI1">
        <v>2</v>
      </c>
      <c r="AJ1">
        <v>2</v>
      </c>
      <c r="AK1">
        <v>2</v>
      </c>
      <c r="AL1">
        <v>2</v>
      </c>
      <c r="AM1">
        <v>2</v>
      </c>
      <c r="AN1">
        <v>2</v>
      </c>
      <c r="AO1">
        <v>2</v>
      </c>
      <c r="AP1">
        <v>2</v>
      </c>
      <c r="AQ1">
        <v>2</v>
      </c>
      <c r="AR1">
        <v>2</v>
      </c>
      <c r="AS1">
        <v>2</v>
      </c>
      <c r="AT1">
        <v>2</v>
      </c>
      <c r="AU1">
        <v>2</v>
      </c>
      <c r="AV1">
        <v>2</v>
      </c>
      <c r="AW1">
        <v>2</v>
      </c>
      <c r="AX1">
        <v>2</v>
      </c>
      <c r="AY1">
        <v>2</v>
      </c>
      <c r="AZ1">
        <v>2</v>
      </c>
      <c r="BA1">
        <v>2</v>
      </c>
      <c r="BB1">
        <v>2</v>
      </c>
      <c r="BC1">
        <v>2</v>
      </c>
      <c r="BD1">
        <v>2</v>
      </c>
      <c r="BE1">
        <v>2</v>
      </c>
      <c r="BF1">
        <v>2</v>
      </c>
      <c r="BG1">
        <v>2</v>
      </c>
      <c r="BH1">
        <v>2</v>
      </c>
      <c r="BI1">
        <v>2</v>
      </c>
      <c r="BJ1">
        <v>2</v>
      </c>
      <c r="BK1">
        <v>2</v>
      </c>
      <c r="BL1">
        <v>2</v>
      </c>
      <c r="BM1">
        <v>2</v>
      </c>
      <c r="BN1">
        <v>2</v>
      </c>
      <c r="BO1">
        <v>2</v>
      </c>
      <c r="BP1">
        <v>2</v>
      </c>
      <c r="BQ1">
        <v>2</v>
      </c>
      <c r="BR1">
        <v>2</v>
      </c>
      <c r="BS1">
        <v>2</v>
      </c>
      <c r="BT1">
        <v>2</v>
      </c>
      <c r="BU1">
        <v>2</v>
      </c>
      <c r="BV1">
        <v>2</v>
      </c>
      <c r="BW1">
        <v>2</v>
      </c>
      <c r="BX1">
        <v>2</v>
      </c>
      <c r="BY1">
        <v>2</v>
      </c>
      <c r="BZ1">
        <v>2</v>
      </c>
      <c r="CA1">
        <v>2</v>
      </c>
      <c r="CB1">
        <v>2</v>
      </c>
      <c r="CC1">
        <v>2</v>
      </c>
      <c r="CD1">
        <v>2</v>
      </c>
      <c r="CE1">
        <v>2</v>
      </c>
      <c r="CF1">
        <v>2</v>
      </c>
      <c r="CG1">
        <v>2</v>
      </c>
      <c r="CH1">
        <v>2</v>
      </c>
      <c r="CI1">
        <v>2</v>
      </c>
      <c r="CJ1">
        <v>2</v>
      </c>
      <c r="CK1">
        <v>2</v>
      </c>
      <c r="CL1">
        <v>2</v>
      </c>
      <c r="CM1">
        <v>2</v>
      </c>
      <c r="CN1">
        <v>2</v>
      </c>
      <c r="CO1">
        <v>2</v>
      </c>
      <c r="CP1">
        <v>2</v>
      </c>
      <c r="CQ1">
        <v>2</v>
      </c>
      <c r="CR1">
        <v>2</v>
      </c>
      <c r="CS1">
        <v>2</v>
      </c>
      <c r="CT1">
        <v>2</v>
      </c>
      <c r="CU1">
        <v>2</v>
      </c>
      <c r="CV1">
        <v>2</v>
      </c>
      <c r="CW1">
        <v>2</v>
      </c>
      <c r="CX1">
        <v>2</v>
      </c>
      <c r="CY1">
        <v>2</v>
      </c>
      <c r="CZ1">
        <v>2</v>
      </c>
      <c r="DA1">
        <v>2</v>
      </c>
      <c r="DB1">
        <v>2</v>
      </c>
      <c r="DC1">
        <v>2</v>
      </c>
      <c r="DD1">
        <v>2</v>
      </c>
      <c r="DE1">
        <v>2</v>
      </c>
      <c r="DF1">
        <v>2</v>
      </c>
      <c r="DG1">
        <v>2</v>
      </c>
    </row>
    <row r="2" spans="1:111" ht="15" hidden="1" customHeight="1" x14ac:dyDescent="0.25">
      <c r="A2">
        <v>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 t="s">
        <v>83</v>
      </c>
      <c r="AB2" t="s">
        <v>84</v>
      </c>
      <c r="AC2" t="s">
        <v>85</v>
      </c>
      <c r="AD2" t="s">
        <v>86</v>
      </c>
      <c r="AE2" t="s">
        <v>87</v>
      </c>
      <c r="AF2" t="s">
        <v>88</v>
      </c>
      <c r="AG2" t="s">
        <v>89</v>
      </c>
      <c r="AH2" t="s">
        <v>90</v>
      </c>
      <c r="AI2" t="s">
        <v>91</v>
      </c>
      <c r="AJ2" t="s">
        <v>92</v>
      </c>
      <c r="AK2" t="s">
        <v>93</v>
      </c>
      <c r="AL2" t="s">
        <v>94</v>
      </c>
      <c r="AM2" t="s">
        <v>95</v>
      </c>
      <c r="AN2" t="s">
        <v>96</v>
      </c>
      <c r="AO2" t="s">
        <v>97</v>
      </c>
      <c r="AU2" t="s">
        <v>98</v>
      </c>
      <c r="AV2" t="s">
        <v>99</v>
      </c>
      <c r="AW2" t="s">
        <v>100</v>
      </c>
      <c r="AX2" t="s">
        <v>101</v>
      </c>
      <c r="AY2" t="s">
        <v>102</v>
      </c>
      <c r="AZ2" t="s">
        <v>103</v>
      </c>
      <c r="BA2" t="s">
        <v>104</v>
      </c>
      <c r="BB2" t="s">
        <v>105</v>
      </c>
      <c r="BC2" t="s">
        <v>106</v>
      </c>
      <c r="BD2" t="s">
        <v>107</v>
      </c>
      <c r="BE2" t="s">
        <v>108</v>
      </c>
      <c r="BF2" t="s">
        <v>109</v>
      </c>
      <c r="BG2" t="s">
        <v>110</v>
      </c>
      <c r="BH2" t="s">
        <v>111</v>
      </c>
      <c r="BN2" t="s">
        <v>112</v>
      </c>
      <c r="BO2" t="s">
        <v>113</v>
      </c>
      <c r="BP2" t="s">
        <v>114</v>
      </c>
      <c r="BQ2" t="s">
        <v>115</v>
      </c>
      <c r="BR2" t="s">
        <v>116</v>
      </c>
      <c r="BS2" t="s">
        <v>117</v>
      </c>
      <c r="BT2" t="s">
        <v>118</v>
      </c>
      <c r="BU2" t="s">
        <v>119</v>
      </c>
      <c r="BV2" t="s">
        <v>120</v>
      </c>
      <c r="BW2" t="s">
        <v>121</v>
      </c>
      <c r="BX2" t="s">
        <v>122</v>
      </c>
      <c r="BY2" t="s">
        <v>123</v>
      </c>
      <c r="BZ2" t="s">
        <v>124</v>
      </c>
      <c r="CA2" t="s">
        <v>125</v>
      </c>
      <c r="CG2" t="s">
        <v>126</v>
      </c>
      <c r="CH2" t="s">
        <v>127</v>
      </c>
      <c r="CI2" t="s">
        <v>128</v>
      </c>
      <c r="CJ2" t="s">
        <v>129</v>
      </c>
      <c r="CK2" t="s">
        <v>130</v>
      </c>
      <c r="CL2" t="s">
        <v>131</v>
      </c>
      <c r="CM2" t="s">
        <v>132</v>
      </c>
      <c r="CN2" t="s">
        <v>133</v>
      </c>
      <c r="CO2" t="s">
        <v>134</v>
      </c>
      <c r="CP2" t="s">
        <v>135</v>
      </c>
      <c r="CQ2" t="s">
        <v>136</v>
      </c>
      <c r="CR2" t="s">
        <v>137</v>
      </c>
      <c r="CS2" t="s">
        <v>138</v>
      </c>
      <c r="CT2" t="s">
        <v>139</v>
      </c>
    </row>
    <row r="3" spans="1:111" ht="25.5" x14ac:dyDescent="0.35">
      <c r="C3" s="1" t="s">
        <v>0</v>
      </c>
      <c r="D3" s="2"/>
      <c r="E3" s="3"/>
      <c r="F3" s="3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E3" s="3"/>
      <c r="DF3" s="3"/>
      <c r="DG3" s="3"/>
    </row>
    <row r="4" spans="1:111" ht="25.5" x14ac:dyDescent="0.35">
      <c r="C4" s="3" t="s">
        <v>1</v>
      </c>
      <c r="D4" s="2"/>
      <c r="E4" s="3"/>
      <c r="F4" s="3"/>
      <c r="G4" s="2"/>
      <c r="H4" s="3"/>
      <c r="I4" s="4" t="s">
        <v>2</v>
      </c>
      <c r="J4" s="5"/>
      <c r="K4" s="4" t="s">
        <v>3</v>
      </c>
      <c r="L4" s="5"/>
      <c r="M4" s="4" t="s">
        <v>4</v>
      </c>
      <c r="N4" s="5"/>
      <c r="O4" s="4" t="s">
        <v>5</v>
      </c>
      <c r="P4" s="5"/>
      <c r="Q4" s="4" t="s">
        <v>6</v>
      </c>
      <c r="R4" s="5"/>
      <c r="S4" s="6" t="s">
        <v>7</v>
      </c>
      <c r="T4" s="7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E4" s="3"/>
      <c r="DF4" s="3"/>
      <c r="DG4" s="3"/>
    </row>
    <row r="5" spans="1:111" ht="25.5" x14ac:dyDescent="0.35">
      <c r="C5" s="3"/>
      <c r="D5" s="8" t="s">
        <v>8</v>
      </c>
      <c r="E5" s="8"/>
      <c r="F5" s="9" t="s">
        <v>9</v>
      </c>
      <c r="G5" s="9"/>
      <c r="H5" s="9" t="s">
        <v>10</v>
      </c>
      <c r="I5" s="10" t="s">
        <v>11</v>
      </c>
      <c r="J5" s="11" t="s">
        <v>10</v>
      </c>
      <c r="K5" s="10" t="s">
        <v>11</v>
      </c>
      <c r="L5" s="11" t="s">
        <v>10</v>
      </c>
      <c r="M5" s="10" t="s">
        <v>11</v>
      </c>
      <c r="N5" s="11" t="s">
        <v>10</v>
      </c>
      <c r="O5" s="10" t="s">
        <v>11</v>
      </c>
      <c r="P5" s="11" t="s">
        <v>10</v>
      </c>
      <c r="Q5" s="10" t="s">
        <v>11</v>
      </c>
      <c r="R5" s="11" t="s">
        <v>10</v>
      </c>
      <c r="S5" s="12"/>
      <c r="T5" s="1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E5" s="3"/>
      <c r="DF5" s="3"/>
      <c r="DG5" s="3"/>
    </row>
    <row r="6" spans="1:111" ht="25.5" x14ac:dyDescent="0.35">
      <c r="C6" s="3"/>
      <c r="D6" s="14"/>
      <c r="E6" s="15" t="s">
        <v>12</v>
      </c>
      <c r="F6" s="16" t="s">
        <v>13</v>
      </c>
      <c r="G6" s="16"/>
      <c r="H6" s="16" t="s">
        <v>14</v>
      </c>
      <c r="I6" s="17">
        <f>COUNTIF(Z16:Z21,"A")</f>
        <v>1</v>
      </c>
      <c r="J6" s="18">
        <f>COUNTIF(AA16:AA21,"A")</f>
        <v>1</v>
      </c>
      <c r="K6" s="17">
        <f>COUNTIF(AS16:AS21,"A")</f>
        <v>1</v>
      </c>
      <c r="L6" s="18">
        <f>COUNTIF(AT16:AT21,"A")</f>
        <v>1</v>
      </c>
      <c r="M6" s="17">
        <f>COUNTIF(BL16:BL21,"A")</f>
        <v>1</v>
      </c>
      <c r="N6" s="18">
        <f>COUNTIF(BM16:BM21,"A")</f>
        <v>1</v>
      </c>
      <c r="O6" s="17">
        <f>COUNTIF(CE16:CE21,"A")</f>
        <v>1</v>
      </c>
      <c r="P6" s="18">
        <f>COUNTIF(CF16:CF21,"A")</f>
        <v>1</v>
      </c>
      <c r="Q6" s="17">
        <f>COUNTIF(CX16:CX21,"A")</f>
        <v>1</v>
      </c>
      <c r="R6" s="18">
        <f>COUNTIF(CY16:CY21,"A")</f>
        <v>1</v>
      </c>
      <c r="S6" s="19" t="s">
        <v>13</v>
      </c>
      <c r="T6" s="20">
        <f>COUNTIF(DG16:DG21,"A")</f>
        <v>1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E6" s="3"/>
      <c r="DF6" s="3"/>
      <c r="DG6" s="3"/>
    </row>
    <row r="7" spans="1:111" ht="25.5" x14ac:dyDescent="0.35">
      <c r="C7" s="3"/>
      <c r="D7" s="14"/>
      <c r="E7" s="15" t="s">
        <v>15</v>
      </c>
      <c r="F7" s="16" t="s">
        <v>16</v>
      </c>
      <c r="G7" s="16"/>
      <c r="H7" s="21" t="s">
        <v>17</v>
      </c>
      <c r="I7" s="17">
        <f>COUNTIF(Z16:Z21,"B")</f>
        <v>0</v>
      </c>
      <c r="J7" s="18">
        <f>COUNTIF(AA16:AA21,"B")</f>
        <v>0</v>
      </c>
      <c r="K7" s="17">
        <f>COUNTIF(AS16:AS21,"B")</f>
        <v>0</v>
      </c>
      <c r="L7" s="18">
        <f>COUNTIF(AT16:AT21,"B")</f>
        <v>0</v>
      </c>
      <c r="M7" s="17">
        <f>COUNTIF(BL16:BL21,"B")</f>
        <v>0</v>
      </c>
      <c r="N7" s="18">
        <f>COUNTIF(BM16:BM21,"B")</f>
        <v>0</v>
      </c>
      <c r="O7" s="17">
        <f>COUNTIF(CE16:CE21,"B")</f>
        <v>0</v>
      </c>
      <c r="P7" s="18">
        <f>COUNTIF(CF16:CF21,"B")</f>
        <v>0</v>
      </c>
      <c r="Q7" s="17">
        <f>COUNTIF(CX16:CX21,"B")</f>
        <v>0</v>
      </c>
      <c r="R7" s="18">
        <f>COUNTIF(CY16:CY21,"B")</f>
        <v>0</v>
      </c>
      <c r="S7" s="22" t="s">
        <v>18</v>
      </c>
      <c r="T7" s="20">
        <f>COUNTIF(DG16:DG21,"B")</f>
        <v>0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E7" s="3"/>
      <c r="DF7" s="3"/>
      <c r="DG7" s="3"/>
    </row>
    <row r="8" spans="1:111" ht="25.5" x14ac:dyDescent="0.35">
      <c r="C8" s="3"/>
      <c r="D8" s="14"/>
      <c r="E8" s="15" t="s">
        <v>19</v>
      </c>
      <c r="F8" s="16" t="s">
        <v>20</v>
      </c>
      <c r="G8" s="16"/>
      <c r="H8" s="16" t="s">
        <v>21</v>
      </c>
      <c r="I8" s="17">
        <f>COUNTIF(Z16:Z21,"C")</f>
        <v>0</v>
      </c>
      <c r="J8" s="18">
        <f>COUNTIF(AA16:AA21,"C")</f>
        <v>0</v>
      </c>
      <c r="K8" s="17">
        <f>COUNTIF(AS16:AS21,"C")</f>
        <v>0</v>
      </c>
      <c r="L8" s="18">
        <f>COUNTIF(AT16:AT21,"C")</f>
        <v>0</v>
      </c>
      <c r="M8" s="17">
        <f>COUNTIF(BL16:BL21,"C")</f>
        <v>0</v>
      </c>
      <c r="N8" s="18">
        <f>COUNTIF(BM16:BM21,"C")</f>
        <v>0</v>
      </c>
      <c r="O8" s="17">
        <f>COUNTIF(CE16:CE21,"C")</f>
        <v>0</v>
      </c>
      <c r="P8" s="18">
        <f>COUNTIF(CF16:CF21,"C")</f>
        <v>0</v>
      </c>
      <c r="Q8" s="17">
        <f>COUNTIF(CX16:CX21,"C")</f>
        <v>0</v>
      </c>
      <c r="R8" s="18">
        <f>COUNTIF(CY16:CY21,"C")</f>
        <v>0</v>
      </c>
      <c r="S8" s="19" t="s">
        <v>22</v>
      </c>
      <c r="T8" s="20">
        <f>COUNTIF(DG16:DG21,"C")</f>
        <v>0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E8" s="3"/>
      <c r="DF8" s="3"/>
      <c r="DG8" s="3"/>
    </row>
    <row r="9" spans="1:111" ht="25.5" x14ac:dyDescent="0.35">
      <c r="C9" s="3"/>
      <c r="D9" s="14"/>
      <c r="E9" s="15" t="s">
        <v>23</v>
      </c>
      <c r="F9" s="16" t="s">
        <v>24</v>
      </c>
      <c r="G9" s="16"/>
      <c r="H9" s="16" t="s">
        <v>25</v>
      </c>
      <c r="I9" s="17">
        <f>COUNTIF(Z16:Z21,"D")</f>
        <v>0</v>
      </c>
      <c r="J9" s="18">
        <f>COUNTIF(AA16:AA21,"D")</f>
        <v>0</v>
      </c>
      <c r="K9" s="17">
        <f>COUNTIF(AS16:AS21,"D")</f>
        <v>0</v>
      </c>
      <c r="L9" s="18">
        <f>COUNTIF(AT16:AT21,"D")</f>
        <v>0</v>
      </c>
      <c r="M9" s="17">
        <f>COUNTIF(BL16:BL21,"D")</f>
        <v>0</v>
      </c>
      <c r="N9" s="18">
        <f>COUNTIF(BM16:BM21,"D")</f>
        <v>0</v>
      </c>
      <c r="O9" s="17">
        <f>COUNTIF(CE16:CE21,"D")</f>
        <v>0</v>
      </c>
      <c r="P9" s="18">
        <f>COUNTIF(CF16:CF21,"D")</f>
        <v>0</v>
      </c>
      <c r="Q9" s="17">
        <f>COUNTIF(CX16:CX21,"D")</f>
        <v>0</v>
      </c>
      <c r="R9" s="18">
        <f>COUNTIF(CY16:CY21,"D")</f>
        <v>0</v>
      </c>
      <c r="S9" s="19" t="s">
        <v>26</v>
      </c>
      <c r="T9" s="20">
        <f>COUNTIF(DG16:DG21,"D")</f>
        <v>0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E9" s="3"/>
      <c r="DF9" s="3"/>
      <c r="DG9" s="3"/>
    </row>
    <row r="10" spans="1:111" ht="25.5" x14ac:dyDescent="0.35">
      <c r="C10" s="3"/>
      <c r="D10" s="23"/>
      <c r="E10" s="24"/>
      <c r="F10" s="25"/>
      <c r="G10" s="25"/>
      <c r="H10" s="25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7"/>
      <c r="T10" s="27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E10" s="3"/>
      <c r="DF10" s="3"/>
      <c r="DG10" s="3"/>
    </row>
    <row r="11" spans="1:111" x14ac:dyDescent="0.25">
      <c r="C11" s="28">
        <f>SUBTOTAL(3,C16:C21)</f>
        <v>0</v>
      </c>
      <c r="D11" s="28">
        <f>SUBTOTAL(3,D16:D21)</f>
        <v>0</v>
      </c>
      <c r="E11" s="28">
        <f>SUBTOTAL(3,E16:E21)</f>
        <v>0</v>
      </c>
      <c r="F11" s="28">
        <f>SUBTOTAL(3,F16:F21)</f>
        <v>0</v>
      </c>
      <c r="G11" s="28"/>
      <c r="H11" s="28">
        <f>SUBTOTAL(3,H16:H21)</f>
        <v>0</v>
      </c>
      <c r="I11" s="28">
        <f>SUBTOTAL(3,I16:I21)</f>
        <v>0</v>
      </c>
      <c r="J11" s="28">
        <f>SUBTOTAL(3,J16:J21)</f>
        <v>0</v>
      </c>
      <c r="K11" s="28">
        <f>SUBTOTAL(3,K16:K21)</f>
        <v>0</v>
      </c>
      <c r="L11" s="28">
        <f>SUBTOTAL(3,L16:L21)</f>
        <v>0</v>
      </c>
      <c r="M11" s="28">
        <f>SUBTOTAL(3,M16:M21)</f>
        <v>0</v>
      </c>
      <c r="N11" s="28">
        <f>SUBTOTAL(3,N16:N21)</f>
        <v>0</v>
      </c>
      <c r="O11" s="28">
        <f>SUBTOTAL(3,O16:O21)</f>
        <v>0</v>
      </c>
      <c r="P11" s="28">
        <f>SUBTOTAL(3,P16:P21)</f>
        <v>0</v>
      </c>
      <c r="Q11" s="28">
        <f>SUBTOTAL(3,Q16:Q21)</f>
        <v>0</v>
      </c>
      <c r="R11" s="28">
        <f>SUBTOTAL(3,R16:R21)</f>
        <v>0</v>
      </c>
      <c r="S11" s="28">
        <f>SUBTOTAL(3,S16:S21)</f>
        <v>0</v>
      </c>
      <c r="T11" s="28">
        <f>SUBTOTAL(3,T16:T21)</f>
        <v>0</v>
      </c>
      <c r="U11" s="28">
        <f>SUBTOTAL(3,U16:U21)</f>
        <v>0</v>
      </c>
      <c r="V11" s="28">
        <f>SUBTOTAL(3,V16:V21)</f>
        <v>0</v>
      </c>
      <c r="W11" s="28">
        <f>SUBTOTAL(3,W16:W21)</f>
        <v>1</v>
      </c>
      <c r="X11" s="28">
        <f>SUBTOTAL(3,X16:X21)</f>
        <v>1</v>
      </c>
      <c r="Y11" s="28">
        <f>SUBTOTAL(3,Y16:Y21)</f>
        <v>1</v>
      </c>
      <c r="Z11" s="28">
        <f>SUBTOTAL(3,Z16:Z21)</f>
        <v>1</v>
      </c>
      <c r="AA11" s="28">
        <f>SUBTOTAL(3,AA16:AA21)</f>
        <v>1</v>
      </c>
      <c r="AB11" s="28">
        <f>SUBTOTAL(3,AB16:AB21)</f>
        <v>0</v>
      </c>
      <c r="AC11" s="28">
        <f>SUBTOTAL(3,AC16:AC21)</f>
        <v>0</v>
      </c>
      <c r="AD11" s="28">
        <f>SUBTOTAL(3,AD16:AD21)</f>
        <v>0</v>
      </c>
      <c r="AE11" s="28">
        <f>SUBTOTAL(3,AE16:AE21)</f>
        <v>0</v>
      </c>
      <c r="AF11" s="28">
        <f>SUBTOTAL(3,AF16:AF21)</f>
        <v>0</v>
      </c>
      <c r="AG11" s="28">
        <f>SUBTOTAL(3,AG16:AG21)</f>
        <v>0</v>
      </c>
      <c r="AH11" s="28">
        <f>SUBTOTAL(3,AH16:AH21)</f>
        <v>0</v>
      </c>
      <c r="AI11" s="28">
        <f>SUBTOTAL(3,AI16:AI21)</f>
        <v>0</v>
      </c>
      <c r="AJ11" s="28">
        <f>SUBTOTAL(3,AJ16:AJ21)</f>
        <v>0</v>
      </c>
      <c r="AK11" s="28">
        <f>SUBTOTAL(3,AK16:AK21)</f>
        <v>0</v>
      </c>
      <c r="AL11" s="28">
        <f>SUBTOTAL(3,AL16:AL21)</f>
        <v>0</v>
      </c>
      <c r="AM11" s="28">
        <f>SUBTOTAL(3,AM16:AM21)</f>
        <v>0</v>
      </c>
      <c r="AN11" s="28">
        <f>SUBTOTAL(3,AN16:AN21)</f>
        <v>0</v>
      </c>
      <c r="AO11" s="28">
        <f>SUBTOTAL(3,AO16:AO21)</f>
        <v>0</v>
      </c>
      <c r="AP11" s="28">
        <f>SUBTOTAL(3,AP16:AP21)</f>
        <v>1</v>
      </c>
      <c r="AQ11" s="28">
        <f>SUBTOTAL(3,AQ16:AQ21)</f>
        <v>1</v>
      </c>
      <c r="AR11" s="28">
        <f>SUBTOTAL(3,AR16:AR21)</f>
        <v>1</v>
      </c>
      <c r="AS11" s="28">
        <f>SUBTOTAL(3,AS16:AS21)</f>
        <v>1</v>
      </c>
      <c r="AT11" s="28">
        <f>SUBTOTAL(3,AT16:AT21)</f>
        <v>1</v>
      </c>
      <c r="AU11" s="28">
        <f>SUBTOTAL(3,AU16:AU21)</f>
        <v>0</v>
      </c>
      <c r="AV11" s="28">
        <f>SUBTOTAL(3,AV16:AV21)</f>
        <v>0</v>
      </c>
      <c r="AW11" s="28">
        <f>SUBTOTAL(3,AW16:AW21)</f>
        <v>0</v>
      </c>
      <c r="AX11" s="28">
        <f>SUBTOTAL(3,AX16:AX21)</f>
        <v>0</v>
      </c>
      <c r="AY11" s="28">
        <f>SUBTOTAL(3,AY16:AY21)</f>
        <v>0</v>
      </c>
      <c r="AZ11" s="28">
        <f>SUBTOTAL(3,AZ16:AZ21)</f>
        <v>0</v>
      </c>
      <c r="BA11" s="28">
        <f>SUBTOTAL(3,BA16:BA21)</f>
        <v>0</v>
      </c>
      <c r="BB11" s="28">
        <f>SUBTOTAL(3,BB16:BB21)</f>
        <v>0</v>
      </c>
      <c r="BC11" s="28">
        <f>SUBTOTAL(3,BC16:BC21)</f>
        <v>0</v>
      </c>
      <c r="BD11" s="28">
        <f>SUBTOTAL(3,BD16:BD21)</f>
        <v>0</v>
      </c>
      <c r="BE11" s="28">
        <f>SUBTOTAL(3,BE16:BE21)</f>
        <v>0</v>
      </c>
      <c r="BF11" s="28">
        <f>SUBTOTAL(3,BF16:BF21)</f>
        <v>0</v>
      </c>
      <c r="BG11" s="28">
        <f>SUBTOTAL(3,BG16:BG21)</f>
        <v>0</v>
      </c>
      <c r="BH11" s="28">
        <f>SUBTOTAL(3,BH16:BH21)</f>
        <v>0</v>
      </c>
      <c r="BI11" s="28">
        <f>SUBTOTAL(3,BI16:BI21)</f>
        <v>1</v>
      </c>
      <c r="BJ11" s="28">
        <f>SUBTOTAL(3,BJ16:BJ21)</f>
        <v>1</v>
      </c>
      <c r="BK11" s="28">
        <f>SUBTOTAL(3,BK16:BK21)</f>
        <v>1</v>
      </c>
      <c r="BL11" s="28">
        <f>SUBTOTAL(3,BL16:BL21)</f>
        <v>1</v>
      </c>
      <c r="BM11" s="28">
        <f>SUBTOTAL(3,BM16:BM21)</f>
        <v>1</v>
      </c>
      <c r="BN11" s="28">
        <f>SUBTOTAL(3,BN16:BN21)</f>
        <v>0</v>
      </c>
      <c r="BO11" s="28">
        <f>SUBTOTAL(3,BO16:BO21)</f>
        <v>0</v>
      </c>
      <c r="BP11" s="28">
        <f>SUBTOTAL(3,BP16:BP21)</f>
        <v>0</v>
      </c>
      <c r="BQ11" s="28">
        <f>SUBTOTAL(3,BQ16:BQ21)</f>
        <v>0</v>
      </c>
      <c r="BR11" s="28">
        <f>SUBTOTAL(3,BR16:BR21)</f>
        <v>0</v>
      </c>
      <c r="BS11" s="28">
        <f>SUBTOTAL(3,BS16:BS21)</f>
        <v>0</v>
      </c>
      <c r="BT11" s="28">
        <f>SUBTOTAL(3,BT16:BT21)</f>
        <v>0</v>
      </c>
      <c r="BU11" s="28">
        <f>SUBTOTAL(3,BU16:BU21)</f>
        <v>0</v>
      </c>
      <c r="BV11" s="28">
        <f>SUBTOTAL(3,BV16:BV21)</f>
        <v>0</v>
      </c>
      <c r="BW11" s="28">
        <f>SUBTOTAL(3,BW16:BW21)</f>
        <v>0</v>
      </c>
      <c r="BX11" s="28">
        <f>SUBTOTAL(3,BX16:BX21)</f>
        <v>0</v>
      </c>
      <c r="BY11" s="28">
        <f>SUBTOTAL(3,BY16:BY21)</f>
        <v>0</v>
      </c>
      <c r="BZ11" s="28">
        <f>SUBTOTAL(3,BZ16:BZ21)</f>
        <v>0</v>
      </c>
      <c r="CA11" s="28">
        <f>SUBTOTAL(3,CA16:CA21)</f>
        <v>0</v>
      </c>
      <c r="CB11" s="28">
        <f>SUBTOTAL(3,CB16:CB21)</f>
        <v>1</v>
      </c>
      <c r="CC11" s="28">
        <f>SUBTOTAL(3,CC16:CC21)</f>
        <v>1</v>
      </c>
      <c r="CD11" s="28">
        <f>SUBTOTAL(3,CD16:CD21)</f>
        <v>1</v>
      </c>
      <c r="CE11" s="28">
        <f>SUBTOTAL(3,CE16:CE21)</f>
        <v>1</v>
      </c>
      <c r="CF11" s="28">
        <f>SUBTOTAL(3,CF16:CF21)</f>
        <v>1</v>
      </c>
      <c r="CG11" s="28">
        <f>SUBTOTAL(3,CG16:CG21)</f>
        <v>0</v>
      </c>
      <c r="CH11" s="28">
        <f>SUBTOTAL(3,CH16:CH21)</f>
        <v>0</v>
      </c>
      <c r="CI11" s="28">
        <f>SUBTOTAL(3,CI16:CI21)</f>
        <v>0</v>
      </c>
      <c r="CJ11" s="28">
        <f>SUBTOTAL(3,CJ16:CJ21)</f>
        <v>0</v>
      </c>
      <c r="CK11" s="28">
        <f>SUBTOTAL(3,CK16:CK21)</f>
        <v>0</v>
      </c>
      <c r="CL11" s="28">
        <f>SUBTOTAL(3,CL16:CL21)</f>
        <v>0</v>
      </c>
      <c r="CM11" s="28">
        <f>SUBTOTAL(3,CM16:CM21)</f>
        <v>0</v>
      </c>
      <c r="CN11" s="28">
        <f>SUBTOTAL(3,CN16:CN21)</f>
        <v>0</v>
      </c>
      <c r="CO11" s="28">
        <f>SUBTOTAL(3,CO16:CO21)</f>
        <v>0</v>
      </c>
      <c r="CP11" s="28">
        <f>SUBTOTAL(3,CP16:CP21)</f>
        <v>0</v>
      </c>
      <c r="CQ11" s="28">
        <f>SUBTOTAL(3,CQ16:CQ21)</f>
        <v>0</v>
      </c>
      <c r="CR11" s="28">
        <f>SUBTOTAL(3,CR16:CR21)</f>
        <v>0</v>
      </c>
      <c r="CS11" s="28">
        <f>SUBTOTAL(3,CS16:CS21)</f>
        <v>0</v>
      </c>
      <c r="CT11" s="28">
        <f>SUBTOTAL(3,CT16:CT21)</f>
        <v>0</v>
      </c>
      <c r="CU11" s="28">
        <f>SUBTOTAL(3,CU16:CU21)</f>
        <v>1</v>
      </c>
      <c r="CV11" s="28">
        <f>SUBTOTAL(3,CV16:CV21)</f>
        <v>1</v>
      </c>
      <c r="CW11" s="28">
        <f>SUBTOTAL(3,CW16:CW21)</f>
        <v>1</v>
      </c>
      <c r="CX11" s="28">
        <f>SUBTOTAL(3,CX16:CX21)</f>
        <v>1</v>
      </c>
      <c r="CY11" s="28">
        <f>SUBTOTAL(3,CY16:CY21)</f>
        <v>1</v>
      </c>
      <c r="CZ11" s="28">
        <f>SUBTOTAL(3,CZ16:CZ21)</f>
        <v>0</v>
      </c>
      <c r="DA11" s="28">
        <f>SUBTOTAL(3,DA16:DA21)</f>
        <v>0</v>
      </c>
      <c r="DB11" s="28">
        <f>SUBTOTAL(3,DB16:DB21)</f>
        <v>0</v>
      </c>
      <c r="DC11" s="28">
        <f>SUBTOTAL(3,DC16:DC21)</f>
        <v>0</v>
      </c>
      <c r="DD11" s="28">
        <f>SUBTOTAL(3,DD16:DD21)</f>
        <v>0</v>
      </c>
      <c r="DE11" s="28">
        <f>SUBTOTAL(3,DE16:DE21)</f>
        <v>1</v>
      </c>
      <c r="DF11" s="28">
        <f>SUBTOTAL(3,DF16:DF21)</f>
        <v>1</v>
      </c>
      <c r="DG11" s="28">
        <f>SUBTOTAL(3,DG16:DG21)</f>
        <v>1</v>
      </c>
    </row>
    <row r="12" spans="1:111" ht="15.75" customHeight="1" x14ac:dyDescent="0.25">
      <c r="B12" s="99" t="s">
        <v>140</v>
      </c>
      <c r="C12" s="29" t="s">
        <v>27</v>
      </c>
      <c r="D12" s="30" t="s">
        <v>28</v>
      </c>
      <c r="E12" s="29" t="s">
        <v>29</v>
      </c>
      <c r="F12" s="30" t="s">
        <v>30</v>
      </c>
      <c r="G12" s="31" t="s">
        <v>31</v>
      </c>
      <c r="H12" s="30" t="s">
        <v>32</v>
      </c>
      <c r="I12" s="32">
        <f>B16</f>
        <v>0</v>
      </c>
      <c r="J12" s="32"/>
      <c r="K12" s="32">
        <f>I12+1</f>
        <v>1</v>
      </c>
      <c r="L12" s="32"/>
      <c r="M12" s="32">
        <f>K12+1</f>
        <v>2</v>
      </c>
      <c r="N12" s="32"/>
      <c r="O12" s="32">
        <f>M12+1</f>
        <v>3</v>
      </c>
      <c r="P12" s="32"/>
      <c r="Q12" s="32">
        <f>O12+1</f>
        <v>4</v>
      </c>
      <c r="R12" s="32"/>
      <c r="S12" s="32">
        <f>Q12+1</f>
        <v>5</v>
      </c>
      <c r="T12" s="32"/>
      <c r="U12" s="33">
        <f>S12+1</f>
        <v>6</v>
      </c>
      <c r="V12" s="34"/>
      <c r="W12" s="35" t="s">
        <v>33</v>
      </c>
      <c r="X12" s="35"/>
      <c r="Y12" s="35"/>
      <c r="Z12" s="36" t="s">
        <v>34</v>
      </c>
      <c r="AA12" s="36"/>
      <c r="AB12" s="32">
        <f>S12+2</f>
        <v>7</v>
      </c>
      <c r="AC12" s="32"/>
      <c r="AD12" s="32">
        <f>AB12+1</f>
        <v>8</v>
      </c>
      <c r="AE12" s="32"/>
      <c r="AF12" s="32">
        <f>AD12+1</f>
        <v>9</v>
      </c>
      <c r="AG12" s="32"/>
      <c r="AH12" s="32">
        <f>AF12+1</f>
        <v>10</v>
      </c>
      <c r="AI12" s="32"/>
      <c r="AJ12" s="32">
        <f>AH12+1</f>
        <v>11</v>
      </c>
      <c r="AK12" s="32"/>
      <c r="AL12" s="32">
        <f>AJ12+1</f>
        <v>12</v>
      </c>
      <c r="AM12" s="32"/>
      <c r="AN12" s="35">
        <f>AL12+1</f>
        <v>13</v>
      </c>
      <c r="AO12" s="35"/>
      <c r="AP12" s="35" t="s">
        <v>33</v>
      </c>
      <c r="AQ12" s="35"/>
      <c r="AR12" s="35"/>
      <c r="AS12" s="36" t="s">
        <v>34</v>
      </c>
      <c r="AT12" s="36"/>
      <c r="AU12" s="32">
        <f>AL12+2</f>
        <v>14</v>
      </c>
      <c r="AV12" s="32"/>
      <c r="AW12" s="32">
        <f>AU12+1</f>
        <v>15</v>
      </c>
      <c r="AX12" s="32"/>
      <c r="AY12" s="32">
        <f>AW12+1</f>
        <v>16</v>
      </c>
      <c r="AZ12" s="32"/>
      <c r="BA12" s="32">
        <f>AY12+1</f>
        <v>17</v>
      </c>
      <c r="BB12" s="32"/>
      <c r="BC12" s="32">
        <f>BA12+1</f>
        <v>18</v>
      </c>
      <c r="BD12" s="32"/>
      <c r="BE12" s="32">
        <f>BC12+1</f>
        <v>19</v>
      </c>
      <c r="BF12" s="32"/>
      <c r="BG12" s="35">
        <f>BE12+1</f>
        <v>20</v>
      </c>
      <c r="BH12" s="35"/>
      <c r="BI12" s="35" t="s">
        <v>33</v>
      </c>
      <c r="BJ12" s="35"/>
      <c r="BK12" s="35"/>
      <c r="BL12" s="36" t="s">
        <v>34</v>
      </c>
      <c r="BM12" s="36"/>
      <c r="BN12" s="32">
        <f>BE12+2</f>
        <v>21</v>
      </c>
      <c r="BO12" s="32"/>
      <c r="BP12" s="32">
        <f>BN12+1</f>
        <v>22</v>
      </c>
      <c r="BQ12" s="32"/>
      <c r="BR12" s="32">
        <f>BP12+1</f>
        <v>23</v>
      </c>
      <c r="BS12" s="32"/>
      <c r="BT12" s="32">
        <f>BR12+1</f>
        <v>24</v>
      </c>
      <c r="BU12" s="32"/>
      <c r="BV12" s="32">
        <f>BT12+1</f>
        <v>25</v>
      </c>
      <c r="BW12" s="32"/>
      <c r="BX12" s="32">
        <f>BV12+1</f>
        <v>26</v>
      </c>
      <c r="BY12" s="32"/>
      <c r="BZ12" s="35">
        <f>BX12+1</f>
        <v>27</v>
      </c>
      <c r="CA12" s="35"/>
      <c r="CB12" s="35" t="s">
        <v>33</v>
      </c>
      <c r="CC12" s="35"/>
      <c r="CD12" s="35"/>
      <c r="CE12" s="36" t="s">
        <v>34</v>
      </c>
      <c r="CF12" s="36"/>
      <c r="CG12" s="32">
        <f>BX12+2</f>
        <v>28</v>
      </c>
      <c r="CH12" s="32"/>
      <c r="CI12" s="32">
        <f>CG12+1</f>
        <v>29</v>
      </c>
      <c r="CJ12" s="32"/>
      <c r="CK12" s="32">
        <f>CI12+1</f>
        <v>30</v>
      </c>
      <c r="CL12" s="32"/>
      <c r="CM12" s="32">
        <f>CK12+1</f>
        <v>31</v>
      </c>
      <c r="CN12" s="32"/>
      <c r="CO12" s="32">
        <f>CM12+1</f>
        <v>32</v>
      </c>
      <c r="CP12" s="32"/>
      <c r="CQ12" s="32">
        <f>CO12+1</f>
        <v>33</v>
      </c>
      <c r="CR12" s="32"/>
      <c r="CS12" s="35">
        <f>CQ12+1</f>
        <v>34</v>
      </c>
      <c r="CT12" s="35"/>
      <c r="CU12" s="35" t="s">
        <v>33</v>
      </c>
      <c r="CV12" s="35"/>
      <c r="CW12" s="35"/>
      <c r="CX12" s="36" t="s">
        <v>34</v>
      </c>
      <c r="CY12" s="36"/>
      <c r="CZ12" s="32">
        <f>CQ12+2</f>
        <v>35</v>
      </c>
      <c r="DA12" s="32"/>
      <c r="DB12" s="32">
        <f>CZ12+1</f>
        <v>36</v>
      </c>
      <c r="DC12" s="32"/>
      <c r="DD12" s="37"/>
      <c r="DE12" s="38" t="s">
        <v>33</v>
      </c>
      <c r="DF12" s="38"/>
      <c r="DG12" s="38" t="s">
        <v>34</v>
      </c>
    </row>
    <row r="13" spans="1:111" ht="15.75" customHeight="1" x14ac:dyDescent="0.25">
      <c r="B13" s="99"/>
      <c r="C13" s="29"/>
      <c r="D13" s="30"/>
      <c r="E13" s="30"/>
      <c r="F13" s="30"/>
      <c r="G13" s="39"/>
      <c r="H13" s="30"/>
      <c r="I13" s="29" t="s">
        <v>35</v>
      </c>
      <c r="J13" s="29"/>
      <c r="K13" s="29" t="s">
        <v>35</v>
      </c>
      <c r="L13" s="29"/>
      <c r="M13" s="29" t="s">
        <v>35</v>
      </c>
      <c r="N13" s="29"/>
      <c r="O13" s="29" t="s">
        <v>35</v>
      </c>
      <c r="P13" s="29"/>
      <c r="Q13" s="29" t="s">
        <v>35</v>
      </c>
      <c r="R13" s="29"/>
      <c r="S13" s="29" t="s">
        <v>35</v>
      </c>
      <c r="T13" s="29"/>
      <c r="U13" s="29" t="s">
        <v>36</v>
      </c>
      <c r="V13" s="29"/>
      <c r="W13" s="40" t="s">
        <v>37</v>
      </c>
      <c r="X13" s="40"/>
      <c r="Y13" s="40"/>
      <c r="Z13" s="36"/>
      <c r="AA13" s="36"/>
      <c r="AB13" s="29" t="s">
        <v>35</v>
      </c>
      <c r="AC13" s="29"/>
      <c r="AD13" s="41" t="s">
        <v>35</v>
      </c>
      <c r="AE13" s="41"/>
      <c r="AF13" s="29" t="s">
        <v>35</v>
      </c>
      <c r="AG13" s="29"/>
      <c r="AH13" s="29" t="s">
        <v>35</v>
      </c>
      <c r="AI13" s="29"/>
      <c r="AJ13" s="29" t="s">
        <v>35</v>
      </c>
      <c r="AK13" s="29"/>
      <c r="AL13" s="29" t="s">
        <v>35</v>
      </c>
      <c r="AM13" s="29"/>
      <c r="AN13" s="29" t="s">
        <v>36</v>
      </c>
      <c r="AO13" s="29"/>
      <c r="AP13" s="40" t="s">
        <v>38</v>
      </c>
      <c r="AQ13" s="40"/>
      <c r="AR13" s="40"/>
      <c r="AS13" s="36"/>
      <c r="AT13" s="36"/>
      <c r="AU13" s="29" t="s">
        <v>35</v>
      </c>
      <c r="AV13" s="29"/>
      <c r="AW13" s="29" t="s">
        <v>35</v>
      </c>
      <c r="AX13" s="29"/>
      <c r="AY13" s="29" t="s">
        <v>35</v>
      </c>
      <c r="AZ13" s="29"/>
      <c r="BA13" s="29" t="s">
        <v>35</v>
      </c>
      <c r="BB13" s="29"/>
      <c r="BC13" s="29" t="s">
        <v>35</v>
      </c>
      <c r="BD13" s="29"/>
      <c r="BE13" s="29" t="s">
        <v>35</v>
      </c>
      <c r="BF13" s="29"/>
      <c r="BG13" s="29" t="s">
        <v>36</v>
      </c>
      <c r="BH13" s="29"/>
      <c r="BI13" s="40" t="s">
        <v>39</v>
      </c>
      <c r="BJ13" s="40"/>
      <c r="BK13" s="40"/>
      <c r="BL13" s="36"/>
      <c r="BM13" s="36"/>
      <c r="BN13" s="29" t="s">
        <v>35</v>
      </c>
      <c r="BO13" s="29"/>
      <c r="BP13" s="29" t="s">
        <v>35</v>
      </c>
      <c r="BQ13" s="29"/>
      <c r="BR13" s="29" t="s">
        <v>35</v>
      </c>
      <c r="BS13" s="29"/>
      <c r="BT13" s="29" t="s">
        <v>35</v>
      </c>
      <c r="BU13" s="29"/>
      <c r="BV13" s="29" t="s">
        <v>35</v>
      </c>
      <c r="BW13" s="29"/>
      <c r="BX13" s="29" t="s">
        <v>35</v>
      </c>
      <c r="BY13" s="29"/>
      <c r="BZ13" s="29" t="s">
        <v>36</v>
      </c>
      <c r="CA13" s="29"/>
      <c r="CB13" s="40" t="s">
        <v>40</v>
      </c>
      <c r="CC13" s="40"/>
      <c r="CD13" s="40"/>
      <c r="CE13" s="36"/>
      <c r="CF13" s="36"/>
      <c r="CG13" s="29" t="s">
        <v>35</v>
      </c>
      <c r="CH13" s="29"/>
      <c r="CI13" s="29" t="s">
        <v>35</v>
      </c>
      <c r="CJ13" s="29"/>
      <c r="CK13" s="29" t="s">
        <v>35</v>
      </c>
      <c r="CL13" s="29"/>
      <c r="CM13" s="29" t="s">
        <v>35</v>
      </c>
      <c r="CN13" s="29"/>
      <c r="CO13" s="29" t="s">
        <v>35</v>
      </c>
      <c r="CP13" s="29"/>
      <c r="CQ13" s="29" t="s">
        <v>35</v>
      </c>
      <c r="CR13" s="29"/>
      <c r="CS13" s="29" t="s">
        <v>36</v>
      </c>
      <c r="CT13" s="29"/>
      <c r="CU13" s="40" t="s">
        <v>41</v>
      </c>
      <c r="CV13" s="40"/>
      <c r="CW13" s="40"/>
      <c r="CX13" s="36"/>
      <c r="CY13" s="36"/>
      <c r="CZ13" s="29" t="s">
        <v>35</v>
      </c>
      <c r="DA13" s="29"/>
      <c r="DB13" s="29" t="s">
        <v>35</v>
      </c>
      <c r="DC13" s="29"/>
      <c r="DD13" s="37"/>
      <c r="DE13" s="42" t="s">
        <v>42</v>
      </c>
      <c r="DF13" s="42"/>
      <c r="DG13" s="38"/>
    </row>
    <row r="14" spans="1:111" ht="78.75" x14ac:dyDescent="0.25">
      <c r="B14" s="99"/>
      <c r="C14" s="29"/>
      <c r="D14" s="30"/>
      <c r="E14" s="30"/>
      <c r="F14" s="30"/>
      <c r="G14" s="43"/>
      <c r="H14" s="30"/>
      <c r="I14" s="44" t="s">
        <v>43</v>
      </c>
      <c r="J14" s="44" t="s">
        <v>44</v>
      </c>
      <c r="K14" s="44" t="s">
        <v>43</v>
      </c>
      <c r="L14" s="44" t="s">
        <v>44</v>
      </c>
      <c r="M14" s="44" t="s">
        <v>43</v>
      </c>
      <c r="N14" s="44" t="s">
        <v>45</v>
      </c>
      <c r="O14" s="44" t="s">
        <v>43</v>
      </c>
      <c r="P14" s="44" t="s">
        <v>45</v>
      </c>
      <c r="Q14" s="44" t="s">
        <v>43</v>
      </c>
      <c r="R14" s="44" t="s">
        <v>45</v>
      </c>
      <c r="S14" s="44" t="s">
        <v>43</v>
      </c>
      <c r="T14" s="44" t="s">
        <v>45</v>
      </c>
      <c r="U14" s="44" t="s">
        <v>43</v>
      </c>
      <c r="V14" s="44" t="s">
        <v>45</v>
      </c>
      <c r="W14" s="45" t="s">
        <v>43</v>
      </c>
      <c r="X14" s="45" t="s">
        <v>45</v>
      </c>
      <c r="Y14" s="45" t="s">
        <v>46</v>
      </c>
      <c r="Z14" s="46" t="s">
        <v>47</v>
      </c>
      <c r="AA14" s="46" t="s">
        <v>44</v>
      </c>
      <c r="AB14" s="44" t="s">
        <v>43</v>
      </c>
      <c r="AC14" s="44" t="s">
        <v>45</v>
      </c>
      <c r="AD14" s="44" t="s">
        <v>43</v>
      </c>
      <c r="AE14" s="44" t="s">
        <v>45</v>
      </c>
      <c r="AF14" s="44" t="s">
        <v>43</v>
      </c>
      <c r="AG14" s="44" t="s">
        <v>45</v>
      </c>
      <c r="AH14" s="44" t="s">
        <v>43</v>
      </c>
      <c r="AI14" s="44" t="s">
        <v>45</v>
      </c>
      <c r="AJ14" s="44" t="s">
        <v>43</v>
      </c>
      <c r="AK14" s="44" t="s">
        <v>45</v>
      </c>
      <c r="AL14" s="44" t="s">
        <v>43</v>
      </c>
      <c r="AM14" s="44" t="s">
        <v>45</v>
      </c>
      <c r="AN14" s="44" t="s">
        <v>43</v>
      </c>
      <c r="AO14" s="44" t="s">
        <v>45</v>
      </c>
      <c r="AP14" s="45" t="s">
        <v>43</v>
      </c>
      <c r="AQ14" s="45" t="s">
        <v>45</v>
      </c>
      <c r="AR14" s="45" t="s">
        <v>46</v>
      </c>
      <c r="AS14" s="46" t="s">
        <v>47</v>
      </c>
      <c r="AT14" s="46" t="s">
        <v>44</v>
      </c>
      <c r="AU14" s="44" t="s">
        <v>43</v>
      </c>
      <c r="AV14" s="44" t="s">
        <v>45</v>
      </c>
      <c r="AW14" s="44" t="s">
        <v>43</v>
      </c>
      <c r="AX14" s="44" t="s">
        <v>45</v>
      </c>
      <c r="AY14" s="44" t="s">
        <v>43</v>
      </c>
      <c r="AZ14" s="44" t="s">
        <v>45</v>
      </c>
      <c r="BA14" s="44" t="s">
        <v>43</v>
      </c>
      <c r="BB14" s="44" t="s">
        <v>45</v>
      </c>
      <c r="BC14" s="44" t="s">
        <v>43</v>
      </c>
      <c r="BD14" s="44" t="s">
        <v>45</v>
      </c>
      <c r="BE14" s="44" t="s">
        <v>43</v>
      </c>
      <c r="BF14" s="44" t="s">
        <v>45</v>
      </c>
      <c r="BG14" s="44" t="s">
        <v>43</v>
      </c>
      <c r="BH14" s="44" t="s">
        <v>45</v>
      </c>
      <c r="BI14" s="45" t="s">
        <v>43</v>
      </c>
      <c r="BJ14" s="45" t="s">
        <v>45</v>
      </c>
      <c r="BK14" s="45" t="s">
        <v>46</v>
      </c>
      <c r="BL14" s="46" t="s">
        <v>47</v>
      </c>
      <c r="BM14" s="46" t="s">
        <v>44</v>
      </c>
      <c r="BN14" s="44" t="s">
        <v>43</v>
      </c>
      <c r="BO14" s="44" t="s">
        <v>45</v>
      </c>
      <c r="BP14" s="44" t="s">
        <v>43</v>
      </c>
      <c r="BQ14" s="44" t="s">
        <v>45</v>
      </c>
      <c r="BR14" s="44" t="s">
        <v>43</v>
      </c>
      <c r="BS14" s="44" t="s">
        <v>45</v>
      </c>
      <c r="BT14" s="44" t="s">
        <v>43</v>
      </c>
      <c r="BU14" s="44" t="s">
        <v>45</v>
      </c>
      <c r="BV14" s="44" t="s">
        <v>43</v>
      </c>
      <c r="BW14" s="44" t="s">
        <v>45</v>
      </c>
      <c r="BX14" s="44" t="s">
        <v>43</v>
      </c>
      <c r="BY14" s="44" t="s">
        <v>45</v>
      </c>
      <c r="BZ14" s="44" t="s">
        <v>43</v>
      </c>
      <c r="CA14" s="44" t="s">
        <v>45</v>
      </c>
      <c r="CB14" s="45" t="s">
        <v>43</v>
      </c>
      <c r="CC14" s="45" t="s">
        <v>45</v>
      </c>
      <c r="CD14" s="45" t="s">
        <v>46</v>
      </c>
      <c r="CE14" s="46" t="s">
        <v>47</v>
      </c>
      <c r="CF14" s="46" t="s">
        <v>44</v>
      </c>
      <c r="CG14" s="44" t="s">
        <v>43</v>
      </c>
      <c r="CH14" s="44" t="s">
        <v>45</v>
      </c>
      <c r="CI14" s="44" t="s">
        <v>43</v>
      </c>
      <c r="CJ14" s="44" t="s">
        <v>45</v>
      </c>
      <c r="CK14" s="44" t="s">
        <v>43</v>
      </c>
      <c r="CL14" s="44" t="s">
        <v>45</v>
      </c>
      <c r="CM14" s="44" t="s">
        <v>43</v>
      </c>
      <c r="CN14" s="44" t="s">
        <v>45</v>
      </c>
      <c r="CO14" s="44" t="s">
        <v>43</v>
      </c>
      <c r="CP14" s="44" t="s">
        <v>45</v>
      </c>
      <c r="CQ14" s="44" t="s">
        <v>43</v>
      </c>
      <c r="CR14" s="44" t="s">
        <v>45</v>
      </c>
      <c r="CS14" s="44" t="s">
        <v>43</v>
      </c>
      <c r="CT14" s="44" t="s">
        <v>45</v>
      </c>
      <c r="CU14" s="45" t="s">
        <v>43</v>
      </c>
      <c r="CV14" s="45" t="s">
        <v>45</v>
      </c>
      <c r="CW14" s="45" t="s">
        <v>46</v>
      </c>
      <c r="CX14" s="46" t="s">
        <v>47</v>
      </c>
      <c r="CY14" s="46" t="s">
        <v>44</v>
      </c>
      <c r="CZ14" s="44" t="s">
        <v>43</v>
      </c>
      <c r="DA14" s="44" t="s">
        <v>45</v>
      </c>
      <c r="DB14" s="44" t="s">
        <v>43</v>
      </c>
      <c r="DC14" s="44" t="s">
        <v>45</v>
      </c>
      <c r="DD14" s="37"/>
      <c r="DE14" s="47" t="s">
        <v>43</v>
      </c>
      <c r="DF14" s="47" t="s">
        <v>45</v>
      </c>
      <c r="DG14" s="47" t="s">
        <v>48</v>
      </c>
    </row>
    <row r="15" spans="1:111" x14ac:dyDescent="0.25">
      <c r="B15" s="37"/>
      <c r="C15" s="48">
        <v>0</v>
      </c>
      <c r="D15" s="49">
        <v>1</v>
      </c>
      <c r="E15" s="49">
        <v>2</v>
      </c>
      <c r="F15" s="49">
        <v>3</v>
      </c>
      <c r="G15" s="49"/>
      <c r="H15" s="49">
        <v>4</v>
      </c>
      <c r="I15" s="49">
        <v>15</v>
      </c>
      <c r="J15" s="49">
        <f>I15+10</f>
        <v>25</v>
      </c>
      <c r="K15" s="49">
        <f>J15+5</f>
        <v>30</v>
      </c>
      <c r="L15" s="49">
        <f>K15+10</f>
        <v>40</v>
      </c>
      <c r="M15" s="49">
        <f>L15+5</f>
        <v>45</v>
      </c>
      <c r="N15" s="49">
        <f>M15+10</f>
        <v>55</v>
      </c>
      <c r="O15" s="49">
        <f t="shared" ref="O15" si="0">N15+5</f>
        <v>60</v>
      </c>
      <c r="P15" s="49">
        <f t="shared" ref="P15" si="1">O15+10</f>
        <v>70</v>
      </c>
      <c r="Q15" s="49">
        <f t="shared" ref="Q15" si="2">P15+5</f>
        <v>75</v>
      </c>
      <c r="R15" s="49">
        <f t="shared" ref="R15" si="3">Q15+10</f>
        <v>85</v>
      </c>
      <c r="S15" s="49">
        <f t="shared" ref="S15" si="4">R15+5</f>
        <v>90</v>
      </c>
      <c r="T15" s="49">
        <f t="shared" ref="T15" si="5">S15+10</f>
        <v>100</v>
      </c>
      <c r="U15" s="49"/>
      <c r="V15" s="49"/>
      <c r="W15" s="49"/>
      <c r="X15" s="49"/>
      <c r="Y15" s="49"/>
      <c r="Z15" s="50"/>
      <c r="AA15" s="50"/>
      <c r="AB15" s="49">
        <f>T15+25</f>
        <v>125</v>
      </c>
      <c r="AC15" s="49">
        <f>AB15+10</f>
        <v>135</v>
      </c>
      <c r="AD15" s="49">
        <f>AC15+5</f>
        <v>140</v>
      </c>
      <c r="AE15" s="49">
        <f>AD15+10</f>
        <v>150</v>
      </c>
      <c r="AF15" s="49">
        <f t="shared" ref="AF15" si="6">AE15+5</f>
        <v>155</v>
      </c>
      <c r="AG15" s="49">
        <f t="shared" ref="AG15" si="7">AF15+10</f>
        <v>165</v>
      </c>
      <c r="AH15" s="49">
        <f t="shared" ref="AH15" si="8">AG15+5</f>
        <v>170</v>
      </c>
      <c r="AI15" s="49">
        <f t="shared" ref="AI15" si="9">AH15+10</f>
        <v>180</v>
      </c>
      <c r="AJ15" s="49">
        <f t="shared" ref="AJ15" si="10">AI15+5</f>
        <v>185</v>
      </c>
      <c r="AK15" s="49">
        <f t="shared" ref="AK15" si="11">AJ15+10</f>
        <v>195</v>
      </c>
      <c r="AL15" s="49">
        <f t="shared" ref="AL15" si="12">AK15+5</f>
        <v>200</v>
      </c>
      <c r="AM15" s="49">
        <f t="shared" ref="AM15" si="13">AL15+10</f>
        <v>210</v>
      </c>
      <c r="AN15" s="49"/>
      <c r="AO15" s="49"/>
      <c r="AP15" s="49"/>
      <c r="AQ15" s="49"/>
      <c r="AR15" s="49"/>
      <c r="AS15" s="50"/>
      <c r="AT15" s="50"/>
      <c r="AU15" s="49">
        <f>AM15+25</f>
        <v>235</v>
      </c>
      <c r="AV15" s="49">
        <f>AU15+10</f>
        <v>245</v>
      </c>
      <c r="AW15" s="49">
        <f>AV15+5</f>
        <v>250</v>
      </c>
      <c r="AX15" s="49">
        <f>AW15+10</f>
        <v>260</v>
      </c>
      <c r="AY15" s="49">
        <f t="shared" ref="AY15" si="14">AX15+5</f>
        <v>265</v>
      </c>
      <c r="AZ15" s="49">
        <f t="shared" ref="AZ15" si="15">AY15+10</f>
        <v>275</v>
      </c>
      <c r="BA15" s="49">
        <f t="shared" ref="BA15" si="16">AZ15+5</f>
        <v>280</v>
      </c>
      <c r="BB15" s="49">
        <f t="shared" ref="BB15" si="17">BA15+10</f>
        <v>290</v>
      </c>
      <c r="BC15" s="49">
        <f t="shared" ref="BC15" si="18">BB15+5</f>
        <v>295</v>
      </c>
      <c r="BD15" s="49">
        <f t="shared" ref="BD15" si="19">BC15+10</f>
        <v>305</v>
      </c>
      <c r="BE15" s="49">
        <f t="shared" ref="BE15" si="20">BD15+5</f>
        <v>310</v>
      </c>
      <c r="BF15" s="49">
        <f t="shared" ref="BF15" si="21">BE15+10</f>
        <v>320</v>
      </c>
      <c r="BG15" s="49"/>
      <c r="BH15" s="49"/>
      <c r="BI15" s="49"/>
      <c r="BJ15" s="49"/>
      <c r="BK15" s="49"/>
      <c r="BL15" s="50"/>
      <c r="BM15" s="50"/>
      <c r="BN15" s="49">
        <f>BF15+25</f>
        <v>345</v>
      </c>
      <c r="BO15" s="49">
        <f>BN15+10</f>
        <v>355</v>
      </c>
      <c r="BP15" s="49">
        <f>BO15+5</f>
        <v>360</v>
      </c>
      <c r="BQ15" s="49">
        <f>BP15+10</f>
        <v>370</v>
      </c>
      <c r="BR15" s="49">
        <f t="shared" ref="BR15" si="22">BQ15+5</f>
        <v>375</v>
      </c>
      <c r="BS15" s="49">
        <f t="shared" ref="BS15" si="23">BR15+10</f>
        <v>385</v>
      </c>
      <c r="BT15" s="49">
        <f t="shared" ref="BT15" si="24">BS15+5</f>
        <v>390</v>
      </c>
      <c r="BU15" s="49">
        <f t="shared" ref="BU15" si="25">BT15+10</f>
        <v>400</v>
      </c>
      <c r="BV15" s="49">
        <f t="shared" ref="BV15" si="26">BU15+5</f>
        <v>405</v>
      </c>
      <c r="BW15" s="49">
        <f t="shared" ref="BW15" si="27">BV15+10</f>
        <v>415</v>
      </c>
      <c r="BX15" s="49">
        <f t="shared" ref="BX15" si="28">BW15+5</f>
        <v>420</v>
      </c>
      <c r="BY15" s="49">
        <f t="shared" ref="BY15" si="29">BX15+10</f>
        <v>430</v>
      </c>
      <c r="BZ15" s="49"/>
      <c r="CA15" s="49"/>
      <c r="CB15" s="49"/>
      <c r="CC15" s="49"/>
      <c r="CD15" s="49"/>
      <c r="CE15" s="50"/>
      <c r="CF15" s="50"/>
      <c r="CG15" s="49">
        <f>BY15+25</f>
        <v>455</v>
      </c>
      <c r="CH15" s="49">
        <f>CG15+10</f>
        <v>465</v>
      </c>
      <c r="CI15" s="49">
        <f>CH15+5</f>
        <v>470</v>
      </c>
      <c r="CJ15" s="49">
        <f>CI15+10</f>
        <v>480</v>
      </c>
      <c r="CK15" s="49">
        <f t="shared" ref="CK15" si="30">CJ15+5</f>
        <v>485</v>
      </c>
      <c r="CL15" s="49">
        <f t="shared" ref="CL15" si="31">CK15+10</f>
        <v>495</v>
      </c>
      <c r="CM15" s="49">
        <f t="shared" ref="CM15" si="32">CL15+5</f>
        <v>500</v>
      </c>
      <c r="CN15" s="49">
        <f t="shared" ref="CN15" si="33">CM15+10</f>
        <v>510</v>
      </c>
      <c r="CO15" s="49">
        <f t="shared" ref="CO15" si="34">CN15+5</f>
        <v>515</v>
      </c>
      <c r="CP15" s="49">
        <f t="shared" ref="CP15" si="35">CO15+10</f>
        <v>525</v>
      </c>
      <c r="CQ15" s="49">
        <f t="shared" ref="CQ15" si="36">CP15+5</f>
        <v>530</v>
      </c>
      <c r="CR15" s="49">
        <f t="shared" ref="CR15" si="37">CQ15+10</f>
        <v>540</v>
      </c>
      <c r="CS15" s="49"/>
      <c r="CT15" s="49"/>
      <c r="CU15" s="49"/>
      <c r="CV15" s="49"/>
      <c r="CW15" s="49"/>
      <c r="CX15" s="50"/>
      <c r="CY15" s="50"/>
      <c r="CZ15" s="49">
        <f>CR15+25</f>
        <v>565</v>
      </c>
      <c r="DA15" s="49">
        <f>CZ15+10</f>
        <v>575</v>
      </c>
      <c r="DB15" s="49">
        <f>DA15+5</f>
        <v>580</v>
      </c>
      <c r="DC15" s="49">
        <f>DB15+10</f>
        <v>590</v>
      </c>
      <c r="DD15" s="37"/>
      <c r="DE15" s="49"/>
      <c r="DF15" s="49"/>
      <c r="DG15" s="49"/>
    </row>
    <row r="16" spans="1:111" x14ac:dyDescent="0.25">
      <c r="B16" s="37"/>
      <c r="C16" s="51"/>
      <c r="D16" s="52"/>
      <c r="E16" s="53"/>
      <c r="F16" s="54"/>
      <c r="G16" s="53"/>
      <c r="H16" s="55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7"/>
      <c r="W16" s="58">
        <f>I16+K16+M16+O16+Q16+S16</f>
        <v>0</v>
      </c>
      <c r="X16" s="58">
        <f>J16+L16+N16+P16+R16+T16+V16+U16</f>
        <v>0</v>
      </c>
      <c r="Y16" s="58">
        <f>X16+W16</f>
        <v>0</v>
      </c>
      <c r="Z16" s="59" t="str">
        <f>IF(Y16&lt;48,"A",IF(Y16&lt;=60,"B",IF(Y16&lt;=72,"C","D")))</f>
        <v>A</v>
      </c>
      <c r="AA16" s="59" t="str">
        <f>IF(X16&lt;12,"A",IF(X16=12,"B",IF(X16&lt;=15,"C","D")))</f>
        <v>A</v>
      </c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7"/>
      <c r="AP16" s="58">
        <f>AB16+AD16+AF16+AH16+AJ16+AL16</f>
        <v>0</v>
      </c>
      <c r="AQ16" s="58">
        <f>AC16+AE16+AG16+AI16+AK16+AM16+AO16+AN16</f>
        <v>0</v>
      </c>
      <c r="AR16" s="58">
        <f>AP16+AQ16</f>
        <v>0</v>
      </c>
      <c r="AS16" s="59" t="str">
        <f>IF(AR16&lt;48,"A",IF(AR16&lt;=60,"B",IF(AR16&lt;=72,"C","D")))</f>
        <v>A</v>
      </c>
      <c r="AT16" s="59" t="str">
        <f>IF(AQ16&lt;12,"A",IF(AQ16=12,"B",IF(AQ16&lt;=15,"C","D")))</f>
        <v>A</v>
      </c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7"/>
      <c r="BI16" s="58">
        <f>AU16+AW16+AY16+BA16+BC16+BE16</f>
        <v>0</v>
      </c>
      <c r="BJ16" s="58">
        <f>AV16+AX16+AZ16+BB16+BD16+BF16+BH16+BG16</f>
        <v>0</v>
      </c>
      <c r="BK16" s="58">
        <f>BI16+BJ16</f>
        <v>0</v>
      </c>
      <c r="BL16" s="59" t="str">
        <f>IF(BK16&lt;48,"A",IF(BK16&lt;=60,"B",IF(BK16&lt;=72,"C","D")))</f>
        <v>A</v>
      </c>
      <c r="BM16" s="59" t="str">
        <f>IF(BJ16&lt;12,"A",IF(BJ16=12,"B",IF(BJ16&lt;=15,"C","D")))</f>
        <v>A</v>
      </c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7"/>
      <c r="CB16" s="58">
        <f>BN16+BP16+BR16+BT16+BV16+BX16</f>
        <v>0</v>
      </c>
      <c r="CC16" s="58">
        <f>BO16+BQ16+BS16+BU16+BW16+BY16+CA16+BZ16</f>
        <v>0</v>
      </c>
      <c r="CD16" s="58">
        <f>CB16+CC16</f>
        <v>0</v>
      </c>
      <c r="CE16" s="59" t="str">
        <f>IF(CD16&lt;48,"A",IF(CD16&lt;=60,"B",IF(CD16&lt;=72,"C","D")))</f>
        <v>A</v>
      </c>
      <c r="CF16" s="59" t="str">
        <f>IF(CC16&lt;12,"A",IF(CC16=12,"B",IF(CC16&lt;=15,"C","D")))</f>
        <v>A</v>
      </c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7"/>
      <c r="CT16" s="57"/>
      <c r="CU16" s="58">
        <f>CG16+CI16+CK16+CM16+CO16+CQ16</f>
        <v>0</v>
      </c>
      <c r="CV16" s="58">
        <f>CH16+CJ16+CL16+CN16+CP16+CR16+CT16+CS16</f>
        <v>0</v>
      </c>
      <c r="CW16" s="58">
        <f>CU16+CV16</f>
        <v>0</v>
      </c>
      <c r="CX16" s="59" t="str">
        <f>IF(CW16&lt;48,"A",IF(CW16&lt;=60,"B",IF(CW16&lt;=72,"C","D")))</f>
        <v>A</v>
      </c>
      <c r="CY16" s="59" t="str">
        <f>IF(CV16&lt;12,"A",IF(CV16=12,"B",IF(CV16&lt;=15,"C","D")))</f>
        <v>A</v>
      </c>
      <c r="CZ16" s="56"/>
      <c r="DA16" s="56"/>
      <c r="DB16" s="56"/>
      <c r="DC16" s="56"/>
      <c r="DD16" s="60"/>
      <c r="DE16" s="61">
        <f>CU16+CB16+BI16+AP16+W16+CZ16+DB16</f>
        <v>0</v>
      </c>
      <c r="DF16" s="61">
        <f>CV16+CC16+BJ16+AQ16+X16+DA16+DC16</f>
        <v>0</v>
      </c>
      <c r="DG16" s="59" t="str">
        <f>IF(DF16&lt;48,"A",IF(DF16=48,"B",IF(DF16&lt;=60,"C","D")))</f>
        <v>A</v>
      </c>
    </row>
    <row r="17" spans="2:111" x14ac:dyDescent="0.25">
      <c r="B17" s="90"/>
      <c r="C17" s="51"/>
      <c r="D17" s="52"/>
      <c r="E17" s="53"/>
      <c r="F17" s="54"/>
      <c r="G17" s="53"/>
      <c r="H17" s="55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7"/>
      <c r="W17" s="58"/>
      <c r="X17" s="58"/>
      <c r="Y17" s="58"/>
      <c r="Z17" s="59"/>
      <c r="AA17" s="59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7"/>
      <c r="AP17" s="58"/>
      <c r="AQ17" s="58"/>
      <c r="AR17" s="58"/>
      <c r="AS17" s="59"/>
      <c r="AT17" s="59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7"/>
      <c r="BI17" s="58"/>
      <c r="BJ17" s="58"/>
      <c r="BK17" s="58"/>
      <c r="BL17" s="59"/>
      <c r="BM17" s="59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7"/>
      <c r="CB17" s="58"/>
      <c r="CC17" s="58"/>
      <c r="CD17" s="58"/>
      <c r="CE17" s="59"/>
      <c r="CF17" s="59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7"/>
      <c r="CT17" s="57"/>
      <c r="CU17" s="58"/>
      <c r="CV17" s="58"/>
      <c r="CW17" s="58"/>
      <c r="CX17" s="59"/>
      <c r="CY17" s="59"/>
      <c r="CZ17" s="56"/>
      <c r="DA17" s="56"/>
      <c r="DB17" s="56"/>
      <c r="DC17" s="56"/>
      <c r="DD17" s="60"/>
      <c r="DE17" s="61"/>
      <c r="DF17" s="61"/>
      <c r="DG17" s="59"/>
    </row>
    <row r="18" spans="2:111" x14ac:dyDescent="0.25">
      <c r="B18" s="90"/>
      <c r="C18" s="51"/>
      <c r="D18" s="52"/>
      <c r="E18" s="53"/>
      <c r="F18" s="54"/>
      <c r="G18" s="53"/>
      <c r="H18" s="55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7"/>
      <c r="W18" s="58"/>
      <c r="X18" s="58"/>
      <c r="Y18" s="58"/>
      <c r="Z18" s="59"/>
      <c r="AA18" s="59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7"/>
      <c r="AP18" s="58"/>
      <c r="AQ18" s="58"/>
      <c r="AR18" s="58"/>
      <c r="AS18" s="59"/>
      <c r="AT18" s="59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7"/>
      <c r="BI18" s="58"/>
      <c r="BJ18" s="58"/>
      <c r="BK18" s="58"/>
      <c r="BL18" s="59"/>
      <c r="BM18" s="59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7"/>
      <c r="CB18" s="58"/>
      <c r="CC18" s="58"/>
      <c r="CD18" s="58"/>
      <c r="CE18" s="59"/>
      <c r="CF18" s="59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7"/>
      <c r="CT18" s="57"/>
      <c r="CU18" s="58"/>
      <c r="CV18" s="58"/>
      <c r="CW18" s="58"/>
      <c r="CX18" s="59"/>
      <c r="CY18" s="59"/>
      <c r="CZ18" s="56"/>
      <c r="DA18" s="56"/>
      <c r="DB18" s="56"/>
      <c r="DC18" s="56"/>
      <c r="DD18" s="60"/>
      <c r="DE18" s="61"/>
      <c r="DF18" s="61"/>
      <c r="DG18" s="59"/>
    </row>
    <row r="19" spans="2:111" x14ac:dyDescent="0.25">
      <c r="B19" s="90"/>
      <c r="C19" s="51"/>
      <c r="D19" s="52"/>
      <c r="E19" s="53"/>
      <c r="F19" s="54"/>
      <c r="G19" s="53"/>
      <c r="H19" s="55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7"/>
      <c r="W19" s="58"/>
      <c r="X19" s="58"/>
      <c r="Y19" s="58"/>
      <c r="Z19" s="59"/>
      <c r="AA19" s="59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7"/>
      <c r="AP19" s="58"/>
      <c r="AQ19" s="58"/>
      <c r="AR19" s="58"/>
      <c r="AS19" s="59"/>
      <c r="AT19" s="59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7"/>
      <c r="BI19" s="58"/>
      <c r="BJ19" s="58"/>
      <c r="BK19" s="58"/>
      <c r="BL19" s="59"/>
      <c r="BM19" s="59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7"/>
      <c r="CB19" s="58"/>
      <c r="CC19" s="58"/>
      <c r="CD19" s="58"/>
      <c r="CE19" s="59"/>
      <c r="CF19" s="59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7"/>
      <c r="CT19" s="57"/>
      <c r="CU19" s="58"/>
      <c r="CV19" s="58"/>
      <c r="CW19" s="58"/>
      <c r="CX19" s="59"/>
      <c r="CY19" s="59"/>
      <c r="CZ19" s="56"/>
      <c r="DA19" s="56"/>
      <c r="DB19" s="56"/>
      <c r="DC19" s="56"/>
      <c r="DD19" s="60"/>
      <c r="DE19" s="61"/>
      <c r="DF19" s="61"/>
      <c r="DG19" s="59"/>
    </row>
    <row r="20" spans="2:111" x14ac:dyDescent="0.25">
      <c r="B20" s="90"/>
      <c r="C20" s="51"/>
      <c r="D20" s="52"/>
      <c r="E20" s="53"/>
      <c r="F20" s="54"/>
      <c r="G20" s="53"/>
      <c r="H20" s="55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7"/>
      <c r="W20" s="58"/>
      <c r="X20" s="58"/>
      <c r="Y20" s="58"/>
      <c r="Z20" s="59"/>
      <c r="AA20" s="59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7"/>
      <c r="AP20" s="58"/>
      <c r="AQ20" s="58"/>
      <c r="AR20" s="58"/>
      <c r="AS20" s="59"/>
      <c r="AT20" s="59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7"/>
      <c r="BI20" s="58"/>
      <c r="BJ20" s="58"/>
      <c r="BK20" s="58"/>
      <c r="BL20" s="59"/>
      <c r="BM20" s="59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7"/>
      <c r="CB20" s="58"/>
      <c r="CC20" s="58"/>
      <c r="CD20" s="58"/>
      <c r="CE20" s="59"/>
      <c r="CF20" s="59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7"/>
      <c r="CT20" s="57"/>
      <c r="CU20" s="58"/>
      <c r="CV20" s="58"/>
      <c r="CW20" s="58"/>
      <c r="CX20" s="59"/>
      <c r="CY20" s="59"/>
      <c r="CZ20" s="56"/>
      <c r="DA20" s="56"/>
      <c r="DB20" s="56"/>
      <c r="DC20" s="56"/>
      <c r="DD20" s="60"/>
      <c r="DE20" s="61"/>
      <c r="DF20" s="61"/>
      <c r="DG20" s="59"/>
    </row>
    <row r="21" spans="2:111" x14ac:dyDescent="0.25">
      <c r="B21" s="90"/>
      <c r="C21" s="51"/>
      <c r="D21" s="52"/>
      <c r="E21" s="53"/>
      <c r="F21" s="54"/>
      <c r="G21" s="53"/>
      <c r="H21" s="55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7"/>
      <c r="W21" s="58"/>
      <c r="X21" s="58"/>
      <c r="Y21" s="58"/>
      <c r="Z21" s="59"/>
      <c r="AA21" s="59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7"/>
      <c r="AP21" s="58"/>
      <c r="AQ21" s="58"/>
      <c r="AR21" s="58"/>
      <c r="AS21" s="59"/>
      <c r="AT21" s="59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7"/>
      <c r="BI21" s="58"/>
      <c r="BJ21" s="58"/>
      <c r="BK21" s="58"/>
      <c r="BL21" s="59"/>
      <c r="BM21" s="59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7"/>
      <c r="CB21" s="58"/>
      <c r="CC21" s="58"/>
      <c r="CD21" s="58"/>
      <c r="CE21" s="59"/>
      <c r="CF21" s="59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7"/>
      <c r="CT21" s="57"/>
      <c r="CU21" s="58"/>
      <c r="CV21" s="58"/>
      <c r="CW21" s="58"/>
      <c r="CX21" s="59"/>
      <c r="CY21" s="59"/>
      <c r="CZ21" s="56"/>
      <c r="DA21" s="56"/>
      <c r="DB21" s="56"/>
      <c r="DC21" s="56"/>
      <c r="DD21" s="60"/>
      <c r="DE21" s="61"/>
      <c r="DF21" s="61"/>
      <c r="DG21" s="59"/>
    </row>
    <row r="22" spans="2:111" x14ac:dyDescent="0.25">
      <c r="J22" s="64"/>
      <c r="DF22" s="65">
        <f>SUM(DF16:DF21)</f>
        <v>0</v>
      </c>
    </row>
    <row r="23" spans="2:111" x14ac:dyDescent="0.25">
      <c r="C23" s="66">
        <f>SUBTOTAL(3,C16:C21)</f>
        <v>0</v>
      </c>
      <c r="D23" s="67"/>
      <c r="E23" s="67"/>
      <c r="F23" s="67"/>
      <c r="G23" s="67"/>
      <c r="H23" s="67"/>
      <c r="I23" s="67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</row>
    <row r="24" spans="2:111" x14ac:dyDescent="0.25">
      <c r="D24" s="69"/>
      <c r="E24" s="69"/>
      <c r="F24" s="68"/>
      <c r="G24" s="69"/>
      <c r="H24" s="69"/>
      <c r="I24" s="69"/>
    </row>
    <row r="25" spans="2:111" ht="135" x14ac:dyDescent="0.25">
      <c r="D25" s="70" t="s">
        <v>49</v>
      </c>
      <c r="E25" s="70" t="s">
        <v>50</v>
      </c>
      <c r="F25" s="70" t="s">
        <v>51</v>
      </c>
      <c r="G25" s="70"/>
      <c r="H25" s="70" t="s">
        <v>52</v>
      </c>
      <c r="I25" s="70" t="s">
        <v>53</v>
      </c>
      <c r="J25" s="70" t="s">
        <v>54</v>
      </c>
      <c r="K25" s="70" t="s">
        <v>55</v>
      </c>
      <c r="L25" s="70"/>
      <c r="M25" s="71" t="s">
        <v>56</v>
      </c>
      <c r="N25" s="72"/>
      <c r="O25" s="72"/>
      <c r="P25" s="72"/>
      <c r="Q25" s="72"/>
      <c r="R25" s="73"/>
    </row>
    <row r="26" spans="2:111" x14ac:dyDescent="0.25">
      <c r="D26" s="74">
        <f>I12</f>
        <v>0</v>
      </c>
      <c r="E26" s="75" t="s">
        <v>57</v>
      </c>
      <c r="F26" s="76">
        <f>MAX(J16:J21)</f>
        <v>0</v>
      </c>
      <c r="G26" s="77"/>
      <c r="H26" s="76">
        <f>COUNTIF(J16:J21,"&gt;4")</f>
        <v>0</v>
      </c>
      <c r="I26" s="78">
        <f>MAX(X16:X21)</f>
        <v>0</v>
      </c>
      <c r="J26" s="79">
        <f>COUNTIF(X16:X21,"&gt;12")</f>
        <v>0</v>
      </c>
      <c r="K26" s="80"/>
      <c r="L26" s="80"/>
      <c r="M26" s="81"/>
      <c r="N26" s="81"/>
      <c r="O26" s="81"/>
      <c r="P26" s="81"/>
      <c r="Q26" s="81"/>
      <c r="R26" s="82"/>
    </row>
    <row r="27" spans="2:111" x14ac:dyDescent="0.25">
      <c r="D27" s="83">
        <f>K12</f>
        <v>1</v>
      </c>
      <c r="E27" s="84"/>
      <c r="F27" s="85">
        <f>MAX(L16:L21)</f>
        <v>0</v>
      </c>
      <c r="G27" s="86"/>
      <c r="H27" s="85">
        <f>COUNTIF((L16:L21),"&gt;4")</f>
        <v>0</v>
      </c>
      <c r="I27" s="87"/>
      <c r="J27" s="88"/>
      <c r="K27" s="89"/>
      <c r="L27" s="89"/>
      <c r="M27" s="90"/>
      <c r="N27" s="90"/>
      <c r="O27" s="90"/>
      <c r="P27" s="90"/>
      <c r="Q27" s="90"/>
      <c r="R27" s="91"/>
    </row>
    <row r="28" spans="2:111" x14ac:dyDescent="0.25">
      <c r="D28" s="83">
        <f>M12</f>
        <v>2</v>
      </c>
      <c r="E28" s="84"/>
      <c r="F28" s="85">
        <f>MAX(N16:N21)</f>
        <v>0</v>
      </c>
      <c r="G28" s="86"/>
      <c r="H28" s="85">
        <f>COUNTIF((N16:N21),"&gt;4")</f>
        <v>0</v>
      </c>
      <c r="I28" s="87"/>
      <c r="J28" s="88"/>
      <c r="K28" s="89"/>
      <c r="L28" s="89"/>
      <c r="M28" s="90"/>
      <c r="N28" s="90"/>
      <c r="O28" s="90"/>
      <c r="P28" s="90"/>
      <c r="Q28" s="90"/>
      <c r="R28" s="91"/>
    </row>
    <row r="29" spans="2:111" x14ac:dyDescent="0.25">
      <c r="D29" s="83">
        <f>O12</f>
        <v>3</v>
      </c>
      <c r="E29" s="84"/>
      <c r="F29" s="85">
        <f>MAX(P16:P21)</f>
        <v>0</v>
      </c>
      <c r="G29" s="86"/>
      <c r="H29" s="85">
        <f>COUNTIF((P16:P21),"&gt;4")</f>
        <v>0</v>
      </c>
      <c r="I29" s="87"/>
      <c r="J29" s="88"/>
      <c r="K29" s="89"/>
      <c r="L29" s="89"/>
      <c r="M29" s="90"/>
      <c r="N29" s="90"/>
      <c r="O29" s="90"/>
      <c r="P29" s="90"/>
      <c r="Q29" s="90"/>
      <c r="R29" s="91"/>
    </row>
    <row r="30" spans="2:111" x14ac:dyDescent="0.25">
      <c r="D30" s="83">
        <f>Q12</f>
        <v>4</v>
      </c>
      <c r="E30" s="84"/>
      <c r="F30" s="85">
        <f>MAX(R16:R21)</f>
        <v>0</v>
      </c>
      <c r="G30" s="86"/>
      <c r="H30" s="85">
        <f>COUNTIF((R16:R21),"&gt;4")</f>
        <v>0</v>
      </c>
      <c r="I30" s="87"/>
      <c r="J30" s="88"/>
      <c r="K30" s="89"/>
      <c r="L30" s="89"/>
      <c r="M30" s="90"/>
      <c r="N30" s="90"/>
      <c r="O30" s="90"/>
      <c r="P30" s="90"/>
      <c r="Q30" s="90"/>
      <c r="R30" s="91"/>
    </row>
    <row r="31" spans="2:111" x14ac:dyDescent="0.25">
      <c r="D31" s="83">
        <f>S12</f>
        <v>5</v>
      </c>
      <c r="E31" s="84"/>
      <c r="F31" s="85">
        <f>MAX(T16:T21)</f>
        <v>0</v>
      </c>
      <c r="G31" s="86"/>
      <c r="H31" s="85">
        <f>COUNTIF((T16:T21),"&gt;4")</f>
        <v>0</v>
      </c>
      <c r="I31" s="87"/>
      <c r="J31" s="88"/>
      <c r="K31" s="89"/>
      <c r="L31" s="89"/>
      <c r="M31" s="90"/>
      <c r="N31" s="90"/>
      <c r="O31" s="90"/>
      <c r="P31" s="90"/>
      <c r="Q31" s="90"/>
      <c r="R31" s="91"/>
    </row>
    <row r="32" spans="2:111" x14ac:dyDescent="0.25">
      <c r="D32" s="92">
        <f>U12</f>
        <v>6</v>
      </c>
      <c r="E32" s="93" t="s">
        <v>58</v>
      </c>
      <c r="F32" s="94">
        <f>MAX(V16:V21)</f>
        <v>0</v>
      </c>
      <c r="G32" s="95"/>
      <c r="H32" s="94">
        <f>COUNTIF((V16:V21),"&gt;4")</f>
        <v>0</v>
      </c>
      <c r="I32" s="96"/>
      <c r="J32" s="96"/>
      <c r="K32" s="96"/>
      <c r="L32" s="96"/>
      <c r="M32" s="97"/>
      <c r="N32" s="97"/>
      <c r="O32" s="97"/>
      <c r="P32" s="97"/>
      <c r="Q32" s="97"/>
      <c r="R32" s="98"/>
    </row>
    <row r="33" spans="4:18" customFormat="1" x14ac:dyDescent="0.25">
      <c r="D33" s="74">
        <f>AB12</f>
        <v>7</v>
      </c>
      <c r="E33" s="75" t="s">
        <v>59</v>
      </c>
      <c r="F33" s="76">
        <f>MAX(AC16:AC21)</f>
        <v>0</v>
      </c>
      <c r="G33" s="77"/>
      <c r="H33" s="76">
        <f>COUNTIF((AC16:AC21),"&gt;4")</f>
        <v>0</v>
      </c>
      <c r="I33" s="78">
        <f>MAX(AQ16:AQ21)</f>
        <v>0</v>
      </c>
      <c r="J33" s="79">
        <f>COUNTIF(AQ16:AQ21,"&gt;12")</f>
        <v>0</v>
      </c>
      <c r="K33" s="80"/>
      <c r="L33" s="80"/>
      <c r="M33" s="81"/>
      <c r="N33" s="81"/>
      <c r="O33" s="81"/>
      <c r="P33" s="81"/>
      <c r="Q33" s="81"/>
      <c r="R33" s="82"/>
    </row>
    <row r="34" spans="4:18" customFormat="1" x14ac:dyDescent="0.25">
      <c r="D34" s="74">
        <f>AD12</f>
        <v>8</v>
      </c>
      <c r="E34" s="84"/>
      <c r="F34" s="85">
        <f>MAX(AE16:AE21)</f>
        <v>0</v>
      </c>
      <c r="G34" s="86"/>
      <c r="H34" s="85">
        <f>COUNTIF((AE16:AE21),"&gt;4")</f>
        <v>0</v>
      </c>
      <c r="I34" s="87"/>
      <c r="J34" s="88"/>
      <c r="K34" s="89"/>
      <c r="L34" s="89"/>
      <c r="M34" s="90"/>
      <c r="N34" s="90"/>
      <c r="O34" s="90"/>
      <c r="P34" s="90"/>
      <c r="Q34" s="90"/>
      <c r="R34" s="91"/>
    </row>
    <row r="35" spans="4:18" customFormat="1" x14ac:dyDescent="0.25">
      <c r="D35" s="83">
        <f>AF12</f>
        <v>9</v>
      </c>
      <c r="E35" s="84"/>
      <c r="F35" s="85">
        <f>MAX(AG16:AG21)</f>
        <v>0</v>
      </c>
      <c r="G35" s="86"/>
      <c r="H35" s="85">
        <f>COUNTIF((AG16:AG21),"&gt;4")</f>
        <v>0</v>
      </c>
      <c r="I35" s="87"/>
      <c r="J35" s="88"/>
      <c r="K35" s="89"/>
      <c r="L35" s="89"/>
      <c r="M35" s="90"/>
      <c r="N35" s="90"/>
      <c r="O35" s="90"/>
      <c r="P35" s="90"/>
      <c r="Q35" s="90"/>
      <c r="R35" s="91"/>
    </row>
    <row r="36" spans="4:18" customFormat="1" x14ac:dyDescent="0.25">
      <c r="D36" s="83">
        <f>AH12</f>
        <v>10</v>
      </c>
      <c r="E36" s="84"/>
      <c r="F36" s="85">
        <f>MAX(AI16:AI21)</f>
        <v>0</v>
      </c>
      <c r="G36" s="86"/>
      <c r="H36" s="85">
        <f>COUNTIF((AI16:AI21),"&gt;4")</f>
        <v>0</v>
      </c>
      <c r="I36" s="87"/>
      <c r="J36" s="88"/>
      <c r="K36" s="89"/>
      <c r="L36" s="89"/>
      <c r="M36" s="90"/>
      <c r="N36" s="90"/>
      <c r="O36" s="90"/>
      <c r="P36" s="90"/>
      <c r="Q36" s="90"/>
      <c r="R36" s="91"/>
    </row>
    <row r="37" spans="4:18" customFormat="1" x14ac:dyDescent="0.25">
      <c r="D37" s="83">
        <f>AJ12</f>
        <v>11</v>
      </c>
      <c r="E37" s="84"/>
      <c r="F37" s="85">
        <f>MAX(AK16:AK21)</f>
        <v>0</v>
      </c>
      <c r="G37" s="86"/>
      <c r="H37" s="85">
        <f>COUNTIF((AK16:AK21),"&gt;4")</f>
        <v>0</v>
      </c>
      <c r="I37" s="87"/>
      <c r="J37" s="88"/>
      <c r="K37" s="89"/>
      <c r="L37" s="89"/>
      <c r="M37" s="90"/>
      <c r="N37" s="90"/>
      <c r="O37" s="90"/>
      <c r="P37" s="90"/>
      <c r="Q37" s="90"/>
      <c r="R37" s="91"/>
    </row>
    <row r="38" spans="4:18" customFormat="1" x14ac:dyDescent="0.25">
      <c r="D38" s="83">
        <f>AL12</f>
        <v>12</v>
      </c>
      <c r="E38" s="84"/>
      <c r="F38" s="85">
        <f>MAX(AM16:AM21)</f>
        <v>0</v>
      </c>
      <c r="G38" s="86"/>
      <c r="H38" s="85">
        <f>COUNTIF((AM16:AM21),"&gt;4")</f>
        <v>0</v>
      </c>
      <c r="I38" s="87"/>
      <c r="J38" s="88"/>
      <c r="K38" s="89"/>
      <c r="L38" s="89"/>
      <c r="M38" s="90"/>
      <c r="N38" s="90"/>
      <c r="O38" s="90"/>
      <c r="P38" s="90"/>
      <c r="Q38" s="90"/>
      <c r="R38" s="91"/>
    </row>
    <row r="39" spans="4:18" customFormat="1" x14ac:dyDescent="0.25">
      <c r="D39" s="92">
        <f>AN12</f>
        <v>13</v>
      </c>
      <c r="E39" s="93" t="s">
        <v>58</v>
      </c>
      <c r="F39" s="94">
        <f>MAX(AO16:AO21)</f>
        <v>0</v>
      </c>
      <c r="G39" s="95"/>
      <c r="H39" s="94">
        <f>COUNTIF((AO16:AO21),"&gt;4")</f>
        <v>0</v>
      </c>
      <c r="I39" s="96"/>
      <c r="J39" s="96"/>
      <c r="K39" s="96"/>
      <c r="L39" s="96"/>
      <c r="M39" s="97"/>
      <c r="N39" s="97"/>
      <c r="O39" s="97"/>
      <c r="P39" s="97"/>
      <c r="Q39" s="97"/>
      <c r="R39" s="98"/>
    </row>
    <row r="40" spans="4:18" customFormat="1" x14ac:dyDescent="0.25">
      <c r="D40" s="74">
        <f>AU12</f>
        <v>14</v>
      </c>
      <c r="E40" s="75" t="s">
        <v>60</v>
      </c>
      <c r="F40" s="76">
        <f>MAX(AV16:AV21)</f>
        <v>0</v>
      </c>
      <c r="G40" s="77"/>
      <c r="H40" s="76">
        <f>COUNTIF((AV16:AV21),"&gt;4")</f>
        <v>0</v>
      </c>
      <c r="I40" s="78">
        <f>MAX(BJ16:BJ21)</f>
        <v>0</v>
      </c>
      <c r="J40" s="79">
        <f>COUNTIF(BJ16:BJ21,"&gt;12")</f>
        <v>0</v>
      </c>
      <c r="K40" s="80"/>
      <c r="L40" s="80"/>
      <c r="M40" s="81"/>
      <c r="N40" s="81"/>
      <c r="O40" s="81"/>
      <c r="P40" s="81"/>
      <c r="Q40" s="81"/>
      <c r="R40" s="82"/>
    </row>
    <row r="41" spans="4:18" customFormat="1" x14ac:dyDescent="0.25">
      <c r="D41" s="83">
        <f>AW12</f>
        <v>15</v>
      </c>
      <c r="E41" s="84"/>
      <c r="F41" s="85">
        <f>MAX(AX16:AX21)</f>
        <v>0</v>
      </c>
      <c r="G41" s="86"/>
      <c r="H41" s="85">
        <f>COUNTIF((AX16:AX21),"&gt;4")</f>
        <v>0</v>
      </c>
      <c r="I41" s="87"/>
      <c r="J41" s="88"/>
      <c r="K41" s="89"/>
      <c r="L41" s="89"/>
      <c r="M41" s="90"/>
      <c r="N41" s="90"/>
      <c r="O41" s="90"/>
      <c r="P41" s="90"/>
      <c r="Q41" s="90"/>
      <c r="R41" s="91"/>
    </row>
    <row r="42" spans="4:18" customFormat="1" x14ac:dyDescent="0.25">
      <c r="D42" s="83">
        <f>AY12</f>
        <v>16</v>
      </c>
      <c r="E42" s="84"/>
      <c r="F42" s="85">
        <f>MAX(AZ16:AZ21)</f>
        <v>0</v>
      </c>
      <c r="G42" s="86"/>
      <c r="H42" s="85">
        <f>COUNTIF((AZ16:AZ21),"&gt;4")</f>
        <v>0</v>
      </c>
      <c r="I42" s="87"/>
      <c r="J42" s="88"/>
      <c r="K42" s="89"/>
      <c r="L42" s="89"/>
      <c r="M42" s="90"/>
      <c r="N42" s="90"/>
      <c r="O42" s="90"/>
      <c r="P42" s="90"/>
      <c r="Q42" s="90"/>
      <c r="R42" s="91"/>
    </row>
    <row r="43" spans="4:18" customFormat="1" x14ac:dyDescent="0.25">
      <c r="D43" s="83">
        <f>BA12</f>
        <v>17</v>
      </c>
      <c r="E43" s="84"/>
      <c r="F43" s="85">
        <f>MAX(BB16:BB21)</f>
        <v>0</v>
      </c>
      <c r="G43" s="86"/>
      <c r="H43" s="85">
        <f>COUNTIF((BB16:BB21),"&gt;4")</f>
        <v>0</v>
      </c>
      <c r="I43" s="87"/>
      <c r="J43" s="88"/>
      <c r="K43" s="89"/>
      <c r="L43" s="89"/>
      <c r="M43" s="90"/>
      <c r="N43" s="90"/>
      <c r="O43" s="90"/>
      <c r="P43" s="90"/>
      <c r="Q43" s="90"/>
      <c r="R43" s="91"/>
    </row>
    <row r="44" spans="4:18" customFormat="1" x14ac:dyDescent="0.25">
      <c r="D44" s="83">
        <f>BC12</f>
        <v>18</v>
      </c>
      <c r="E44" s="84"/>
      <c r="F44" s="85">
        <f>MAX(BD16:BD21)</f>
        <v>0</v>
      </c>
      <c r="G44" s="86"/>
      <c r="H44" s="85">
        <f>COUNTIF((BD16:BD21),"&gt;4")</f>
        <v>0</v>
      </c>
      <c r="I44" s="87"/>
      <c r="J44" s="88"/>
      <c r="K44" s="89"/>
      <c r="L44" s="89"/>
      <c r="M44" s="90"/>
      <c r="N44" s="90"/>
      <c r="O44" s="90"/>
      <c r="P44" s="90"/>
      <c r="Q44" s="90"/>
      <c r="R44" s="91"/>
    </row>
    <row r="45" spans="4:18" customFormat="1" x14ac:dyDescent="0.25">
      <c r="D45" s="83">
        <f>BE12</f>
        <v>19</v>
      </c>
      <c r="E45" s="84"/>
      <c r="F45" s="85">
        <f>MAX(BF16:BF21)</f>
        <v>0</v>
      </c>
      <c r="G45" s="86"/>
      <c r="H45" s="85">
        <f>COUNTIF((BF16:BF21),"&gt;4")</f>
        <v>0</v>
      </c>
      <c r="I45" s="87"/>
      <c r="J45" s="88"/>
      <c r="K45" s="89"/>
      <c r="L45" s="89"/>
      <c r="M45" s="90"/>
      <c r="N45" s="90"/>
      <c r="O45" s="90"/>
      <c r="P45" s="90"/>
      <c r="Q45" s="90"/>
      <c r="R45" s="91"/>
    </row>
    <row r="46" spans="4:18" customFormat="1" x14ac:dyDescent="0.25">
      <c r="D46" s="92">
        <f>BG12</f>
        <v>20</v>
      </c>
      <c r="E46" s="93" t="s">
        <v>58</v>
      </c>
      <c r="F46" s="94">
        <f>MAX(BH16:BH21)</f>
        <v>0</v>
      </c>
      <c r="G46" s="95"/>
      <c r="H46" s="94">
        <f>COUNTIF((BH16:BH21),"&gt;4")</f>
        <v>0</v>
      </c>
      <c r="I46" s="96"/>
      <c r="J46" s="96"/>
      <c r="K46" s="96"/>
      <c r="L46" s="96"/>
      <c r="M46" s="97"/>
      <c r="N46" s="97"/>
      <c r="O46" s="97"/>
      <c r="P46" s="97"/>
      <c r="Q46" s="97"/>
      <c r="R46" s="98"/>
    </row>
    <row r="47" spans="4:18" customFormat="1" x14ac:dyDescent="0.25">
      <c r="D47" s="74">
        <f>BN12</f>
        <v>21</v>
      </c>
      <c r="E47" s="75" t="s">
        <v>61</v>
      </c>
      <c r="F47" s="76">
        <f>MAX(BO16:BO21)</f>
        <v>0</v>
      </c>
      <c r="G47" s="77"/>
      <c r="H47" s="76">
        <f>COUNTIF((BO16:BO21),"&gt;4")</f>
        <v>0</v>
      </c>
      <c r="I47" s="78">
        <f>MAX(CC16:CC21)</f>
        <v>0</v>
      </c>
      <c r="J47" s="79">
        <f>COUNTIF(CC16:CC21,"&gt;12")</f>
        <v>0</v>
      </c>
      <c r="K47" s="80"/>
      <c r="L47" s="80"/>
      <c r="M47" s="81"/>
      <c r="N47" s="81"/>
      <c r="O47" s="81"/>
      <c r="P47" s="81"/>
      <c r="Q47" s="81"/>
      <c r="R47" s="82"/>
    </row>
    <row r="48" spans="4:18" customFormat="1" x14ac:dyDescent="0.25">
      <c r="D48" s="83">
        <f>BP12</f>
        <v>22</v>
      </c>
      <c r="E48" s="84"/>
      <c r="F48" s="85">
        <f>MAX(BQ16:BQ21)</f>
        <v>0</v>
      </c>
      <c r="G48" s="86"/>
      <c r="H48" s="85">
        <f>COUNTIF((BQ16:BQ21),"&gt;4")</f>
        <v>0</v>
      </c>
      <c r="I48" s="87"/>
      <c r="J48" s="88"/>
      <c r="K48" s="89"/>
      <c r="L48" s="89"/>
      <c r="M48" s="90"/>
      <c r="N48" s="90"/>
      <c r="O48" s="90"/>
      <c r="P48" s="90"/>
      <c r="Q48" s="90"/>
      <c r="R48" s="91"/>
    </row>
    <row r="49" spans="4:18" customFormat="1" x14ac:dyDescent="0.25">
      <c r="D49" s="83">
        <f>BR12</f>
        <v>23</v>
      </c>
      <c r="E49" s="84"/>
      <c r="F49" s="85">
        <f>MAX(BS16:BS21)</f>
        <v>0</v>
      </c>
      <c r="G49" s="86"/>
      <c r="H49" s="85">
        <f>COUNTIF((BS16:BS21),"&gt;4")</f>
        <v>0</v>
      </c>
      <c r="I49" s="87"/>
      <c r="J49" s="88"/>
      <c r="K49" s="89"/>
      <c r="L49" s="89"/>
      <c r="M49" s="90"/>
      <c r="N49" s="90"/>
      <c r="O49" s="90"/>
      <c r="P49" s="90"/>
      <c r="Q49" s="90"/>
      <c r="R49" s="91"/>
    </row>
    <row r="50" spans="4:18" customFormat="1" x14ac:dyDescent="0.25">
      <c r="D50" s="83">
        <f>BT12</f>
        <v>24</v>
      </c>
      <c r="E50" s="84"/>
      <c r="F50" s="85">
        <f>MAX(BU16:BU21)</f>
        <v>0</v>
      </c>
      <c r="G50" s="86"/>
      <c r="H50" s="85">
        <f>COUNTIF((BU16:BU21),"&gt;4")</f>
        <v>0</v>
      </c>
      <c r="I50" s="87"/>
      <c r="J50" s="88"/>
      <c r="K50" s="89"/>
      <c r="L50" s="89"/>
      <c r="M50" s="90"/>
      <c r="N50" s="90"/>
      <c r="O50" s="90"/>
      <c r="P50" s="90"/>
      <c r="Q50" s="90"/>
      <c r="R50" s="91"/>
    </row>
    <row r="51" spans="4:18" customFormat="1" x14ac:dyDescent="0.25">
      <c r="D51" s="83">
        <f>BV12</f>
        <v>25</v>
      </c>
      <c r="E51" s="84"/>
      <c r="F51" s="85">
        <f>MAX(BW16:BW21)</f>
        <v>0</v>
      </c>
      <c r="G51" s="86"/>
      <c r="H51" s="85">
        <f>COUNTIF((BW16:BW21),"&gt;4")</f>
        <v>0</v>
      </c>
      <c r="I51" s="87"/>
      <c r="J51" s="88"/>
      <c r="K51" s="89"/>
      <c r="L51" s="89"/>
      <c r="M51" s="90"/>
      <c r="N51" s="90"/>
      <c r="O51" s="90"/>
      <c r="P51" s="90"/>
      <c r="Q51" s="90"/>
      <c r="R51" s="91"/>
    </row>
    <row r="52" spans="4:18" customFormat="1" x14ac:dyDescent="0.25">
      <c r="D52" s="83">
        <f>BX12</f>
        <v>26</v>
      </c>
      <c r="E52" s="84"/>
      <c r="F52" s="85">
        <f>MAX(BY16:BY21)</f>
        <v>0</v>
      </c>
      <c r="G52" s="86"/>
      <c r="H52" s="85">
        <f>COUNTIF((BY16:BY21),"&gt;4")</f>
        <v>0</v>
      </c>
      <c r="I52" s="87"/>
      <c r="J52" s="88"/>
      <c r="K52" s="89"/>
      <c r="L52" s="89"/>
      <c r="M52" s="90"/>
      <c r="N52" s="90"/>
      <c r="O52" s="90"/>
      <c r="P52" s="90"/>
      <c r="Q52" s="90"/>
      <c r="R52" s="91"/>
    </row>
    <row r="53" spans="4:18" customFormat="1" x14ac:dyDescent="0.25">
      <c r="D53" s="92">
        <f>BZ12</f>
        <v>27</v>
      </c>
      <c r="E53" s="93" t="s">
        <v>58</v>
      </c>
      <c r="F53" s="94">
        <f>MAX(CA16:CA21)</f>
        <v>0</v>
      </c>
      <c r="G53" s="95"/>
      <c r="H53" s="94">
        <f>COUNTIF((CA16:CA21),"&gt;4")</f>
        <v>0</v>
      </c>
      <c r="I53" s="96"/>
      <c r="J53" s="96"/>
      <c r="K53" s="96"/>
      <c r="L53" s="96"/>
      <c r="M53" s="97"/>
      <c r="N53" s="97"/>
      <c r="O53" s="97"/>
      <c r="P53" s="97"/>
      <c r="Q53" s="97"/>
      <c r="R53" s="98"/>
    </row>
    <row r="54" spans="4:18" customFormat="1" x14ac:dyDescent="0.25">
      <c r="D54" s="74">
        <f>CG12</f>
        <v>28</v>
      </c>
      <c r="E54" s="75" t="s">
        <v>62</v>
      </c>
      <c r="F54" s="76">
        <f>MAX(CH16:CH21)</f>
        <v>0</v>
      </c>
      <c r="G54" s="77"/>
      <c r="H54" s="76">
        <f>COUNTIF((CH16:CH21),"&gt;4")</f>
        <v>0</v>
      </c>
      <c r="I54" s="78">
        <f>MAX(CV16:CV21)</f>
        <v>0</v>
      </c>
      <c r="J54" s="79">
        <f>COUNTIF(CV16:CV21,"&gt;12")</f>
        <v>0</v>
      </c>
      <c r="K54" s="80"/>
      <c r="L54" s="80"/>
      <c r="M54" s="81"/>
      <c r="N54" s="81"/>
      <c r="O54" s="81"/>
      <c r="P54" s="81"/>
      <c r="Q54" s="81"/>
      <c r="R54" s="82"/>
    </row>
    <row r="55" spans="4:18" customFormat="1" x14ac:dyDescent="0.25">
      <c r="D55" s="83">
        <f>CI12</f>
        <v>29</v>
      </c>
      <c r="E55" s="84"/>
      <c r="F55" s="85">
        <f>MAX(CJ16:CJ21)</f>
        <v>0</v>
      </c>
      <c r="G55" s="86"/>
      <c r="H55" s="85">
        <f>COUNTIF((CJ16:CJ21),"&gt;4")</f>
        <v>0</v>
      </c>
      <c r="I55" s="87"/>
      <c r="J55" s="88"/>
      <c r="K55" s="89"/>
      <c r="L55" s="89"/>
      <c r="M55" s="90"/>
      <c r="N55" s="90"/>
      <c r="O55" s="90"/>
      <c r="P55" s="90"/>
      <c r="Q55" s="90"/>
      <c r="R55" s="91"/>
    </row>
    <row r="56" spans="4:18" customFormat="1" x14ac:dyDescent="0.25">
      <c r="D56" s="83">
        <f>CK12</f>
        <v>30</v>
      </c>
      <c r="E56" s="84"/>
      <c r="F56" s="85">
        <f>MAX(CL16:CL21)</f>
        <v>0</v>
      </c>
      <c r="G56" s="86"/>
      <c r="H56" s="85">
        <f>COUNTIF((CL16:CL21),"&gt;4")</f>
        <v>0</v>
      </c>
      <c r="I56" s="87"/>
      <c r="J56" s="88"/>
      <c r="K56" s="89"/>
      <c r="L56" s="89"/>
      <c r="M56" s="90"/>
      <c r="N56" s="90"/>
      <c r="O56" s="90"/>
      <c r="P56" s="90"/>
      <c r="Q56" s="90"/>
      <c r="R56" s="91"/>
    </row>
    <row r="57" spans="4:18" customFormat="1" x14ac:dyDescent="0.25">
      <c r="D57" s="83">
        <f>CM12</f>
        <v>31</v>
      </c>
      <c r="E57" s="84"/>
      <c r="F57" s="85">
        <f>MAX(CN16:CN21)</f>
        <v>0</v>
      </c>
      <c r="G57" s="86"/>
      <c r="H57" s="85">
        <f>COUNTIF((CN16:CN21),"&gt;4")</f>
        <v>0</v>
      </c>
      <c r="I57" s="87"/>
      <c r="J57" s="88"/>
      <c r="K57" s="89"/>
      <c r="L57" s="89"/>
      <c r="M57" s="90"/>
      <c r="N57" s="90"/>
      <c r="O57" s="90"/>
      <c r="P57" s="90"/>
      <c r="Q57" s="90"/>
      <c r="R57" s="91"/>
    </row>
    <row r="58" spans="4:18" customFormat="1" x14ac:dyDescent="0.25">
      <c r="D58" s="83">
        <f>CO12</f>
        <v>32</v>
      </c>
      <c r="E58" s="84"/>
      <c r="F58" s="85">
        <f>MAX(CP16:CP21)</f>
        <v>0</v>
      </c>
      <c r="G58" s="86"/>
      <c r="H58" s="85">
        <f>COUNTIF((CP16:CP21),"&gt;4")</f>
        <v>0</v>
      </c>
      <c r="I58" s="87"/>
      <c r="J58" s="88"/>
      <c r="K58" s="89"/>
      <c r="L58" s="89"/>
      <c r="M58" s="90"/>
      <c r="N58" s="90"/>
      <c r="O58" s="90"/>
      <c r="P58" s="90"/>
      <c r="Q58" s="90"/>
      <c r="R58" s="91"/>
    </row>
    <row r="59" spans="4:18" customFormat="1" x14ac:dyDescent="0.25">
      <c r="D59" s="83">
        <f>CQ12</f>
        <v>33</v>
      </c>
      <c r="E59" s="84"/>
      <c r="F59" s="85">
        <f>MAX(CR16:CR21)</f>
        <v>0</v>
      </c>
      <c r="G59" s="86"/>
      <c r="H59" s="85">
        <f>COUNTIF((CR16:CR21),"&gt;4")</f>
        <v>0</v>
      </c>
      <c r="I59" s="87"/>
      <c r="J59" s="88"/>
      <c r="K59" s="89"/>
      <c r="L59" s="89"/>
      <c r="M59" s="90"/>
      <c r="N59" s="90"/>
      <c r="O59" s="90"/>
      <c r="P59" s="90"/>
      <c r="Q59" s="90"/>
      <c r="R59" s="91"/>
    </row>
    <row r="60" spans="4:18" customFormat="1" x14ac:dyDescent="0.25">
      <c r="D60" s="92">
        <f>CS12</f>
        <v>34</v>
      </c>
      <c r="E60" s="93" t="s">
        <v>58</v>
      </c>
      <c r="F60" s="94">
        <f>MAX(CT16:CT21)</f>
        <v>0</v>
      </c>
      <c r="G60" s="95"/>
      <c r="H60" s="94">
        <f>COUNTIF((CT16:CT21),"&gt;4")</f>
        <v>0</v>
      </c>
      <c r="I60" s="96"/>
      <c r="J60" s="96"/>
      <c r="K60" s="96"/>
      <c r="L60" s="96"/>
      <c r="M60" s="97"/>
      <c r="N60" s="97"/>
      <c r="O60" s="97"/>
      <c r="P60" s="97"/>
      <c r="Q60" s="97"/>
      <c r="R60" s="98"/>
    </row>
  </sheetData>
  <mergeCells count="123">
    <mergeCell ref="B12:B14"/>
    <mergeCell ref="E47:E52"/>
    <mergeCell ref="I47:I52"/>
    <mergeCell ref="J47:J52"/>
    <mergeCell ref="E54:E59"/>
    <mergeCell ref="I54:I59"/>
    <mergeCell ref="J54:J59"/>
    <mergeCell ref="E33:E38"/>
    <mergeCell ref="I33:I38"/>
    <mergeCell ref="J33:J38"/>
    <mergeCell ref="E40:E45"/>
    <mergeCell ref="I40:I45"/>
    <mergeCell ref="J40:J45"/>
    <mergeCell ref="DE13:DF13"/>
    <mergeCell ref="D23:I23"/>
    <mergeCell ref="M25:R25"/>
    <mergeCell ref="E26:E31"/>
    <mergeCell ref="I26:I31"/>
    <mergeCell ref="J26:J31"/>
    <mergeCell ref="CO13:CP13"/>
    <mergeCell ref="CQ13:CR13"/>
    <mergeCell ref="CS13:CT13"/>
    <mergeCell ref="CU13:CW13"/>
    <mergeCell ref="CZ13:DA13"/>
    <mergeCell ref="DB13:DC13"/>
    <mergeCell ref="BR13:BS13"/>
    <mergeCell ref="BT13:BU13"/>
    <mergeCell ref="BV13:BW13"/>
    <mergeCell ref="BX13:BY13"/>
    <mergeCell ref="BZ13:CA13"/>
    <mergeCell ref="CB13:CD13"/>
    <mergeCell ref="BC13:BD13"/>
    <mergeCell ref="BE13:BF13"/>
    <mergeCell ref="BG13:BH13"/>
    <mergeCell ref="BI13:BK13"/>
    <mergeCell ref="BN13:BO13"/>
    <mergeCell ref="BP13:BQ13"/>
    <mergeCell ref="AF13:AG13"/>
    <mergeCell ref="AH13:AI13"/>
    <mergeCell ref="AJ13:AK13"/>
    <mergeCell ref="AL13:AM13"/>
    <mergeCell ref="AN13:AO13"/>
    <mergeCell ref="AP13:AR13"/>
    <mergeCell ref="DE12:DF12"/>
    <mergeCell ref="DG12:DG13"/>
    <mergeCell ref="I13:J13"/>
    <mergeCell ref="K13:L13"/>
    <mergeCell ref="M13:N13"/>
    <mergeCell ref="O13:P13"/>
    <mergeCell ref="Q13:R13"/>
    <mergeCell ref="S13:T13"/>
    <mergeCell ref="U13:V13"/>
    <mergeCell ref="W13:Y13"/>
    <mergeCell ref="CQ12:CR12"/>
    <mergeCell ref="CS12:CT12"/>
    <mergeCell ref="CU12:CW12"/>
    <mergeCell ref="CX12:CY13"/>
    <mergeCell ref="CZ12:DA12"/>
    <mergeCell ref="DB12:DC12"/>
    <mergeCell ref="CE12:CF13"/>
    <mergeCell ref="CG12:CH12"/>
    <mergeCell ref="CI12:CJ12"/>
    <mergeCell ref="CK12:CL12"/>
    <mergeCell ref="CM12:CN12"/>
    <mergeCell ref="CO12:CP12"/>
    <mergeCell ref="CG13:CH13"/>
    <mergeCell ref="CI13:CJ13"/>
    <mergeCell ref="CK13:CL13"/>
    <mergeCell ref="CM13:CN13"/>
    <mergeCell ref="BR12:BS12"/>
    <mergeCell ref="BT12:BU12"/>
    <mergeCell ref="BV12:BW12"/>
    <mergeCell ref="BX12:BY12"/>
    <mergeCell ref="BZ12:CA12"/>
    <mergeCell ref="CB12:CD12"/>
    <mergeCell ref="BE12:BF12"/>
    <mergeCell ref="BG12:BH12"/>
    <mergeCell ref="BI12:BK12"/>
    <mergeCell ref="BL12:BM13"/>
    <mergeCell ref="BN12:BO12"/>
    <mergeCell ref="BP12:BQ12"/>
    <mergeCell ref="AS12:AT13"/>
    <mergeCell ref="AU12:AV12"/>
    <mergeCell ref="AW12:AX12"/>
    <mergeCell ref="AY12:AZ12"/>
    <mergeCell ref="BA12:BB12"/>
    <mergeCell ref="BC12:BD12"/>
    <mergeCell ref="AU13:AV13"/>
    <mergeCell ref="AW13:AX13"/>
    <mergeCell ref="AY13:AZ13"/>
    <mergeCell ref="BA13:BB13"/>
    <mergeCell ref="AF12:AG12"/>
    <mergeCell ref="AH12:AI12"/>
    <mergeCell ref="AJ12:AK12"/>
    <mergeCell ref="AL12:AM12"/>
    <mergeCell ref="AN12:AO12"/>
    <mergeCell ref="AP12:AR12"/>
    <mergeCell ref="S12:T12"/>
    <mergeCell ref="U12:V12"/>
    <mergeCell ref="W12:Y12"/>
    <mergeCell ref="Z12:AA13"/>
    <mergeCell ref="AB12:AC12"/>
    <mergeCell ref="AD12:AE12"/>
    <mergeCell ref="AB13:AC13"/>
    <mergeCell ref="AD13:AE13"/>
    <mergeCell ref="H12:H14"/>
    <mergeCell ref="I12:J12"/>
    <mergeCell ref="K12:L12"/>
    <mergeCell ref="M12:N12"/>
    <mergeCell ref="O12:P12"/>
    <mergeCell ref="Q12:R12"/>
    <mergeCell ref="D5:E5"/>
    <mergeCell ref="C12:C14"/>
    <mergeCell ref="D12:D14"/>
    <mergeCell ref="E12:E14"/>
    <mergeCell ref="F12:F14"/>
    <mergeCell ref="G12:G14"/>
    <mergeCell ref="I4:J4"/>
    <mergeCell ref="K4:L4"/>
    <mergeCell ref="M4:N4"/>
    <mergeCell ref="O4:P4"/>
    <mergeCell ref="Q4:R4"/>
    <mergeCell ref="S4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2020-02-20T02:44:36Z</dcterms:created>
  <dcterms:modified xsi:type="dcterms:W3CDTF">2020-02-20T02:58:59Z</dcterms:modified>
</cp:coreProperties>
</file>