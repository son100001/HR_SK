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B48F357E-DB9A-481F-9B56-5F5FD6CFE636}" xr6:coauthVersionLast="45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4" i="1" l="1"/>
  <c r="U14" i="1"/>
  <c r="E14" i="1" l="1"/>
  <c r="I7" i="1" l="1"/>
  <c r="K14" i="1" s="1"/>
  <c r="J14" i="1" s="1"/>
  <c r="I5" i="1"/>
  <c r="I6" i="1"/>
  <c r="M5" i="1" l="1"/>
  <c r="V14" i="1"/>
  <c r="S14" i="1"/>
  <c r="R14" i="1"/>
  <c r="T14" i="1" s="1"/>
  <c r="G14" i="1"/>
  <c r="H14" i="1" s="1"/>
  <c r="W14" i="1" l="1"/>
  <c r="Y14" i="1" s="1"/>
</calcChain>
</file>

<file path=xl/sharedStrings.xml><?xml version="1.0" encoding="utf-8"?>
<sst xmlns="http://schemas.openxmlformats.org/spreadsheetml/2006/main" count="123" uniqueCount="84">
  <si>
    <t>Buying</t>
  </si>
  <si>
    <t>Selling</t>
  </si>
  <si>
    <t>Bank</t>
  </si>
  <si>
    <t>Rate</t>
  </si>
  <si>
    <t>Won/USD</t>
  </si>
  <si>
    <t>IBK</t>
  </si>
  <si>
    <t>USD/VND</t>
  </si>
  <si>
    <t>TP</t>
  </si>
  <si>
    <t>VND/Won</t>
  </si>
  <si>
    <t>No.</t>
    <phoneticPr fontId="0" type="noConversion"/>
  </si>
  <si>
    <t>Full name</t>
    <phoneticPr fontId="0" type="noConversion"/>
  </si>
  <si>
    <t>Cư trú - Resident indivividual</t>
  </si>
  <si>
    <t>Join date</t>
    <phoneticPr fontId="0" type="noConversion"/>
  </si>
  <si>
    <t>Giờ công tiêu chuẩn/tháng - Standard working hours/month</t>
  </si>
  <si>
    <t>Giờ công đi làm - Working hour</t>
  </si>
  <si>
    <t>Basic Salary
(KRW)</t>
    <phoneticPr fontId="0" type="noConversion"/>
  </si>
  <si>
    <t>Salary
(VND)</t>
    <phoneticPr fontId="0" type="noConversion"/>
  </si>
  <si>
    <t>Selling exchange
rate (VND)</t>
    <phoneticPr fontId="0" type="noConversion"/>
  </si>
  <si>
    <t>Tel - Điện thoại- VNĐ</t>
  </si>
  <si>
    <t>Các khoản trả thay khác</t>
  </si>
  <si>
    <t>Other  Jan deduce - điều chỉnh có TC tiền lương</t>
  </si>
  <si>
    <t>House - Tiền nhà</t>
  </si>
  <si>
    <t>apartments's utility fee - Phí tiện ích căn hộ</t>
  </si>
  <si>
    <t>Deduction- Giảm trừ gia cảnh</t>
  </si>
  <si>
    <t>Insurance - Bảo hiểm</t>
  </si>
  <si>
    <t>asessable income - Thu nhập tính thuế</t>
  </si>
  <si>
    <t>PIT</t>
  </si>
  <si>
    <t>Điều chỉnh không có TC tiền công tiền lương</t>
  </si>
  <si>
    <t>Salary after deductuct PIT</t>
  </si>
  <si>
    <t>Pay by USD</t>
    <phoneticPr fontId="0" type="noConversion"/>
  </si>
  <si>
    <t>MAKE BY</t>
  </si>
  <si>
    <t>DIRECTOR</t>
  </si>
  <si>
    <t>No</t>
  </si>
  <si>
    <t>FullName</t>
  </si>
  <si>
    <t>CD1</t>
  </si>
  <si>
    <t>CD16</t>
  </si>
  <si>
    <t>HT2</t>
  </si>
  <si>
    <t>HT1</t>
  </si>
  <si>
    <t>ComStartedDate</t>
  </si>
  <si>
    <t>NgayCongTieuChuan</t>
  </si>
  <si>
    <t>NguoiPhuThuoc</t>
  </si>
  <si>
    <t>Employee_ID</t>
  </si>
  <si>
    <t>Employee ID
Mã nhân viên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</si>
  <si>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</si>
  <si>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</si>
  <si>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</si>
  <si>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</si>
  <si>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</si>
  <si>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</si>
  <si>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</si>
  <si>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</si>
  <si>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</si>
  <si>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</si>
  <si>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</si>
  <si>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</si>
  <si>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</si>
  <si>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</si>
  <si>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</si>
  <si>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</si>
  <si>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</si>
  <si>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</si>
  <si>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</si>
  <si>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</si>
  <si>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</si>
  <si>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key</t>
  </si>
  <si>
    <t>Salary_Month</t>
  </si>
  <si>
    <t>Salary_Year</t>
  </si>
  <si>
    <t>SalaryKey</t>
  </si>
  <si>
    <t>NghiNguoiHan</t>
  </si>
  <si>
    <t>USD_VND</t>
  </si>
  <si>
    <t>USD_WON</t>
  </si>
  <si>
    <t>WON_VND</t>
  </si>
  <si>
    <t>s22</t>
  </si>
  <si>
    <t>s23</t>
  </si>
  <si>
    <t>s24</t>
  </si>
  <si>
    <t>House for
taxable
Phí thuê nhà chịu thuế</t>
  </si>
  <si>
    <t>Taxable income
Thu nhập chịu thuế</t>
  </si>
  <si>
    <t>HT5</t>
  </si>
  <si>
    <t>CD18</t>
  </si>
  <si>
    <t>HT6</t>
  </si>
  <si>
    <t>HT7</t>
  </si>
  <si>
    <t>HT8</t>
  </si>
  <si>
    <t>MaxBaoHiem</t>
  </si>
  <si>
    <t>HT9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</si>
</sst>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Times New Roman"/>
      <family val="1"/>
    </font>
    <font>
      <sz val="26"/>
      <color theme="6" tint="-0.499984740745262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166" fontId="1" fillId="0" borderId="0" xfId="2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3" fillId="0" borderId="0" xfId="3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Protection="1"/>
    <xf numFmtId="14" fontId="0" fillId="0" borderId="0" xfId="0" applyNumberFormat="1"/>
    <xf numFmtId="14" fontId="0" fillId="0" borderId="1" xfId="0" applyNumberFormat="1" applyBorder="1"/>
    <xf numFmtId="14" fontId="5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1" fillId="0" borderId="0" xfId="2" applyNumberFormat="1" applyFont="1" applyFill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1" applyNumberFormat="1" applyFont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1" applyNumberFormat="1" applyFont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4" fillId="0" borderId="0" xfId="0" applyNumberFormat="1" applyFont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vertical="center"/>
    </xf>
    <xf numFmtId="165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Dấu phẩy 5" xfId="1" xr:uid="{00000000-0005-0000-0000-000001000000}"/>
    <cellStyle name="Normal" xfId="0" builtinId="0"/>
    <cellStyle name="쉼표 2" xfId="2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5"/>
  <sheetViews>
    <sheetView tabSelected="1" topLeftCell="B2" workbookViewId="0">
      <selection activeCell="B14" sqref="B14"/>
    </sheetView>
  </sheetViews>
  <sheetFormatPr defaultRowHeight="15"/>
  <cols>
    <col min="1" max="1" width="0" hidden="1" customWidth="1"/>
    <col min="2" max="2" width="6.42578125" style="14" customWidth="1"/>
    <col min="3" max="3" width="10.7109375" style="14" customWidth="1"/>
    <col min="4" max="4" width="20.140625" customWidth="1"/>
    <col min="5" max="5" width="17.5703125" customWidth="1"/>
    <col min="6" max="6" width="14.42578125" style="11" customWidth="1"/>
    <col min="7" max="7" width="14.85546875" customWidth="1"/>
    <col min="9" max="9" width="13.140625" style="16" customWidth="1"/>
    <col min="10" max="10" width="14.42578125" style="16" customWidth="1"/>
    <col min="11" max="11" width="9.140625" customWidth="1"/>
    <col min="12" max="12" width="10.42578125" style="16" customWidth="1"/>
    <col min="13" max="13" width="9.140625" style="16"/>
    <col min="14" max="14" width="10" style="16" customWidth="1"/>
    <col min="15" max="15" width="12.42578125" style="16" customWidth="1"/>
    <col min="16" max="17" width="11" style="16" customWidth="1"/>
    <col min="18" max="18" width="12.28515625" style="16" customWidth="1"/>
    <col min="19" max="19" width="12.85546875" style="16" customWidth="1"/>
    <col min="20" max="20" width="14.140625" style="16" customWidth="1"/>
    <col min="21" max="21" width="12.85546875" style="16" customWidth="1"/>
    <col min="22" max="22" width="13.42578125" style="16" customWidth="1"/>
    <col min="23" max="23" width="14.42578125" style="16" customWidth="1"/>
    <col min="24" max="24" width="14" style="16" customWidth="1"/>
    <col min="25" max="25" width="14.140625" style="16" customWidth="1"/>
    <col min="26" max="26" width="15.7109375" style="16" customWidth="1"/>
    <col min="30" max="36" width="9.140625" customWidth="1"/>
    <col min="37" max="37" width="11.140625" customWidth="1"/>
    <col min="38" max="38" width="11.5703125" customWidth="1"/>
    <col min="39" max="39" width="12" customWidth="1"/>
  </cols>
  <sheetData>
    <row r="1" spans="1:39" hidden="1">
      <c r="A1" s="23">
        <v>1</v>
      </c>
      <c r="B1" s="24" t="s">
        <v>32</v>
      </c>
      <c r="C1" s="24" t="s">
        <v>41</v>
      </c>
      <c r="D1" s="23" t="s">
        <v>33</v>
      </c>
      <c r="E1" s="23"/>
      <c r="F1" s="23" t="s">
        <v>38</v>
      </c>
      <c r="G1" s="23"/>
      <c r="H1" s="23"/>
      <c r="I1" s="23" t="s">
        <v>43</v>
      </c>
      <c r="J1" s="23" t="s">
        <v>44</v>
      </c>
      <c r="K1" s="23" t="s">
        <v>45</v>
      </c>
      <c r="L1" s="23" t="s">
        <v>46</v>
      </c>
      <c r="M1" s="23" t="s">
        <v>47</v>
      </c>
      <c r="N1" s="23" t="s">
        <v>48</v>
      </c>
      <c r="O1" s="23" t="s">
        <v>49</v>
      </c>
      <c r="P1" s="23" t="s">
        <v>51</v>
      </c>
      <c r="Q1" s="23"/>
      <c r="R1" s="23" t="s">
        <v>50</v>
      </c>
      <c r="S1" s="23" t="s">
        <v>52</v>
      </c>
      <c r="T1" s="23" t="s">
        <v>53</v>
      </c>
      <c r="U1" s="23" t="s">
        <v>54</v>
      </c>
      <c r="V1" s="23" t="s">
        <v>55</v>
      </c>
      <c r="W1" s="23" t="s">
        <v>56</v>
      </c>
      <c r="X1" s="23" t="s">
        <v>57</v>
      </c>
      <c r="Y1" s="23" t="s">
        <v>58</v>
      </c>
      <c r="Z1" s="23" t="s">
        <v>59</v>
      </c>
      <c r="AD1" t="s">
        <v>60</v>
      </c>
      <c r="AE1" t="s">
        <v>61</v>
      </c>
      <c r="AF1" t="s">
        <v>62</v>
      </c>
      <c r="AG1" s="9" t="s">
        <v>64</v>
      </c>
      <c r="AH1" s="10" t="s">
        <v>65</v>
      </c>
      <c r="AI1" s="10" t="s">
        <v>66</v>
      </c>
      <c r="AJ1" t="s">
        <v>63</v>
      </c>
      <c r="AK1" t="s">
        <v>72</v>
      </c>
      <c r="AL1" t="s">
        <v>73</v>
      </c>
      <c r="AM1" t="s">
        <v>74</v>
      </c>
    </row>
    <row r="2" spans="1:39">
      <c r="A2" s="23">
        <v>2</v>
      </c>
      <c r="B2" s="25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39">
      <c r="A3" s="23">
        <v>3</v>
      </c>
      <c r="B3" s="2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39">
      <c r="A4" s="23"/>
      <c r="B4" s="28"/>
      <c r="C4" s="28"/>
      <c r="D4" s="29"/>
      <c r="E4" s="29"/>
      <c r="F4" s="29"/>
      <c r="G4" s="29"/>
      <c r="H4" s="29" t="s">
        <v>0</v>
      </c>
      <c r="I4" s="29" t="s">
        <v>1</v>
      </c>
      <c r="J4" s="29" t="s">
        <v>2</v>
      </c>
      <c r="K4" s="30"/>
      <c r="L4" s="30"/>
      <c r="M4" s="30"/>
      <c r="N4" s="30"/>
      <c r="O4" s="31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39" ht="33">
      <c r="A5" s="23"/>
      <c r="B5" s="28" t="s">
        <v>3</v>
      </c>
      <c r="C5" s="28"/>
      <c r="D5" s="29"/>
      <c r="E5" s="29" t="s">
        <v>4</v>
      </c>
      <c r="F5" s="29"/>
      <c r="G5" s="29"/>
      <c r="H5" s="32"/>
      <c r="I5" s="36">
        <f>AL14</f>
        <v>0</v>
      </c>
      <c r="J5" s="29" t="s">
        <v>5</v>
      </c>
      <c r="K5" s="30"/>
      <c r="L5" s="23"/>
      <c r="M5" s="33" t="str">
        <f>"Salary - " &amp; A2 &amp; "/" &amp; A3</f>
        <v>Salary - 2/3</v>
      </c>
      <c r="N5" s="33"/>
      <c r="O5" s="3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39" ht="33">
      <c r="A6" s="23"/>
      <c r="B6" s="28"/>
      <c r="C6" s="28"/>
      <c r="D6" s="29"/>
      <c r="E6" s="29" t="s">
        <v>6</v>
      </c>
      <c r="F6" s="29"/>
      <c r="G6" s="29"/>
      <c r="H6" s="32"/>
      <c r="I6" s="36">
        <f>AK14</f>
        <v>0</v>
      </c>
      <c r="J6" s="29" t="s">
        <v>7</v>
      </c>
      <c r="K6" s="30"/>
      <c r="L6" s="30"/>
      <c r="M6" s="33"/>
      <c r="N6" s="33"/>
      <c r="O6" s="3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39">
      <c r="A7" s="23"/>
      <c r="B7" s="28"/>
      <c r="C7" s="28"/>
      <c r="D7" s="29"/>
      <c r="E7" s="29" t="s">
        <v>8</v>
      </c>
      <c r="F7" s="29"/>
      <c r="G7" s="29"/>
      <c r="H7" s="29"/>
      <c r="I7" s="36">
        <f>AM14</f>
        <v>0</v>
      </c>
      <c r="J7" s="29" t="s">
        <v>7</v>
      </c>
      <c r="K7" s="30"/>
      <c r="L7" s="30"/>
      <c r="M7" s="30"/>
      <c r="N7" s="30"/>
      <c r="O7" s="31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39" ht="33.75" customHeight="1">
      <c r="A8" s="23"/>
      <c r="B8" s="24"/>
      <c r="C8" s="24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39" hidden="1">
      <c r="A9" s="23"/>
      <c r="B9" s="24"/>
      <c r="C9" s="24"/>
      <c r="D9" s="23"/>
      <c r="E9" s="23"/>
      <c r="F9" s="23"/>
      <c r="G9" s="23"/>
      <c r="H9" s="23"/>
      <c r="I9" s="23">
        <v>1</v>
      </c>
      <c r="J9" s="23">
        <v>1</v>
      </c>
      <c r="K9" s="23">
        <v>1</v>
      </c>
      <c r="L9" s="23">
        <v>1</v>
      </c>
      <c r="M9" s="23">
        <v>1</v>
      </c>
      <c r="N9" s="23">
        <v>1</v>
      </c>
      <c r="O9" s="23">
        <v>1</v>
      </c>
      <c r="P9" s="23">
        <v>1</v>
      </c>
      <c r="Q9" s="23">
        <v>1</v>
      </c>
      <c r="R9" s="23">
        <v>1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</row>
    <row r="10" spans="1:39" hidden="1">
      <c r="A10" s="23"/>
      <c r="B10" s="24"/>
      <c r="C10" s="24" t="s">
        <v>41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G10" s="9" t="s">
        <v>64</v>
      </c>
      <c r="AH10" s="10" t="s">
        <v>65</v>
      </c>
      <c r="AI10" s="10" t="s">
        <v>66</v>
      </c>
    </row>
    <row r="11" spans="1:39" hidden="1">
      <c r="A11" s="23"/>
      <c r="B11" s="24" t="s">
        <v>32</v>
      </c>
      <c r="C11" s="24" t="s">
        <v>41</v>
      </c>
      <c r="D11" s="23" t="s">
        <v>33</v>
      </c>
      <c r="E11" s="23"/>
      <c r="F11" s="23" t="s">
        <v>38</v>
      </c>
      <c r="G11" s="23"/>
      <c r="H11" s="23"/>
      <c r="I11" s="23" t="s">
        <v>34</v>
      </c>
      <c r="J11" s="23"/>
      <c r="K11" s="23"/>
      <c r="L11" s="23" t="s">
        <v>81</v>
      </c>
      <c r="M11" s="23" t="s">
        <v>77</v>
      </c>
      <c r="N11" s="23" t="s">
        <v>36</v>
      </c>
      <c r="O11" s="23" t="s">
        <v>35</v>
      </c>
      <c r="P11" s="23" t="s">
        <v>79</v>
      </c>
      <c r="Q11" s="23" t="s">
        <v>80</v>
      </c>
      <c r="R11" s="23"/>
      <c r="S11" s="23"/>
      <c r="T11" s="23"/>
      <c r="U11" s="23"/>
      <c r="V11" s="23"/>
      <c r="W11" s="23"/>
      <c r="X11" s="23" t="s">
        <v>37</v>
      </c>
      <c r="Y11" s="23"/>
      <c r="Z11" s="23"/>
      <c r="AB11" t="s">
        <v>83</v>
      </c>
      <c r="AC11" t="s">
        <v>82</v>
      </c>
      <c r="AD11" t="s">
        <v>78</v>
      </c>
      <c r="AE11" t="s">
        <v>39</v>
      </c>
      <c r="AF11" t="s">
        <v>40</v>
      </c>
      <c r="AG11" s="10" t="s">
        <v>67</v>
      </c>
      <c r="AH11" s="10" t="s">
        <v>65</v>
      </c>
      <c r="AI11" s="10" t="s">
        <v>66</v>
      </c>
      <c r="AJ11" t="s">
        <v>68</v>
      </c>
      <c r="AK11" s="10" t="s">
        <v>69</v>
      </c>
      <c r="AL11" s="10" t="s">
        <v>70</v>
      </c>
      <c r="AM11" s="10" t="s">
        <v>71</v>
      </c>
    </row>
    <row r="12" spans="1:39" hidden="1">
      <c r="A12" s="23"/>
      <c r="B12" s="24"/>
      <c r="C12" s="24" t="s">
        <v>41</v>
      </c>
      <c r="D12" s="23"/>
      <c r="E12" s="23"/>
      <c r="F12" s="23"/>
      <c r="G12" s="23"/>
      <c r="H12" s="23"/>
      <c r="I12" s="23" t="s">
        <v>43</v>
      </c>
      <c r="J12" s="23" t="s">
        <v>44</v>
      </c>
      <c r="K12" s="23" t="s">
        <v>45</v>
      </c>
      <c r="L12" s="23" t="s">
        <v>46</v>
      </c>
      <c r="M12" s="23" t="s">
        <v>47</v>
      </c>
      <c r="N12" s="23" t="s">
        <v>48</v>
      </c>
      <c r="O12" s="23" t="s">
        <v>49</v>
      </c>
      <c r="P12" s="23" t="s">
        <v>51</v>
      </c>
      <c r="Q12" s="23"/>
      <c r="R12" s="23" t="s">
        <v>50</v>
      </c>
      <c r="S12" s="23" t="s">
        <v>52</v>
      </c>
      <c r="T12" s="23" t="s">
        <v>53</v>
      </c>
      <c r="U12" s="23" t="s">
        <v>54</v>
      </c>
      <c r="V12" s="23" t="s">
        <v>55</v>
      </c>
      <c r="W12" s="23" t="s">
        <v>56</v>
      </c>
      <c r="X12" s="23" t="s">
        <v>57</v>
      </c>
      <c r="Y12" s="23" t="s">
        <v>58</v>
      </c>
      <c r="Z12" s="23" t="s">
        <v>59</v>
      </c>
      <c r="AD12" t="s">
        <v>60</v>
      </c>
      <c r="AE12" t="s">
        <v>61</v>
      </c>
      <c r="AF12" t="s">
        <v>62</v>
      </c>
      <c r="AG12" s="9" t="s">
        <v>64</v>
      </c>
      <c r="AH12" s="10" t="s">
        <v>65</v>
      </c>
      <c r="AI12" s="10" t="s">
        <v>66</v>
      </c>
      <c r="AJ12" t="s">
        <v>63</v>
      </c>
      <c r="AK12" t="s">
        <v>72</v>
      </c>
      <c r="AL12" t="s">
        <v>73</v>
      </c>
      <c r="AM12" t="s">
        <v>74</v>
      </c>
    </row>
    <row r="13" spans="1:39" s="23" customFormat="1" ht="90">
      <c r="B13" s="34" t="s">
        <v>9</v>
      </c>
      <c r="C13" s="34" t="s">
        <v>42</v>
      </c>
      <c r="D13" s="34" t="s">
        <v>10</v>
      </c>
      <c r="E13" s="34" t="s">
        <v>11</v>
      </c>
      <c r="F13" s="34" t="s">
        <v>12</v>
      </c>
      <c r="G13" s="34" t="s">
        <v>13</v>
      </c>
      <c r="H13" s="34" t="s">
        <v>14</v>
      </c>
      <c r="I13" s="34" t="s">
        <v>15</v>
      </c>
      <c r="J13" s="34" t="s">
        <v>16</v>
      </c>
      <c r="K13" s="34" t="s">
        <v>17</v>
      </c>
      <c r="L13" s="34" t="s">
        <v>18</v>
      </c>
      <c r="M13" s="34" t="s">
        <v>19</v>
      </c>
      <c r="N13" s="34" t="s">
        <v>20</v>
      </c>
      <c r="O13" s="34" t="s">
        <v>21</v>
      </c>
      <c r="P13" s="39" t="s">
        <v>22</v>
      </c>
      <c r="Q13" s="40"/>
      <c r="R13" s="35" t="s">
        <v>75</v>
      </c>
      <c r="S13" s="34" t="s">
        <v>23</v>
      </c>
      <c r="T13" s="35" t="s">
        <v>76</v>
      </c>
      <c r="U13" s="34" t="s">
        <v>24</v>
      </c>
      <c r="V13" s="34" t="s">
        <v>25</v>
      </c>
      <c r="W13" s="34" t="s">
        <v>26</v>
      </c>
      <c r="X13" s="34" t="s">
        <v>27</v>
      </c>
      <c r="Y13" s="34" t="s">
        <v>28</v>
      </c>
      <c r="Z13" s="34" t="s">
        <v>29</v>
      </c>
    </row>
    <row r="14" spans="1:39">
      <c r="B14" s="15"/>
      <c r="C14" s="15"/>
      <c r="D14" s="8"/>
      <c r="E14" s="8" t="str">
        <f>IF(AD14 &gt; 0,"x","")</f>
        <v/>
      </c>
      <c r="F14" s="12"/>
      <c r="G14" s="8">
        <f>AE14*8</f>
        <v>0</v>
      </c>
      <c r="H14" s="8">
        <f>G14-AJ14*8</f>
        <v>0</v>
      </c>
      <c r="I14" s="17">
        <v>0</v>
      </c>
      <c r="J14" s="17">
        <f>I14*K14</f>
        <v>0</v>
      </c>
      <c r="K14" s="37">
        <f>$I$7</f>
        <v>0</v>
      </c>
      <c r="L14" s="17"/>
      <c r="M14" s="17"/>
      <c r="N14" s="17"/>
      <c r="O14" s="17"/>
      <c r="P14" s="17">
        <v>0</v>
      </c>
      <c r="Q14" s="17">
        <v>0</v>
      </c>
      <c r="R14" s="17">
        <f>ROUND(MIN(O14+P14+Q14,15%*(J14+L14+M14+N14+U14)),0)</f>
        <v>0</v>
      </c>
      <c r="S14" s="17">
        <f>11000000 + 4400000*AF14</f>
        <v>11000000</v>
      </c>
      <c r="T14" s="17">
        <f>ROUND(J14+L14+M14+N14+R14+U14,0)</f>
        <v>0</v>
      </c>
      <c r="U14" s="17">
        <f>IF(AB14&gt;0,0,AC14*1.5%)</f>
        <v>0</v>
      </c>
      <c r="V14" s="17">
        <f>IF(E14="x",T14-S14-U14,0)</f>
        <v>0</v>
      </c>
      <c r="W14" s="17">
        <f>ROUND(IF(E14="x",SUMPRODUCT((V14&gt;={0,5,10,18,32,52,80}*1000000)*(V14-{0,5,10,18,32,52,80}*1000000))*5%,T14*20%),0)</f>
        <v>0</v>
      </c>
      <c r="X14" s="17">
        <v>0</v>
      </c>
      <c r="Y14" s="17">
        <f>ROUND(J14-W14-X14,0)</f>
        <v>0</v>
      </c>
      <c r="Z14" s="38" t="e">
        <f>Y14/$I$6</f>
        <v>#DIV/0!</v>
      </c>
    </row>
    <row r="21" spans="2:26">
      <c r="B21" s="1"/>
      <c r="C21" s="1"/>
      <c r="D21" s="1"/>
      <c r="E21" s="1"/>
      <c r="F21" s="2"/>
      <c r="G21" s="3"/>
      <c r="H21" s="3"/>
      <c r="I21" s="18"/>
      <c r="J21" s="18"/>
      <c r="K21" s="4"/>
      <c r="L21" s="18"/>
      <c r="M21" s="18"/>
      <c r="N21" s="18"/>
      <c r="O21" s="18"/>
      <c r="P21" s="21"/>
      <c r="Q21" s="21"/>
      <c r="R21" s="21"/>
      <c r="S21" s="18"/>
      <c r="T21" s="21"/>
      <c r="U21" s="18"/>
      <c r="V21" s="18"/>
      <c r="W21" s="18"/>
      <c r="X21" s="18"/>
      <c r="Y21" s="18"/>
      <c r="Z21" s="18"/>
    </row>
    <row r="22" spans="2:26" ht="18.75">
      <c r="B22" s="7"/>
      <c r="C22" s="7"/>
      <c r="D22" s="5"/>
      <c r="E22" s="5"/>
      <c r="F22" s="13"/>
      <c r="G22" s="6"/>
      <c r="H22" s="6"/>
      <c r="Z22" s="19"/>
    </row>
    <row r="25" spans="2:26" ht="18.75">
      <c r="I25" s="19" t="s">
        <v>30</v>
      </c>
      <c r="J25" s="20"/>
      <c r="K25" s="5"/>
      <c r="L25" s="19"/>
      <c r="M25" s="19"/>
      <c r="N25" s="19"/>
      <c r="O25" s="19"/>
      <c r="P25" s="20"/>
      <c r="Q25" s="20"/>
      <c r="R25" s="20"/>
      <c r="S25" s="19"/>
      <c r="T25" s="20"/>
      <c r="U25" s="19"/>
      <c r="V25" s="19"/>
      <c r="W25" s="22"/>
      <c r="X25" s="22"/>
      <c r="Y25" s="22" t="s">
        <v>31</v>
      </c>
    </row>
  </sheetData>
  <mergeCells count="1">
    <mergeCell ref="P13:Q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2021-06-02T09:37:41Z</dcterms:modified>
</cp:coreProperties>
</file>