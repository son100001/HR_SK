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2527"/>
  <workbookPr/>
  <mc:AlternateContent xmlns:mc="http://schemas.openxmlformats.org/markup-compatibility/2006">
    <mc:Choice Requires="x15">
      <x15ac:absPath xmlns:x15ac="http://schemas.microsoft.com/office/spreadsheetml/2010/11/ac" url="E:\SSAUDIT\GitHub\ISVietNam\SmartBooks.HumanResource\bin\x86\Debug\Teamleate\"/>
    </mc:Choice>
  </mc:AlternateContent>
  <xr:revisionPtr revIDLastSave="0" documentId="13_ncr:1_{18CB9661-C96F-4071-886E-6A92C9D9CBC6}" xr6:coauthVersionLast="45" xr6:coauthVersionMax="45" xr10:uidLastSave="{00000000-0000-0000-0000-000000000000}"/>
  <bookViews>
    <workbookView xWindow="20370" yWindow="-120" windowWidth="29040" windowHeight="16440" xr2:uid="{00000000-000D-0000-FFFF-FFFF00000000}"/>
  </bookViews>
  <sheets>
    <sheet name="Sheet1" sheetId="1" r:id="rId1"/>
  </sheets>
  <definedNames>
    <definedName name="_xlnm._FilterDatabase" localSheetId="0" hidden="1">Sheet1!$A$12:$GI$12</definedName>
  </definedName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S13" i="1" l="1"/>
  <c r="U13" i="1"/>
  <c r="J13" i="1" l="1"/>
  <c r="N13" i="1" l="1"/>
  <c r="P13" i="1" l="1"/>
  <c r="B6" i="1" l="1"/>
  <c r="B5" i="1"/>
  <c r="B4" i="1"/>
  <c r="B3" i="1"/>
  <c r="R13" i="1" l="1"/>
  <c r="Z13" i="1" l="1"/>
</calcChain>
</file>

<file path=xl/sharedStrings.xml><?xml version="1.0" encoding="utf-8"?>
<sst xmlns="http://schemas.openxmlformats.org/spreadsheetml/2006/main" count="84" uniqueCount="83">
  <si>
    <t>STT No</t>
  </si>
  <si>
    <t>MSNV Code</t>
  </si>
  <si>
    <r>
      <t>Ca 03 night shift</t>
    </r>
    <r>
      <rPr>
        <sz val="9"/>
        <color rgb="FFFF0000"/>
        <rFont val="Times New Roman"/>
        <family val="1"/>
      </rPr>
      <t xml:space="preserve"> 200%</t>
    </r>
  </si>
  <si>
    <r>
      <t xml:space="preserve">Ca 03 night shift </t>
    </r>
    <r>
      <rPr>
        <sz val="9"/>
        <color rgb="FFFF0000"/>
        <rFont val="Times New Roman"/>
        <family val="1"/>
      </rPr>
      <t>210%</t>
    </r>
  </si>
  <si>
    <r>
      <t xml:space="preserve">Ca 03 Shift 03 </t>
    </r>
    <r>
      <rPr>
        <sz val="9"/>
        <color rgb="FFFF0000"/>
        <rFont val="Times New Roman"/>
        <family val="1"/>
      </rPr>
      <t>270%</t>
    </r>
  </si>
  <si>
    <t>VỊ TRÍ Position</t>
  </si>
  <si>
    <t>HỌ VÀ TÊN Full name</t>
  </si>
  <si>
    <t>NGÀY VÀO Hired date</t>
  </si>
  <si>
    <t>Phép năm Annual leave</t>
  </si>
  <si>
    <t>Nghỉ hưởng lương  Leave with fully paid</t>
  </si>
  <si>
    <t>* Công ty cho nghỉ phép ( NLĐ hết phép năm) Annual leave by company</t>
  </si>
  <si>
    <t>Ngừng việc Stop working</t>
  </si>
  <si>
    <t>Vắng không phép Absent without permission</t>
  </si>
  <si>
    <t>Nghỉ việc riêng không lương Absent with personal reason</t>
  </si>
  <si>
    <r>
      <t>Nghỉ việc riêng không lương, không mất chuyên cần Absent with personal reason
(</t>
    </r>
    <r>
      <rPr>
        <b/>
        <sz val="10"/>
        <color rgb="FF0000FF"/>
        <rFont val="Times New Roman"/>
        <family val="1"/>
      </rPr>
      <t>have attendance bonus)</t>
    </r>
  </si>
  <si>
    <t>Bảo hiể do ốm đau, thai sản, dưỡng sức  Sickness leave, maternity leave</t>
  </si>
  <si>
    <t>Khám thai pregnancy test</t>
  </si>
  <si>
    <t>Nghỉ không hưởng lương Unpaid leave</t>
  </si>
  <si>
    <t>Nghỉ không lương Unpaid leave</t>
  </si>
  <si>
    <t>Nghỉ theo chế độ bảo hiểm Insurance leave</t>
  </si>
  <si>
    <t>Tổng cộng Total leave without pay</t>
  </si>
  <si>
    <t>Số giờ làm việc trong tháng Total of working hour</t>
  </si>
  <si>
    <t>SỐ GIỜ ( hour)</t>
  </si>
  <si>
    <t>TĂNG CA  Overtime hour</t>
  </si>
  <si>
    <t>GIỜ CA 03 Night shift</t>
  </si>
  <si>
    <r>
      <t>Ca ngày normal day</t>
    </r>
    <r>
      <rPr>
        <sz val="9"/>
        <color rgb="FFFF0000"/>
        <rFont val="Times New Roman"/>
        <family val="1"/>
      </rPr>
      <t xml:space="preserve"> 150%</t>
    </r>
  </si>
  <si>
    <r>
      <t>Phụ cấp ca 03</t>
    </r>
    <r>
      <rPr>
        <sz val="9"/>
        <color rgb="FF00B050"/>
        <rFont val="Times New Roman"/>
        <family val="1"/>
      </rPr>
      <t xml:space="preserve">  </t>
    </r>
    <r>
      <rPr>
        <sz val="9"/>
        <color theme="1" tint="4.9989318521683403E-2"/>
        <rFont val="Times New Roman"/>
        <family val="1"/>
      </rPr>
      <t xml:space="preserve">Allowance shift 3 </t>
    </r>
    <r>
      <rPr>
        <sz val="9"/>
        <color rgb="FFFF0000"/>
        <rFont val="Times New Roman"/>
        <family val="1"/>
      </rPr>
      <t>30%</t>
    </r>
  </si>
  <si>
    <r>
      <t xml:space="preserve">Thưởng chuyên cần Attendance bonus </t>
    </r>
    <r>
      <rPr>
        <sz val="9"/>
        <color rgb="FFFF0000"/>
        <rFont val="Times New Roman"/>
        <family val="1"/>
      </rPr>
      <t>130%</t>
    </r>
  </si>
  <si>
    <r>
      <t xml:space="preserve">Không nghỉ bù Not have time off in compensation </t>
    </r>
    <r>
      <rPr>
        <sz val="8"/>
        <color rgb="FFFF0000"/>
        <rFont val="Times New Roman"/>
        <family val="1"/>
      </rPr>
      <t>200%</t>
    </r>
  </si>
  <si>
    <r>
      <t xml:space="preserve">Có nghỉ bù  have time off in compensation </t>
    </r>
    <r>
      <rPr>
        <sz val="8"/>
        <color rgb="FFFF0000"/>
        <rFont val="Times New Roman"/>
        <family val="1"/>
      </rPr>
      <t>100%</t>
    </r>
  </si>
  <si>
    <t>CA NGÀY Normal day</t>
  </si>
  <si>
    <t>CHỦ NHẬT (Sunday)</t>
  </si>
  <si>
    <t>CA ĐÊM Night shift</t>
  </si>
  <si>
    <t>NGÀY LỄ (Holiday)</t>
  </si>
  <si>
    <r>
      <t xml:space="preserve">CA NGÀY Normal day </t>
    </r>
    <r>
      <rPr>
        <sz val="9"/>
        <color rgb="FFFF0000"/>
        <rFont val="Times New Roman"/>
        <family val="1"/>
      </rPr>
      <t>300%</t>
    </r>
  </si>
  <si>
    <r>
      <t xml:space="preserve">CA ĐÊM Night shift </t>
    </r>
    <r>
      <rPr>
        <sz val="9"/>
        <color rgb="FFFF0000"/>
        <rFont val="Times New Roman"/>
        <family val="1"/>
      </rPr>
      <t>390%</t>
    </r>
  </si>
  <si>
    <r>
      <t xml:space="preserve">Nghỉ bù  have time off in compensation  </t>
    </r>
    <r>
      <rPr>
        <sz val="9"/>
        <color rgb="FFFF0000"/>
        <rFont val="Times New Roman"/>
        <family val="1"/>
      </rPr>
      <t>130%</t>
    </r>
  </si>
  <si>
    <t>TIỀN CƠM  meal fee (if any)</t>
  </si>
  <si>
    <t>Ký tên xác nhận Signature</t>
  </si>
  <si>
    <t>Số giờ đi trễ về sớm lateness and leave early</t>
  </si>
  <si>
    <t>CÔNG TY TNHH I.S VIỆT NAM</t>
  </si>
  <si>
    <t>LÔ SỐ A2-6 KNC Tây Bắc Củ Chi, huyện Củ Chi, TP.HCM</t>
  </si>
  <si>
    <t>No</t>
  </si>
  <si>
    <t>Employee_ID</t>
  </si>
  <si>
    <t>FullName</t>
  </si>
  <si>
    <t>StartedDate</t>
  </si>
  <si>
    <t>PhepNam</t>
  </si>
  <si>
    <t>KhamThai</t>
  </si>
  <si>
    <t>KhongPhep</t>
  </si>
  <si>
    <t>Giờ 130%</t>
  </si>
  <si>
    <t>Giờ 100%</t>
  </si>
  <si>
    <t>Nghỉ hiếu hỉ</t>
  </si>
  <si>
    <t>HieuHy</t>
  </si>
  <si>
    <t>NgungViec</t>
  </si>
  <si>
    <t>KhongLuong</t>
  </si>
  <si>
    <t>KLKhongMatCC</t>
  </si>
  <si>
    <t>TienCom</t>
  </si>
  <si>
    <t>LateInEarlyOut</t>
  </si>
  <si>
    <t>wt1</t>
  </si>
  <si>
    <t>wt3</t>
  </si>
  <si>
    <t>wt11</t>
  </si>
  <si>
    <t>wt5</t>
  </si>
  <si>
    <t>wt9</t>
  </si>
  <si>
    <t>wt4</t>
  </si>
  <si>
    <t>wt6</t>
  </si>
  <si>
    <t>wt7</t>
  </si>
  <si>
    <t>wt8</t>
  </si>
  <si>
    <t>HuongBH</t>
  </si>
  <si>
    <t>Hưởng BH</t>
  </si>
  <si>
    <t>PositionCategory_ID</t>
  </si>
  <si>
    <t>Ngày thôi việc
Resign date</t>
  </si>
  <si>
    <t>Ternimationdate</t>
  </si>
  <si>
    <t>Nghỉ không lương</t>
  </si>
  <si>
    <t>ThuongCCCaDem</t>
  </si>
  <si>
    <t>Đi công tác và nghỉ lễ
Business trips and holidays</t>
  </si>
  <si>
    <t>NghiLe</t>
  </si>
  <si>
    <t>CongTac</t>
  </si>
  <si>
    <t>Nghỉ lễ</t>
  </si>
  <si>
    <t>Công tác</t>
  </si>
  <si>
    <t>Ca ngày
Normal day
(Extra hours)</t>
  </si>
  <si>
    <t>Ca ngày
Normal day
(Real hours)</t>
  </si>
  <si>
    <t>Giờ thêm</t>
  </si>
  <si>
    <t>wt12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</si>
</sst>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3" formatCode="_-* #,##0.00_-;\-* #,##0.00_-;_-* &quot;-&quot;??_-;_-@_-"/>
    <numFmt numFmtId="164" formatCode="_-* #,##0_-;\-* #,##0_-;_-* &quot;-&quot;??_-;_-@_-"/>
    <numFmt numFmtId="165" formatCode="&quot;BAÛNG CHAÁM COÂNG CNV THAÙNG&quot;\ General&quot; NAÊM 2019&quot;"/>
    <numFmt numFmtId="166" formatCode="&quot;BAÛNG CHAÁM COÂNG CNV THAÙNG&quot;\ General&quot; NAÊM 2016&quot;"/>
    <numFmt numFmtId="167" formatCode="_-* #,##0.0_-;\-* #,##0.0_-;_-* &quot;-&quot;??_-;_-@_-"/>
  </numFmts>
  <fonts count="2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</font>
    <font>
      <sz val="10"/>
      <name val="VNI-Times"/>
    </font>
    <font>
      <sz val="10"/>
      <color indexed="8"/>
      <name val="Times New Roman"/>
      <family val="1"/>
    </font>
    <font>
      <sz val="11"/>
      <color indexed="8"/>
      <name val="Times New Roman"/>
      <family val="1"/>
    </font>
    <font>
      <sz val="10"/>
      <color rgb="FFFF0000"/>
      <name val="Times New Roman"/>
      <family val="1"/>
    </font>
    <font>
      <sz val="10"/>
      <color theme="1" tint="4.9989318521683403E-2"/>
      <name val="Times New Roman"/>
      <family val="1"/>
    </font>
    <font>
      <sz val="9"/>
      <color theme="1" tint="4.9989318521683403E-2"/>
      <name val="Times New Roman"/>
      <family val="1"/>
    </font>
    <font>
      <sz val="9"/>
      <color rgb="FFFF0000"/>
      <name val="Times New Roman"/>
      <family val="1"/>
    </font>
    <font>
      <sz val="9"/>
      <color indexed="8"/>
      <name val="Times New Roman"/>
      <family val="1"/>
    </font>
    <font>
      <sz val="11"/>
      <color rgb="FFFF0000"/>
      <name val="Times New Roman"/>
      <family val="1"/>
    </font>
    <font>
      <sz val="8"/>
      <color indexed="8"/>
      <name val="Times New Roman"/>
      <family val="1"/>
    </font>
    <font>
      <sz val="10"/>
      <color theme="1" tint="0.14999847407452621"/>
      <name val="Times New Roman"/>
      <family val="1"/>
    </font>
    <font>
      <sz val="10"/>
      <color rgb="FF0000FF"/>
      <name val="Times New Roman"/>
      <family val="1"/>
    </font>
    <font>
      <b/>
      <sz val="10"/>
      <color rgb="FF0000FF"/>
      <name val="Times New Roman"/>
      <family val="1"/>
    </font>
    <font>
      <sz val="9"/>
      <color rgb="FF00B050"/>
      <name val="Times New Roman"/>
      <family val="1"/>
    </font>
    <font>
      <sz val="8"/>
      <color rgb="FFFF0000"/>
      <name val="Times New Roman"/>
      <family val="1"/>
    </font>
    <font>
      <sz val="9"/>
      <color indexed="12"/>
      <name val="Times New Roman"/>
      <family val="1"/>
    </font>
    <font>
      <sz val="10"/>
      <color indexed="12"/>
      <name val="Times New Roman"/>
      <family val="1"/>
    </font>
    <font>
      <sz val="11"/>
      <color theme="1"/>
      <name val="Times New Roman"/>
      <family val="1"/>
    </font>
    <font>
      <b/>
      <sz val="11"/>
      <color theme="1"/>
      <name val="Times New Roman"/>
      <family val="1"/>
    </font>
    <font>
      <b/>
      <sz val="18"/>
      <color indexed="12"/>
      <name val="VNI-Times"/>
    </font>
    <font>
      <b/>
      <sz val="12"/>
      <color indexed="12"/>
      <name val="VNI-Times"/>
    </font>
    <font>
      <b/>
      <u/>
      <sz val="12"/>
      <color indexed="12"/>
      <name val="VNI-Times"/>
    </font>
    <font>
      <b/>
      <i/>
      <u/>
      <sz val="12"/>
      <color indexed="12"/>
      <name val="VNI-Times"/>
    </font>
    <font>
      <b/>
      <sz val="18"/>
      <color indexed="12"/>
      <name val="Times New Roman"/>
      <family val="1"/>
    </font>
    <font>
      <b/>
      <sz val="12"/>
      <color indexed="12"/>
      <name val="Times New Roman"/>
      <family val="1"/>
    </font>
    <font>
      <b/>
      <i/>
      <u/>
      <sz val="12"/>
      <color indexed="12"/>
      <name val="Times New Roman"/>
      <family val="1"/>
    </font>
  </fonts>
  <fills count="4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indexed="42"/>
        <bgColor indexed="64"/>
      </patternFill>
    </fill>
  </fills>
  <borders count="17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hair">
        <color auto="1"/>
      </right>
      <top style="thin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thin">
        <color auto="1"/>
      </top>
      <bottom style="hair">
        <color auto="1"/>
      </bottom>
      <diagonal/>
    </border>
    <border>
      <left style="hair">
        <color auto="1"/>
      </left>
      <right style="thin">
        <color auto="1"/>
      </right>
      <top style="thin">
        <color auto="1"/>
      </top>
      <bottom style="hair">
        <color auto="1"/>
      </bottom>
      <diagonal/>
    </border>
  </borders>
  <cellStyleXfs count="4">
    <xf numFmtId="0" fontId="0" fillId="0" borderId="0"/>
    <xf numFmtId="43" fontId="1" fillId="0" borderId="0" applyFont="0" applyFill="0" applyBorder="0" applyAlignment="0" applyProtection="0"/>
    <xf numFmtId="0" fontId="2" fillId="0" borderId="0"/>
    <xf numFmtId="0" fontId="3" fillId="0" borderId="0"/>
  </cellStyleXfs>
  <cellXfs count="68">
    <xf numFmtId="0" fontId="0" fillId="0" borderId="0" xfId="0"/>
    <xf numFmtId="0" fontId="4" fillId="0" borderId="0" xfId="2" applyFont="1" applyAlignment="1">
      <alignment horizontal="center" vertical="center" wrapText="1"/>
    </xf>
    <xf numFmtId="0" fontId="13" fillId="0" borderId="1" xfId="2" applyFont="1" applyBorder="1" applyAlignment="1">
      <alignment horizontal="center" vertical="center" wrapText="1"/>
    </xf>
    <xf numFmtId="2" fontId="13" fillId="0" borderId="1" xfId="2" applyNumberFormat="1" applyFont="1" applyBorder="1" applyAlignment="1">
      <alignment horizontal="center" vertical="center" wrapText="1"/>
    </xf>
    <xf numFmtId="0" fontId="14" fillId="0" borderId="1" xfId="2" applyFont="1" applyBorder="1" applyAlignment="1">
      <alignment horizontal="center" vertical="center" wrapText="1"/>
    </xf>
    <xf numFmtId="0" fontId="13" fillId="0" borderId="9" xfId="2" applyFont="1" applyBorder="1" applyAlignment="1">
      <alignment horizontal="center" vertical="center" wrapText="1"/>
    </xf>
    <xf numFmtId="0" fontId="10" fillId="0" borderId="5" xfId="2" applyFont="1" applyBorder="1" applyAlignment="1">
      <alignment horizontal="center" vertical="center" wrapText="1"/>
    </xf>
    <xf numFmtId="0" fontId="12" fillId="0" borderId="5" xfId="2" applyFont="1" applyBorder="1" applyAlignment="1">
      <alignment horizontal="center" vertical="center" wrapText="1"/>
    </xf>
    <xf numFmtId="0" fontId="8" fillId="0" borderId="13" xfId="2" applyFont="1" applyBorder="1" applyAlignment="1">
      <alignment horizontal="center" vertical="center" wrapText="1"/>
    </xf>
    <xf numFmtId="0" fontId="18" fillId="3" borderId="1" xfId="3" applyFont="1" applyFill="1" applyBorder="1" applyAlignment="1">
      <alignment horizontal="center" vertical="center" wrapText="1"/>
    </xf>
    <xf numFmtId="0" fontId="19" fillId="0" borderId="0" xfId="3" applyFont="1"/>
    <xf numFmtId="0" fontId="19" fillId="0" borderId="0" xfId="2" applyFont="1"/>
    <xf numFmtId="0" fontId="20" fillId="0" borderId="0" xfId="0" applyFont="1"/>
    <xf numFmtId="0" fontId="21" fillId="0" borderId="0" xfId="0" applyFont="1"/>
    <xf numFmtId="0" fontId="23" fillId="0" borderId="0" xfId="2" applyFont="1" applyAlignment="1"/>
    <xf numFmtId="0" fontId="24" fillId="0" borderId="0" xfId="2" applyFont="1" applyAlignment="1">
      <alignment horizontal="center"/>
    </xf>
    <xf numFmtId="0" fontId="25" fillId="0" borderId="7" xfId="2" applyFont="1" applyBorder="1" applyAlignment="1"/>
    <xf numFmtId="165" fontId="22" fillId="0" borderId="0" xfId="2" applyNumberFormat="1" applyFont="1" applyAlignment="1"/>
    <xf numFmtId="166" fontId="23" fillId="0" borderId="0" xfId="2" applyNumberFormat="1" applyFont="1" applyAlignment="1"/>
    <xf numFmtId="164" fontId="0" fillId="0" borderId="0" xfId="1" applyNumberFormat="1" applyFont="1"/>
    <xf numFmtId="0" fontId="20" fillId="0" borderId="14" xfId="0" applyFont="1" applyBorder="1"/>
    <xf numFmtId="0" fontId="20" fillId="0" borderId="15" xfId="0" applyFont="1" applyBorder="1"/>
    <xf numFmtId="14" fontId="20" fillId="0" borderId="15" xfId="0" applyNumberFormat="1" applyFont="1" applyBorder="1"/>
    <xf numFmtId="167" fontId="20" fillId="0" borderId="15" xfId="1" applyNumberFormat="1" applyFont="1" applyBorder="1"/>
    <xf numFmtId="0" fontId="20" fillId="0" borderId="16" xfId="0" applyFont="1" applyBorder="1"/>
    <xf numFmtId="43" fontId="20" fillId="0" borderId="15" xfId="1" applyFont="1" applyBorder="1"/>
    <xf numFmtId="43" fontId="20" fillId="0" borderId="0" xfId="1" applyFont="1"/>
    <xf numFmtId="0" fontId="4" fillId="0" borderId="5" xfId="2" applyFont="1" applyBorder="1" applyAlignment="1">
      <alignment horizontal="center" vertical="center" wrapText="1"/>
    </xf>
    <xf numFmtId="165" fontId="26" fillId="0" borderId="0" xfId="2" applyNumberFormat="1" applyFont="1" applyAlignment="1">
      <alignment horizontal="center"/>
    </xf>
    <xf numFmtId="166" fontId="27" fillId="0" borderId="0" xfId="2" applyNumberFormat="1" applyFont="1" applyAlignment="1">
      <alignment horizontal="center"/>
    </xf>
    <xf numFmtId="0" fontId="27" fillId="0" borderId="0" xfId="2" applyFont="1" applyAlignment="1">
      <alignment horizontal="center"/>
    </xf>
    <xf numFmtId="0" fontId="28" fillId="0" borderId="0" xfId="2" applyFont="1" applyBorder="1" applyAlignment="1">
      <alignment horizontal="center"/>
    </xf>
    <xf numFmtId="0" fontId="6" fillId="0" borderId="2" xfId="2" applyFont="1" applyBorder="1" applyAlignment="1">
      <alignment horizontal="center" vertical="center" wrapText="1"/>
    </xf>
    <xf numFmtId="0" fontId="6" fillId="0" borderId="3" xfId="2" applyFont="1" applyBorder="1" applyAlignment="1">
      <alignment horizontal="center" vertical="center" wrapText="1"/>
    </xf>
    <xf numFmtId="0" fontId="6" fillId="0" borderId="4" xfId="2" applyFont="1" applyBorder="1" applyAlignment="1">
      <alignment horizontal="center" vertical="center" wrapText="1"/>
    </xf>
    <xf numFmtId="0" fontId="6" fillId="0" borderId="6" xfId="2" applyFont="1" applyBorder="1" applyAlignment="1">
      <alignment horizontal="center" vertical="center" wrapText="1"/>
    </xf>
    <xf numFmtId="0" fontId="6" fillId="0" borderId="7" xfId="2" applyFont="1" applyBorder="1" applyAlignment="1">
      <alignment horizontal="center" vertical="center" wrapText="1"/>
    </xf>
    <xf numFmtId="0" fontId="6" fillId="0" borderId="8" xfId="2" applyFont="1" applyBorder="1" applyAlignment="1">
      <alignment horizontal="center" vertical="center" wrapText="1"/>
    </xf>
    <xf numFmtId="0" fontId="4" fillId="0" borderId="1" xfId="2" applyFont="1" applyBorder="1" applyAlignment="1">
      <alignment horizontal="center" vertical="center" wrapText="1"/>
    </xf>
    <xf numFmtId="0" fontId="5" fillId="0" borderId="1" xfId="2" applyFont="1" applyBorder="1" applyAlignment="1">
      <alignment horizontal="center" vertical="center" wrapText="1"/>
    </xf>
    <xf numFmtId="0" fontId="4" fillId="0" borderId="5" xfId="2" applyFont="1" applyBorder="1" applyAlignment="1">
      <alignment horizontal="center" vertical="center" wrapText="1"/>
    </xf>
    <xf numFmtId="0" fontId="4" fillId="0" borderId="12" xfId="2" applyFont="1" applyBorder="1" applyAlignment="1">
      <alignment horizontal="center" vertical="center" wrapText="1"/>
    </xf>
    <xf numFmtId="0" fontId="4" fillId="0" borderId="13" xfId="2" applyFont="1" applyBorder="1" applyAlignment="1">
      <alignment horizontal="center" vertical="center" wrapText="1"/>
    </xf>
    <xf numFmtId="0" fontId="4" fillId="2" borderId="9" xfId="2" applyFont="1" applyFill="1" applyBorder="1" applyAlignment="1">
      <alignment horizontal="center" vertical="center" wrapText="1"/>
    </xf>
    <xf numFmtId="0" fontId="4" fillId="2" borderId="10" xfId="2" applyFont="1" applyFill="1" applyBorder="1" applyAlignment="1">
      <alignment horizontal="center" vertical="center" wrapText="1"/>
    </xf>
    <xf numFmtId="0" fontId="4" fillId="2" borderId="11" xfId="2" applyFont="1" applyFill="1" applyBorder="1" applyAlignment="1">
      <alignment horizontal="center" vertical="center" wrapText="1"/>
    </xf>
    <xf numFmtId="0" fontId="12" fillId="0" borderId="9" xfId="2" applyFont="1" applyBorder="1" applyAlignment="1">
      <alignment horizontal="center" vertical="center" wrapText="1"/>
    </xf>
    <xf numFmtId="0" fontId="12" fillId="0" borderId="10" xfId="2" applyFont="1" applyBorder="1" applyAlignment="1">
      <alignment horizontal="center" vertical="center" wrapText="1"/>
    </xf>
    <xf numFmtId="0" fontId="12" fillId="0" borderId="11" xfId="2" applyFont="1" applyBorder="1" applyAlignment="1">
      <alignment horizontal="center" vertical="center" wrapText="1"/>
    </xf>
    <xf numFmtId="0" fontId="9" fillId="0" borderId="5" xfId="2" applyFont="1" applyBorder="1" applyAlignment="1">
      <alignment horizontal="center" vertical="center" wrapText="1"/>
    </xf>
    <xf numFmtId="0" fontId="9" fillId="0" borderId="12" xfId="2" applyFont="1" applyBorder="1" applyAlignment="1">
      <alignment horizontal="center" vertical="center" wrapText="1"/>
    </xf>
    <xf numFmtId="0" fontId="9" fillId="0" borderId="13" xfId="2" applyFont="1" applyBorder="1" applyAlignment="1">
      <alignment horizontal="center" vertical="center" wrapText="1"/>
    </xf>
    <xf numFmtId="0" fontId="10" fillId="0" borderId="1" xfId="2" applyFont="1" applyBorder="1" applyAlignment="1">
      <alignment horizontal="center" vertical="center" wrapText="1"/>
    </xf>
    <xf numFmtId="0" fontId="6" fillId="0" borderId="9" xfId="2" applyFont="1" applyBorder="1" applyAlignment="1">
      <alignment horizontal="center" vertical="center" wrapText="1"/>
    </xf>
    <xf numFmtId="0" fontId="6" fillId="0" borderId="10" xfId="2" applyFont="1" applyBorder="1" applyAlignment="1">
      <alignment horizontal="center" vertical="center" wrapText="1"/>
    </xf>
    <xf numFmtId="0" fontId="6" fillId="0" borderId="11" xfId="2" applyFont="1" applyBorder="1" applyAlignment="1">
      <alignment horizontal="center" vertical="center" wrapText="1"/>
    </xf>
    <xf numFmtId="0" fontId="11" fillId="0" borderId="5" xfId="2" applyFont="1" applyBorder="1" applyAlignment="1">
      <alignment horizontal="center" vertical="center" wrapText="1"/>
    </xf>
    <xf numFmtId="0" fontId="11" fillId="0" borderId="13" xfId="2" applyFont="1" applyBorder="1" applyAlignment="1">
      <alignment horizontal="center" vertical="center" wrapText="1"/>
    </xf>
    <xf numFmtId="0" fontId="7" fillId="0" borderId="1" xfId="2" applyFont="1" applyBorder="1" applyAlignment="1">
      <alignment horizontal="center" vertical="center" wrapText="1"/>
    </xf>
    <xf numFmtId="0" fontId="7" fillId="0" borderId="10" xfId="2" applyFont="1" applyBorder="1" applyAlignment="1">
      <alignment horizontal="center" vertical="center" wrapText="1"/>
    </xf>
    <xf numFmtId="0" fontId="7" fillId="0" borderId="11" xfId="2" applyFont="1" applyBorder="1" applyAlignment="1">
      <alignment horizontal="center" vertical="center" wrapText="1"/>
    </xf>
    <xf numFmtId="0" fontId="6" fillId="0" borderId="1" xfId="2" applyFont="1" applyBorder="1" applyAlignment="1">
      <alignment horizontal="center" vertical="center" wrapText="1"/>
    </xf>
    <xf numFmtId="0" fontId="7" fillId="2" borderId="1" xfId="2" applyFont="1" applyFill="1" applyBorder="1" applyAlignment="1">
      <alignment horizontal="center" vertical="center" wrapText="1"/>
    </xf>
    <xf numFmtId="0" fontId="7" fillId="2" borderId="2" xfId="2" applyFont="1" applyFill="1" applyBorder="1" applyAlignment="1">
      <alignment horizontal="center" vertical="center" wrapText="1"/>
    </xf>
    <xf numFmtId="0" fontId="7" fillId="2" borderId="4" xfId="2" applyFont="1" applyFill="1" applyBorder="1" applyAlignment="1">
      <alignment horizontal="center" vertical="center" wrapText="1"/>
    </xf>
    <xf numFmtId="0" fontId="7" fillId="2" borderId="6" xfId="2" applyFont="1" applyFill="1" applyBorder="1" applyAlignment="1">
      <alignment horizontal="center" vertical="center" wrapText="1"/>
    </xf>
    <xf numFmtId="0" fontId="7" fillId="2" borderId="8" xfId="2" applyFont="1" applyFill="1" applyBorder="1" applyAlignment="1">
      <alignment horizontal="center" vertical="center" wrapText="1"/>
    </xf>
    <xf numFmtId="0" fontId="8" fillId="0" borderId="1" xfId="2" applyFont="1" applyBorder="1" applyAlignment="1">
      <alignment horizontal="center" vertical="center" wrapText="1"/>
    </xf>
  </cellXfs>
  <cellStyles count="4">
    <cellStyle name="Comma" xfId="1" builtinId="3"/>
    <cellStyle name="Normal" xfId="0" builtinId="0"/>
    <cellStyle name="Normal 10" xfId="2" xr:uid="{00000000-0005-0000-0000-000002000000}"/>
    <cellStyle name="Normal_Sheet1" xfId="3" xr:uid="{00000000-0005-0000-0000-000003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I15"/>
  <sheetViews>
    <sheetView tabSelected="1" topLeftCell="B1" workbookViewId="0">
      <selection activeCell="B13" sqref="B13"/>
    </sheetView>
  </sheetViews>
  <sheetFormatPr defaultRowHeight="15" x14ac:dyDescent="0.25"/>
  <cols>
    <col min="1" max="1" width="0" style="12" hidden="1" customWidth="1"/>
    <col min="2" max="2" width="9.140625" style="12"/>
    <col min="3" max="3" width="8.85546875" style="12" customWidth="1"/>
    <col min="4" max="4" width="11.140625" style="12" customWidth="1"/>
    <col min="5" max="5" width="27.42578125" style="12" customWidth="1"/>
    <col min="6" max="7" width="11.5703125" style="12" customWidth="1"/>
    <col min="8" max="20" width="9.140625" style="12"/>
    <col min="21" max="22" width="9.140625" style="12" customWidth="1"/>
    <col min="23" max="40" width="9.140625" style="12"/>
    <col min="41" max="46" width="9.140625" style="12" hidden="1" customWidth="1"/>
    <col min="47" max="16384" width="9.140625" style="12"/>
  </cols>
  <sheetData>
    <row r="1" spans="1:191" x14ac:dyDescent="0.25">
      <c r="A1" s="12">
        <v>1</v>
      </c>
      <c r="B1" s="13" t="s">
        <v>40</v>
      </c>
    </row>
    <row r="2" spans="1:191" x14ac:dyDescent="0.25">
      <c r="A2" s="12">
        <v>2</v>
      </c>
      <c r="B2" s="13" t="s">
        <v>41</v>
      </c>
    </row>
    <row r="3" spans="1:191" ht="27" x14ac:dyDescent="0.45">
      <c r="A3" s="12">
        <v>3</v>
      </c>
      <c r="B3" s="28" t="str">
        <f>"BẢNG CHẤM CÔNG THÁNG "&amp;MONTH(A2)&amp;"/"&amp;YEAR(A2)</f>
        <v>BẢNG CHẤM CÔNG THÁNG 1/1900</v>
      </c>
      <c r="C3" s="28"/>
      <c r="D3" s="28"/>
      <c r="E3" s="28"/>
      <c r="F3" s="28"/>
      <c r="G3" s="28"/>
      <c r="H3" s="28"/>
      <c r="I3" s="28"/>
      <c r="J3" s="28"/>
      <c r="K3" s="28"/>
      <c r="L3" s="28"/>
      <c r="M3" s="28"/>
      <c r="N3" s="28"/>
      <c r="O3" s="28"/>
      <c r="P3" s="28"/>
      <c r="Q3" s="28"/>
      <c r="R3" s="28"/>
      <c r="S3" s="28"/>
      <c r="T3" s="28"/>
      <c r="U3" s="28"/>
      <c r="V3" s="28"/>
      <c r="W3" s="28"/>
      <c r="X3" s="28"/>
      <c r="Y3" s="17"/>
      <c r="Z3" s="17"/>
      <c r="AA3" s="17"/>
      <c r="AB3" s="17"/>
      <c r="AC3" s="17"/>
      <c r="AD3" s="17"/>
      <c r="AE3" s="17"/>
      <c r="AF3" s="17"/>
      <c r="AG3" s="17"/>
      <c r="AH3" s="17"/>
      <c r="AI3" s="17"/>
      <c r="AJ3" s="17"/>
      <c r="AK3" s="17"/>
      <c r="AL3" s="17"/>
      <c r="AM3" s="17"/>
      <c r="AN3" s="17"/>
      <c r="AO3" s="17"/>
      <c r="AP3" s="17"/>
    </row>
    <row r="4" spans="1:191" ht="18" x14ac:dyDescent="0.3">
      <c r="A4" s="12">
        <v>4</v>
      </c>
      <c r="B4" s="29" t="str">
        <f>"THE TIMESHEETS OF THE EMPLOYEES IN "&amp;MONTH(A2)&amp;"/"&amp;YEAR(A2)</f>
        <v>THE TIMESHEETS OF THE EMPLOYEES IN 1/1900</v>
      </c>
      <c r="C4" s="29"/>
      <c r="D4" s="29"/>
      <c r="E4" s="29"/>
      <c r="F4" s="29"/>
      <c r="G4" s="29"/>
      <c r="H4" s="29"/>
      <c r="I4" s="29"/>
      <c r="J4" s="29"/>
      <c r="K4" s="29"/>
      <c r="L4" s="29"/>
      <c r="M4" s="29"/>
      <c r="N4" s="29"/>
      <c r="O4" s="29"/>
      <c r="P4" s="29"/>
      <c r="Q4" s="29"/>
      <c r="R4" s="29"/>
      <c r="S4" s="29"/>
      <c r="T4" s="29"/>
      <c r="U4" s="29"/>
      <c r="V4" s="29"/>
      <c r="W4" s="29"/>
      <c r="X4" s="29"/>
      <c r="Y4" s="18"/>
      <c r="Z4" s="18"/>
      <c r="AA4" s="18"/>
      <c r="AB4" s="18"/>
      <c r="AC4" s="18"/>
      <c r="AD4" s="18"/>
      <c r="AE4" s="18"/>
      <c r="AF4" s="18"/>
      <c r="AG4" s="18"/>
      <c r="AH4" s="18"/>
      <c r="AI4" s="18"/>
      <c r="AJ4" s="18"/>
      <c r="AK4" s="18"/>
      <c r="AL4" s="18"/>
      <c r="AM4" s="18"/>
      <c r="AN4" s="18"/>
      <c r="AO4" s="18"/>
      <c r="AP4" s="18"/>
    </row>
    <row r="5" spans="1:191" ht="18" x14ac:dyDescent="0.3">
      <c r="A5" s="12">
        <v>5</v>
      </c>
      <c r="B5" s="30" t="str">
        <f>"Từ ngày "&amp;DAY(A2)&amp;"/"&amp;MONTH(A2)&amp;"/"&amp;YEAR(A2)&amp;" "&amp;"đến "&amp;DAY(A3)&amp;"/"&amp;MONTH(A3)&amp;"/"&amp;YEAR(A3)</f>
        <v>Từ ngày 2/1/1900 đến 3/1/1900</v>
      </c>
      <c r="C5" s="30"/>
      <c r="D5" s="30"/>
      <c r="E5" s="30"/>
      <c r="F5" s="30"/>
      <c r="G5" s="30"/>
      <c r="H5" s="30"/>
      <c r="I5" s="30"/>
      <c r="J5" s="30"/>
      <c r="K5" s="30"/>
      <c r="L5" s="30"/>
      <c r="M5" s="30"/>
      <c r="N5" s="30"/>
      <c r="O5" s="30"/>
      <c r="P5" s="30"/>
      <c r="Q5" s="30"/>
      <c r="R5" s="30"/>
      <c r="S5" s="30"/>
      <c r="T5" s="30"/>
      <c r="U5" s="30"/>
      <c r="V5" s="30"/>
      <c r="W5" s="30"/>
      <c r="X5" s="30"/>
      <c r="Y5" s="14"/>
      <c r="Z5" s="14"/>
      <c r="AA5" s="14"/>
      <c r="AB5" s="14"/>
      <c r="AC5" s="14"/>
      <c r="AD5" s="14"/>
      <c r="AE5" s="14"/>
      <c r="AF5" s="14"/>
      <c r="AG5" s="14"/>
      <c r="AH5" s="14"/>
      <c r="AI5" s="14"/>
      <c r="AJ5" s="14"/>
      <c r="AK5" s="14"/>
      <c r="AL5" s="14"/>
      <c r="AM5" s="14"/>
      <c r="AN5" s="14"/>
      <c r="AO5" s="14"/>
      <c r="AP5" s="14"/>
    </row>
    <row r="6" spans="1:191" ht="18" x14ac:dyDescent="0.3">
      <c r="B6" s="31" t="str">
        <f>"From "&amp;DAY(A2)&amp;"/"&amp;MONTH(A2)&amp;"/"&amp;YEAR(A2)&amp;" to "&amp;DAY(A3)&amp;"/"&amp;MONTH(A3)&amp;"/"&amp;YEAR(A3)</f>
        <v>From 2/1/1900 to 3/1/1900</v>
      </c>
      <c r="C6" s="31"/>
      <c r="D6" s="31"/>
      <c r="E6" s="31"/>
      <c r="F6" s="31"/>
      <c r="G6" s="31"/>
      <c r="H6" s="31"/>
      <c r="I6" s="31"/>
      <c r="J6" s="31"/>
      <c r="K6" s="31"/>
      <c r="L6" s="31"/>
      <c r="M6" s="31"/>
      <c r="N6" s="31"/>
      <c r="O6" s="31"/>
      <c r="P6" s="31"/>
      <c r="Q6" s="31"/>
      <c r="R6" s="31"/>
      <c r="S6" s="31"/>
      <c r="T6" s="31"/>
      <c r="U6" s="31"/>
      <c r="V6" s="31"/>
      <c r="W6" s="31"/>
      <c r="X6" s="31"/>
      <c r="Y6" s="16"/>
      <c r="Z6" s="16"/>
      <c r="AA6" s="16"/>
      <c r="AB6" s="16"/>
      <c r="AC6" s="16"/>
      <c r="AD6" s="16"/>
      <c r="AE6" s="16"/>
      <c r="AF6" s="15"/>
      <c r="AG6" s="15"/>
      <c r="AH6" s="15"/>
      <c r="AI6" s="15"/>
      <c r="AJ6" s="15"/>
      <c r="AK6" s="15"/>
      <c r="AL6" s="15"/>
      <c r="AM6" s="15"/>
      <c r="AN6" s="15"/>
      <c r="AO6" s="15"/>
      <c r="AP6" s="15"/>
    </row>
    <row r="7" spans="1:191" hidden="1" x14ac:dyDescent="0.25">
      <c r="B7" s="12">
        <v>2</v>
      </c>
      <c r="C7" s="12">
        <v>2</v>
      </c>
      <c r="D7" s="12">
        <v>2</v>
      </c>
      <c r="E7" s="12">
        <v>2</v>
      </c>
      <c r="F7" s="12">
        <v>2</v>
      </c>
      <c r="G7" s="12">
        <v>2</v>
      </c>
      <c r="H7" s="12">
        <v>1</v>
      </c>
      <c r="I7" s="12">
        <v>1</v>
      </c>
      <c r="K7" s="12">
        <v>1</v>
      </c>
      <c r="L7" s="12">
        <v>1</v>
      </c>
      <c r="M7" s="12">
        <v>1</v>
      </c>
      <c r="N7" s="12">
        <v>1</v>
      </c>
      <c r="O7" s="12">
        <v>1</v>
      </c>
      <c r="P7" s="12">
        <v>1</v>
      </c>
      <c r="Q7" s="12">
        <v>1</v>
      </c>
      <c r="R7" s="12">
        <v>1</v>
      </c>
      <c r="S7" s="12">
        <v>1</v>
      </c>
      <c r="T7" s="12">
        <v>1</v>
      </c>
      <c r="U7" s="12">
        <v>1</v>
      </c>
      <c r="V7" s="12">
        <v>1</v>
      </c>
      <c r="W7" s="12">
        <v>1</v>
      </c>
      <c r="X7" s="12">
        <v>1</v>
      </c>
      <c r="Y7" s="12">
        <v>1</v>
      </c>
      <c r="Z7" s="12">
        <v>1</v>
      </c>
      <c r="AA7" s="12">
        <v>1</v>
      </c>
      <c r="AB7" s="12">
        <v>1</v>
      </c>
      <c r="AC7" s="12">
        <v>1</v>
      </c>
      <c r="AD7" s="12">
        <v>1</v>
      </c>
      <c r="AE7" s="12">
        <v>1</v>
      </c>
      <c r="AF7" s="12">
        <v>1</v>
      </c>
      <c r="AG7" s="12">
        <v>1</v>
      </c>
      <c r="AH7" s="12">
        <v>1</v>
      </c>
      <c r="AI7" s="12">
        <v>1</v>
      </c>
      <c r="AJ7" s="12">
        <v>3</v>
      </c>
    </row>
    <row r="8" spans="1:191" hidden="1" x14ac:dyDescent="0.25">
      <c r="B8" s="12" t="s">
        <v>42</v>
      </c>
      <c r="C8" s="12" t="s">
        <v>43</v>
      </c>
      <c r="D8" s="12" t="s">
        <v>69</v>
      </c>
      <c r="E8" s="12" t="s">
        <v>44</v>
      </c>
      <c r="F8" s="12" t="s">
        <v>45</v>
      </c>
      <c r="G8" s="12" t="s">
        <v>71</v>
      </c>
      <c r="H8" s="12" t="s">
        <v>46</v>
      </c>
      <c r="K8" s="12" t="s">
        <v>52</v>
      </c>
      <c r="L8" s="12" t="s">
        <v>53</v>
      </c>
      <c r="M8" s="12" t="s">
        <v>48</v>
      </c>
      <c r="O8" s="12" t="s">
        <v>55</v>
      </c>
      <c r="Q8" s="12" t="s">
        <v>47</v>
      </c>
      <c r="T8" s="12" t="s">
        <v>82</v>
      </c>
      <c r="W8" s="12" t="s">
        <v>59</v>
      </c>
      <c r="X8" s="12" t="s">
        <v>60</v>
      </c>
      <c r="Y8" s="12" t="s">
        <v>61</v>
      </c>
      <c r="Z8" s="12" t="s">
        <v>62</v>
      </c>
      <c r="AA8" s="12" t="s">
        <v>73</v>
      </c>
      <c r="AB8" s="12" t="s">
        <v>63</v>
      </c>
      <c r="AD8" s="19" t="s">
        <v>64</v>
      </c>
      <c r="AF8" s="12" t="s">
        <v>65</v>
      </c>
      <c r="AG8" s="12" t="s">
        <v>66</v>
      </c>
      <c r="AH8" s="12" t="s">
        <v>56</v>
      </c>
      <c r="AI8" s="12" t="s">
        <v>57</v>
      </c>
      <c r="AO8" s="12" t="s">
        <v>58</v>
      </c>
      <c r="AP8" s="12" t="s">
        <v>62</v>
      </c>
      <c r="AQ8" s="12" t="s">
        <v>67</v>
      </c>
      <c r="AR8" s="12" t="s">
        <v>54</v>
      </c>
      <c r="AS8" s="12" t="s">
        <v>75</v>
      </c>
      <c r="AT8" s="12" t="s">
        <v>76</v>
      </c>
    </row>
    <row r="9" spans="1:191" s="1" customFormat="1" ht="32.25" customHeight="1" x14ac:dyDescent="0.25">
      <c r="B9" s="38" t="s">
        <v>0</v>
      </c>
      <c r="C9" s="39" t="s">
        <v>1</v>
      </c>
      <c r="D9" s="38" t="s">
        <v>5</v>
      </c>
      <c r="E9" s="38" t="s">
        <v>6</v>
      </c>
      <c r="F9" s="38" t="s">
        <v>7</v>
      </c>
      <c r="G9" s="40" t="s">
        <v>70</v>
      </c>
      <c r="H9" s="32" t="s">
        <v>9</v>
      </c>
      <c r="I9" s="33"/>
      <c r="J9" s="33"/>
      <c r="K9" s="33"/>
      <c r="L9" s="34"/>
      <c r="M9" s="61" t="s">
        <v>17</v>
      </c>
      <c r="N9" s="61"/>
      <c r="O9" s="61"/>
      <c r="P9" s="61"/>
      <c r="Q9" s="61"/>
      <c r="R9" s="61"/>
      <c r="S9" s="38" t="s">
        <v>21</v>
      </c>
      <c r="T9" s="40" t="s">
        <v>81</v>
      </c>
      <c r="U9" s="43" t="s">
        <v>22</v>
      </c>
      <c r="V9" s="44"/>
      <c r="W9" s="44"/>
      <c r="X9" s="44"/>
      <c r="Y9" s="44"/>
      <c r="Z9" s="44"/>
      <c r="AA9" s="45"/>
      <c r="AB9" s="62" t="s">
        <v>31</v>
      </c>
      <c r="AC9" s="62"/>
      <c r="AD9" s="62"/>
      <c r="AE9" s="62"/>
      <c r="AF9" s="63" t="s">
        <v>33</v>
      </c>
      <c r="AG9" s="64"/>
      <c r="AH9" s="67" t="s">
        <v>37</v>
      </c>
      <c r="AI9" s="49" t="s">
        <v>39</v>
      </c>
      <c r="AJ9" s="52" t="s">
        <v>38</v>
      </c>
    </row>
    <row r="10" spans="1:191" s="1" customFormat="1" ht="46.5" customHeight="1" x14ac:dyDescent="0.25">
      <c r="B10" s="38"/>
      <c r="C10" s="39"/>
      <c r="D10" s="38"/>
      <c r="E10" s="38"/>
      <c r="F10" s="38"/>
      <c r="G10" s="41"/>
      <c r="H10" s="35"/>
      <c r="I10" s="36"/>
      <c r="J10" s="36"/>
      <c r="K10" s="36"/>
      <c r="L10" s="37"/>
      <c r="M10" s="53" t="s">
        <v>18</v>
      </c>
      <c r="N10" s="54"/>
      <c r="O10" s="55"/>
      <c r="P10" s="53" t="s">
        <v>19</v>
      </c>
      <c r="Q10" s="54"/>
      <c r="R10" s="56" t="s">
        <v>20</v>
      </c>
      <c r="S10" s="38"/>
      <c r="T10" s="41"/>
      <c r="U10" s="46" t="s">
        <v>23</v>
      </c>
      <c r="V10" s="47"/>
      <c r="W10" s="47"/>
      <c r="X10" s="47"/>
      <c r="Y10" s="48"/>
      <c r="Z10" s="46" t="s">
        <v>24</v>
      </c>
      <c r="AA10" s="48"/>
      <c r="AB10" s="58" t="s">
        <v>30</v>
      </c>
      <c r="AC10" s="58"/>
      <c r="AD10" s="59" t="s">
        <v>32</v>
      </c>
      <c r="AE10" s="60"/>
      <c r="AF10" s="65"/>
      <c r="AG10" s="66"/>
      <c r="AH10" s="67"/>
      <c r="AI10" s="50"/>
      <c r="AJ10" s="52"/>
    </row>
    <row r="11" spans="1:191" s="1" customFormat="1" ht="162.75" customHeight="1" x14ac:dyDescent="0.25">
      <c r="B11" s="38"/>
      <c r="C11" s="39"/>
      <c r="D11" s="38"/>
      <c r="E11" s="38"/>
      <c r="F11" s="38"/>
      <c r="G11" s="42"/>
      <c r="H11" s="2" t="s">
        <v>8</v>
      </c>
      <c r="I11" s="2" t="s">
        <v>10</v>
      </c>
      <c r="J11" s="2" t="s">
        <v>74</v>
      </c>
      <c r="K11" s="2" t="s">
        <v>51</v>
      </c>
      <c r="L11" s="2" t="s">
        <v>11</v>
      </c>
      <c r="M11" s="3" t="s">
        <v>12</v>
      </c>
      <c r="N11" s="2" t="s">
        <v>13</v>
      </c>
      <c r="O11" s="4" t="s">
        <v>14</v>
      </c>
      <c r="P11" s="2" t="s">
        <v>15</v>
      </c>
      <c r="Q11" s="5" t="s">
        <v>16</v>
      </c>
      <c r="R11" s="57"/>
      <c r="S11" s="38"/>
      <c r="T11" s="42"/>
      <c r="U11" s="27" t="s">
        <v>80</v>
      </c>
      <c r="V11" s="27" t="s">
        <v>79</v>
      </c>
      <c r="W11" s="6" t="s">
        <v>25</v>
      </c>
      <c r="X11" s="6" t="s">
        <v>2</v>
      </c>
      <c r="Y11" s="6" t="s">
        <v>3</v>
      </c>
      <c r="Z11" s="6" t="s">
        <v>26</v>
      </c>
      <c r="AA11" s="6" t="s">
        <v>27</v>
      </c>
      <c r="AB11" s="7" t="s">
        <v>28</v>
      </c>
      <c r="AC11" s="7" t="s">
        <v>29</v>
      </c>
      <c r="AD11" s="6" t="s">
        <v>4</v>
      </c>
      <c r="AE11" s="6" t="s">
        <v>36</v>
      </c>
      <c r="AF11" s="8" t="s">
        <v>34</v>
      </c>
      <c r="AG11" s="8" t="s">
        <v>35</v>
      </c>
      <c r="AH11" s="67"/>
      <c r="AI11" s="51"/>
      <c r="AJ11" s="52"/>
      <c r="AO11" s="1" t="s">
        <v>50</v>
      </c>
      <c r="AP11" s="1" t="s">
        <v>49</v>
      </c>
      <c r="AQ11" s="1" t="s">
        <v>68</v>
      </c>
      <c r="AR11" s="1" t="s">
        <v>72</v>
      </c>
      <c r="AS11" s="1" t="s">
        <v>77</v>
      </c>
      <c r="AT11" s="1" t="s">
        <v>78</v>
      </c>
    </row>
    <row r="12" spans="1:191" s="11" customFormat="1" ht="12.75" customHeight="1" x14ac:dyDescent="0.2">
      <c r="B12" s="9"/>
      <c r="C12" s="9">
        <v>1</v>
      </c>
      <c r="D12" s="9">
        <v>2</v>
      </c>
      <c r="E12" s="9">
        <v>3</v>
      </c>
      <c r="F12" s="9">
        <v>4</v>
      </c>
      <c r="G12" s="9">
        <v>5</v>
      </c>
      <c r="H12" s="9">
        <v>6</v>
      </c>
      <c r="I12" s="9">
        <v>7</v>
      </c>
      <c r="J12" s="9">
        <v>8</v>
      </c>
      <c r="K12" s="9">
        <v>9</v>
      </c>
      <c r="L12" s="9">
        <v>10</v>
      </c>
      <c r="M12" s="9">
        <v>11</v>
      </c>
      <c r="N12" s="9">
        <v>12</v>
      </c>
      <c r="O12" s="9">
        <v>13</v>
      </c>
      <c r="P12" s="9">
        <v>14</v>
      </c>
      <c r="Q12" s="9">
        <v>15</v>
      </c>
      <c r="R12" s="9">
        <v>16</v>
      </c>
      <c r="S12" s="9">
        <v>17</v>
      </c>
      <c r="T12" s="9"/>
      <c r="U12" s="9">
        <v>18</v>
      </c>
      <c r="V12" s="9">
        <v>19</v>
      </c>
      <c r="W12" s="9">
        <v>20</v>
      </c>
      <c r="X12" s="9">
        <v>21</v>
      </c>
      <c r="Y12" s="9">
        <v>22</v>
      </c>
      <c r="Z12" s="9">
        <v>23</v>
      </c>
      <c r="AA12" s="9">
        <v>24</v>
      </c>
      <c r="AB12" s="9">
        <v>25</v>
      </c>
      <c r="AC12" s="9">
        <v>26</v>
      </c>
      <c r="AD12" s="9">
        <v>27</v>
      </c>
      <c r="AE12" s="9">
        <v>28</v>
      </c>
      <c r="AF12" s="9">
        <v>29</v>
      </c>
      <c r="AG12" s="9">
        <v>30</v>
      </c>
      <c r="AH12" s="9">
        <v>31</v>
      </c>
      <c r="AI12" s="9">
        <v>32</v>
      </c>
      <c r="AJ12" s="9">
        <v>33</v>
      </c>
      <c r="AK12" s="10"/>
      <c r="AL12" s="10"/>
      <c r="AM12" s="10"/>
      <c r="AN12" s="10"/>
      <c r="AO12" s="10"/>
      <c r="AP12" s="10"/>
      <c r="AQ12" s="10"/>
      <c r="AR12" s="10"/>
      <c r="AS12" s="10"/>
      <c r="AT12" s="10"/>
      <c r="AU12" s="10"/>
      <c r="AV12" s="10"/>
      <c r="AW12" s="10"/>
      <c r="AX12" s="10"/>
      <c r="AY12" s="10"/>
      <c r="AZ12" s="10"/>
      <c r="BA12" s="10"/>
      <c r="BB12" s="10"/>
      <c r="BC12" s="10"/>
      <c r="BD12" s="10"/>
      <c r="BE12" s="10"/>
      <c r="BF12" s="10"/>
      <c r="BG12" s="10"/>
      <c r="BH12" s="10"/>
      <c r="BI12" s="10"/>
      <c r="BJ12" s="10"/>
      <c r="BK12" s="10"/>
      <c r="BL12" s="10"/>
      <c r="BM12" s="10"/>
      <c r="BN12" s="10"/>
      <c r="BO12" s="10"/>
      <c r="BP12" s="10"/>
      <c r="BQ12" s="10"/>
      <c r="BR12" s="10"/>
      <c r="BS12" s="10"/>
      <c r="BT12" s="10"/>
      <c r="BU12" s="10"/>
      <c r="BV12" s="10"/>
      <c r="BW12" s="10"/>
      <c r="BX12" s="10"/>
      <c r="BY12" s="10"/>
      <c r="BZ12" s="10"/>
      <c r="CA12" s="10"/>
      <c r="CB12" s="10"/>
      <c r="CC12" s="10"/>
      <c r="CD12" s="10"/>
      <c r="CE12" s="10"/>
      <c r="CF12" s="10"/>
      <c r="CG12" s="10"/>
      <c r="CH12" s="10"/>
      <c r="CI12" s="10"/>
      <c r="CJ12" s="10"/>
      <c r="CK12" s="10"/>
      <c r="CL12" s="10"/>
      <c r="CM12" s="10"/>
      <c r="CN12" s="10"/>
      <c r="CO12" s="10"/>
      <c r="CP12" s="10"/>
      <c r="CQ12" s="10"/>
      <c r="CR12" s="10"/>
      <c r="CS12" s="10"/>
      <c r="CT12" s="10"/>
      <c r="CU12" s="10"/>
      <c r="CV12" s="10"/>
      <c r="CW12" s="10"/>
      <c r="CX12" s="10"/>
      <c r="CY12" s="10"/>
      <c r="CZ12" s="10"/>
      <c r="DA12" s="10"/>
      <c r="DB12" s="10"/>
      <c r="DC12" s="10"/>
      <c r="DD12" s="10"/>
      <c r="DE12" s="10"/>
      <c r="DF12" s="10"/>
      <c r="DG12" s="10"/>
      <c r="DH12" s="10"/>
      <c r="DI12" s="10"/>
      <c r="DJ12" s="10"/>
      <c r="DK12" s="10"/>
      <c r="DL12" s="10"/>
      <c r="DM12" s="10"/>
      <c r="DN12" s="10"/>
      <c r="DO12" s="10"/>
      <c r="DP12" s="10"/>
      <c r="DQ12" s="10"/>
      <c r="DR12" s="10"/>
      <c r="DS12" s="10"/>
      <c r="DT12" s="10"/>
      <c r="DU12" s="10"/>
      <c r="DV12" s="10"/>
      <c r="DW12" s="10"/>
      <c r="DX12" s="10"/>
      <c r="DY12" s="10"/>
      <c r="DZ12" s="10"/>
      <c r="EA12" s="10"/>
      <c r="EB12" s="10"/>
      <c r="EC12" s="10"/>
      <c r="ED12" s="10"/>
      <c r="EE12" s="10"/>
      <c r="EF12" s="10"/>
      <c r="EG12" s="10"/>
      <c r="EH12" s="10"/>
      <c r="EI12" s="10"/>
      <c r="EJ12" s="10"/>
      <c r="EK12" s="10"/>
      <c r="EL12" s="10"/>
      <c r="EM12" s="10"/>
      <c r="EN12" s="10"/>
      <c r="EO12" s="10"/>
      <c r="EP12" s="10"/>
      <c r="EQ12" s="10"/>
      <c r="ER12" s="10"/>
      <c r="ES12" s="10"/>
      <c r="ET12" s="10"/>
      <c r="EU12" s="10"/>
      <c r="EV12" s="10"/>
      <c r="EW12" s="10"/>
      <c r="EX12" s="10"/>
      <c r="EY12" s="10"/>
      <c r="EZ12" s="10"/>
      <c r="FA12" s="10"/>
      <c r="FB12" s="10"/>
      <c r="FC12" s="10"/>
      <c r="FD12" s="10"/>
      <c r="FE12" s="10"/>
      <c r="FF12" s="10"/>
      <c r="FG12" s="10"/>
      <c r="FH12" s="10"/>
      <c r="FI12" s="10"/>
      <c r="FJ12" s="10"/>
      <c r="FK12" s="10"/>
      <c r="FL12" s="10"/>
      <c r="FM12" s="10"/>
      <c r="FN12" s="10"/>
      <c r="FO12" s="10"/>
      <c r="FP12" s="10"/>
      <c r="FQ12" s="10"/>
      <c r="FR12" s="10"/>
      <c r="FS12" s="10"/>
      <c r="FT12" s="10"/>
      <c r="FU12" s="10"/>
      <c r="FV12" s="10"/>
      <c r="FW12" s="10"/>
      <c r="FX12" s="10"/>
      <c r="FY12" s="10"/>
      <c r="FZ12" s="10"/>
      <c r="GA12" s="10"/>
      <c r="GB12" s="10"/>
      <c r="GC12" s="10"/>
      <c r="GD12" s="10"/>
      <c r="GE12" s="10"/>
      <c r="GF12" s="10"/>
      <c r="GG12" s="10"/>
      <c r="GH12" s="10"/>
      <c r="GI12" s="10"/>
    </row>
    <row r="13" spans="1:191" x14ac:dyDescent="0.25">
      <c r="B13" s="20"/>
      <c r="C13" s="21"/>
      <c r="D13" s="21"/>
      <c r="E13" s="21"/>
      <c r="F13" s="22"/>
      <c r="G13" s="22"/>
      <c r="H13" s="25"/>
      <c r="I13" s="25"/>
      <c r="J13" s="25">
        <f>AS13+AT13</f>
        <v>0</v>
      </c>
      <c r="K13" s="25"/>
      <c r="L13" s="25"/>
      <c r="M13" s="25"/>
      <c r="N13" s="25">
        <f>AR13-M13</f>
        <v>0</v>
      </c>
      <c r="O13" s="25"/>
      <c r="P13" s="25">
        <f>AQ13-Q13</f>
        <v>0</v>
      </c>
      <c r="Q13" s="25"/>
      <c r="R13" s="25">
        <f>SUM(M13:Q13)</f>
        <v>0</v>
      </c>
      <c r="S13" s="25">
        <f>AO13+AP13+SUM(H13:L13)</f>
        <v>0</v>
      </c>
      <c r="T13" s="25"/>
      <c r="U13" s="25">
        <f>W13-V13</f>
        <v>0</v>
      </c>
      <c r="V13" s="25"/>
      <c r="W13" s="25"/>
      <c r="X13" s="25"/>
      <c r="Y13" s="25"/>
      <c r="Z13" s="25">
        <f>AP13</f>
        <v>0</v>
      </c>
      <c r="AA13" s="25"/>
      <c r="AB13" s="25"/>
      <c r="AC13" s="25"/>
      <c r="AD13" s="25"/>
      <c r="AE13" s="25"/>
      <c r="AF13" s="25"/>
      <c r="AG13" s="25"/>
      <c r="AH13" s="23"/>
      <c r="AI13" s="23"/>
      <c r="AJ13" s="24"/>
    </row>
    <row r="14" spans="1:191" x14ac:dyDescent="0.25">
      <c r="H14" s="26"/>
      <c r="I14" s="26"/>
      <c r="J14" s="26"/>
      <c r="K14" s="26"/>
      <c r="L14" s="26"/>
      <c r="M14" s="26"/>
      <c r="N14" s="26"/>
      <c r="O14" s="26"/>
      <c r="P14" s="26"/>
      <c r="Q14" s="26"/>
      <c r="R14" s="26"/>
      <c r="S14" s="26"/>
      <c r="T14" s="26"/>
      <c r="U14" s="26"/>
      <c r="V14" s="26"/>
      <c r="W14" s="26"/>
      <c r="X14" s="26"/>
      <c r="Y14" s="26"/>
      <c r="Z14" s="26"/>
      <c r="AA14" s="26"/>
      <c r="AB14" s="26"/>
      <c r="AC14" s="26"/>
      <c r="AD14" s="26"/>
      <c r="AE14" s="26"/>
      <c r="AF14" s="26"/>
      <c r="AG14" s="26"/>
    </row>
    <row r="15" spans="1:191" x14ac:dyDescent="0.25">
      <c r="H15" s="26"/>
      <c r="I15" s="26"/>
      <c r="J15" s="26"/>
      <c r="K15" s="26"/>
      <c r="L15" s="26"/>
      <c r="M15" s="26"/>
      <c r="N15" s="26"/>
      <c r="O15" s="26"/>
      <c r="P15" s="26"/>
      <c r="Q15" s="26"/>
      <c r="R15" s="26"/>
      <c r="S15" s="26"/>
      <c r="T15" s="26"/>
      <c r="U15" s="26"/>
      <c r="V15" s="26"/>
      <c r="W15" s="26"/>
      <c r="X15" s="26"/>
      <c r="Y15" s="26"/>
      <c r="Z15" s="26"/>
      <c r="AA15" s="26"/>
      <c r="AB15" s="26"/>
      <c r="AC15" s="26"/>
      <c r="AD15" s="26"/>
      <c r="AE15" s="26"/>
      <c r="AF15" s="26"/>
      <c r="AG15" s="26"/>
    </row>
  </sheetData>
  <autoFilter ref="A12:GI12" xr:uid="{9A340A96-A83E-422F-B012-66AC17F57166}"/>
  <mergeCells count="27">
    <mergeCell ref="AI9:AI11"/>
    <mergeCell ref="AJ9:AJ11"/>
    <mergeCell ref="M10:O10"/>
    <mergeCell ref="P10:Q10"/>
    <mergeCell ref="R10:R11"/>
    <mergeCell ref="Z10:AA10"/>
    <mergeCell ref="AB10:AC10"/>
    <mergeCell ref="AD10:AE10"/>
    <mergeCell ref="M9:R9"/>
    <mergeCell ref="S9:S11"/>
    <mergeCell ref="AB9:AE9"/>
    <mergeCell ref="AF9:AG10"/>
    <mergeCell ref="AH9:AH11"/>
    <mergeCell ref="B3:X3"/>
    <mergeCell ref="B4:X4"/>
    <mergeCell ref="B5:X5"/>
    <mergeCell ref="B6:X6"/>
    <mergeCell ref="H9:L10"/>
    <mergeCell ref="B9:B11"/>
    <mergeCell ref="C9:C11"/>
    <mergeCell ref="D9:D11"/>
    <mergeCell ref="E9:E11"/>
    <mergeCell ref="F9:F11"/>
    <mergeCell ref="G9:G11"/>
    <mergeCell ref="U9:AA9"/>
    <mergeCell ref="U10:Y10"/>
    <mergeCell ref="T9:T11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2020-02-17T10:51:24Z</dcterms:created>
  <dcterms:modified xsi:type="dcterms:W3CDTF">2020-05-07T10:38:47Z</dcterms:modified>
</cp:coreProperties>
</file>