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D:\SourceCodeHR\GWFNV\SmartBooks.HumanResource\bin\x86\Debug\Teamleate\"/>
    </mc:Choice>
  </mc:AlternateContent>
  <xr:revisionPtr revIDLastSave="0" documentId="13_ncr:1_{338C0877-0F96-4FEC-A6CE-2B4F7AD68B19}" xr6:coauthVersionLast="47" xr6:coauthVersionMax="47" xr10:uidLastSave="{00000000-0000-0000-0000-000000000000}"/>
  <bookViews>
    <workbookView xWindow="20370" yWindow="-120" windowWidth="29040" windowHeight="15840" xr2:uid="{00000000-000D-0000-FFFF-FFFF00000000}"/>
  </bookViews>
  <sheets>
    <sheet name="Sheet1" sheetId="1" r:id="rId1"/>
  </sheets>
  <definedNames>
    <definedName name="_xlnm._FilterDatabase" localSheetId="0" hidden="1">Sheet1!$A$14:$EJ$14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CZ15" i="1" l="1"/>
  <c r="AD15" i="1" l="1"/>
  <c r="AP15" i="1"/>
  <c r="W15" i="1"/>
  <c r="X15" i="1"/>
  <c r="F14" i="1"/>
  <c r="G14" i="1" s="1"/>
  <c r="H14" i="1" s="1"/>
  <c r="I14" i="1" s="1"/>
  <c r="J14" i="1" s="1"/>
  <c r="K14" i="1" s="1"/>
  <c r="L14" i="1" s="1"/>
  <c r="M14" i="1" s="1"/>
  <c r="N14" i="1" s="1"/>
  <c r="O14" i="1" s="1"/>
  <c r="P14" i="1" s="1"/>
  <c r="Q14" i="1" s="1"/>
  <c r="R14" i="1" s="1"/>
  <c r="S14" i="1" s="1"/>
  <c r="T14" i="1" s="1"/>
  <c r="U14" i="1" s="1"/>
  <c r="V14" i="1" s="1"/>
  <c r="W14" i="1" s="1"/>
  <c r="X14" i="1" s="1"/>
  <c r="Y14" i="1" s="1"/>
  <c r="Z14" i="1" s="1"/>
  <c r="AA14" i="1" s="1"/>
  <c r="AB14" i="1" s="1"/>
  <c r="AC14" i="1" s="1"/>
  <c r="AD14" i="1" s="1"/>
  <c r="AE14" i="1" s="1"/>
  <c r="AF14" i="1" s="1"/>
  <c r="AG14" i="1" s="1"/>
  <c r="AH14" i="1" s="1"/>
  <c r="AI14" i="1" s="1"/>
  <c r="AJ14" i="1" s="1"/>
  <c r="AK14" i="1" s="1"/>
  <c r="AL14" i="1" s="1"/>
  <c r="AM14" i="1" s="1"/>
  <c r="AN14" i="1" s="1"/>
  <c r="AO14" i="1" s="1"/>
  <c r="AP14" i="1" s="1"/>
  <c r="AQ14" i="1" s="1"/>
  <c r="AR14" i="1" s="1"/>
  <c r="AS14" i="1" s="1"/>
  <c r="AT14" i="1" s="1"/>
  <c r="AU14" i="1" s="1"/>
  <c r="AV14" i="1" s="1"/>
  <c r="AW14" i="1" s="1"/>
  <c r="AX14" i="1" s="1"/>
  <c r="AY14" i="1" s="1"/>
  <c r="AZ14" i="1" s="1"/>
  <c r="BA14" i="1" s="1"/>
  <c r="BB14" i="1" s="1"/>
  <c r="BC14" i="1" s="1"/>
  <c r="BD14" i="1" s="1"/>
  <c r="BE14" i="1" s="1"/>
  <c r="BF14" i="1" s="1"/>
  <c r="BG14" i="1" s="1"/>
  <c r="BH14" i="1" s="1"/>
  <c r="BI14" i="1" s="1"/>
  <c r="BJ14" i="1" s="1"/>
  <c r="BK14" i="1" s="1"/>
  <c r="BL14" i="1" s="1"/>
  <c r="BM14" i="1" s="1"/>
  <c r="BN14" i="1" s="1"/>
  <c r="BO14" i="1" s="1"/>
  <c r="BP14" i="1" s="1"/>
  <c r="BQ14" i="1" s="1"/>
  <c r="BR14" i="1" s="1"/>
  <c r="BS14" i="1" s="1"/>
  <c r="BT14" i="1" s="1"/>
  <c r="M15" i="1"/>
  <c r="L15" i="1"/>
  <c r="T15" i="1"/>
  <c r="Q15" i="1"/>
  <c r="S15" i="1"/>
  <c r="P15" i="1"/>
  <c r="N15" i="1"/>
  <c r="AF15" i="1" l="1"/>
  <c r="Z15" i="1" l="1"/>
  <c r="EF15" i="1" l="1"/>
  <c r="EG15" i="1" l="1"/>
  <c r="EH15" i="1"/>
  <c r="Y15" i="1" l="1"/>
  <c r="R15" i="1" l="1"/>
  <c r="U15" i="1" l="1"/>
  <c r="AE15" i="1"/>
  <c r="O15" i="1"/>
  <c r="AV15" i="1" l="1"/>
  <c r="AU15" i="1"/>
  <c r="AT15" i="1"/>
  <c r="AS15" i="1" l="1"/>
  <c r="BN15" i="1"/>
  <c r="BM15" i="1"/>
  <c r="BL15" i="1"/>
  <c r="AW15" i="1" l="1"/>
  <c r="BO15" i="1" s="1"/>
  <c r="BK15" i="1"/>
  <c r="K15" i="1"/>
  <c r="AC15" i="1"/>
  <c r="AB15" i="1"/>
  <c r="AA15" i="1"/>
  <c r="AJ15" i="1" l="1"/>
  <c r="AI15" i="1"/>
  <c r="AH15" i="1"/>
  <c r="AY15" i="1"/>
  <c r="J15" i="1"/>
  <c r="BB15" i="1"/>
  <c r="AG15" i="1" l="1"/>
  <c r="AQ15" i="1" s="1"/>
  <c r="AK15" i="1" l="1"/>
  <c r="AR15" i="1" l="1"/>
  <c r="BD15" i="1" s="1"/>
  <c r="BE15" i="1" s="1"/>
  <c r="BF15" i="1" s="1"/>
  <c r="BG15" i="1" l="1"/>
  <c r="EE15" i="1"/>
  <c r="BJ15" i="1" l="1"/>
  <c r="BI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MrsTINH</author>
    <author>Pham Quoc Nam</author>
  </authors>
  <commentList>
    <comment ref="AM11" authorId="0" shapeId="0" xr:uid="{00000000-0006-0000-0000-000001000000}">
      <text>
        <r>
          <rPr>
            <b/>
            <sz val="9"/>
            <color indexed="81"/>
            <rFont val="Tahoma"/>
            <family val="2"/>
          </rPr>
          <t>MrsTINH:</t>
        </r>
        <r>
          <rPr>
            <sz val="9"/>
            <color indexed="81"/>
            <rFont val="Tahoma"/>
            <family val="2"/>
          </rPr>
          <t xml:space="preserve">
siêu âm bụng, trước khi ký HĐLĐ</t>
        </r>
      </text>
    </comment>
    <comment ref="AI12" authorId="1" shapeId="0" xr:uid="{00000000-0006-0000-0000-000002000000}">
      <text>
        <r>
          <rPr>
            <b/>
            <sz val="8"/>
            <color indexed="81"/>
            <rFont val="Tahoma"/>
            <family val="2"/>
          </rPr>
          <t>Theo TT 84.2008.BTC 
III, khoản 9.1</t>
        </r>
        <r>
          <rPr>
            <sz val="8"/>
            <color indexed="81"/>
            <rFont val="Tahoma"/>
            <family val="2"/>
          </rPr>
          <t xml:space="preserve">
Phần tiền lương, tiền công trả cao hơn do phải làm việc ban đêm, làm thêm giờ được miễn thuế căn cứ vào tiền lương, tiền công thực trả do phải làm đêm, thêm giờ trừ đi mức tiền lương, tiền công tính theo ngày làm việc bình thường.</t>
        </r>
      </text>
    </comment>
  </commentList>
</comments>
</file>

<file path=xl/sharedStrings.xml><?xml version="1.0" encoding="utf-8"?>
<sst xmlns="http://schemas.openxmlformats.org/spreadsheetml/2006/main" count="430" uniqueCount="319">
  <si>
    <t>No.
STT</t>
  </si>
  <si>
    <t>Contract</t>
  </si>
  <si>
    <t>SO HS</t>
  </si>
  <si>
    <t>Employment Code
 Mã số NV</t>
  </si>
  <si>
    <t>Full Name
Họ &amp; Tên</t>
  </si>
  <si>
    <t>Dept
Bộ phận</t>
  </si>
  <si>
    <t>Start in work
Ngày vào làm</t>
  </si>
  <si>
    <t>Total salary
Tổng lương</t>
  </si>
  <si>
    <t>Basic Salary for Paying Social Insurance
Lương CB nộp BHXH</t>
  </si>
  <si>
    <t>Basic Salary
For 1 month
 Lương CB</t>
  </si>
  <si>
    <t xml:space="preserve">Salary of trial work
Lương thử việc </t>
  </si>
  <si>
    <t>Trial Allowance</t>
  </si>
  <si>
    <t>Các khoản phụ cấp/Allowances</t>
  </si>
  <si>
    <t>Trial Working
Days
Ngày công thử việc</t>
  </si>
  <si>
    <t>Working
Days
Ngày công hợp đồng</t>
  </si>
  <si>
    <t>Overtime Hours
Số giờ tăng ca</t>
  </si>
  <si>
    <t>Salary of
Working Day
Lương Ngày Công</t>
  </si>
  <si>
    <t>Real house+reward
Phụ cấp đi lại, nhà ở được nhận</t>
  </si>
  <si>
    <t>Real attendance
Phụ cấp chuyên cần được nhận</t>
  </si>
  <si>
    <t>Allowance 
Received
Phụ cấp 
được nhận
(27+28+18+17+15+14)</t>
  </si>
  <si>
    <t>Overtime
Tăng ca</t>
  </si>
  <si>
    <t>Total Overtime/ Tổng tiền tăng ca</t>
  </si>
  <si>
    <t xml:space="preserve">Personal Bonus/ Vượt năng suất cá nhân
</t>
  </si>
  <si>
    <t>Return / Hoàn trả</t>
  </si>
  <si>
    <t>Leave insurance salary
Tiền nghỉ hưởng BHXH</t>
  </si>
  <si>
    <t xml:space="preserve">Attendance
Trừ chuyên cần
</t>
  </si>
  <si>
    <t>Gross Salary
Tổng Thu nhập
(26+29+30+31+33+34+35)</t>
  </si>
  <si>
    <t>Tax income
TN Chiu Thue
(37-35-31-14)</t>
  </si>
  <si>
    <t>Deduction
Khấu trừ</t>
  </si>
  <si>
    <t>Deduct family
Giảm trừ gia cảnh</t>
  </si>
  <si>
    <t>Other-non-taxable
Khác</t>
  </si>
  <si>
    <t xml:space="preserve">
Gross to Calculate PIT
Thu nhap tinh thue PIT
(40-47-48-50-51)</t>
  </si>
  <si>
    <t>Income tax
Trừ thuế thu nhập</t>
  </si>
  <si>
    <t>Total 
Net
Salary
Tổng lương thực
(37-45-51)</t>
  </si>
  <si>
    <t>REAL PAYMENT
Thực lãnh</t>
  </si>
  <si>
    <t>Salary advance
/Ứng trước</t>
  </si>
  <si>
    <t>Rest payment/ Còn lại 
(53-54)</t>
  </si>
  <si>
    <t>TOTAL Net salary +insurance 
(53+55)</t>
  </si>
  <si>
    <t>Bảo hiểm xã hội đưa vào chi phí 17%
Social insurance</t>
  </si>
  <si>
    <t xml:space="preserve">Bảo hiểm y tế đưa vào chi phí (3%)
Health Insurance
</t>
  </si>
  <si>
    <t xml:space="preserve">Bảo hiểm thất nghiệp đưa Vào chi phí (0%)
Unemployment insurance
</t>
  </si>
  <si>
    <t>Union
Kinh phí công đoàn (2%)</t>
  </si>
  <si>
    <t>YP
Phép năm tồn đầu</t>
  </si>
  <si>
    <t>Using
Phép năm phát sinh</t>
  </si>
  <si>
    <t>Rest
Phép năm còn lại</t>
  </si>
  <si>
    <t>Loại Hợp đồng</t>
  </si>
  <si>
    <t>House
Trợ cấp  nhà</t>
  </si>
  <si>
    <t xml:space="preserve">Transportation
Trợ cấp đi lại  
</t>
  </si>
  <si>
    <t>Transportation
Trợ cấp đi lại</t>
  </si>
  <si>
    <t>Telephone (Seniority) 
Trợ cấp điện thoại/ Thâm niên</t>
  </si>
  <si>
    <t xml:space="preserve"> Position
Trợ cấp chức vụ</t>
  </si>
  <si>
    <t>Attendance
Phụ cấp chuyên cần</t>
  </si>
  <si>
    <t>Language 
Trợ cấp ngôn ngữ</t>
  </si>
  <si>
    <t>Other 
Allowance
Phụ cấp ABC</t>
  </si>
  <si>
    <t>Normal 150%
Thường</t>
  </si>
  <si>
    <t>Sunday 200%
CN</t>
  </si>
  <si>
    <t>Night 210%
Đêm thường</t>
  </si>
  <si>
    <t>Sunday Night 270%
Đêm</t>
  </si>
  <si>
    <t>Taxable Overtime salary 
Phần lương tăng ca được tính thuế</t>
  </si>
  <si>
    <t>Non-Taxable Overtime salary 
Phần lương tăng ca được miễn thuế</t>
  </si>
  <si>
    <t xml:space="preserve">Social - Health - Unempl Ins 
BHXH, BHYT, BHTN (10.5%). </t>
  </si>
  <si>
    <t>Social Ins (8%). 
BHXH</t>
  </si>
  <si>
    <t>Health Ins (1.5%). 
BHYT</t>
  </si>
  <si>
    <t>Unempl. (1%).
BHTN</t>
  </si>
  <si>
    <t>Trade Union Fee
Phí công đoàn</t>
  </si>
  <si>
    <t>Others/ Trừ khác</t>
  </si>
  <si>
    <t>Sub-total
Tổng
khấu trừ
(39+43+44)</t>
  </si>
  <si>
    <t>Self-deduction
Đối tượng nộp thuế</t>
  </si>
  <si>
    <t>Number dependant
Số người phụ thuộc</t>
  </si>
  <si>
    <t>Dependant
Số tiền giảm trừ người PT</t>
  </si>
  <si>
    <t>Ngày phép năm sử dụng</t>
  </si>
  <si>
    <t>key</t>
  </si>
  <si>
    <t>Salary_Month</t>
  </si>
  <si>
    <t>Salary_Year</t>
  </si>
  <si>
    <t>SalaryKey</t>
  </si>
  <si>
    <t>ctv_wt1</t>
  </si>
  <si>
    <t>ctv_wt3</t>
  </si>
  <si>
    <t>ctv_wt5</t>
  </si>
  <si>
    <t>ctv_wt4</t>
  </si>
  <si>
    <t>ctv_wt6</t>
  </si>
  <si>
    <t>ctv_wt7</t>
  </si>
  <si>
    <t>ctv_wt8</t>
  </si>
  <si>
    <t>ctv_wt9</t>
  </si>
  <si>
    <t>ptv_PhepHuongLuong</t>
  </si>
  <si>
    <t>ptv_NghiLe</t>
  </si>
  <si>
    <t>ptv_PhepNam</t>
  </si>
  <si>
    <t>ptv_NgungViec</t>
  </si>
  <si>
    <t>PhepNamConLai</t>
  </si>
  <si>
    <t>NgayCongTieuChuan</t>
  </si>
  <si>
    <t>SocialInsurance</t>
  </si>
  <si>
    <t>UnemploymentInsurance</t>
  </si>
  <si>
    <t>HealthInsurance</t>
  </si>
  <si>
    <t>UnionFee</t>
  </si>
  <si>
    <t>PHÉP</t>
  </si>
  <si>
    <t>Phép năm còn lại</t>
  </si>
  <si>
    <t>Ngày công tiêu chuẩn</t>
  </si>
  <si>
    <t>Đăng ký đóng / không đóng BHXH</t>
  </si>
  <si>
    <t>Đăng ký đóng / không đóng BHTN</t>
  </si>
  <si>
    <t>Đăng ký đóng / không đóng Y TẾ</t>
  </si>
  <si>
    <t>Đăng ký đóng / không đóng CÔNG ĐOÀN</t>
  </si>
  <si>
    <t>Giờ hành chính</t>
  </si>
  <si>
    <t>Normal OT 150%</t>
  </si>
  <si>
    <t>Sun work 200%</t>
  </si>
  <si>
    <t>Night Sun 270%</t>
  </si>
  <si>
    <t>Hol. work 300%</t>
  </si>
  <si>
    <t>Night Hol 390%</t>
  </si>
  <si>
    <t>Night work 130%</t>
  </si>
  <si>
    <t>TC bình thường</t>
  </si>
  <si>
    <t>Tăng ca đêm</t>
  </si>
  <si>
    <t>TC chủ nhật</t>
  </si>
  <si>
    <t>TC đêm chủ nhật</t>
  </si>
  <si>
    <t>TC ngày lễ</t>
  </si>
  <si>
    <t>TC đêm ngày lễ</t>
  </si>
  <si>
    <t>TC đêm</t>
  </si>
  <si>
    <t>Phép nghỉ hưởng lương</t>
  </si>
  <si>
    <t>Nghỉ lễ</t>
  </si>
  <si>
    <t>Phép năm</t>
  </si>
  <si>
    <t>Nghỉ ngừng việc</t>
  </si>
  <si>
    <t>No</t>
  </si>
  <si>
    <t>Employee_ID</t>
  </si>
  <si>
    <t>FullName</t>
  </si>
  <si>
    <t>StartedDate</t>
  </si>
  <si>
    <t>s1</t>
  </si>
  <si>
    <t>CD1</t>
  </si>
  <si>
    <t>Lương cũ trong kỳ (nếu có)</t>
  </si>
  <si>
    <t xml:space="preserve">Transportation
Trợ cấp đi lại  
</t>
  </si>
  <si>
    <t>Telephone
Trợ cấp điện thoại</t>
  </si>
  <si>
    <t>OldCD1</t>
  </si>
  <si>
    <t>OldCD2</t>
  </si>
  <si>
    <t>CD2</t>
  </si>
  <si>
    <t>OldCD3</t>
  </si>
  <si>
    <t>CD3</t>
  </si>
  <si>
    <t>OldCD4</t>
  </si>
  <si>
    <t>CD4</t>
  </si>
  <si>
    <t>OldCD6</t>
  </si>
  <si>
    <t>CD6</t>
  </si>
  <si>
    <t>NgayDauKyLuong</t>
  </si>
  <si>
    <t>NgayCuoiKyLuong</t>
  </si>
  <si>
    <t>Đầu kỳ lương</t>
  </si>
  <si>
    <t>Cuối kỳ lương</t>
  </si>
  <si>
    <t>NgayKyHD</t>
  </si>
  <si>
    <t>Ngày ký HĐ chính thức</t>
  </si>
  <si>
    <t>Night OT 210%</t>
  </si>
  <si>
    <t>CD5</t>
  </si>
  <si>
    <t>HT3</t>
  </si>
  <si>
    <t>HT1</t>
  </si>
  <si>
    <t>thamnien</t>
  </si>
  <si>
    <t>Thâm niên</t>
  </si>
  <si>
    <t>OldCD5</t>
  </si>
  <si>
    <t>SoNgayCongCu</t>
  </si>
  <si>
    <t>Số ngày công trước đổi lương</t>
  </si>
  <si>
    <t>Công lương cũ</t>
  </si>
  <si>
    <t>Lương cũ Overtime/ Giờ tăng ca</t>
  </si>
  <si>
    <t>cct_wt1</t>
  </si>
  <si>
    <t>cct_wt3</t>
  </si>
  <si>
    <t>cct_wt5</t>
  </si>
  <si>
    <t>cct_wt4</t>
  </si>
  <si>
    <t>cct_wt6</t>
  </si>
  <si>
    <t>cct_wt7</t>
  </si>
  <si>
    <t>cct_wt8</t>
  </si>
  <si>
    <t>cct_wt9</t>
  </si>
  <si>
    <t>pct_PhepHuongLuong</t>
  </si>
  <si>
    <t>pct_NghiLe</t>
  </si>
  <si>
    <t>pct_PhepNam</t>
  </si>
  <si>
    <t>pct_NgungViec</t>
  </si>
  <si>
    <t>Phép lương cũ</t>
  </si>
  <si>
    <t>CD7</t>
  </si>
  <si>
    <t>OldCD7</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</si>
  <si>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</si>
  <si>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</si>
  <si>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</si>
  <si>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</si>
  <si>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</si>
  <si>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</si>
  <si>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</si>
  <si>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</si>
  <si>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</si>
  <si>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</si>
  <si>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</si>
  <si>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</si>
  <si>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</si>
  <si>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</si>
  <si>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</si>
  <si>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</si>
  <si>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</si>
  <si>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</si>
  <si>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</si>
  <si>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</si>
  <si>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</si>
  <si>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</si>
  <si>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</si>
  <si>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</si>
  <si>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</si>
  <si>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</si>
  <si>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</si>
  <si>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</si>
  <si>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</si>
  <si>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</si>
  <si>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</si>
  <si>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</si>
  <si>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</si>
  <si>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</si>
  <si>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</si>
  <si>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</si>
  <si>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</si>
  <si>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</si>
  <si>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</si>
  <si>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</si>
  <si>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</si>
  <si>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</si>
  <si>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</si>
  <si>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</si>
  <si>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</si>
  <si>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</si>
  <si>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</si>
  <si>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</si>
  <si>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</si>
  <si>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</si>
  <si>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</si>
  <si>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</si>
  <si>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</si>
  <si>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</si>
  <si>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</si>
  <si>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</si>
  <si>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</si>
  <si>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</si>
  <si>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</si>
  <si>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</si>
  <si>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CongBH</t>
  </si>
  <si>
    <t>Số ngày công tham gia bảo hiểm</t>
  </si>
  <si>
    <t>DependentPerson</t>
  </si>
  <si>
    <t xml:space="preserve">Social, Health, Unemployment insurance
BHXH, BHYT,BHTN đưa vào chi phí 21%
</t>
  </si>
  <si>
    <t>Ngày tham gia công đoàn</t>
  </si>
  <si>
    <t>NgayTGCongDoan</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</si>
  <si>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</si>
  <si>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</si>
  <si>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</si>
  <si>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</si>
  <si>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</si>
  <si>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</si>
  <si>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</si>
  <si>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</si>
  <si>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</si>
  <si>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</si>
  <si>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</si>
  <si>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</si>
  <si>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</si>
  <si>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</si>
  <si>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</si>
  <si>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</si>
  <si>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</si>
  <si>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</si>
  <si>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</si>
  <si>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</si>
  <si>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</si>
  <si>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</si>
  <si>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</si>
  <si>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</si>
  <si>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</si>
  <si>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</si>
  <si>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</si>
  <si>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</si>
  <si>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</si>
  <si>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</si>
  <si>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</si>
  <si>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</si>
  <si>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</si>
  <si>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</si>
  <si>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</si>
  <si>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</si>
  <si>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</si>
  <si>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</si>
  <si>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</si>
  <si>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</si>
  <si>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</si>
  <si>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ShortPositionName</t>
  </si>
  <si>
    <t>Lương hiện tại</t>
  </si>
  <si>
    <t>Phép lương hiện tại</t>
  </si>
  <si>
    <t>Lương hiện tại Overtime/ Giờ tăng ca</t>
  </si>
  <si>
    <t>Công lương hiện tại</t>
  </si>
  <si>
    <t xml:space="preserve"> Tiền xăng ABC</t>
  </si>
  <si>
    <t>HT4</t>
  </si>
  <si>
    <t>s103</t>
  </si>
  <si>
    <t>Normal OT 150%
KH</t>
  </si>
  <si>
    <t>TC bình thường
KH</t>
  </si>
  <si>
    <t>ctv_wt3_KH</t>
  </si>
  <si>
    <t>cct_wt3_KH</t>
  </si>
  <si>
    <t>s104</t>
  </si>
  <si>
    <t>s105</t>
  </si>
  <si>
    <t>HT2</t>
  </si>
  <si>
    <t xml:space="preserve">Thu nhập tính thuế có thể âm </t>
  </si>
  <si>
    <t>TNTinhThueCoTheAm</t>
  </si>
  <si>
    <t>GS</t>
  </si>
  <si>
    <t>Area
Khu vực</t>
  </si>
  <si>
    <t>sectionGroup</t>
  </si>
  <si>
    <t>Language 
Trợ cấp ngôn ngữ
(Tối đa)</t>
  </si>
  <si>
    <t>Telephone (Seniority) 
Trợ cấp điện thoại/ Thâm niên
(Tối đa)</t>
  </si>
  <si>
    <t xml:space="preserve"> Position
Trợ cấp chức vụ
(Tối đa)</t>
  </si>
  <si>
    <t>Bonus</t>
  </si>
  <si>
    <t>HT5</t>
  </si>
  <si>
    <t>Factory_ID</t>
  </si>
  <si>
    <t>Khu vực</t>
  </si>
  <si>
    <t>Không tham gia công đoàn</t>
  </si>
  <si>
    <t>KhongThamGiaCongDoan</t>
  </si>
  <si>
    <t>Tiền CC tối đa</t>
  </si>
  <si>
    <t>Tiền trừ chuyên cần lương cũ</t>
  </si>
  <si>
    <t>Tiền trừ chuyên cần lương mới</t>
  </si>
  <si>
    <t>TruPCChuyenCanCT</t>
  </si>
  <si>
    <t>TruPCChuyenCanTV</t>
  </si>
  <si>
    <t/>
  </si>
  <si>
    <t>HT6</t>
  </si>
  <si>
    <t>s106</t>
  </si>
  <si>
    <t>HT7</t>
  </si>
  <si>
    <t>Children Allowance / Con nhỏ</t>
  </si>
  <si>
    <t>NgayDoiLuong</t>
  </si>
  <si>
    <t>Ngày đổi lương</t>
  </si>
  <si>
    <t>PhepNamTonDauDauThang</t>
  </si>
  <si>
    <t>PhepNamNghiTrongThang</t>
  </si>
  <si>
    <t>PhepNamPhatSinh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</si>
</sst>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 #,##0_-;_-* &quot;-&quot;_-;_-@_-"/>
    <numFmt numFmtId="165" formatCode="_-* #,##0.00_-;\-* #,##0.00_-;_-* &quot;-&quot;??_-;_-@_-"/>
    <numFmt numFmtId="166" formatCode="_(* #,##0_);_(* \(#,##0\);_(* &quot;-&quot;??_);_(@_)"/>
    <numFmt numFmtId="167" formatCode="_(* #,##0.0_);_(* \(#,##0.0\);_(* &quot;-&quot;??_);_(@_)"/>
    <numFmt numFmtId="168" formatCode="_-* #,##0.0_-;\-* #,##0.0_-;_-* &quot;-&quot;??_-;_-@_-"/>
    <numFmt numFmtId="169" formatCode="_-* #,##0_-;\-* #,##0_-;_-* &quot;-&quot;??_-;_-@_-"/>
    <numFmt numFmtId="170" formatCode="_-* #,##0.00_-;\-* #,##0.00_-;_-* &quot;-&quot;_-;_-@_-"/>
  </numFmts>
  <fonts count="21">
    <font>
      <sz val="11"/>
      <color theme="1"/>
      <name val="Calibri"/>
      <family val="2"/>
      <scheme val="minor"/>
    </font>
    <font>
      <sz val="11"/>
      <color theme="1"/>
      <name val="Calibri"/>
      <family val="2"/>
      <scheme val="minor"/>
    </font>
    <font>
      <b/>
      <sz val="11"/>
      <color theme="1"/>
      <name val="Calibri"/>
      <family val="2"/>
      <scheme val="minor"/>
    </font>
    <font>
      <sz val="11"/>
      <name val="돋움"/>
      <family val="2"/>
      <charset val="129"/>
    </font>
    <font>
      <b/>
      <sz val="10"/>
      <color indexed="8"/>
      <name val="Times New Roman"/>
      <family val="1"/>
    </font>
    <font>
      <b/>
      <sz val="9"/>
      <color indexed="8"/>
      <name val="Times New Roman"/>
      <family val="1"/>
    </font>
    <font>
      <b/>
      <sz val="9"/>
      <color indexed="10"/>
      <name val="Times New Roman"/>
      <family val="1"/>
    </font>
    <font>
      <b/>
      <sz val="8"/>
      <color indexed="8"/>
      <name val="Times New Roman"/>
      <family val="1"/>
    </font>
    <font>
      <b/>
      <sz val="9"/>
      <color indexed="81"/>
      <name val="Tahoma"/>
      <family val="2"/>
    </font>
    <font>
      <sz val="9"/>
      <color indexed="81"/>
      <name val="Tahoma"/>
      <family val="2"/>
    </font>
    <font>
      <b/>
      <sz val="8"/>
      <color indexed="81"/>
      <name val="Tahoma"/>
      <family val="2"/>
    </font>
    <font>
      <sz val="8"/>
      <color indexed="81"/>
      <name val="Tahoma"/>
      <family val="2"/>
    </font>
    <font>
      <b/>
      <sz val="10"/>
      <name val="Times New Roman"/>
      <family val="1"/>
      <charset val="163"/>
    </font>
    <font>
      <b/>
      <sz val="10"/>
      <name val="Times New Roman"/>
      <family val="1"/>
    </font>
    <font>
      <sz val="10"/>
      <color theme="1"/>
      <name val="Times New Roman"/>
      <family val="1"/>
    </font>
    <font>
      <sz val="9"/>
      <color indexed="8"/>
      <name val="Times New Roman"/>
      <family val="1"/>
    </font>
    <font>
      <sz val="10"/>
      <color indexed="8"/>
      <name val="Times New Roman"/>
      <family val="1"/>
    </font>
    <font>
      <b/>
      <sz val="9"/>
      <color theme="1"/>
      <name val="Times New Roman"/>
      <family val="1"/>
    </font>
    <font>
      <b/>
      <sz val="8.5"/>
      <color theme="1"/>
      <name val="Times New Roman"/>
      <family val="1"/>
    </font>
    <font>
      <sz val="8"/>
      <color indexed="8"/>
      <name val="Times New Roman"/>
      <family val="1"/>
    </font>
    <font>
      <sz val="8"/>
      <name val="Calibri"/>
      <family val="2"/>
      <scheme val="minor"/>
    </font>
  </fonts>
  <fills count="5">
    <fill>
      <patternFill patternType="none"/>
    </fill>
    <fill>
      <patternFill patternType="gray125"/>
    </fill>
    <fill>
      <patternFill patternType="solid">
        <fgColor indexed="44"/>
        <bgColor indexed="64"/>
      </patternFill>
    </fill>
    <fill>
      <patternFill patternType="solid">
        <fgColor indexed="52"/>
        <bgColor indexed="64"/>
      </patternFill>
    </fill>
    <fill>
      <patternFill patternType="solid">
        <fgColor indexed="5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auto="1"/>
      </left>
      <right/>
      <top/>
      <bottom/>
      <diagonal/>
    </border>
    <border>
      <left style="medium">
        <color indexed="64"/>
      </left>
      <right style="medium">
        <color auto="1"/>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165" fontId="1" fillId="0" borderId="0" applyFont="0" applyFill="0" applyBorder="0" applyAlignment="0" applyProtection="0"/>
    <xf numFmtId="0" fontId="3" fillId="0" borderId="0">
      <alignment vertical="center"/>
    </xf>
    <xf numFmtId="164" fontId="3" fillId="0" borderId="0" applyFont="0" applyFill="0" applyBorder="0" applyAlignment="0" applyProtection="0">
      <alignment vertical="center"/>
    </xf>
  </cellStyleXfs>
  <cellXfs count="100">
    <xf numFmtId="0" fontId="0" fillId="0" borderId="0" xfId="0"/>
    <xf numFmtId="168" fontId="0" fillId="0" borderId="0" xfId="1" applyNumberFormat="1" applyFont="1"/>
    <xf numFmtId="169" fontId="0" fillId="0" borderId="0" xfId="1" applyNumberFormat="1" applyFont="1"/>
    <xf numFmtId="168" fontId="12" fillId="0" borderId="2" xfId="1" applyNumberFormat="1" applyFont="1" applyBorder="1" applyAlignment="1">
      <alignment vertical="center" wrapText="1"/>
    </xf>
    <xf numFmtId="169" fontId="14" fillId="0" borderId="0" xfId="1" applyNumberFormat="1" applyFont="1"/>
    <xf numFmtId="168" fontId="13" fillId="0" borderId="2" xfId="1" applyNumberFormat="1" applyFont="1" applyBorder="1" applyAlignment="1">
      <alignment horizontal="center" vertical="center" wrapText="1"/>
    </xf>
    <xf numFmtId="168" fontId="13" fillId="0" borderId="3" xfId="1" applyNumberFormat="1" applyFont="1" applyBorder="1" applyAlignment="1">
      <alignment horizontal="center" vertical="center" wrapText="1"/>
    </xf>
    <xf numFmtId="14" fontId="0" fillId="0" borderId="0" xfId="0" applyNumberFormat="1"/>
    <xf numFmtId="0" fontId="0" fillId="0" borderId="0" xfId="1" applyNumberFormat="1" applyFont="1"/>
    <xf numFmtId="0" fontId="0" fillId="0" borderId="0" xfId="0" applyBorder="1"/>
    <xf numFmtId="0" fontId="0" fillId="0" borderId="0" xfId="0" applyFill="1"/>
    <xf numFmtId="0" fontId="4" fillId="2" borderId="1" xfId="2" applyFont="1" applyFill="1" applyBorder="1" applyAlignment="1">
      <alignment vertical="center" wrapText="1"/>
    </xf>
    <xf numFmtId="0" fontId="0" fillId="0" borderId="0" xfId="0" applyAlignment="1">
      <alignment horizontal="left"/>
    </xf>
    <xf numFmtId="0" fontId="0" fillId="0" borderId="1" xfId="0" applyBorder="1"/>
    <xf numFmtId="0" fontId="15" fillId="0" borderId="1" xfId="0" applyFont="1" applyFill="1" applyBorder="1"/>
    <xf numFmtId="0" fontId="16" fillId="0" borderId="1" xfId="0" applyFont="1" applyFill="1" applyBorder="1"/>
    <xf numFmtId="1" fontId="17" fillId="0" borderId="1" xfId="0" applyNumberFormat="1" applyFont="1" applyBorder="1" applyAlignment="1">
      <alignment horizontal="left" vertical="center"/>
    </xf>
    <xf numFmtId="0" fontId="17" fillId="0" borderId="1" xfId="0" applyFont="1" applyBorder="1" applyAlignment="1">
      <alignment horizontal="center" vertical="center" wrapText="1"/>
    </xf>
    <xf numFmtId="14" fontId="18" fillId="0" borderId="1" xfId="0" quotePrefix="1" applyNumberFormat="1" applyFont="1" applyBorder="1" applyAlignment="1">
      <alignment horizontal="left" vertical="center"/>
    </xf>
    <xf numFmtId="166" fontId="5" fillId="0" borderId="1" xfId="0" applyNumberFormat="1" applyFont="1" applyBorder="1"/>
    <xf numFmtId="166" fontId="5" fillId="0" borderId="1" xfId="1" applyNumberFormat="1" applyFont="1" applyFill="1" applyBorder="1" applyAlignment="1">
      <alignment horizontal="center" vertical="center"/>
    </xf>
    <xf numFmtId="0" fontId="15" fillId="0" borderId="1" xfId="0" applyFont="1" applyBorder="1"/>
    <xf numFmtId="164" fontId="5" fillId="0" borderId="1" xfId="3" applyFont="1" applyFill="1" applyBorder="1" applyAlignment="1">
      <alignment horizontal="center" vertical="center"/>
    </xf>
    <xf numFmtId="166" fontId="15" fillId="0" borderId="1" xfId="1" applyNumberFormat="1" applyFont="1" applyBorder="1"/>
    <xf numFmtId="166" fontId="15" fillId="0" borderId="1" xfId="1" applyNumberFormat="1" applyFont="1" applyFill="1" applyBorder="1" applyAlignment="1">
      <alignment horizontal="left" vertical="center" wrapText="1"/>
    </xf>
    <xf numFmtId="166" fontId="15" fillId="0" borderId="1" xfId="0" applyNumberFormat="1" applyFont="1" applyBorder="1" applyAlignment="1">
      <alignment vertical="center"/>
    </xf>
    <xf numFmtId="164" fontId="15" fillId="0" borderId="1" xfId="3" applyFont="1" applyFill="1" applyBorder="1" applyAlignment="1">
      <alignment horizontal="center" vertical="center"/>
    </xf>
    <xf numFmtId="164" fontId="15" fillId="0" borderId="1" xfId="3" applyFont="1" applyFill="1" applyBorder="1" applyAlignment="1">
      <alignment horizontal="left" vertical="center" wrapText="1"/>
    </xf>
    <xf numFmtId="164" fontId="15" fillId="0" borderId="1" xfId="3" applyFont="1" applyFill="1" applyBorder="1" applyAlignment="1">
      <alignment horizontal="right" vertical="center" wrapText="1"/>
    </xf>
    <xf numFmtId="166" fontId="5" fillId="0" borderId="1" xfId="3" applyNumberFormat="1" applyFont="1" applyFill="1" applyBorder="1" applyAlignment="1">
      <alignment horizontal="right" vertical="center" wrapText="1"/>
    </xf>
    <xf numFmtId="164" fontId="5" fillId="0" borderId="1" xfId="3" applyFont="1" applyFill="1" applyBorder="1" applyAlignment="1">
      <alignment horizontal="right" vertical="center" wrapText="1"/>
    </xf>
    <xf numFmtId="164" fontId="15" fillId="3" borderId="1" xfId="0" applyNumberFormat="1" applyFont="1" applyFill="1" applyBorder="1" applyAlignment="1">
      <alignment vertical="center"/>
    </xf>
    <xf numFmtId="167" fontId="19" fillId="0" borderId="1" xfId="1" applyNumberFormat="1" applyFont="1" applyFill="1" applyBorder="1" applyAlignment="1">
      <alignment horizontal="center" vertical="center"/>
    </xf>
    <xf numFmtId="0" fontId="0" fillId="0" borderId="0" xfId="0" applyNumberFormat="1"/>
    <xf numFmtId="168" fontId="13" fillId="0" borderId="6" xfId="1" applyNumberFormat="1" applyFont="1" applyBorder="1" applyAlignment="1">
      <alignment horizontal="center" vertical="center" wrapText="1"/>
    </xf>
    <xf numFmtId="168" fontId="13" fillId="0" borderId="8" xfId="1" applyNumberFormat="1" applyFont="1" applyBorder="1" applyAlignment="1">
      <alignment horizontal="center" vertical="center" wrapText="1"/>
    </xf>
    <xf numFmtId="168" fontId="2" fillId="0" borderId="6" xfId="1" applyNumberFormat="1" applyFont="1" applyBorder="1" applyAlignment="1">
      <alignment vertical="center" wrapText="1"/>
    </xf>
    <xf numFmtId="0" fontId="2" fillId="0" borderId="1" xfId="1" applyNumberFormat="1" applyFont="1" applyFill="1" applyBorder="1" applyAlignment="1">
      <alignment horizontal="center" vertical="center" wrapText="1"/>
    </xf>
    <xf numFmtId="14" fontId="0" fillId="0" borderId="1" xfId="0" applyNumberFormat="1" applyBorder="1"/>
    <xf numFmtId="169" fontId="15" fillId="0" borderId="1" xfId="1" applyNumberFormat="1" applyFont="1" applyBorder="1"/>
    <xf numFmtId="164" fontId="0" fillId="0" borderId="1" xfId="0" applyNumberFormat="1" applyBorder="1"/>
    <xf numFmtId="14" fontId="0" fillId="0" borderId="0" xfId="0" applyNumberFormat="1" applyAlignment="1">
      <alignment horizontal="left"/>
    </xf>
    <xf numFmtId="0" fontId="0" fillId="0" borderId="0" xfId="0" applyNumberFormat="1" applyFill="1"/>
    <xf numFmtId="0" fontId="4" fillId="0" borderId="1" xfId="2" applyNumberFormat="1" applyFont="1" applyFill="1" applyBorder="1" applyAlignment="1">
      <alignment horizontal="center" vertical="center" wrapText="1"/>
    </xf>
    <xf numFmtId="0" fontId="5" fillId="0" borderId="1" xfId="2" applyNumberFormat="1" applyFont="1" applyFill="1" applyBorder="1" applyAlignment="1">
      <alignment horizontal="center" vertical="center" wrapText="1"/>
    </xf>
    <xf numFmtId="0" fontId="12" fillId="0" borderId="1" xfId="1" applyNumberFormat="1" applyFont="1" applyFill="1" applyBorder="1" applyAlignment="1">
      <alignment horizontal="center" vertical="center" wrapText="1"/>
    </xf>
    <xf numFmtId="0" fontId="13" fillId="0" borderId="1" xfId="1"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wrapText="1" shrinkToFit="1"/>
    </xf>
    <xf numFmtId="0" fontId="0" fillId="0" borderId="0" xfId="0" applyNumberFormat="1" applyAlignment="1">
      <alignment horizontal="left"/>
    </xf>
    <xf numFmtId="0" fontId="0" fillId="0" borderId="14" xfId="0" applyBorder="1"/>
    <xf numFmtId="0" fontId="12" fillId="0" borderId="1" xfId="0" applyFont="1" applyBorder="1" applyAlignment="1">
      <alignment horizontal="center" vertical="center" wrapText="1" shrinkToFit="1"/>
    </xf>
    <xf numFmtId="1" fontId="5" fillId="0" borderId="1" xfId="2" quotePrefix="1" applyNumberFormat="1" applyFont="1" applyBorder="1" applyAlignment="1">
      <alignment horizontal="center" vertical="center"/>
    </xf>
    <xf numFmtId="170" fontId="5" fillId="0" borderId="1" xfId="3" applyNumberFormat="1" applyFont="1" applyFill="1" applyBorder="1" applyAlignment="1">
      <alignment horizontal="center" vertical="center"/>
    </xf>
    <xf numFmtId="0" fontId="0" fillId="0" borderId="0" xfId="0" applyNumberFormat="1" applyFill="1" applyAlignment="1">
      <alignment horizontal="center"/>
    </xf>
    <xf numFmtId="0" fontId="14" fillId="0" borderId="0" xfId="1" applyNumberFormat="1" applyFont="1" applyFill="1" applyAlignment="1">
      <alignment horizontal="center"/>
    </xf>
    <xf numFmtId="0" fontId="0" fillId="0" borderId="1" xfId="0" applyNumberFormat="1" applyFill="1" applyBorder="1" applyAlignment="1">
      <alignment horizontal="center"/>
    </xf>
    <xf numFmtId="0" fontId="0" fillId="0" borderId="14" xfId="0" applyNumberFormat="1" applyFill="1" applyBorder="1" applyAlignment="1">
      <alignment horizontal="center"/>
    </xf>
    <xf numFmtId="0" fontId="12" fillId="0" borderId="6" xfId="0" applyFont="1" applyBorder="1" applyAlignment="1">
      <alignment horizontal="center" vertical="center" wrapText="1" shrinkToFit="1"/>
    </xf>
    <xf numFmtId="0" fontId="12" fillId="0" borderId="7" xfId="0" applyFont="1" applyBorder="1" applyAlignment="1">
      <alignment horizontal="center" vertical="center" wrapText="1" shrinkToFit="1"/>
    </xf>
    <xf numFmtId="168" fontId="2" fillId="0" borderId="3" xfId="1" applyNumberFormat="1" applyFont="1" applyBorder="1" applyAlignment="1">
      <alignment horizontal="center" vertical="center" wrapText="1"/>
    </xf>
    <xf numFmtId="168" fontId="2" fillId="0" borderId="4" xfId="1" applyNumberFormat="1" applyFont="1" applyBorder="1" applyAlignment="1">
      <alignment horizontal="center" vertical="center" wrapText="1"/>
    </xf>
    <xf numFmtId="168" fontId="2" fillId="0" borderId="5" xfId="1" applyNumberFormat="1" applyFont="1" applyBorder="1" applyAlignment="1">
      <alignment horizontal="center" vertical="center" wrapText="1"/>
    </xf>
    <xf numFmtId="168" fontId="2" fillId="0" borderId="6" xfId="1" applyNumberFormat="1" applyFont="1" applyBorder="1" applyAlignment="1">
      <alignment horizontal="center" vertical="center" wrapText="1"/>
    </xf>
    <xf numFmtId="168" fontId="2" fillId="0" borderId="7" xfId="1" applyNumberFormat="1" applyFont="1" applyBorder="1" applyAlignment="1">
      <alignment horizontal="center" vertical="center" wrapText="1"/>
    </xf>
    <xf numFmtId="0" fontId="5" fillId="4" borderId="1" xfId="2" applyFont="1" applyFill="1" applyBorder="1" applyAlignment="1">
      <alignment horizontal="center" vertical="center" wrapText="1"/>
    </xf>
    <xf numFmtId="0" fontId="4" fillId="4" borderId="1" xfId="2" applyFont="1" applyFill="1" applyBorder="1" applyAlignment="1">
      <alignment horizontal="center" vertical="center" wrapText="1"/>
    </xf>
    <xf numFmtId="0" fontId="2" fillId="0" borderId="6" xfId="1" applyNumberFormat="1" applyFont="1" applyBorder="1" applyAlignment="1">
      <alignment horizontal="center" vertical="center" wrapText="1"/>
    </xf>
    <xf numFmtId="0" fontId="2" fillId="0" borderId="7" xfId="1" applyNumberFormat="1" applyFont="1" applyBorder="1" applyAlignment="1">
      <alignment horizontal="center" vertical="center" wrapText="1"/>
    </xf>
    <xf numFmtId="168" fontId="12" fillId="0" borderId="6" xfId="1" applyNumberFormat="1" applyFont="1" applyBorder="1" applyAlignment="1">
      <alignment horizontal="center" vertical="center" wrapText="1"/>
    </xf>
    <xf numFmtId="168" fontId="12" fillId="0" borderId="7" xfId="1" applyNumberFormat="1" applyFont="1" applyBorder="1" applyAlignment="1">
      <alignment horizontal="center" vertical="center" wrapText="1"/>
    </xf>
    <xf numFmtId="168" fontId="13" fillId="0" borderId="3" xfId="1" applyNumberFormat="1" applyFont="1" applyBorder="1" applyAlignment="1">
      <alignment horizontal="center" vertical="center" wrapText="1"/>
    </xf>
    <xf numFmtId="168" fontId="13" fillId="0" borderId="4" xfId="1" applyNumberFormat="1" applyFont="1" applyBorder="1" applyAlignment="1">
      <alignment horizontal="center" vertical="center" wrapText="1"/>
    </xf>
    <xf numFmtId="168" fontId="13" fillId="0" borderId="5" xfId="1" applyNumberFormat="1" applyFont="1" applyBorder="1" applyAlignment="1">
      <alignment horizontal="center" vertical="center" wrapText="1"/>
    </xf>
    <xf numFmtId="0" fontId="5" fillId="2" borderId="1" xfId="2" applyFont="1" applyFill="1" applyBorder="1" applyAlignment="1">
      <alignment horizontal="center" vertical="center" wrapText="1" shrinkToFit="1"/>
    </xf>
    <xf numFmtId="0" fontId="5" fillId="2" borderId="1" xfId="2" applyFont="1" applyFill="1" applyBorder="1" applyAlignment="1">
      <alignment horizontal="center" vertical="center" wrapText="1"/>
    </xf>
    <xf numFmtId="166" fontId="5" fillId="2" borderId="1" xfId="1" applyNumberFormat="1" applyFont="1" applyFill="1" applyBorder="1" applyAlignment="1">
      <alignment horizontal="center" vertical="center" wrapText="1"/>
    </xf>
    <xf numFmtId="166" fontId="5" fillId="2" borderId="9" xfId="1" applyNumberFormat="1" applyFont="1" applyFill="1" applyBorder="1" applyAlignment="1">
      <alignment horizontal="center" vertical="center" wrapText="1"/>
    </xf>
    <xf numFmtId="166" fontId="5" fillId="2" borderId="10" xfId="1" applyNumberFormat="1" applyFont="1" applyFill="1" applyBorder="1" applyAlignment="1">
      <alignment horizontal="center" vertical="center" wrapText="1"/>
    </xf>
    <xf numFmtId="166" fontId="5" fillId="2" borderId="11" xfId="1" applyNumberFormat="1" applyFont="1" applyFill="1" applyBorder="1" applyAlignment="1">
      <alignment horizontal="center" vertical="center" wrapText="1"/>
    </xf>
    <xf numFmtId="166" fontId="5" fillId="2" borderId="1" xfId="1" applyNumberFormat="1" applyFont="1" applyFill="1" applyBorder="1" applyAlignment="1" applyProtection="1">
      <alignment horizontal="center" vertical="center" wrapText="1"/>
    </xf>
    <xf numFmtId="3" fontId="5" fillId="2" borderId="1" xfId="2" applyNumberFormat="1" applyFont="1" applyFill="1" applyBorder="1" applyAlignment="1">
      <alignment horizontal="center" vertical="center" wrapText="1"/>
    </xf>
    <xf numFmtId="0" fontId="4" fillId="2" borderId="1" xfId="2" applyFont="1" applyFill="1" applyBorder="1" applyAlignment="1">
      <alignment horizontal="center" vertical="center" wrapText="1" shrinkToFit="1"/>
    </xf>
    <xf numFmtId="0" fontId="4" fillId="2" borderId="1" xfId="2" applyFont="1" applyFill="1" applyBorder="1" applyAlignment="1">
      <alignment horizontal="center" vertical="center" wrapText="1"/>
    </xf>
    <xf numFmtId="165" fontId="5" fillId="2" borderId="1" xfId="1" applyFont="1" applyFill="1" applyBorder="1" applyAlignment="1">
      <alignment horizontal="center" vertical="center" wrapText="1"/>
    </xf>
    <xf numFmtId="169" fontId="4" fillId="2" borderId="1" xfId="1" applyNumberFormat="1" applyFont="1" applyFill="1" applyBorder="1" applyAlignment="1">
      <alignment horizontal="center" vertical="center" wrapText="1"/>
    </xf>
    <xf numFmtId="14" fontId="4" fillId="2" borderId="1" xfId="2" applyNumberFormat="1" applyFont="1" applyFill="1" applyBorder="1" applyAlignment="1">
      <alignment horizontal="center" vertical="center" wrapText="1"/>
    </xf>
    <xf numFmtId="166" fontId="4" fillId="2" borderId="1" xfId="1" applyNumberFormat="1" applyFont="1" applyFill="1" applyBorder="1" applyAlignment="1">
      <alignment horizontal="center" vertical="center" wrapText="1"/>
    </xf>
    <xf numFmtId="0" fontId="4" fillId="2" borderId="9" xfId="2" applyFont="1" applyFill="1" applyBorder="1" applyAlignment="1">
      <alignment horizontal="center" vertical="center" wrapText="1"/>
    </xf>
    <xf numFmtId="0" fontId="4" fillId="2" borderId="10" xfId="2" applyFont="1" applyFill="1" applyBorder="1" applyAlignment="1">
      <alignment horizontal="center" vertical="center" wrapText="1"/>
    </xf>
    <xf numFmtId="0" fontId="4" fillId="2" borderId="11" xfId="2" applyFont="1" applyFill="1" applyBorder="1" applyAlignment="1">
      <alignment horizontal="center" vertical="center" wrapText="1"/>
    </xf>
    <xf numFmtId="169" fontId="5" fillId="2" borderId="1" xfId="1" applyNumberFormat="1" applyFont="1" applyFill="1" applyBorder="1" applyAlignment="1">
      <alignment horizontal="center" vertical="center" wrapText="1"/>
    </xf>
    <xf numFmtId="167" fontId="7" fillId="2" borderId="1" xfId="1" applyNumberFormat="1" applyFont="1" applyFill="1" applyBorder="1" applyAlignment="1">
      <alignment horizontal="center" vertical="center" wrapText="1"/>
    </xf>
    <xf numFmtId="167" fontId="7" fillId="2" borderId="1" xfId="2" applyNumberFormat="1" applyFont="1" applyFill="1" applyBorder="1" applyAlignment="1">
      <alignment horizontal="center" vertical="center" wrapText="1"/>
    </xf>
    <xf numFmtId="0" fontId="7" fillId="2" borderId="1" xfId="2" applyFont="1" applyFill="1" applyBorder="1" applyAlignment="1">
      <alignment horizontal="center" vertical="center" wrapText="1"/>
    </xf>
    <xf numFmtId="0" fontId="6" fillId="3" borderId="1" xfId="2" applyFont="1" applyFill="1" applyBorder="1" applyAlignment="1">
      <alignment horizontal="center" vertical="center" wrapText="1"/>
    </xf>
    <xf numFmtId="0" fontId="12" fillId="0" borderId="8" xfId="0" applyFont="1" applyBorder="1" applyAlignment="1">
      <alignment horizontal="center" vertical="center" wrapText="1" shrinkToFit="1"/>
    </xf>
    <xf numFmtId="0" fontId="12" fillId="0" borderId="12" xfId="0" applyFont="1" applyBorder="1" applyAlignment="1">
      <alignment horizontal="center" vertical="center" wrapText="1" shrinkToFit="1"/>
    </xf>
    <xf numFmtId="0" fontId="12" fillId="0" borderId="13" xfId="0" applyFont="1" applyBorder="1" applyAlignment="1">
      <alignment horizontal="center" vertical="center" wrapText="1" shrinkToFit="1"/>
    </xf>
    <xf numFmtId="168" fontId="2" fillId="0" borderId="13" xfId="1" applyNumberFormat="1" applyFont="1" applyBorder="1" applyAlignment="1">
      <alignment horizontal="center" vertical="center" wrapText="1"/>
    </xf>
    <xf numFmtId="0" fontId="2" fillId="0" borderId="13" xfId="1" applyNumberFormat="1" applyFont="1" applyBorder="1" applyAlignment="1">
      <alignment horizontal="center" vertical="center" wrapText="1"/>
    </xf>
  </cellXfs>
  <cellStyles count="4">
    <cellStyle name="Comma" xfId="1" builtinId="3"/>
    <cellStyle name="Comma [0]_Payroll of Staff on Jan-2012 sample" xfId="3" xr:uid="{00000000-0005-0000-0000-000001000000}"/>
    <cellStyle name="Normal" xfId="0" builtinId="0"/>
    <cellStyle name="Normal_Payroll of Staff on Jan-2012 sample" xfId="2" xr:uid="{00000000-0005-0000-0000-00000300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J15"/>
  <sheetViews>
    <sheetView tabSelected="1" topLeftCell="B3" workbookViewId="0">
      <pane xSplit="5" ySplit="12" topLeftCell="G15" activePane="bottomRight" state="frozen"/>
      <selection activeCell="B3" sqref="B3"/>
      <selection pane="topRight" activeCell="G3" sqref="G3"/>
      <selection pane="bottomLeft" activeCell="B15" sqref="B15"/>
      <selection pane="bottomRight" activeCell="B15" sqref="B15"/>
    </sheetView>
  </sheetViews>
  <sheetFormatPr defaultRowHeight="15"/>
  <cols>
    <col min="1" max="1" width="9.140625" hidden="1" customWidth="1"/>
    <col min="3" max="4" width="0" style="10" hidden="1" customWidth="1"/>
    <col min="5" max="5" width="11.28515625" style="12" customWidth="1"/>
    <col min="6" max="7" width="21.140625" style="12" customWidth="1"/>
    <col min="8" max="8" width="20" customWidth="1"/>
    <col min="9" max="9" width="11.140625" style="41" customWidth="1"/>
    <col min="10" max="20" width="11.140625" customWidth="1"/>
    <col min="21" max="21" width="11.140625" style="2" customWidth="1"/>
    <col min="22" max="25" width="11.140625" customWidth="1"/>
    <col min="26" max="26" width="11.140625" style="10" customWidth="1"/>
    <col min="27" max="29" width="11.140625" customWidth="1"/>
    <col min="30" max="30" width="11.140625" style="2" customWidth="1"/>
    <col min="31" max="68" width="11.140625" customWidth="1"/>
    <col min="69" max="72" width="7.5703125" customWidth="1"/>
    <col min="87" max="87" width="12.5703125" customWidth="1"/>
    <col min="122" max="122" width="9.42578125" customWidth="1"/>
    <col min="123" max="126" width="12" style="7" customWidth="1"/>
  </cols>
  <sheetData>
    <row r="1" spans="1:140" hidden="1">
      <c r="A1">
        <v>2</v>
      </c>
      <c r="B1" t="s">
        <v>118</v>
      </c>
      <c r="E1" s="12" t="s">
        <v>119</v>
      </c>
      <c r="F1" s="12" t="s">
        <v>120</v>
      </c>
      <c r="G1" s="12" t="s">
        <v>294</v>
      </c>
      <c r="H1" t="s">
        <v>275</v>
      </c>
      <c r="I1" s="41" t="s">
        <v>121</v>
      </c>
      <c r="J1" s="7" t="s">
        <v>122</v>
      </c>
      <c r="K1" s="2" t="s">
        <v>168</v>
      </c>
      <c r="L1" s="7" t="s">
        <v>169</v>
      </c>
      <c r="M1" s="2" t="s">
        <v>170</v>
      </c>
      <c r="N1" s="7" t="s">
        <v>171</v>
      </c>
      <c r="O1" s="2" t="s">
        <v>172</v>
      </c>
      <c r="P1" s="7" t="s">
        <v>173</v>
      </c>
      <c r="Q1" s="2" t="s">
        <v>174</v>
      </c>
      <c r="R1" s="7" t="s">
        <v>175</v>
      </c>
      <c r="S1" s="2" t="s">
        <v>176</v>
      </c>
      <c r="T1" s="7" t="s">
        <v>177</v>
      </c>
      <c r="U1" s="2" t="s">
        <v>178</v>
      </c>
      <c r="V1" s="7" t="s">
        <v>179</v>
      </c>
      <c r="W1" s="2" t="s">
        <v>180</v>
      </c>
      <c r="X1" s="7" t="s">
        <v>181</v>
      </c>
      <c r="Y1" s="2" t="s">
        <v>182</v>
      </c>
      <c r="Z1" s="7" t="s">
        <v>183</v>
      </c>
      <c r="AA1" s="2" t="s">
        <v>184</v>
      </c>
      <c r="AB1" s="7" t="s">
        <v>185</v>
      </c>
      <c r="AC1" s="2" t="s">
        <v>186</v>
      </c>
      <c r="AD1" s="2" t="s">
        <v>187</v>
      </c>
      <c r="AE1" s="2" t="s">
        <v>188</v>
      </c>
      <c r="AF1" s="7" t="s">
        <v>189</v>
      </c>
      <c r="AG1" s="2" t="s">
        <v>190</v>
      </c>
      <c r="AH1" s="7" t="s">
        <v>191</v>
      </c>
      <c r="AI1" s="2" t="s">
        <v>192</v>
      </c>
      <c r="AJ1" s="7" t="s">
        <v>193</v>
      </c>
      <c r="AK1" s="2" t="s">
        <v>194</v>
      </c>
      <c r="AL1" s="2" t="s">
        <v>282</v>
      </c>
      <c r="AM1" s="7" t="s">
        <v>195</v>
      </c>
      <c r="AN1" s="2" t="s">
        <v>196</v>
      </c>
      <c r="AO1" s="2"/>
      <c r="AP1" s="7" t="s">
        <v>197</v>
      </c>
      <c r="AQ1" s="2" t="s">
        <v>198</v>
      </c>
      <c r="AR1" s="7" t="s">
        <v>199</v>
      </c>
      <c r="AS1" s="2" t="s">
        <v>200</v>
      </c>
      <c r="AT1" s="7" t="s">
        <v>201</v>
      </c>
      <c r="AU1" s="2" t="s">
        <v>202</v>
      </c>
      <c r="AV1" s="7" t="s">
        <v>203</v>
      </c>
      <c r="AW1" s="2" t="s">
        <v>204</v>
      </c>
      <c r="AX1" s="7" t="s">
        <v>205</v>
      </c>
      <c r="AY1" s="2" t="s">
        <v>206</v>
      </c>
      <c r="AZ1" s="7" t="s">
        <v>207</v>
      </c>
      <c r="BA1" s="2" t="s">
        <v>208</v>
      </c>
      <c r="BB1" s="7" t="s">
        <v>209</v>
      </c>
      <c r="BC1" s="2" t="s">
        <v>210</v>
      </c>
      <c r="BD1" s="7" t="s">
        <v>211</v>
      </c>
      <c r="BE1" s="2" t="s">
        <v>212</v>
      </c>
      <c r="BF1" s="7" t="s">
        <v>213</v>
      </c>
      <c r="BG1" s="2" t="s">
        <v>214</v>
      </c>
      <c r="BH1" s="7" t="s">
        <v>215</v>
      </c>
      <c r="BI1" s="2" t="s">
        <v>216</v>
      </c>
      <c r="BJ1" s="7" t="s">
        <v>217</v>
      </c>
      <c r="BK1" s="2" t="s">
        <v>218</v>
      </c>
      <c r="BL1" s="7" t="s">
        <v>219</v>
      </c>
      <c r="BM1" s="2" t="s">
        <v>220</v>
      </c>
      <c r="BN1" s="7" t="s">
        <v>221</v>
      </c>
      <c r="BO1" s="2" t="s">
        <v>222</v>
      </c>
      <c r="BP1" s="7" t="s">
        <v>223</v>
      </c>
      <c r="BQ1" s="2" t="s">
        <v>224</v>
      </c>
      <c r="BR1" s="7" t="s">
        <v>225</v>
      </c>
      <c r="BS1" s="2" t="s">
        <v>226</v>
      </c>
      <c r="BT1" s="7" t="s">
        <v>227</v>
      </c>
      <c r="DS1" s="33"/>
      <c r="DT1" s="33"/>
      <c r="DU1" s="33"/>
      <c r="DV1" s="33"/>
    </row>
    <row r="2" spans="1:140">
      <c r="A2">
        <v>3</v>
      </c>
      <c r="DS2" s="33"/>
      <c r="DT2" s="33"/>
      <c r="DU2" s="33"/>
      <c r="DV2" s="33"/>
    </row>
    <row r="3" spans="1:140">
      <c r="A3">
        <v>4</v>
      </c>
      <c r="DS3" s="33"/>
      <c r="DT3" s="33"/>
      <c r="DU3" s="33"/>
      <c r="DV3" s="33"/>
    </row>
    <row r="4" spans="1:140">
      <c r="A4">
        <v>5</v>
      </c>
      <c r="DS4" s="33"/>
      <c r="DT4" s="33"/>
      <c r="DU4" s="33"/>
      <c r="DV4" s="33"/>
    </row>
    <row r="5" spans="1:140">
      <c r="A5">
        <v>6</v>
      </c>
      <c r="DS5" s="33"/>
      <c r="DT5" s="33"/>
      <c r="DU5" s="33"/>
      <c r="DV5" s="33"/>
    </row>
    <row r="6" spans="1:140" ht="15.75" thickBot="1">
      <c r="DS6" s="33"/>
      <c r="DT6" s="33"/>
      <c r="DU6" s="33"/>
      <c r="DV6" s="33"/>
    </row>
    <row r="7" spans="1:140" s="33" customFormat="1" hidden="1">
      <c r="B7" s="33">
        <v>2</v>
      </c>
      <c r="C7" s="42"/>
      <c r="D7" s="42"/>
      <c r="E7" s="48">
        <v>2</v>
      </c>
      <c r="F7" s="48">
        <v>2</v>
      </c>
      <c r="G7" s="48" t="s">
        <v>292</v>
      </c>
      <c r="H7" s="33">
        <v>2</v>
      </c>
      <c r="I7" s="48">
        <v>2</v>
      </c>
      <c r="J7" s="33">
        <v>1</v>
      </c>
      <c r="K7" s="8">
        <v>1</v>
      </c>
      <c r="L7" s="8">
        <v>1</v>
      </c>
      <c r="M7" s="8">
        <v>1</v>
      </c>
      <c r="N7" s="8">
        <v>1</v>
      </c>
      <c r="O7" s="8">
        <v>1</v>
      </c>
      <c r="P7" s="8">
        <v>1</v>
      </c>
      <c r="Q7" s="8">
        <v>1</v>
      </c>
      <c r="R7" s="8">
        <v>1</v>
      </c>
      <c r="S7" s="8">
        <v>1</v>
      </c>
      <c r="T7" s="8">
        <v>1</v>
      </c>
      <c r="U7" s="2">
        <v>1</v>
      </c>
      <c r="V7" s="8">
        <v>1</v>
      </c>
      <c r="W7" s="8">
        <v>1</v>
      </c>
      <c r="X7" s="8">
        <v>1</v>
      </c>
      <c r="Y7" s="8">
        <v>1</v>
      </c>
      <c r="Z7" s="8">
        <v>1</v>
      </c>
      <c r="AA7" s="8">
        <v>1</v>
      </c>
      <c r="AB7" s="8">
        <v>1</v>
      </c>
      <c r="AC7" s="8">
        <v>1</v>
      </c>
      <c r="AD7" s="8">
        <v>1</v>
      </c>
      <c r="AE7" s="8">
        <v>1</v>
      </c>
      <c r="AF7" s="8">
        <v>1</v>
      </c>
      <c r="AG7" s="8">
        <v>1</v>
      </c>
      <c r="AH7" s="8">
        <v>1</v>
      </c>
      <c r="AI7" s="8">
        <v>1</v>
      </c>
      <c r="AJ7" s="8">
        <v>1</v>
      </c>
      <c r="AK7" s="8">
        <v>1</v>
      </c>
      <c r="AL7" s="8">
        <v>1</v>
      </c>
      <c r="AM7" s="8">
        <v>1</v>
      </c>
      <c r="AN7" s="8">
        <v>1</v>
      </c>
      <c r="AO7" s="8">
        <v>1</v>
      </c>
      <c r="AP7" s="8">
        <v>1</v>
      </c>
      <c r="AQ7" s="8">
        <v>1</v>
      </c>
      <c r="AR7" s="8">
        <v>1</v>
      </c>
      <c r="AS7" s="8">
        <v>1</v>
      </c>
      <c r="AT7" s="8">
        <v>1</v>
      </c>
      <c r="AU7" s="8">
        <v>1</v>
      </c>
      <c r="AV7" s="8">
        <v>1</v>
      </c>
      <c r="AW7" s="8">
        <v>1</v>
      </c>
      <c r="AX7" s="8">
        <v>1</v>
      </c>
      <c r="AY7" s="8">
        <v>1</v>
      </c>
      <c r="AZ7" s="8">
        <v>1</v>
      </c>
      <c r="BA7" s="8">
        <v>1</v>
      </c>
      <c r="BB7" s="8">
        <v>1</v>
      </c>
      <c r="BC7" s="8">
        <v>1</v>
      </c>
      <c r="BD7" s="8">
        <v>1</v>
      </c>
      <c r="BE7" s="8">
        <v>1</v>
      </c>
      <c r="BF7" s="8">
        <v>1</v>
      </c>
      <c r="BG7" s="8">
        <v>1</v>
      </c>
      <c r="BH7" s="8">
        <v>1</v>
      </c>
      <c r="BI7" s="8">
        <v>1</v>
      </c>
      <c r="BJ7" s="8">
        <v>1</v>
      </c>
      <c r="BK7" s="8">
        <v>1</v>
      </c>
      <c r="BL7" s="8">
        <v>1</v>
      </c>
      <c r="BM7" s="8">
        <v>1</v>
      </c>
      <c r="BN7" s="8">
        <v>1</v>
      </c>
      <c r="BO7" s="8">
        <v>1</v>
      </c>
      <c r="BP7" s="8">
        <v>1</v>
      </c>
      <c r="BQ7" s="8">
        <v>1</v>
      </c>
      <c r="BR7" s="8">
        <v>1</v>
      </c>
      <c r="BS7" s="8">
        <v>1</v>
      </c>
      <c r="BT7" s="8">
        <v>1</v>
      </c>
    </row>
    <row r="8" spans="1:140" hidden="1">
      <c r="E8" s="12" t="s">
        <v>119</v>
      </c>
      <c r="J8" s="7"/>
      <c r="K8" s="2"/>
      <c r="L8" s="2"/>
      <c r="BW8" t="s">
        <v>71</v>
      </c>
      <c r="BX8" t="s">
        <v>72</v>
      </c>
      <c r="BY8" t="s">
        <v>73</v>
      </c>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8"/>
      <c r="DT8" s="8"/>
      <c r="DU8" s="8"/>
      <c r="DV8" s="8"/>
      <c r="DW8" s="2"/>
      <c r="DX8" s="2"/>
      <c r="DY8" s="2"/>
      <c r="DZ8" s="2"/>
    </row>
    <row r="9" spans="1:140" hidden="1">
      <c r="E9" s="12" t="s">
        <v>119</v>
      </c>
      <c r="J9" s="7" t="s">
        <v>122</v>
      </c>
      <c r="K9" s="2" t="s">
        <v>168</v>
      </c>
      <c r="L9" s="7" t="s">
        <v>169</v>
      </c>
      <c r="M9" s="2" t="s">
        <v>170</v>
      </c>
      <c r="N9" s="7" t="s">
        <v>171</v>
      </c>
      <c r="O9" s="2" t="s">
        <v>172</v>
      </c>
      <c r="P9" s="7" t="s">
        <v>173</v>
      </c>
      <c r="Q9" s="2" t="s">
        <v>174</v>
      </c>
      <c r="R9" s="7" t="s">
        <v>175</v>
      </c>
      <c r="S9" s="2" t="s">
        <v>176</v>
      </c>
      <c r="T9" s="7" t="s">
        <v>177</v>
      </c>
      <c r="U9" s="2" t="s">
        <v>178</v>
      </c>
      <c r="V9" s="7" t="s">
        <v>179</v>
      </c>
      <c r="W9" s="2" t="s">
        <v>180</v>
      </c>
      <c r="X9" s="7" t="s">
        <v>181</v>
      </c>
      <c r="Y9" s="2" t="s">
        <v>182</v>
      </c>
      <c r="Z9" s="7" t="s">
        <v>183</v>
      </c>
      <c r="AA9" s="2" t="s">
        <v>184</v>
      </c>
      <c r="AB9" s="7" t="s">
        <v>185</v>
      </c>
      <c r="AC9" s="2" t="s">
        <v>186</v>
      </c>
      <c r="AD9" s="2" t="s">
        <v>187</v>
      </c>
      <c r="AE9" s="2" t="s">
        <v>188</v>
      </c>
      <c r="AF9" s="7" t="s">
        <v>189</v>
      </c>
      <c r="AG9" s="2" t="s">
        <v>190</v>
      </c>
      <c r="AH9" s="7" t="s">
        <v>191</v>
      </c>
      <c r="AI9" s="2" t="s">
        <v>192</v>
      </c>
      <c r="AJ9" s="7" t="s">
        <v>193</v>
      </c>
      <c r="AK9" s="2" t="s">
        <v>194</v>
      </c>
      <c r="AL9" s="2" t="s">
        <v>282</v>
      </c>
      <c r="AM9" s="7" t="s">
        <v>195</v>
      </c>
      <c r="AN9" s="2" t="s">
        <v>196</v>
      </c>
      <c r="AO9" s="2" t="s">
        <v>311</v>
      </c>
      <c r="AP9" s="7" t="s">
        <v>197</v>
      </c>
      <c r="AQ9" s="2" t="s">
        <v>198</v>
      </c>
      <c r="AR9" s="7" t="s">
        <v>199</v>
      </c>
      <c r="AS9" s="2" t="s">
        <v>200</v>
      </c>
      <c r="AT9" s="7" t="s">
        <v>201</v>
      </c>
      <c r="AU9" s="2" t="s">
        <v>202</v>
      </c>
      <c r="AV9" s="7" t="s">
        <v>203</v>
      </c>
      <c r="AW9" s="2" t="s">
        <v>204</v>
      </c>
      <c r="AX9" s="7" t="s">
        <v>205</v>
      </c>
      <c r="AY9" s="2" t="s">
        <v>206</v>
      </c>
      <c r="AZ9" s="7" t="s">
        <v>207</v>
      </c>
      <c r="BA9" s="2" t="s">
        <v>208</v>
      </c>
      <c r="BB9" s="7" t="s">
        <v>209</v>
      </c>
      <c r="BC9" s="2" t="s">
        <v>210</v>
      </c>
      <c r="BD9" s="7" t="s">
        <v>211</v>
      </c>
      <c r="BE9" s="2" t="s">
        <v>212</v>
      </c>
      <c r="BF9" s="7" t="s">
        <v>213</v>
      </c>
      <c r="BG9" s="2" t="s">
        <v>214</v>
      </c>
      <c r="BH9" s="7" t="s">
        <v>215</v>
      </c>
      <c r="BI9" s="2" t="s">
        <v>216</v>
      </c>
      <c r="BJ9" s="7" t="s">
        <v>217</v>
      </c>
      <c r="BK9" s="2" t="s">
        <v>218</v>
      </c>
      <c r="BL9" s="7" t="s">
        <v>219</v>
      </c>
      <c r="BM9" s="2" t="s">
        <v>220</v>
      </c>
      <c r="BN9" s="7" t="s">
        <v>221</v>
      </c>
      <c r="BO9" s="2" t="s">
        <v>222</v>
      </c>
      <c r="BP9" s="7" t="s">
        <v>223</v>
      </c>
      <c r="BQ9" s="2" t="s">
        <v>224</v>
      </c>
      <c r="BR9" s="7" t="s">
        <v>225</v>
      </c>
      <c r="BS9" s="2" t="s">
        <v>226</v>
      </c>
      <c r="BT9" s="7" t="s">
        <v>227</v>
      </c>
      <c r="BW9" t="s">
        <v>71</v>
      </c>
      <c r="BX9" t="s">
        <v>72</v>
      </c>
      <c r="BY9" t="s">
        <v>73</v>
      </c>
      <c r="BZ9" s="1"/>
      <c r="CA9" s="1" t="s">
        <v>234</v>
      </c>
      <c r="CB9" s="1" t="s">
        <v>287</v>
      </c>
      <c r="CC9" s="1" t="s">
        <v>235</v>
      </c>
      <c r="CD9" s="1" t="s">
        <v>236</v>
      </c>
      <c r="CE9" s="1" t="s">
        <v>237</v>
      </c>
      <c r="CF9" s="1" t="s">
        <v>238</v>
      </c>
      <c r="CG9" s="1" t="s">
        <v>239</v>
      </c>
      <c r="CH9" s="1" t="s">
        <v>240</v>
      </c>
      <c r="CI9" s="1" t="s">
        <v>241</v>
      </c>
      <c r="CJ9" s="1" t="s">
        <v>242</v>
      </c>
      <c r="CK9" s="1" t="s">
        <v>288</v>
      </c>
      <c r="CL9" s="1" t="s">
        <v>243</v>
      </c>
      <c r="CM9" s="1" t="s">
        <v>244</v>
      </c>
      <c r="CN9" s="1" t="s">
        <v>245</v>
      </c>
      <c r="CO9" s="1" t="s">
        <v>246</v>
      </c>
      <c r="CP9" s="1" t="s">
        <v>247</v>
      </c>
      <c r="CQ9" s="1" t="s">
        <v>248</v>
      </c>
      <c r="CR9" s="1" t="s">
        <v>249</v>
      </c>
      <c r="CS9" s="1" t="s">
        <v>250</v>
      </c>
      <c r="CT9" s="1" t="s">
        <v>251</v>
      </c>
      <c r="CU9" s="1" t="s">
        <v>252</v>
      </c>
      <c r="CV9" s="1" t="s">
        <v>253</v>
      </c>
      <c r="CW9" s="1" t="s">
        <v>254</v>
      </c>
      <c r="CX9" s="1" t="s">
        <v>255</v>
      </c>
      <c r="CY9" s="1" t="s">
        <v>256</v>
      </c>
      <c r="CZ9" s="1"/>
      <c r="DA9" s="1" t="s">
        <v>257</v>
      </c>
      <c r="DB9" s="1" t="s">
        <v>258</v>
      </c>
      <c r="DC9" s="1" t="s">
        <v>259</v>
      </c>
      <c r="DD9" s="1" t="s">
        <v>260</v>
      </c>
      <c r="DE9" s="1" t="s">
        <v>261</v>
      </c>
      <c r="DF9" s="1" t="s">
        <v>262</v>
      </c>
      <c r="DG9" s="1" t="s">
        <v>263</v>
      </c>
      <c r="DH9" s="1" t="s">
        <v>264</v>
      </c>
      <c r="DI9" s="1" t="s">
        <v>265</v>
      </c>
      <c r="DJ9" s="1" t="s">
        <v>266</v>
      </c>
      <c r="DK9" s="1" t="s">
        <v>267</v>
      </c>
      <c r="DL9" s="1" t="s">
        <v>268</v>
      </c>
      <c r="DM9" s="1" t="s">
        <v>269</v>
      </c>
      <c r="DN9" s="1" t="s">
        <v>270</v>
      </c>
      <c r="DO9" s="1" t="s">
        <v>271</v>
      </c>
      <c r="DP9" s="1" t="s">
        <v>272</v>
      </c>
      <c r="DQ9" s="1" t="s">
        <v>273</v>
      </c>
      <c r="DR9" s="1" t="s">
        <v>274</v>
      </c>
      <c r="DS9" s="8"/>
      <c r="DT9" s="8"/>
      <c r="DU9" s="8"/>
      <c r="DV9" s="8"/>
      <c r="DW9" s="2"/>
      <c r="DX9" s="2"/>
      <c r="DY9" s="2"/>
      <c r="DZ9" s="2"/>
      <c r="EE9" t="s">
        <v>291</v>
      </c>
    </row>
    <row r="10" spans="1:140" ht="15.75" hidden="1" thickBot="1">
      <c r="B10" t="s">
        <v>118</v>
      </c>
      <c r="E10" s="12" t="s">
        <v>119</v>
      </c>
      <c r="F10" s="12" t="s">
        <v>120</v>
      </c>
      <c r="G10" s="12" t="s">
        <v>294</v>
      </c>
      <c r="H10" t="s">
        <v>275</v>
      </c>
      <c r="I10" s="41" t="s">
        <v>121</v>
      </c>
      <c r="J10" s="7"/>
      <c r="K10" s="2"/>
      <c r="L10" s="2"/>
      <c r="V10" t="s">
        <v>144</v>
      </c>
      <c r="AL10" t="s">
        <v>281</v>
      </c>
      <c r="AM10" t="s">
        <v>145</v>
      </c>
      <c r="AN10" t="s">
        <v>289</v>
      </c>
      <c r="AO10" t="s">
        <v>312</v>
      </c>
      <c r="AX10" t="s">
        <v>310</v>
      </c>
      <c r="BA10" t="s">
        <v>230</v>
      </c>
      <c r="BP10" t="s">
        <v>299</v>
      </c>
      <c r="BQ10" t="s">
        <v>316</v>
      </c>
      <c r="BR10" t="s">
        <v>317</v>
      </c>
      <c r="BS10" t="s">
        <v>318</v>
      </c>
      <c r="BT10" t="s">
        <v>87</v>
      </c>
      <c r="BW10" t="s">
        <v>74</v>
      </c>
      <c r="BX10" t="s">
        <v>72</v>
      </c>
      <c r="BY10" t="s">
        <v>73</v>
      </c>
      <c r="BZ10" s="1" t="s">
        <v>75</v>
      </c>
      <c r="CA10" s="1" t="s">
        <v>76</v>
      </c>
      <c r="CB10" s="1" t="s">
        <v>285</v>
      </c>
      <c r="CC10" s="1" t="s">
        <v>77</v>
      </c>
      <c r="CD10" s="1" t="s">
        <v>78</v>
      </c>
      <c r="CE10" s="1" t="s">
        <v>79</v>
      </c>
      <c r="CF10" s="1" t="s">
        <v>80</v>
      </c>
      <c r="CG10" s="1" t="s">
        <v>81</v>
      </c>
      <c r="CH10" s="1" t="s">
        <v>82</v>
      </c>
      <c r="CI10" s="1" t="s">
        <v>153</v>
      </c>
      <c r="CJ10" s="1" t="s">
        <v>154</v>
      </c>
      <c r="CK10" s="1" t="s">
        <v>286</v>
      </c>
      <c r="CL10" s="1" t="s">
        <v>155</v>
      </c>
      <c r="CM10" s="1" t="s">
        <v>156</v>
      </c>
      <c r="CN10" s="1" t="s">
        <v>157</v>
      </c>
      <c r="CO10" s="1" t="s">
        <v>158</v>
      </c>
      <c r="CP10" s="1" t="s">
        <v>159</v>
      </c>
      <c r="CQ10" s="1" t="s">
        <v>160</v>
      </c>
      <c r="CR10" s="1" t="s">
        <v>83</v>
      </c>
      <c r="CS10" s="1" t="s">
        <v>84</v>
      </c>
      <c r="CT10" s="1" t="s">
        <v>85</v>
      </c>
      <c r="CU10" s="1" t="s">
        <v>86</v>
      </c>
      <c r="CV10" s="1" t="s">
        <v>161</v>
      </c>
      <c r="CW10" s="1" t="s">
        <v>162</v>
      </c>
      <c r="CX10" s="1" t="s">
        <v>163</v>
      </c>
      <c r="CY10" s="1" t="s">
        <v>164</v>
      </c>
      <c r="CZ10" s="1"/>
      <c r="DA10" s="1" t="s">
        <v>87</v>
      </c>
      <c r="DB10" s="1" t="s">
        <v>88</v>
      </c>
      <c r="DC10" s="1" t="s">
        <v>149</v>
      </c>
      <c r="DD10" s="1" t="s">
        <v>127</v>
      </c>
      <c r="DE10" s="1" t="s">
        <v>128</v>
      </c>
      <c r="DF10" s="1" t="s">
        <v>130</v>
      </c>
      <c r="DG10" s="1" t="s">
        <v>132</v>
      </c>
      <c r="DH10" s="1" t="s">
        <v>148</v>
      </c>
      <c r="DI10" s="1" t="s">
        <v>134</v>
      </c>
      <c r="DJ10" s="1" t="s">
        <v>167</v>
      </c>
      <c r="DK10" s="1" t="s">
        <v>123</v>
      </c>
      <c r="DL10" s="1" t="s">
        <v>129</v>
      </c>
      <c r="DM10" s="1" t="s">
        <v>131</v>
      </c>
      <c r="DN10" s="1" t="s">
        <v>133</v>
      </c>
      <c r="DO10" s="1" t="s">
        <v>143</v>
      </c>
      <c r="DP10" s="1" t="s">
        <v>135</v>
      </c>
      <c r="DQ10" s="1" t="s">
        <v>166</v>
      </c>
      <c r="DR10" s="1" t="s">
        <v>146</v>
      </c>
      <c r="DS10" s="8" t="s">
        <v>136</v>
      </c>
      <c r="DT10" s="8" t="s">
        <v>137</v>
      </c>
      <c r="DU10" s="8" t="s">
        <v>140</v>
      </c>
      <c r="DV10" s="8" t="s">
        <v>314</v>
      </c>
      <c r="DW10" t="s">
        <v>89</v>
      </c>
      <c r="DX10" t="s">
        <v>90</v>
      </c>
      <c r="DY10" t="s">
        <v>91</v>
      </c>
      <c r="DZ10" t="s">
        <v>92</v>
      </c>
      <c r="EA10" t="s">
        <v>228</v>
      </c>
      <c r="EB10" t="s">
        <v>233</v>
      </c>
      <c r="EC10" t="s">
        <v>307</v>
      </c>
      <c r="ED10" t="s">
        <v>308</v>
      </c>
      <c r="EI10" t="s">
        <v>300</v>
      </c>
      <c r="EJ10" t="s">
        <v>303</v>
      </c>
    </row>
    <row r="11" spans="1:140" ht="30.75" customHeight="1" thickBot="1">
      <c r="B11" s="82" t="s">
        <v>0</v>
      </c>
      <c r="C11" s="11" t="s">
        <v>1</v>
      </c>
      <c r="D11" s="82" t="s">
        <v>2</v>
      </c>
      <c r="E11" s="82" t="s">
        <v>3</v>
      </c>
      <c r="F11" s="82" t="s">
        <v>4</v>
      </c>
      <c r="G11" s="87" t="s">
        <v>293</v>
      </c>
      <c r="H11" s="82" t="s">
        <v>5</v>
      </c>
      <c r="I11" s="85" t="s">
        <v>6</v>
      </c>
      <c r="J11" s="82" t="s">
        <v>7</v>
      </c>
      <c r="K11" s="82" t="s">
        <v>8</v>
      </c>
      <c r="L11" s="86" t="s">
        <v>9</v>
      </c>
      <c r="M11" s="82" t="s">
        <v>10</v>
      </c>
      <c r="N11" s="82" t="s">
        <v>11</v>
      </c>
      <c r="O11" s="82"/>
      <c r="P11" s="74" t="s">
        <v>12</v>
      </c>
      <c r="Q11" s="74"/>
      <c r="R11" s="74"/>
      <c r="S11" s="74"/>
      <c r="T11" s="74"/>
      <c r="U11" s="74"/>
      <c r="V11" s="74"/>
      <c r="W11" s="82" t="s">
        <v>13</v>
      </c>
      <c r="X11" s="82" t="s">
        <v>14</v>
      </c>
      <c r="Y11" s="75" t="s">
        <v>15</v>
      </c>
      <c r="Z11" s="75"/>
      <c r="AA11" s="75"/>
      <c r="AB11" s="75"/>
      <c r="AC11" s="75"/>
      <c r="AD11" s="84" t="s">
        <v>16</v>
      </c>
      <c r="AE11" s="82" t="s">
        <v>17</v>
      </c>
      <c r="AF11" s="82" t="s">
        <v>18</v>
      </c>
      <c r="AG11" s="74" t="s">
        <v>19</v>
      </c>
      <c r="AH11" s="75" t="s">
        <v>20</v>
      </c>
      <c r="AI11" s="75"/>
      <c r="AJ11" s="75" t="s">
        <v>21</v>
      </c>
      <c r="AK11" s="75" t="s">
        <v>22</v>
      </c>
      <c r="AL11" s="76" t="s">
        <v>280</v>
      </c>
      <c r="AM11" s="74" t="s">
        <v>23</v>
      </c>
      <c r="AN11" s="75" t="s">
        <v>24</v>
      </c>
      <c r="AO11" s="76" t="s">
        <v>313</v>
      </c>
      <c r="AP11" s="75" t="s">
        <v>25</v>
      </c>
      <c r="AQ11" s="74" t="s">
        <v>26</v>
      </c>
      <c r="AR11" s="74" t="s">
        <v>27</v>
      </c>
      <c r="AS11" s="74" t="s">
        <v>28</v>
      </c>
      <c r="AT11" s="74"/>
      <c r="AU11" s="74"/>
      <c r="AV11" s="74"/>
      <c r="AW11" s="74"/>
      <c r="AX11" s="74"/>
      <c r="AY11" s="74"/>
      <c r="AZ11" s="80" t="s">
        <v>29</v>
      </c>
      <c r="BA11" s="80"/>
      <c r="BB11" s="80"/>
      <c r="BC11" s="80" t="s">
        <v>30</v>
      </c>
      <c r="BD11" s="80" t="s">
        <v>31</v>
      </c>
      <c r="BE11" s="74" t="s">
        <v>32</v>
      </c>
      <c r="BF11" s="74" t="s">
        <v>33</v>
      </c>
      <c r="BG11" s="74" t="s">
        <v>34</v>
      </c>
      <c r="BH11" s="74" t="s">
        <v>35</v>
      </c>
      <c r="BI11" s="74" t="s">
        <v>36</v>
      </c>
      <c r="BJ11" s="94" t="s">
        <v>37</v>
      </c>
      <c r="BK11" s="64" t="s">
        <v>231</v>
      </c>
      <c r="BL11" s="65" t="s">
        <v>38</v>
      </c>
      <c r="BM11" s="65" t="s">
        <v>39</v>
      </c>
      <c r="BN11" s="65" t="s">
        <v>40</v>
      </c>
      <c r="BO11" s="64" t="s">
        <v>41</v>
      </c>
      <c r="BP11" s="64" t="s">
        <v>298</v>
      </c>
      <c r="BQ11" s="91" t="s">
        <v>116</v>
      </c>
      <c r="BR11" s="91"/>
      <c r="BS11" s="91"/>
      <c r="BT11" s="91"/>
      <c r="BW11" s="2"/>
      <c r="BX11" s="2"/>
      <c r="BY11" s="2"/>
      <c r="BZ11" s="3" t="s">
        <v>151</v>
      </c>
      <c r="CA11" s="70" t="s">
        <v>152</v>
      </c>
      <c r="CB11" s="71"/>
      <c r="CC11" s="71"/>
      <c r="CD11" s="71"/>
      <c r="CE11" s="71"/>
      <c r="CF11" s="71"/>
      <c r="CG11" s="71"/>
      <c r="CH11" s="72"/>
      <c r="CI11" s="3" t="s">
        <v>279</v>
      </c>
      <c r="CJ11" s="70" t="s">
        <v>278</v>
      </c>
      <c r="CK11" s="71"/>
      <c r="CL11" s="71"/>
      <c r="CM11" s="71"/>
      <c r="CN11" s="71"/>
      <c r="CO11" s="71"/>
      <c r="CP11" s="71"/>
      <c r="CQ11" s="72"/>
      <c r="CR11" s="59" t="s">
        <v>93</v>
      </c>
      <c r="CS11" s="60"/>
      <c r="CT11" s="60"/>
      <c r="CU11" s="60"/>
      <c r="CV11" s="60"/>
      <c r="CW11" s="60"/>
      <c r="CX11" s="60"/>
      <c r="CY11" s="61"/>
      <c r="CZ11" s="62" t="s">
        <v>304</v>
      </c>
      <c r="DA11" s="62" t="s">
        <v>94</v>
      </c>
      <c r="DB11" s="62" t="s">
        <v>95</v>
      </c>
      <c r="DC11" s="62" t="s">
        <v>150</v>
      </c>
      <c r="DD11" s="59" t="s">
        <v>124</v>
      </c>
      <c r="DE11" s="60"/>
      <c r="DF11" s="60"/>
      <c r="DG11" s="60"/>
      <c r="DH11" s="60"/>
      <c r="DI11" s="60"/>
      <c r="DJ11" s="61"/>
      <c r="DK11" s="59" t="s">
        <v>276</v>
      </c>
      <c r="DL11" s="60"/>
      <c r="DM11" s="60"/>
      <c r="DN11" s="60"/>
      <c r="DO11" s="60"/>
      <c r="DP11" s="60"/>
      <c r="DQ11" s="61"/>
      <c r="DR11" s="62" t="s">
        <v>147</v>
      </c>
      <c r="DS11" s="66" t="s">
        <v>138</v>
      </c>
      <c r="DT11" s="66" t="s">
        <v>139</v>
      </c>
      <c r="DU11" s="66" t="s">
        <v>141</v>
      </c>
      <c r="DV11" s="66" t="s">
        <v>315</v>
      </c>
      <c r="DW11" s="57" t="s">
        <v>96</v>
      </c>
      <c r="DX11" s="57" t="s">
        <v>97</v>
      </c>
      <c r="DY11" s="57" t="s">
        <v>98</v>
      </c>
      <c r="DZ11" s="57" t="s">
        <v>99</v>
      </c>
      <c r="EA11" s="57" t="s">
        <v>229</v>
      </c>
      <c r="EB11" s="57" t="s">
        <v>232</v>
      </c>
      <c r="EC11" s="57" t="s">
        <v>306</v>
      </c>
      <c r="ED11" s="57" t="s">
        <v>305</v>
      </c>
      <c r="EE11" s="95" t="s">
        <v>290</v>
      </c>
      <c r="EF11" s="95" t="s">
        <v>296</v>
      </c>
      <c r="EG11" s="57" t="s">
        <v>297</v>
      </c>
      <c r="EH11" s="95" t="s">
        <v>295</v>
      </c>
      <c r="EI11" s="57" t="s">
        <v>301</v>
      </c>
      <c r="EJ11" s="57" t="s">
        <v>302</v>
      </c>
    </row>
    <row r="12" spans="1:140" ht="57.75" customHeight="1" thickBot="1">
      <c r="B12" s="82"/>
      <c r="C12" s="82" t="s">
        <v>45</v>
      </c>
      <c r="D12" s="82"/>
      <c r="E12" s="82"/>
      <c r="F12" s="82"/>
      <c r="G12" s="88"/>
      <c r="H12" s="82"/>
      <c r="I12" s="85"/>
      <c r="J12" s="82"/>
      <c r="K12" s="82"/>
      <c r="L12" s="86"/>
      <c r="M12" s="82"/>
      <c r="N12" s="74" t="s">
        <v>46</v>
      </c>
      <c r="O12" s="74" t="s">
        <v>47</v>
      </c>
      <c r="P12" s="74" t="s">
        <v>46</v>
      </c>
      <c r="Q12" s="74" t="s">
        <v>48</v>
      </c>
      <c r="R12" s="74" t="s">
        <v>49</v>
      </c>
      <c r="S12" s="74" t="s">
        <v>50</v>
      </c>
      <c r="T12" s="74" t="s">
        <v>51</v>
      </c>
      <c r="U12" s="90" t="s">
        <v>52</v>
      </c>
      <c r="V12" s="74" t="s">
        <v>53</v>
      </c>
      <c r="W12" s="82"/>
      <c r="X12" s="82"/>
      <c r="Y12" s="83" t="s">
        <v>54</v>
      </c>
      <c r="Z12" s="83"/>
      <c r="AA12" s="75" t="s">
        <v>55</v>
      </c>
      <c r="AB12" s="75" t="s">
        <v>56</v>
      </c>
      <c r="AC12" s="75" t="s">
        <v>57</v>
      </c>
      <c r="AD12" s="84"/>
      <c r="AE12" s="82"/>
      <c r="AF12" s="82"/>
      <c r="AG12" s="74"/>
      <c r="AH12" s="79" t="s">
        <v>58</v>
      </c>
      <c r="AI12" s="79" t="s">
        <v>59</v>
      </c>
      <c r="AJ12" s="75"/>
      <c r="AK12" s="75"/>
      <c r="AL12" s="77"/>
      <c r="AM12" s="74"/>
      <c r="AN12" s="75"/>
      <c r="AO12" s="77"/>
      <c r="AP12" s="75"/>
      <c r="AQ12" s="74"/>
      <c r="AR12" s="74"/>
      <c r="AS12" s="73" t="s">
        <v>60</v>
      </c>
      <c r="AT12" s="81" t="s">
        <v>61</v>
      </c>
      <c r="AU12" s="81" t="s">
        <v>62</v>
      </c>
      <c r="AV12" s="82" t="s">
        <v>63</v>
      </c>
      <c r="AW12" s="74" t="s">
        <v>64</v>
      </c>
      <c r="AX12" s="75" t="s">
        <v>65</v>
      </c>
      <c r="AY12" s="74" t="s">
        <v>66</v>
      </c>
      <c r="AZ12" s="80" t="s">
        <v>67</v>
      </c>
      <c r="BA12" s="80" t="s">
        <v>68</v>
      </c>
      <c r="BB12" s="80" t="s">
        <v>69</v>
      </c>
      <c r="BC12" s="80"/>
      <c r="BD12" s="80"/>
      <c r="BE12" s="74"/>
      <c r="BF12" s="74"/>
      <c r="BG12" s="74"/>
      <c r="BH12" s="74"/>
      <c r="BI12" s="74"/>
      <c r="BJ12" s="94"/>
      <c r="BK12" s="64"/>
      <c r="BL12" s="65"/>
      <c r="BM12" s="65"/>
      <c r="BN12" s="65"/>
      <c r="BO12" s="64"/>
      <c r="BP12" s="64"/>
      <c r="BQ12" s="91" t="s">
        <v>42</v>
      </c>
      <c r="BR12" s="93" t="s">
        <v>43</v>
      </c>
      <c r="BS12" s="92" t="s">
        <v>70</v>
      </c>
      <c r="BT12" s="92" t="s">
        <v>44</v>
      </c>
      <c r="BW12" s="4"/>
      <c r="BX12" s="4"/>
      <c r="BY12" s="4"/>
      <c r="BZ12" s="68" t="s">
        <v>100</v>
      </c>
      <c r="CA12" s="5" t="s">
        <v>101</v>
      </c>
      <c r="CB12" s="5" t="s">
        <v>283</v>
      </c>
      <c r="CC12" s="5" t="s">
        <v>142</v>
      </c>
      <c r="CD12" s="5" t="s">
        <v>102</v>
      </c>
      <c r="CE12" s="5" t="s">
        <v>103</v>
      </c>
      <c r="CF12" s="5" t="s">
        <v>104</v>
      </c>
      <c r="CG12" s="6" t="s">
        <v>105</v>
      </c>
      <c r="CH12" s="6" t="s">
        <v>106</v>
      </c>
      <c r="CI12" s="68" t="s">
        <v>100</v>
      </c>
      <c r="CJ12" s="5" t="s">
        <v>101</v>
      </c>
      <c r="CK12" s="5" t="s">
        <v>283</v>
      </c>
      <c r="CL12" s="5" t="s">
        <v>142</v>
      </c>
      <c r="CM12" s="5" t="s">
        <v>102</v>
      </c>
      <c r="CN12" s="5" t="s">
        <v>103</v>
      </c>
      <c r="CO12" s="5" t="s">
        <v>104</v>
      </c>
      <c r="CP12" s="6" t="s">
        <v>105</v>
      </c>
      <c r="CQ12" s="6" t="s">
        <v>106</v>
      </c>
      <c r="CR12" s="59" t="s">
        <v>165</v>
      </c>
      <c r="CS12" s="60"/>
      <c r="CT12" s="60"/>
      <c r="CU12" s="61"/>
      <c r="CV12" s="59" t="s">
        <v>277</v>
      </c>
      <c r="CW12" s="60"/>
      <c r="CX12" s="60"/>
      <c r="CY12" s="61"/>
      <c r="CZ12" s="63"/>
      <c r="DA12" s="63"/>
      <c r="DB12" s="63"/>
      <c r="DC12" s="63"/>
      <c r="DD12" s="62" t="s">
        <v>9</v>
      </c>
      <c r="DE12" s="62" t="s">
        <v>46</v>
      </c>
      <c r="DF12" s="62" t="s">
        <v>125</v>
      </c>
      <c r="DG12" s="62" t="s">
        <v>126</v>
      </c>
      <c r="DH12" s="62" t="s">
        <v>51</v>
      </c>
      <c r="DI12" s="62" t="s">
        <v>50</v>
      </c>
      <c r="DJ12" s="62" t="s">
        <v>52</v>
      </c>
      <c r="DK12" s="63" t="s">
        <v>9</v>
      </c>
      <c r="DL12" s="63" t="s">
        <v>46</v>
      </c>
      <c r="DM12" s="63" t="s">
        <v>125</v>
      </c>
      <c r="DN12" s="63" t="s">
        <v>126</v>
      </c>
      <c r="DO12" s="63" t="s">
        <v>51</v>
      </c>
      <c r="DP12" s="63" t="s">
        <v>50</v>
      </c>
      <c r="DQ12" s="63" t="s">
        <v>52</v>
      </c>
      <c r="DR12" s="63"/>
      <c r="DS12" s="67"/>
      <c r="DT12" s="67"/>
      <c r="DU12" s="67"/>
      <c r="DV12" s="67"/>
      <c r="DW12" s="58"/>
      <c r="DX12" s="58"/>
      <c r="DY12" s="58"/>
      <c r="DZ12" s="58"/>
      <c r="EA12" s="58"/>
      <c r="EB12" s="58"/>
      <c r="EC12" s="58"/>
      <c r="ED12" s="58"/>
      <c r="EE12" s="96"/>
      <c r="EF12" s="96"/>
      <c r="EG12" s="58"/>
      <c r="EH12" s="96"/>
      <c r="EI12" s="58"/>
      <c r="EJ12" s="58"/>
    </row>
    <row r="13" spans="1:140" ht="60">
      <c r="B13" s="82"/>
      <c r="C13" s="82"/>
      <c r="D13" s="82"/>
      <c r="E13" s="82"/>
      <c r="F13" s="82"/>
      <c r="G13" s="89"/>
      <c r="H13" s="82"/>
      <c r="I13" s="85"/>
      <c r="J13" s="82"/>
      <c r="K13" s="82"/>
      <c r="L13" s="86"/>
      <c r="M13" s="82"/>
      <c r="N13" s="74"/>
      <c r="O13" s="74"/>
      <c r="P13" s="74"/>
      <c r="Q13" s="74"/>
      <c r="R13" s="74"/>
      <c r="S13" s="74"/>
      <c r="T13" s="74"/>
      <c r="U13" s="90"/>
      <c r="V13" s="74"/>
      <c r="W13" s="82"/>
      <c r="X13" s="82"/>
      <c r="Y13" s="83"/>
      <c r="Z13" s="83"/>
      <c r="AA13" s="75"/>
      <c r="AB13" s="75"/>
      <c r="AC13" s="75"/>
      <c r="AD13" s="84"/>
      <c r="AE13" s="82"/>
      <c r="AF13" s="82"/>
      <c r="AG13" s="74"/>
      <c r="AH13" s="79"/>
      <c r="AI13" s="79"/>
      <c r="AJ13" s="75"/>
      <c r="AK13" s="75"/>
      <c r="AL13" s="78"/>
      <c r="AM13" s="74"/>
      <c r="AN13" s="75"/>
      <c r="AO13" s="78"/>
      <c r="AP13" s="75"/>
      <c r="AQ13" s="74"/>
      <c r="AR13" s="74"/>
      <c r="AS13" s="73"/>
      <c r="AT13" s="81"/>
      <c r="AU13" s="81"/>
      <c r="AV13" s="82"/>
      <c r="AW13" s="74"/>
      <c r="AX13" s="75"/>
      <c r="AY13" s="74"/>
      <c r="AZ13" s="80"/>
      <c r="BA13" s="80"/>
      <c r="BB13" s="80"/>
      <c r="BC13" s="80"/>
      <c r="BD13" s="80"/>
      <c r="BE13" s="74"/>
      <c r="BF13" s="74"/>
      <c r="BG13" s="74"/>
      <c r="BH13" s="74"/>
      <c r="BI13" s="74"/>
      <c r="BJ13" s="94"/>
      <c r="BK13" s="64"/>
      <c r="BL13" s="65"/>
      <c r="BM13" s="65"/>
      <c r="BN13" s="65"/>
      <c r="BO13" s="64"/>
      <c r="BP13" s="64"/>
      <c r="BQ13" s="91"/>
      <c r="BR13" s="93"/>
      <c r="BS13" s="92"/>
      <c r="BT13" s="92"/>
      <c r="BW13" s="4"/>
      <c r="BX13" s="4"/>
      <c r="BY13" s="4"/>
      <c r="BZ13" s="69"/>
      <c r="CA13" s="34" t="s">
        <v>107</v>
      </c>
      <c r="CB13" s="34" t="s">
        <v>284</v>
      </c>
      <c r="CC13" s="34" t="s">
        <v>108</v>
      </c>
      <c r="CD13" s="34" t="s">
        <v>109</v>
      </c>
      <c r="CE13" s="34" t="s">
        <v>110</v>
      </c>
      <c r="CF13" s="34" t="s">
        <v>111</v>
      </c>
      <c r="CG13" s="35" t="s">
        <v>112</v>
      </c>
      <c r="CH13" s="35" t="s">
        <v>113</v>
      </c>
      <c r="CI13" s="69"/>
      <c r="CJ13" s="34" t="s">
        <v>107</v>
      </c>
      <c r="CK13" s="34" t="s">
        <v>284</v>
      </c>
      <c r="CL13" s="34" t="s">
        <v>108</v>
      </c>
      <c r="CM13" s="34" t="s">
        <v>109</v>
      </c>
      <c r="CN13" s="34" t="s">
        <v>110</v>
      </c>
      <c r="CO13" s="34" t="s">
        <v>111</v>
      </c>
      <c r="CP13" s="35" t="s">
        <v>112</v>
      </c>
      <c r="CQ13" s="35" t="s">
        <v>113</v>
      </c>
      <c r="CR13" s="36" t="s">
        <v>114</v>
      </c>
      <c r="CS13" s="36" t="s">
        <v>115</v>
      </c>
      <c r="CT13" s="36" t="s">
        <v>116</v>
      </c>
      <c r="CU13" s="36" t="s">
        <v>117</v>
      </c>
      <c r="CV13" s="36" t="s">
        <v>114</v>
      </c>
      <c r="CW13" s="36" t="s">
        <v>115</v>
      </c>
      <c r="CX13" s="36" t="s">
        <v>116</v>
      </c>
      <c r="CY13" s="36" t="s">
        <v>117</v>
      </c>
      <c r="CZ13" s="98"/>
      <c r="DA13" s="63"/>
      <c r="DB13" s="63"/>
      <c r="DC13" s="63"/>
      <c r="DD13" s="63"/>
      <c r="DE13" s="63"/>
      <c r="DF13" s="63"/>
      <c r="DG13" s="63"/>
      <c r="DH13" s="63"/>
      <c r="DI13" s="63"/>
      <c r="DJ13" s="63"/>
      <c r="DK13" s="63"/>
      <c r="DL13" s="63"/>
      <c r="DM13" s="63"/>
      <c r="DN13" s="63"/>
      <c r="DO13" s="63"/>
      <c r="DP13" s="63"/>
      <c r="DQ13" s="63"/>
      <c r="DR13" s="63"/>
      <c r="DS13" s="67"/>
      <c r="DT13" s="67"/>
      <c r="DU13" s="67"/>
      <c r="DV13" s="99"/>
      <c r="DW13" s="58"/>
      <c r="DX13" s="58"/>
      <c r="DY13" s="58"/>
      <c r="DZ13" s="58"/>
      <c r="EA13" s="58"/>
      <c r="EB13" s="58"/>
      <c r="EC13" s="58"/>
      <c r="ED13" s="58"/>
      <c r="EE13" s="96"/>
      <c r="EF13" s="96"/>
      <c r="EG13" s="97"/>
      <c r="EH13" s="96"/>
      <c r="EI13" s="97"/>
      <c r="EJ13" s="58"/>
    </row>
    <row r="14" spans="1:140" s="53" customFormat="1">
      <c r="B14" s="43"/>
      <c r="C14" s="44"/>
      <c r="D14" s="43"/>
      <c r="E14" s="43">
        <v>1</v>
      </c>
      <c r="F14" s="43">
        <f>E14+1</f>
        <v>2</v>
      </c>
      <c r="G14" s="43">
        <f t="shared" ref="G14:BR14" si="0">F14+1</f>
        <v>3</v>
      </c>
      <c r="H14" s="43">
        <f t="shared" si="0"/>
        <v>4</v>
      </c>
      <c r="I14" s="43">
        <f t="shared" si="0"/>
        <v>5</v>
      </c>
      <c r="J14" s="43">
        <f t="shared" si="0"/>
        <v>6</v>
      </c>
      <c r="K14" s="43">
        <f t="shared" si="0"/>
        <v>7</v>
      </c>
      <c r="L14" s="43">
        <f t="shared" si="0"/>
        <v>8</v>
      </c>
      <c r="M14" s="43">
        <f t="shared" si="0"/>
        <v>9</v>
      </c>
      <c r="N14" s="43">
        <f t="shared" si="0"/>
        <v>10</v>
      </c>
      <c r="O14" s="43">
        <f t="shared" si="0"/>
        <v>11</v>
      </c>
      <c r="P14" s="43">
        <f t="shared" si="0"/>
        <v>12</v>
      </c>
      <c r="Q14" s="43">
        <f t="shared" si="0"/>
        <v>13</v>
      </c>
      <c r="R14" s="43">
        <f t="shared" si="0"/>
        <v>14</v>
      </c>
      <c r="S14" s="43">
        <f t="shared" si="0"/>
        <v>15</v>
      </c>
      <c r="T14" s="43">
        <f t="shared" si="0"/>
        <v>16</v>
      </c>
      <c r="U14" s="43">
        <f t="shared" si="0"/>
        <v>17</v>
      </c>
      <c r="V14" s="43">
        <f t="shared" si="0"/>
        <v>18</v>
      </c>
      <c r="W14" s="43">
        <f t="shared" si="0"/>
        <v>19</v>
      </c>
      <c r="X14" s="43">
        <f t="shared" si="0"/>
        <v>20</v>
      </c>
      <c r="Y14" s="43">
        <f t="shared" si="0"/>
        <v>21</v>
      </c>
      <c r="Z14" s="43">
        <f t="shared" si="0"/>
        <v>22</v>
      </c>
      <c r="AA14" s="43">
        <f t="shared" si="0"/>
        <v>23</v>
      </c>
      <c r="AB14" s="43">
        <f t="shared" si="0"/>
        <v>24</v>
      </c>
      <c r="AC14" s="43">
        <f t="shared" si="0"/>
        <v>25</v>
      </c>
      <c r="AD14" s="43">
        <f t="shared" si="0"/>
        <v>26</v>
      </c>
      <c r="AE14" s="43">
        <f t="shared" si="0"/>
        <v>27</v>
      </c>
      <c r="AF14" s="43">
        <f t="shared" si="0"/>
        <v>28</v>
      </c>
      <c r="AG14" s="43">
        <f t="shared" si="0"/>
        <v>29</v>
      </c>
      <c r="AH14" s="43">
        <f t="shared" si="0"/>
        <v>30</v>
      </c>
      <c r="AI14" s="43">
        <f t="shared" si="0"/>
        <v>31</v>
      </c>
      <c r="AJ14" s="43">
        <f t="shared" si="0"/>
        <v>32</v>
      </c>
      <c r="AK14" s="43">
        <f t="shared" si="0"/>
        <v>33</v>
      </c>
      <c r="AL14" s="43">
        <f t="shared" si="0"/>
        <v>34</v>
      </c>
      <c r="AM14" s="43">
        <f t="shared" si="0"/>
        <v>35</v>
      </c>
      <c r="AN14" s="43">
        <f t="shared" si="0"/>
        <v>36</v>
      </c>
      <c r="AO14" s="43">
        <f t="shared" si="0"/>
        <v>37</v>
      </c>
      <c r="AP14" s="43">
        <f t="shared" si="0"/>
        <v>38</v>
      </c>
      <c r="AQ14" s="43">
        <f t="shared" si="0"/>
        <v>39</v>
      </c>
      <c r="AR14" s="43">
        <f t="shared" si="0"/>
        <v>40</v>
      </c>
      <c r="AS14" s="43">
        <f t="shared" si="0"/>
        <v>41</v>
      </c>
      <c r="AT14" s="43">
        <f t="shared" si="0"/>
        <v>42</v>
      </c>
      <c r="AU14" s="43">
        <f t="shared" si="0"/>
        <v>43</v>
      </c>
      <c r="AV14" s="43">
        <f t="shared" si="0"/>
        <v>44</v>
      </c>
      <c r="AW14" s="43">
        <f t="shared" si="0"/>
        <v>45</v>
      </c>
      <c r="AX14" s="43">
        <f t="shared" si="0"/>
        <v>46</v>
      </c>
      <c r="AY14" s="43">
        <f t="shared" si="0"/>
        <v>47</v>
      </c>
      <c r="AZ14" s="43">
        <f t="shared" si="0"/>
        <v>48</v>
      </c>
      <c r="BA14" s="43">
        <f t="shared" si="0"/>
        <v>49</v>
      </c>
      <c r="BB14" s="43">
        <f t="shared" si="0"/>
        <v>50</v>
      </c>
      <c r="BC14" s="43">
        <f t="shared" si="0"/>
        <v>51</v>
      </c>
      <c r="BD14" s="43">
        <f t="shared" si="0"/>
        <v>52</v>
      </c>
      <c r="BE14" s="43">
        <f t="shared" si="0"/>
        <v>53</v>
      </c>
      <c r="BF14" s="43">
        <f t="shared" si="0"/>
        <v>54</v>
      </c>
      <c r="BG14" s="43">
        <f t="shared" si="0"/>
        <v>55</v>
      </c>
      <c r="BH14" s="43">
        <f t="shared" si="0"/>
        <v>56</v>
      </c>
      <c r="BI14" s="43">
        <f t="shared" si="0"/>
        <v>57</v>
      </c>
      <c r="BJ14" s="43">
        <f t="shared" si="0"/>
        <v>58</v>
      </c>
      <c r="BK14" s="43">
        <f t="shared" si="0"/>
        <v>59</v>
      </c>
      <c r="BL14" s="43">
        <f t="shared" si="0"/>
        <v>60</v>
      </c>
      <c r="BM14" s="43">
        <f t="shared" si="0"/>
        <v>61</v>
      </c>
      <c r="BN14" s="43">
        <f t="shared" si="0"/>
        <v>62</v>
      </c>
      <c r="BO14" s="43">
        <f t="shared" si="0"/>
        <v>63</v>
      </c>
      <c r="BP14" s="43">
        <f t="shared" si="0"/>
        <v>64</v>
      </c>
      <c r="BQ14" s="43">
        <f t="shared" si="0"/>
        <v>65</v>
      </c>
      <c r="BR14" s="43">
        <f t="shared" si="0"/>
        <v>66</v>
      </c>
      <c r="BS14" s="43">
        <f t="shared" ref="BS14:BT14" si="1">BR14+1</f>
        <v>67</v>
      </c>
      <c r="BT14" s="43">
        <f t="shared" si="1"/>
        <v>68</v>
      </c>
      <c r="BW14" s="54"/>
      <c r="BX14" s="54"/>
      <c r="BY14" s="54"/>
      <c r="BZ14" s="45"/>
      <c r="CA14" s="46"/>
      <c r="CB14" s="46"/>
      <c r="CC14" s="46"/>
      <c r="CD14" s="46"/>
      <c r="CE14" s="46"/>
      <c r="CF14" s="46"/>
      <c r="CG14" s="46"/>
      <c r="CH14" s="46"/>
      <c r="CI14" s="45"/>
      <c r="CJ14" s="46"/>
      <c r="CK14" s="46"/>
      <c r="CL14" s="46"/>
      <c r="CM14" s="46"/>
      <c r="CN14" s="46"/>
      <c r="CO14" s="46"/>
      <c r="CP14" s="46"/>
      <c r="CQ14" s="46"/>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47"/>
      <c r="DX14" s="47"/>
      <c r="DY14" s="47"/>
      <c r="DZ14" s="47"/>
      <c r="EA14" s="55"/>
      <c r="EB14" s="55"/>
      <c r="EC14" s="55"/>
      <c r="ED14" s="55"/>
      <c r="EE14" s="55"/>
      <c r="EF14" s="55"/>
      <c r="EG14" s="55"/>
      <c r="EH14" s="55"/>
      <c r="EI14" s="56"/>
      <c r="EJ14" s="50"/>
    </row>
    <row r="15" spans="1:140" s="9" customFormat="1">
      <c r="B15" s="51" t="s">
        <v>309</v>
      </c>
      <c r="C15" s="14"/>
      <c r="D15" s="15"/>
      <c r="E15" s="16"/>
      <c r="F15" s="16"/>
      <c r="G15" s="16"/>
      <c r="H15" s="17"/>
      <c r="I15" s="18"/>
      <c r="J15" s="19" t="e">
        <f>L15+SUM(P15:U15)</f>
        <v>#DIV/0!</v>
      </c>
      <c r="K15" s="19" t="e">
        <f>L15+S15</f>
        <v>#DIV/0!</v>
      </c>
      <c r="L15" s="20">
        <f>IF(DU15&gt;DT15,0,DK15)</f>
        <v>0</v>
      </c>
      <c r="M15" s="20">
        <f>IF(DU15&gt;DT15,DK15,IF(AND(DU15&lt;=DT15,DU15&gt;=DS15),DD15,0))</f>
        <v>0</v>
      </c>
      <c r="N15" s="20">
        <f>IF(DU15&gt;DT15,DL15,IF(AND(DU15&lt;=DT15,DU15&gt;=DS15),DE15,0))</f>
        <v>0</v>
      </c>
      <c r="O15" s="20">
        <f>IF(DU15&gt;DT15,DM15,IF(AND(DU15&lt;=DT15,DU15&gt;=DS15),DF15,0))</f>
        <v>0</v>
      </c>
      <c r="P15" s="20">
        <f>IF(DU15&lt;=DT15,IF(AND(G15&lt;&gt;"01-VP",G15&lt;&gt;"02-GTSX"),DL15,DL15/DB15*(DB15-DC15) + DE15/DB15*DC15),0)</f>
        <v>0</v>
      </c>
      <c r="Q15" s="20">
        <f>IF(DU15&lt;=DT15,IF(AND(G15&lt;&gt;"01-VP",G15&lt;&gt;"02-GTSX"),DM15,DM15/DB15*(DB15-DC15) + DF15/DB15*DC15),0)</f>
        <v>0</v>
      </c>
      <c r="R15" s="20">
        <f>IF(W15+X15&gt;=14,DN15/DB15*(DB15-DC15) + DG15/DB15*DC15,0)</f>
        <v>0</v>
      </c>
      <c r="S15" s="20" t="e">
        <f>DP15/DB15*(DB15-DC15) + DI15/DB15*DC15</f>
        <v>#DIV/0!</v>
      </c>
      <c r="T15" s="20">
        <f>IF(AND(G15&lt;&gt;"01-VP",G15&lt;&gt;"02-GTSX"),DO15,DO15/DB15*(DB15-DC15) + DH15/DB15*DC15)</f>
        <v>0</v>
      </c>
      <c r="U15" s="39" t="e">
        <f>IF(W15+X15&gt;=14,EH15,DJ15/DB15/8*(BZ15+CR15)+DQ15/DB15/8*(CI15+CV15))</f>
        <v>#DIV/0!</v>
      </c>
      <c r="V15" s="22"/>
      <c r="W15" s="52">
        <f>IF(AND(DU15&gt;DS15,DU15&lt;=DT15),(BZ15+CH15+CR15)/8,IF(DU15&gt;DT15,(CI15+CQ15+CV15)/8,0))</f>
        <v>0</v>
      </c>
      <c r="X15" s="52">
        <f>IF(DU15&lt;=DS15,(BZ15+CH15+CR15+CI15+CQ15+CV15)/8,IF(DU15&lt;=DT15,(CI15+CQ15+CV15)/8,0))</f>
        <v>0</v>
      </c>
      <c r="Y15" s="52">
        <f>CB15+CK15</f>
        <v>0</v>
      </c>
      <c r="Z15" s="52">
        <f>CA15+CB15+CJ15+CK15</f>
        <v>0</v>
      </c>
      <c r="AA15" s="52">
        <f>CD15+CM15</f>
        <v>0</v>
      </c>
      <c r="AB15" s="52">
        <f>CC15+CL15</f>
        <v>0</v>
      </c>
      <c r="AC15" s="52">
        <f>CE15+CN15</f>
        <v>0</v>
      </c>
      <c r="AD15" s="39" t="e">
        <f>ROUND(DD15/DB15/8*(BZ15+CR15)+DK15/DB15/8*(CI15+CV15),0)</f>
        <v>#DIV/0!</v>
      </c>
      <c r="AE15" s="23">
        <f>IF(DU15&lt;=DS15,IF(X15&gt;=21,100%*(P15+Q15),IF(X15&gt;=16,50%*(P15+Q15),0)),(N15+O15)/DB15*W15+(P15+Q15)/DB15*X15)</f>
        <v>0</v>
      </c>
      <c r="AF15" s="23" t="e">
        <f>IF(CZ15-AP15 &gt; 0, CZ15-AP15, 0)</f>
        <v>#DIV/0!</v>
      </c>
      <c r="AG15" s="23" t="e">
        <f>R15+S15+U15+V15+AE15+AF15</f>
        <v>#DIV/0!</v>
      </c>
      <c r="AH15" s="23">
        <f>IF(AND(DU15&lt;=DT15,DU15&gt;=DS15),IF(X15&gt;=20,DK15/26/8*(Y15+AA15+AB15+AC15),DD15/26/8*(Y15+AA15+AB15+AC15)),DK15/26/8*(Y15+AA15+AB15+AC15))</f>
        <v>0</v>
      </c>
      <c r="AI15" s="24">
        <f>IF(AND(DU15&lt;=DT15,DU15&gt;=DS15),IF(X15&gt;=20,DK15/26/8*(Y15*0.5+AA15*1+AB15*1.1+AC15*1.7),DD15/26/8*(Y15*0.5+AA15*1+AB15*1.1+AC15*2.7)),DK15/26/8*(Y15*0.5+AA15*1+AB15*1.1+AC15*1.7))</f>
        <v>0</v>
      </c>
      <c r="AJ15" s="24">
        <f>IF(AND(DU15&lt;=DT15,DU15&gt;=DS15),IF(X15&gt;=20,DK15/26/8*(Z15*1.5+AA15*2+AB15*2.1+AC15*2.7),DD15/26/8*(Z15*1.5+AA15*2+AB15*2.1+AC15*2.7)),DK15/26/8*(Z15*1.5+AA15*2+AB15*2.1+AC15*2.7))</f>
        <v>0</v>
      </c>
      <c r="AK15" s="25">
        <f t="shared" ref="AK15" si="2">AJ15-AI15-AH15</f>
        <v>0</v>
      </c>
      <c r="AL15" s="25"/>
      <c r="AM15" s="26"/>
      <c r="AN15" s="24"/>
      <c r="AO15" s="24"/>
      <c r="AP15" s="24">
        <f>MIN(EC15+ED15,T15)</f>
        <v>0</v>
      </c>
      <c r="AQ15" s="22" t="e">
        <f>ROUND((AD15+AG15+AH15+AI15+AN15+AM15+AK15+AL15+AO15),0)</f>
        <v>#DIV/0!</v>
      </c>
      <c r="AR15" s="22" t="e">
        <f>ROUND(AQ15-AI15-R15-AN15,0)+BP15</f>
        <v>#DIV/0!</v>
      </c>
      <c r="AS15" s="26">
        <f>SUM(AT15:AV15)</f>
        <v>0</v>
      </c>
      <c r="AT15" s="26">
        <f>IF(AND(OR(EA15&gt;=14,DW15=1),DW15&lt;&gt;0),K15*8%,0)</f>
        <v>0</v>
      </c>
      <c r="AU15" s="26">
        <f>IF(AND(OR(EA15&gt;=14,DY15=1),DY15&lt;&gt;0),K15*1.5%,0)</f>
        <v>0</v>
      </c>
      <c r="AV15" s="26">
        <f>IF(AND(OR(EA15&gt;=14,DX15=1),DX15&lt;&gt;0),K15*1%,0)</f>
        <v>0</v>
      </c>
      <c r="AW15" s="26">
        <f>IF(AND(AS15&gt;0,EB15&lt;=DT15,EJ15=0),25000,0)</f>
        <v>0</v>
      </c>
      <c r="AX15" s="24">
        <v>0</v>
      </c>
      <c r="AY15" s="27">
        <f>AS15+AW15+AX15</f>
        <v>0</v>
      </c>
      <c r="AZ15" s="27">
        <v>11000000</v>
      </c>
      <c r="BA15" s="21"/>
      <c r="BB15" s="28">
        <f t="shared" ref="BB15" si="3">BA15*4400000</f>
        <v>0</v>
      </c>
      <c r="BC15" s="28">
        <v>0</v>
      </c>
      <c r="BD15" s="29" t="e">
        <f>IF((AR15-AY15-AZ15-BB15-BC15+AW15)&gt;0,(AR15-AY15-AZ15-BB15-BC15+AW15),0)</f>
        <v>#DIV/0!</v>
      </c>
      <c r="BE15" s="28" t="e">
        <f>ROUND(IF(BD15&lt;5000000,BD15*0.05,IF(BD15&lt;10000000,BD15*0.1-250000,IF(BD15&lt;18000000,BD15*0.15-750000,IF(BD15&lt;32000000,BD15*0.2-1650000,IF(BD15&lt;52000000,BD15*0.25-3250000,IF(BD15&lt;80000000,BD15*0.3-5850000,BD15*0.35-9850000)))))),0)</f>
        <v>#DIV/0!</v>
      </c>
      <c r="BF15" s="30" t="e">
        <f>AQ15-AY15-BE15+BP15</f>
        <v>#DIV/0!</v>
      </c>
      <c r="BG15" s="30" t="e">
        <f>ROUNDUP((AQ15-AY15-BE15+BP15),-2)</f>
        <v>#DIV/0!</v>
      </c>
      <c r="BH15" s="30"/>
      <c r="BI15" s="30" t="e">
        <f t="shared" ref="BI15" si="4">BG15-BH15</f>
        <v>#DIV/0!</v>
      </c>
      <c r="BJ15" s="31" t="e">
        <f t="shared" ref="BJ15" si="5">+BG15+BK15</f>
        <v>#DIV/0!</v>
      </c>
      <c r="BK15" s="26">
        <f>SUM(BL15:BN15)</f>
        <v>0</v>
      </c>
      <c r="BL15" s="26">
        <f>IF(AT15&gt;0,K15*17%,0)</f>
        <v>0</v>
      </c>
      <c r="BM15" s="26">
        <f>IF(AU15&gt;0,K15*3%,0)</f>
        <v>0</v>
      </c>
      <c r="BN15" s="26">
        <f>IF(AV15&gt;0,K15*0%,0)</f>
        <v>0</v>
      </c>
      <c r="BO15" s="26">
        <f>IF(AW15&gt;0,K15*2%,0)</f>
        <v>0</v>
      </c>
      <c r="BP15" s="26"/>
      <c r="BQ15" s="32"/>
      <c r="BR15" s="32"/>
      <c r="BS15" s="32"/>
      <c r="BT15" s="32"/>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t="e">
        <f>IF(DH15="",0,DH15)/DB15*DC15+DO15/DB15*IF(AND(DU15&lt;=DT15,DU15&gt;=DS15),X15,(DB15-DC15))</f>
        <v>#DIV/0!</v>
      </c>
      <c r="DA15" s="13"/>
      <c r="DB15" s="13"/>
      <c r="DC15" s="13"/>
      <c r="DD15" s="13"/>
      <c r="DE15" s="13"/>
      <c r="DF15" s="13"/>
      <c r="DG15" s="13"/>
      <c r="DH15" s="13"/>
      <c r="DI15" s="13"/>
      <c r="DJ15" s="13"/>
      <c r="DK15" s="13"/>
      <c r="DL15" s="13"/>
      <c r="DM15" s="13"/>
      <c r="DN15" s="13"/>
      <c r="DO15" s="13"/>
      <c r="DP15" s="13"/>
      <c r="DQ15" s="13"/>
      <c r="DR15" s="13"/>
      <c r="DS15" s="38"/>
      <c r="DT15" s="38"/>
      <c r="DU15" s="38"/>
      <c r="DV15" s="38"/>
      <c r="DW15" s="13"/>
      <c r="DX15" s="13"/>
      <c r="DY15" s="13"/>
      <c r="DZ15" s="13"/>
      <c r="EA15" s="13"/>
      <c r="EB15" s="13"/>
      <c r="EC15" s="13"/>
      <c r="ED15" s="13"/>
      <c r="EE15" s="40" t="e">
        <f>AR15-AY15-AZ15-BB15-BC15+AW15</f>
        <v>#DIV/0!</v>
      </c>
      <c r="EF15" s="40">
        <f>IF(AND(EI15="Office",H15&lt;&gt;"CLEANER/PLANTER"),IF(DG15="",DN15,DG15)/DB15*DC15+DN15/DB15*(DB15-DC15),DN15)</f>
        <v>0</v>
      </c>
      <c r="EG15" s="40" t="e">
        <f>IF(DI15="",DP15,DI15)/DB15*DC15+DP15/DB15*(DB15-DC15)</f>
        <v>#DIV/0!</v>
      </c>
      <c r="EH15" s="40">
        <f>IF(BZ15+CH15+CI15+CQ15=0,0,IF(DJ15="",DQ15,DJ15)/DB15*DC15+DQ15/DB15*(DB15-DC15))</f>
        <v>0</v>
      </c>
      <c r="EI15" s="49"/>
      <c r="EJ15" s="13"/>
    </row>
  </sheetData>
  <autoFilter ref="A14:EJ14" xr:uid="{00000000-0009-0000-0000-000000000000}"/>
  <mergeCells count="124">
    <mergeCell ref="EJ11:EJ13"/>
    <mergeCell ref="EF11:EF13"/>
    <mergeCell ref="EH11:EH13"/>
    <mergeCell ref="EI11:EI13"/>
    <mergeCell ref="EG11:EG13"/>
    <mergeCell ref="DC11:DC13"/>
    <mergeCell ref="DK11:DQ11"/>
    <mergeCell ref="DE12:DE13"/>
    <mergeCell ref="BQ12:BQ13"/>
    <mergeCell ref="EE11:EE13"/>
    <mergeCell ref="DG12:DG13"/>
    <mergeCell ref="DT11:DT13"/>
    <mergeCell ref="ED11:ED13"/>
    <mergeCell ref="DD12:DD13"/>
    <mergeCell ref="DF12:DF13"/>
    <mergeCell ref="CR11:CY11"/>
    <mergeCell ref="DA11:DA13"/>
    <mergeCell ref="CZ11:CZ13"/>
    <mergeCell ref="EA11:EA13"/>
    <mergeCell ref="DZ11:DZ13"/>
    <mergeCell ref="DK12:DK13"/>
    <mergeCell ref="DV11:DV13"/>
    <mergeCell ref="DN12:DN13"/>
    <mergeCell ref="DP12:DP13"/>
    <mergeCell ref="BI11:BI13"/>
    <mergeCell ref="AU12:AU13"/>
    <mergeCell ref="AV12:AV13"/>
    <mergeCell ref="BP11:BP13"/>
    <mergeCell ref="BQ11:BT11"/>
    <mergeCell ref="BS12:BS13"/>
    <mergeCell ref="BT12:BT13"/>
    <mergeCell ref="BR12:BR13"/>
    <mergeCell ref="AZ12:AZ13"/>
    <mergeCell ref="BE11:BE13"/>
    <mergeCell ref="BJ11:BJ13"/>
    <mergeCell ref="AX12:AX13"/>
    <mergeCell ref="AS11:AY11"/>
    <mergeCell ref="BN11:BN13"/>
    <mergeCell ref="BO11:BO13"/>
    <mergeCell ref="BC11:BC13"/>
    <mergeCell ref="BD11:BD13"/>
    <mergeCell ref="B11:B13"/>
    <mergeCell ref="C12:C13"/>
    <mergeCell ref="E11:E13"/>
    <mergeCell ref="F11:F13"/>
    <mergeCell ref="H11:H13"/>
    <mergeCell ref="I11:I13"/>
    <mergeCell ref="J11:J13"/>
    <mergeCell ref="V12:V13"/>
    <mergeCell ref="W11:W13"/>
    <mergeCell ref="D11:D13"/>
    <mergeCell ref="K11:K13"/>
    <mergeCell ref="L11:L13"/>
    <mergeCell ref="M11:M13"/>
    <mergeCell ref="N12:N13"/>
    <mergeCell ref="R12:R13"/>
    <mergeCell ref="S12:S13"/>
    <mergeCell ref="T12:T13"/>
    <mergeCell ref="N11:O11"/>
    <mergeCell ref="P11:V11"/>
    <mergeCell ref="G11:G13"/>
    <mergeCell ref="U12:U13"/>
    <mergeCell ref="Q12:Q13"/>
    <mergeCell ref="AT12:AT13"/>
    <mergeCell ref="AG11:AG13"/>
    <mergeCell ref="AH12:AH13"/>
    <mergeCell ref="AE11:AE13"/>
    <mergeCell ref="AF11:AF13"/>
    <mergeCell ref="X11:X13"/>
    <mergeCell ref="Y12:Y13"/>
    <mergeCell ref="O12:O13"/>
    <mergeCell ref="P12:P13"/>
    <mergeCell ref="Y11:AC11"/>
    <mergeCell ref="AA12:AA13"/>
    <mergeCell ref="Z12:Z13"/>
    <mergeCell ref="AD11:AD13"/>
    <mergeCell ref="CA11:CH11"/>
    <mergeCell ref="AS12:AS13"/>
    <mergeCell ref="BM11:BM13"/>
    <mergeCell ref="BF11:BF13"/>
    <mergeCell ref="BG11:BG13"/>
    <mergeCell ref="BH11:BH13"/>
    <mergeCell ref="AY12:AY13"/>
    <mergeCell ref="AB12:AB13"/>
    <mergeCell ref="AC12:AC13"/>
    <mergeCell ref="AL11:AL13"/>
    <mergeCell ref="AI12:AI13"/>
    <mergeCell ref="AJ11:AJ13"/>
    <mergeCell ref="AW12:AW13"/>
    <mergeCell ref="AZ11:BB11"/>
    <mergeCell ref="AP11:AP13"/>
    <mergeCell ref="AQ11:AQ13"/>
    <mergeCell ref="AR11:AR13"/>
    <mergeCell ref="AH11:AI11"/>
    <mergeCell ref="AK11:AK13"/>
    <mergeCell ref="AM11:AM13"/>
    <mergeCell ref="AN11:AN13"/>
    <mergeCell ref="BA12:BA13"/>
    <mergeCell ref="BB12:BB13"/>
    <mergeCell ref="AO11:AO13"/>
    <mergeCell ref="EB11:EB13"/>
    <mergeCell ref="EC11:EC13"/>
    <mergeCell ref="DD11:DJ11"/>
    <mergeCell ref="DJ12:DJ13"/>
    <mergeCell ref="BK11:BK13"/>
    <mergeCell ref="BL11:BL13"/>
    <mergeCell ref="DU11:DU13"/>
    <mergeCell ref="DR11:DR13"/>
    <mergeCell ref="DH12:DH13"/>
    <mergeCell ref="DQ12:DQ13"/>
    <mergeCell ref="DB11:DB13"/>
    <mergeCell ref="DI12:DI13"/>
    <mergeCell ref="DY11:DY13"/>
    <mergeCell ref="DL12:DL13"/>
    <mergeCell ref="DM12:DM13"/>
    <mergeCell ref="DW11:DW13"/>
    <mergeCell ref="DX11:DX13"/>
    <mergeCell ref="DS11:DS13"/>
    <mergeCell ref="DO12:DO13"/>
    <mergeCell ref="BZ12:BZ13"/>
    <mergeCell ref="CI12:CI13"/>
    <mergeCell ref="CR12:CU12"/>
    <mergeCell ref="CV12:CY12"/>
    <mergeCell ref="CJ11:CQ11"/>
  </mergeCells>
  <phoneticPr fontId="20" type="noConversion"/>
  <conditionalFormatting sqref="E11">
    <cfRule type="duplicateValues" dxfId="13" priority="11" stopIfTrue="1"/>
  </conditionalFormatting>
  <conditionalFormatting sqref="E11">
    <cfRule type="duplicateValues" dxfId="12" priority="12" stopIfTrue="1"/>
  </conditionalFormatting>
  <conditionalFormatting sqref="E11">
    <cfRule type="duplicateValues" dxfId="11" priority="13" stopIfTrue="1"/>
  </conditionalFormatting>
  <conditionalFormatting sqref="E11">
    <cfRule type="duplicateValues" dxfId="10" priority="14" stopIfTrue="1"/>
  </conditionalFormatting>
  <conditionalFormatting sqref="E15">
    <cfRule type="duplicateValues" dxfId="9" priority="6" stopIfTrue="1"/>
  </conditionalFormatting>
  <conditionalFormatting sqref="E15">
    <cfRule type="duplicateValues" dxfId="8" priority="7" stopIfTrue="1"/>
  </conditionalFormatting>
  <conditionalFormatting sqref="E15">
    <cfRule type="duplicateValues" dxfId="7" priority="8" stopIfTrue="1"/>
  </conditionalFormatting>
  <conditionalFormatting sqref="E15">
    <cfRule type="duplicateValues" dxfId="6" priority="9" stopIfTrue="1"/>
  </conditionalFormatting>
  <conditionalFormatting sqref="E15">
    <cfRule type="duplicateValues" dxfId="5" priority="10" stopIfTrue="1"/>
  </conditionalFormatting>
  <conditionalFormatting sqref="F15:G15">
    <cfRule type="duplicateValues" dxfId="4" priority="1" stopIfTrue="1"/>
  </conditionalFormatting>
  <conditionalFormatting sqref="F15:G15">
    <cfRule type="duplicateValues" dxfId="3" priority="2" stopIfTrue="1"/>
  </conditionalFormatting>
  <conditionalFormatting sqref="F15:G15">
    <cfRule type="duplicateValues" dxfId="2" priority="3" stopIfTrue="1"/>
  </conditionalFormatting>
  <conditionalFormatting sqref="F15:G15">
    <cfRule type="duplicateValues" dxfId="1" priority="4" stopIfTrue="1"/>
  </conditionalFormatting>
  <conditionalFormatting sqref="F15:G15">
    <cfRule type="duplicateValues" dxfId="0" priority="5" stopIfTrue="1"/>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2022-02-15T08:02:35Z</dcterms:created>
  <dcterms:modified xsi:type="dcterms:W3CDTF">2022-09-28T06:51:20Z</dcterms:modified>
</cp:coreProperties>
</file>