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5102D156-EC4C-491D-91F9-F4A704B8B9C9}" xr6:coauthVersionLast="47" xr6:coauthVersionMax="47" xr10:uidLastSave="{00000000-0000-0000-0000-000000000000}"/>
  <bookViews>
    <workbookView xWindow="28680" yWindow="4560" windowWidth="20730" windowHeight="11160" firstSheet="1" activeTab="1" xr2:uid="{00000000-000D-0000-FFFF-FFFF00000000}"/>
  </bookViews>
  <sheets>
    <sheet name="Sheet1" sheetId="1" state="hidden" r:id="rId1"/>
    <sheet name="Sum" sheetId="2" r:id="rId2"/>
    <sheet name="보고서" sheetId="3" r:id="rId3"/>
  </sheets>
  <externalReferences>
    <externalReference r:id="rId4"/>
    <externalReference r:id="rId5"/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7" i="2" l="1"/>
  <c r="I73" i="2"/>
  <c r="X107" i="2"/>
  <c r="X73" i="2"/>
  <c r="X34" i="2"/>
  <c r="I34" i="2"/>
  <c r="I98" i="2"/>
  <c r="I95" i="2"/>
  <c r="I88" i="2"/>
  <c r="I83" i="2"/>
  <c r="I80" i="2"/>
  <c r="I64" i="2"/>
  <c r="I61" i="2"/>
  <c r="I54" i="2"/>
  <c r="I49" i="2"/>
  <c r="I46" i="2"/>
  <c r="I99" i="2"/>
  <c r="I65" i="2"/>
  <c r="X99" i="2"/>
  <c r="X65" i="2"/>
  <c r="X26" i="2"/>
  <c r="J25" i="2"/>
  <c r="J26" i="2"/>
  <c r="J22" i="2"/>
  <c r="J15" i="2"/>
  <c r="J10" i="2"/>
  <c r="J7" i="2"/>
  <c r="I25" i="2"/>
  <c r="I26" i="2"/>
  <c r="I22" i="2"/>
  <c r="I15" i="2"/>
  <c r="I10" i="2"/>
  <c r="I7" i="2"/>
  <c r="E65" i="3"/>
  <c r="E66" i="3" s="1"/>
  <c r="D65" i="3"/>
  <c r="D66" i="3" s="1"/>
  <c r="F66" i="3" s="1"/>
  <c r="K64" i="3"/>
  <c r="J64" i="3"/>
  <c r="I64" i="3"/>
  <c r="F64" i="3"/>
  <c r="E62" i="3"/>
  <c r="D62" i="3"/>
  <c r="E61" i="3"/>
  <c r="E63" i="3" s="1"/>
  <c r="D61" i="3"/>
  <c r="E59" i="3"/>
  <c r="D59" i="3"/>
  <c r="E58" i="3"/>
  <c r="D58" i="3"/>
  <c r="E56" i="3"/>
  <c r="D56" i="3"/>
  <c r="E55" i="3"/>
  <c r="D55" i="3"/>
  <c r="F55" i="3" s="1"/>
  <c r="E53" i="3"/>
  <c r="D53" i="3"/>
  <c r="K52" i="3"/>
  <c r="J52" i="3"/>
  <c r="I52" i="3"/>
  <c r="F52" i="3"/>
  <c r="E46" i="3"/>
  <c r="E47" i="3" s="1"/>
  <c r="D46" i="3"/>
  <c r="D47" i="3" s="1"/>
  <c r="K45" i="3"/>
  <c r="J45" i="3"/>
  <c r="I45" i="3"/>
  <c r="F45" i="3"/>
  <c r="E43" i="3"/>
  <c r="D43" i="3"/>
  <c r="E42" i="3"/>
  <c r="E48" i="3" s="1"/>
  <c r="D42" i="3"/>
  <c r="D48" i="3" s="1"/>
  <c r="E40" i="3"/>
  <c r="D40" i="3"/>
  <c r="E39" i="3"/>
  <c r="D39" i="3"/>
  <c r="E37" i="3"/>
  <c r="D37" i="3"/>
  <c r="E36" i="3"/>
  <c r="D36" i="3"/>
  <c r="E34" i="3"/>
  <c r="E35" i="3" s="1"/>
  <c r="D34" i="3"/>
  <c r="F34" i="3" s="1"/>
  <c r="K33" i="3"/>
  <c r="J33" i="3"/>
  <c r="F33" i="3"/>
  <c r="L33" i="3" s="1"/>
  <c r="E27" i="3"/>
  <c r="E28" i="3" s="1"/>
  <c r="D27" i="3"/>
  <c r="D28" i="3" s="1"/>
  <c r="K26" i="3"/>
  <c r="J26" i="3"/>
  <c r="I26" i="3"/>
  <c r="F26" i="3"/>
  <c r="E24" i="3"/>
  <c r="D24" i="3"/>
  <c r="E23" i="3"/>
  <c r="E29" i="3" s="1"/>
  <c r="D23" i="3"/>
  <c r="E21" i="3"/>
  <c r="D21" i="3"/>
  <c r="E20" i="3"/>
  <c r="D20" i="3"/>
  <c r="E18" i="3"/>
  <c r="D18" i="3"/>
  <c r="E17" i="3"/>
  <c r="D17" i="3"/>
  <c r="E15" i="3"/>
  <c r="D15" i="3"/>
  <c r="K14" i="3"/>
  <c r="J14" i="3"/>
  <c r="I14" i="3"/>
  <c r="F14" i="3"/>
  <c r="D12" i="3"/>
  <c r="E12" i="3" s="1"/>
  <c r="F12" i="3" s="1"/>
  <c r="E11" i="3"/>
  <c r="F11" i="3" s="1"/>
  <c r="E38" i="3" l="1"/>
  <c r="E44" i="3"/>
  <c r="F27" i="3"/>
  <c r="E60" i="3"/>
  <c r="L64" i="3"/>
  <c r="F46" i="3"/>
  <c r="L52" i="3"/>
  <c r="F53" i="3"/>
  <c r="F59" i="3"/>
  <c r="D35" i="3"/>
  <c r="F35" i="3" s="1"/>
  <c r="D30" i="3"/>
  <c r="D49" i="3"/>
  <c r="L14" i="3"/>
  <c r="F18" i="3"/>
  <c r="D60" i="3"/>
  <c r="F60" i="3" s="1"/>
  <c r="L45" i="3"/>
  <c r="E41" i="3"/>
  <c r="D44" i="3"/>
  <c r="F44" i="3" s="1"/>
  <c r="D54" i="3"/>
  <c r="D38" i="3"/>
  <c r="F38" i="3" s="1"/>
  <c r="F58" i="3"/>
  <c r="F62" i="3"/>
  <c r="F23" i="3"/>
  <c r="F43" i="3"/>
  <c r="F47" i="3"/>
  <c r="E68" i="3"/>
  <c r="E49" i="3"/>
  <c r="F49" i="3" s="1"/>
  <c r="D31" i="3"/>
  <c r="F21" i="3"/>
  <c r="D68" i="3"/>
  <c r="F15" i="3"/>
  <c r="F39" i="3"/>
  <c r="F56" i="3"/>
  <c r="F48" i="3"/>
  <c r="D50" i="3"/>
  <c r="D51" i="3" s="1"/>
  <c r="D16" i="3"/>
  <c r="D19" i="3"/>
  <c r="F17" i="3"/>
  <c r="E31" i="3"/>
  <c r="F31" i="3" s="1"/>
  <c r="E16" i="3"/>
  <c r="E19" i="3"/>
  <c r="E30" i="3"/>
  <c r="D25" i="3"/>
  <c r="D29" i="3"/>
  <c r="F36" i="3"/>
  <c r="F37" i="3"/>
  <c r="F42" i="3"/>
  <c r="E69" i="3"/>
  <c r="E54" i="3"/>
  <c r="E67" i="3"/>
  <c r="D22" i="3"/>
  <c r="F24" i="3"/>
  <c r="L26" i="3"/>
  <c r="D41" i="3"/>
  <c r="F40" i="3"/>
  <c r="D57" i="3"/>
  <c r="E25" i="3"/>
  <c r="D13" i="3"/>
  <c r="E13" i="3" s="1"/>
  <c r="F13" i="3" s="1"/>
  <c r="E22" i="3"/>
  <c r="D69" i="3"/>
  <c r="F20" i="3"/>
  <c r="F28" i="3"/>
  <c r="E50" i="3"/>
  <c r="E57" i="3"/>
  <c r="L59" i="3"/>
  <c r="D67" i="3"/>
  <c r="D63" i="3"/>
  <c r="F63" i="3" s="1"/>
  <c r="F61" i="3"/>
  <c r="F65" i="3"/>
  <c r="I78" i="3"/>
  <c r="F78" i="3"/>
  <c r="H77" i="3"/>
  <c r="G77" i="3"/>
  <c r="E77" i="3"/>
  <c r="D77" i="3"/>
  <c r="L9" i="3"/>
  <c r="L10" i="3" s="1"/>
  <c r="L8" i="3"/>
  <c r="K8" i="3"/>
  <c r="J8" i="3"/>
  <c r="L7" i="3"/>
  <c r="K7" i="3"/>
  <c r="J7" i="3"/>
  <c r="L6" i="3"/>
  <c r="K6" i="3"/>
  <c r="J6" i="3"/>
  <c r="F41" i="3" l="1"/>
  <c r="F30" i="3"/>
  <c r="E32" i="3"/>
  <c r="E51" i="3"/>
  <c r="F51" i="3" s="1"/>
  <c r="F69" i="3"/>
  <c r="F68" i="3"/>
  <c r="F50" i="3"/>
  <c r="D70" i="3"/>
  <c r="F67" i="3"/>
  <c r="E70" i="3"/>
  <c r="F57" i="3"/>
  <c r="F22" i="3"/>
  <c r="D32" i="3"/>
  <c r="F32" i="3" s="1"/>
  <c r="F29" i="3"/>
  <c r="F16" i="3"/>
  <c r="F54" i="3"/>
  <c r="F25" i="3"/>
  <c r="F19" i="3"/>
  <c r="J9" i="3"/>
  <c r="J10" i="3" s="1"/>
  <c r="K9" i="3"/>
  <c r="K10" i="3" s="1"/>
  <c r="F70" i="3" l="1"/>
  <c r="E76" i="3" l="1"/>
  <c r="E78" i="3" s="1"/>
  <c r="D76" i="3"/>
  <c r="D78" i="3" s="1"/>
  <c r="AG21" i="2" l="1"/>
  <c r="AG14" i="2"/>
  <c r="H38" i="2" l="1"/>
  <c r="F38" i="2"/>
  <c r="G11" i="3" s="1"/>
  <c r="E38" i="2"/>
  <c r="C38" i="2"/>
  <c r="B38" i="2"/>
  <c r="A38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F107" i="2"/>
  <c r="AE107" i="2"/>
  <c r="AD107" i="2"/>
  <c r="AC107" i="2"/>
  <c r="AB107" i="2"/>
  <c r="AA107" i="2"/>
  <c r="Z107" i="2"/>
  <c r="Y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H107" i="2"/>
  <c r="G107" i="2"/>
  <c r="F107" i="2"/>
  <c r="E107" i="2"/>
  <c r="AF73" i="2"/>
  <c r="AE73" i="2"/>
  <c r="AD73" i="2"/>
  <c r="AC73" i="2"/>
  <c r="AB73" i="2"/>
  <c r="AA73" i="2"/>
  <c r="Z73" i="2"/>
  <c r="Y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H73" i="2"/>
  <c r="G73" i="2"/>
  <c r="F73" i="2"/>
  <c r="E73" i="2"/>
  <c r="AF34" i="2"/>
  <c r="AE34" i="2"/>
  <c r="AD34" i="2"/>
  <c r="AC34" i="2"/>
  <c r="AB34" i="2"/>
  <c r="AA34" i="2"/>
  <c r="Z34" i="2"/>
  <c r="Y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H34" i="2"/>
  <c r="G34" i="2"/>
  <c r="F34" i="2"/>
  <c r="E34" i="2"/>
  <c r="F79" i="2"/>
  <c r="A1" i="2"/>
  <c r="H11" i="3" l="1"/>
  <c r="J11" i="3"/>
  <c r="G38" i="2"/>
  <c r="AE97" i="2"/>
  <c r="AD97" i="2"/>
  <c r="AC97" i="2"/>
  <c r="AC98" i="2" s="1"/>
  <c r="AB97" i="2"/>
  <c r="AA97" i="2"/>
  <c r="Z97" i="2"/>
  <c r="Y97" i="2"/>
  <c r="Y98" i="2" s="1"/>
  <c r="X97" i="2"/>
  <c r="W97" i="2"/>
  <c r="V97" i="2"/>
  <c r="U97" i="2"/>
  <c r="U98" i="2" s="1"/>
  <c r="T97" i="2"/>
  <c r="S97" i="2"/>
  <c r="R97" i="2"/>
  <c r="Q97" i="2"/>
  <c r="Q98" i="2" s="1"/>
  <c r="P97" i="2"/>
  <c r="O97" i="2"/>
  <c r="N97" i="2"/>
  <c r="M97" i="2"/>
  <c r="M98" i="2" s="1"/>
  <c r="L97" i="2"/>
  <c r="K97" i="2"/>
  <c r="J97" i="2"/>
  <c r="I97" i="2"/>
  <c r="H97" i="2"/>
  <c r="G97" i="2"/>
  <c r="F97" i="2"/>
  <c r="E97" i="2"/>
  <c r="E98" i="2" s="1"/>
  <c r="AE96" i="2"/>
  <c r="AE98" i="2" s="1"/>
  <c r="AD96" i="2"/>
  <c r="AC96" i="2"/>
  <c r="AB96" i="2"/>
  <c r="AB98" i="2" s="1"/>
  <c r="AA96" i="2"/>
  <c r="Z96" i="2"/>
  <c r="Y96" i="2"/>
  <c r="X96" i="2"/>
  <c r="W96" i="2"/>
  <c r="W98" i="2" s="1"/>
  <c r="V96" i="2"/>
  <c r="U96" i="2"/>
  <c r="T96" i="2"/>
  <c r="T98" i="2" s="1"/>
  <c r="S96" i="2"/>
  <c r="S98" i="2" s="1"/>
  <c r="R96" i="2"/>
  <c r="Q96" i="2"/>
  <c r="P96" i="2"/>
  <c r="P98" i="2" s="1"/>
  <c r="O96" i="2"/>
  <c r="O98" i="2" s="1"/>
  <c r="N96" i="2"/>
  <c r="M96" i="2"/>
  <c r="L96" i="2"/>
  <c r="L98" i="2" s="1"/>
  <c r="K96" i="2"/>
  <c r="J96" i="2"/>
  <c r="I96" i="2"/>
  <c r="H96" i="2"/>
  <c r="G96" i="2"/>
  <c r="G98" i="2" s="1"/>
  <c r="F96" i="2"/>
  <c r="E96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E92" i="2"/>
  <c r="AD92" i="2"/>
  <c r="AC92" i="2"/>
  <c r="AB92" i="2"/>
  <c r="AA92" i="2"/>
  <c r="Z92" i="2"/>
  <c r="Z95" i="2" s="1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J95" i="2" s="1"/>
  <c r="I92" i="2"/>
  <c r="H92" i="2"/>
  <c r="G92" i="2"/>
  <c r="F92" i="2"/>
  <c r="E92" i="2"/>
  <c r="AE91" i="2"/>
  <c r="AD91" i="2"/>
  <c r="AC91" i="2"/>
  <c r="AC95" i="2" s="1"/>
  <c r="AB91" i="2"/>
  <c r="AA91" i="2"/>
  <c r="Z91" i="2"/>
  <c r="Y91" i="2"/>
  <c r="Y95" i="2" s="1"/>
  <c r="X91" i="2"/>
  <c r="W91" i="2"/>
  <c r="V91" i="2"/>
  <c r="U91" i="2"/>
  <c r="T91" i="2"/>
  <c r="S91" i="2"/>
  <c r="R91" i="2"/>
  <c r="Q91" i="2"/>
  <c r="P91" i="2"/>
  <c r="O91" i="2"/>
  <c r="N91" i="2"/>
  <c r="M91" i="2"/>
  <c r="M95" i="2" s="1"/>
  <c r="L91" i="2"/>
  <c r="K91" i="2"/>
  <c r="J91" i="2"/>
  <c r="I91" i="2"/>
  <c r="H91" i="2"/>
  <c r="G91" i="2"/>
  <c r="F91" i="2"/>
  <c r="E91" i="2"/>
  <c r="E95" i="2" s="1"/>
  <c r="AE90" i="2"/>
  <c r="AD90" i="2"/>
  <c r="AC90" i="2"/>
  <c r="AB90" i="2"/>
  <c r="AB95" i="2" s="1"/>
  <c r="AA90" i="2"/>
  <c r="Z90" i="2"/>
  <c r="Y90" i="2"/>
  <c r="X90" i="2"/>
  <c r="W90" i="2"/>
  <c r="V90" i="2"/>
  <c r="U90" i="2"/>
  <c r="T90" i="2"/>
  <c r="T95" i="2" s="1"/>
  <c r="S90" i="2"/>
  <c r="R90" i="2"/>
  <c r="Q90" i="2"/>
  <c r="P90" i="2"/>
  <c r="P95" i="2" s="1"/>
  <c r="O90" i="2"/>
  <c r="N90" i="2"/>
  <c r="M90" i="2"/>
  <c r="L90" i="2"/>
  <c r="L95" i="2" s="1"/>
  <c r="K90" i="2"/>
  <c r="J90" i="2"/>
  <c r="I90" i="2"/>
  <c r="H90" i="2"/>
  <c r="G90" i="2"/>
  <c r="F90" i="2"/>
  <c r="E90" i="2"/>
  <c r="AE89" i="2"/>
  <c r="AE95" i="2" s="1"/>
  <c r="AD89" i="2"/>
  <c r="AC89" i="2"/>
  <c r="AB89" i="2"/>
  <c r="AA89" i="2"/>
  <c r="Z89" i="2"/>
  <c r="Y89" i="2"/>
  <c r="X89" i="2"/>
  <c r="W89" i="2"/>
  <c r="W95" i="2" s="1"/>
  <c r="V89" i="2"/>
  <c r="U89" i="2"/>
  <c r="T89" i="2"/>
  <c r="S89" i="2"/>
  <c r="S95" i="2" s="1"/>
  <c r="R89" i="2"/>
  <c r="Q89" i="2"/>
  <c r="P89" i="2"/>
  <c r="O89" i="2"/>
  <c r="O95" i="2" s="1"/>
  <c r="N89" i="2"/>
  <c r="M89" i="2"/>
  <c r="L89" i="2"/>
  <c r="K89" i="2"/>
  <c r="J89" i="2"/>
  <c r="I89" i="2"/>
  <c r="H89" i="2"/>
  <c r="G89" i="2"/>
  <c r="G95" i="2" s="1"/>
  <c r="F89" i="2"/>
  <c r="E89" i="2"/>
  <c r="AE86" i="2"/>
  <c r="AD86" i="2"/>
  <c r="AD88" i="2" s="1"/>
  <c r="AC86" i="2"/>
  <c r="AB86" i="2"/>
  <c r="AA86" i="2"/>
  <c r="Z86" i="2"/>
  <c r="Z88" i="2" s="1"/>
  <c r="Y86" i="2"/>
  <c r="X86" i="2"/>
  <c r="W86" i="2"/>
  <c r="V86" i="2"/>
  <c r="U86" i="2"/>
  <c r="T86" i="2"/>
  <c r="S86" i="2"/>
  <c r="R86" i="2"/>
  <c r="R88" i="2" s="1"/>
  <c r="Q86" i="2"/>
  <c r="P86" i="2"/>
  <c r="O86" i="2"/>
  <c r="N86" i="2"/>
  <c r="N88" i="2" s="1"/>
  <c r="M86" i="2"/>
  <c r="L86" i="2"/>
  <c r="K86" i="2"/>
  <c r="J86" i="2"/>
  <c r="J88" i="2" s="1"/>
  <c r="I86" i="2"/>
  <c r="H86" i="2"/>
  <c r="G86" i="2"/>
  <c r="F86" i="2"/>
  <c r="F88" i="2" s="1"/>
  <c r="E86" i="2"/>
  <c r="AE85" i="2"/>
  <c r="AD85" i="2"/>
  <c r="AC85" i="2"/>
  <c r="AB85" i="2"/>
  <c r="AA85" i="2"/>
  <c r="Z85" i="2"/>
  <c r="Y85" i="2"/>
  <c r="Y88" i="2" s="1"/>
  <c r="X85" i="2"/>
  <c r="W85" i="2"/>
  <c r="V85" i="2"/>
  <c r="U85" i="2"/>
  <c r="T85" i="2"/>
  <c r="S85" i="2"/>
  <c r="R85" i="2"/>
  <c r="Q85" i="2"/>
  <c r="Q88" i="2" s="1"/>
  <c r="P85" i="2"/>
  <c r="O85" i="2"/>
  <c r="N85" i="2"/>
  <c r="M85" i="2"/>
  <c r="L85" i="2"/>
  <c r="K85" i="2"/>
  <c r="J85" i="2"/>
  <c r="I85" i="2"/>
  <c r="H85" i="2"/>
  <c r="G85" i="2"/>
  <c r="F85" i="2"/>
  <c r="E85" i="2"/>
  <c r="AE84" i="2"/>
  <c r="AE88" i="2" s="1"/>
  <c r="AD84" i="2"/>
  <c r="AC84" i="2"/>
  <c r="AB84" i="2"/>
  <c r="AB88" i="2" s="1"/>
  <c r="AA84" i="2"/>
  <c r="Z84" i="2"/>
  <c r="Y84" i="2"/>
  <c r="X84" i="2"/>
  <c r="X88" i="2" s="1"/>
  <c r="W84" i="2"/>
  <c r="W88" i="2" s="1"/>
  <c r="V84" i="2"/>
  <c r="U84" i="2"/>
  <c r="T84" i="2"/>
  <c r="T88" i="2" s="1"/>
  <c r="S84" i="2"/>
  <c r="R84" i="2"/>
  <c r="Q84" i="2"/>
  <c r="P84" i="2"/>
  <c r="O84" i="2"/>
  <c r="O88" i="2" s="1"/>
  <c r="N84" i="2"/>
  <c r="M84" i="2"/>
  <c r="L84" i="2"/>
  <c r="K84" i="2"/>
  <c r="J84" i="2"/>
  <c r="I84" i="2"/>
  <c r="H84" i="2"/>
  <c r="H88" i="2" s="1"/>
  <c r="G84" i="2"/>
  <c r="G88" i="2" s="1"/>
  <c r="F84" i="2"/>
  <c r="E84" i="2"/>
  <c r="AE82" i="2"/>
  <c r="AE83" i="2" s="1"/>
  <c r="AD82" i="2"/>
  <c r="AC82" i="2"/>
  <c r="AB82" i="2"/>
  <c r="AA82" i="2"/>
  <c r="AA83" i="2" s="1"/>
  <c r="Z82" i="2"/>
  <c r="Y82" i="2"/>
  <c r="X82" i="2"/>
  <c r="W82" i="2"/>
  <c r="W83" i="2" s="1"/>
  <c r="V82" i="2"/>
  <c r="U82" i="2"/>
  <c r="T82" i="2"/>
  <c r="S82" i="2"/>
  <c r="S83" i="2" s="1"/>
  <c r="R82" i="2"/>
  <c r="Q82" i="2"/>
  <c r="P82" i="2"/>
  <c r="O82" i="2"/>
  <c r="N82" i="2"/>
  <c r="M82" i="2"/>
  <c r="L82" i="2"/>
  <c r="K82" i="2"/>
  <c r="K83" i="2" s="1"/>
  <c r="J82" i="2"/>
  <c r="I82" i="2"/>
  <c r="H82" i="2"/>
  <c r="G82" i="2"/>
  <c r="G83" i="2" s="1"/>
  <c r="F82" i="2"/>
  <c r="E82" i="2"/>
  <c r="AE81" i="2"/>
  <c r="AD81" i="2"/>
  <c r="AC81" i="2"/>
  <c r="AC83" i="2" s="1"/>
  <c r="AB81" i="2"/>
  <c r="AA81" i="2"/>
  <c r="Z81" i="2"/>
  <c r="Z83" i="2" s="1"/>
  <c r="Y81" i="2"/>
  <c r="Y83" i="2" s="1"/>
  <c r="X81" i="2"/>
  <c r="W81" i="2"/>
  <c r="V81" i="2"/>
  <c r="V83" i="2" s="1"/>
  <c r="U81" i="2"/>
  <c r="U83" i="2" s="1"/>
  <c r="T81" i="2"/>
  <c r="S81" i="2"/>
  <c r="R81" i="2"/>
  <c r="Q81" i="2"/>
  <c r="Q83" i="2" s="1"/>
  <c r="P81" i="2"/>
  <c r="O81" i="2"/>
  <c r="N81" i="2"/>
  <c r="N83" i="2" s="1"/>
  <c r="M81" i="2"/>
  <c r="L81" i="2"/>
  <c r="K81" i="2"/>
  <c r="J81" i="2"/>
  <c r="J83" i="2" s="1"/>
  <c r="I81" i="2"/>
  <c r="H81" i="2"/>
  <c r="G81" i="2"/>
  <c r="F81" i="2"/>
  <c r="E81" i="2"/>
  <c r="E83" i="2" s="1"/>
  <c r="AE79" i="2"/>
  <c r="AD79" i="2"/>
  <c r="AC79" i="2"/>
  <c r="AC80" i="2" s="1"/>
  <c r="AB79" i="2"/>
  <c r="AA79" i="2"/>
  <c r="Z79" i="2"/>
  <c r="Y79" i="2"/>
  <c r="Y80" i="2" s="1"/>
  <c r="X79" i="2"/>
  <c r="W79" i="2"/>
  <c r="V79" i="2"/>
  <c r="U79" i="2"/>
  <c r="U80" i="2" s="1"/>
  <c r="T79" i="2"/>
  <c r="S79" i="2"/>
  <c r="R79" i="2"/>
  <c r="Q79" i="2"/>
  <c r="P79" i="2"/>
  <c r="O79" i="2"/>
  <c r="N79" i="2"/>
  <c r="M79" i="2"/>
  <c r="M80" i="2" s="1"/>
  <c r="L79" i="2"/>
  <c r="K79" i="2"/>
  <c r="J79" i="2"/>
  <c r="I79" i="2"/>
  <c r="H79" i="2"/>
  <c r="G79" i="2"/>
  <c r="E79" i="2"/>
  <c r="AE78" i="2"/>
  <c r="AE80" i="2" s="1"/>
  <c r="AD78" i="2"/>
  <c r="AC78" i="2"/>
  <c r="AB78" i="2"/>
  <c r="AA78" i="2"/>
  <c r="AA80" i="2" s="1"/>
  <c r="Z78" i="2"/>
  <c r="Y78" i="2"/>
  <c r="X78" i="2"/>
  <c r="W78" i="2"/>
  <c r="V78" i="2"/>
  <c r="U78" i="2"/>
  <c r="T78" i="2"/>
  <c r="S78" i="2"/>
  <c r="S80" i="2" s="1"/>
  <c r="R78" i="2"/>
  <c r="Q78" i="2"/>
  <c r="P78" i="2"/>
  <c r="O78" i="2"/>
  <c r="O80" i="2" s="1"/>
  <c r="N78" i="2"/>
  <c r="M78" i="2"/>
  <c r="L78" i="2"/>
  <c r="K78" i="2"/>
  <c r="K80" i="2" s="1"/>
  <c r="J78" i="2"/>
  <c r="I78" i="2"/>
  <c r="H78" i="2"/>
  <c r="G78" i="2"/>
  <c r="F78" i="2"/>
  <c r="E78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F62" i="2"/>
  <c r="AF64" i="2" s="1"/>
  <c r="AE62" i="2"/>
  <c r="AE64" i="2" s="1"/>
  <c r="AD62" i="2"/>
  <c r="AC62" i="2"/>
  <c r="AB62" i="2"/>
  <c r="AB64" i="2" s="1"/>
  <c r="AA62" i="2"/>
  <c r="AA64" i="2" s="1"/>
  <c r="Z62" i="2"/>
  <c r="Y62" i="2"/>
  <c r="X62" i="2"/>
  <c r="X64" i="2" s="1"/>
  <c r="W62" i="2"/>
  <c r="W64" i="2" s="1"/>
  <c r="V62" i="2"/>
  <c r="U62" i="2"/>
  <c r="T62" i="2"/>
  <c r="T64" i="2" s="1"/>
  <c r="S62" i="2"/>
  <c r="S64" i="2" s="1"/>
  <c r="R62" i="2"/>
  <c r="Q62" i="2"/>
  <c r="P62" i="2"/>
  <c r="P64" i="2" s="1"/>
  <c r="O62" i="2"/>
  <c r="O64" i="2" s="1"/>
  <c r="N62" i="2"/>
  <c r="M62" i="2"/>
  <c r="L62" i="2"/>
  <c r="L64" i="2" s="1"/>
  <c r="K62" i="2"/>
  <c r="K64" i="2" s="1"/>
  <c r="J62" i="2"/>
  <c r="I62" i="2"/>
  <c r="H62" i="2"/>
  <c r="H64" i="2" s="1"/>
  <c r="G62" i="2"/>
  <c r="G64" i="2" s="1"/>
  <c r="F62" i="2"/>
  <c r="E62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F55" i="2"/>
  <c r="AF61" i="2" s="1"/>
  <c r="AE55" i="2"/>
  <c r="AE61" i="2" s="1"/>
  <c r="AD55" i="2"/>
  <c r="AC55" i="2"/>
  <c r="AB55" i="2"/>
  <c r="AB61" i="2" s="1"/>
  <c r="AA55" i="2"/>
  <c r="AA61" i="2" s="1"/>
  <c r="Z55" i="2"/>
  <c r="Y55" i="2"/>
  <c r="X55" i="2"/>
  <c r="X61" i="2" s="1"/>
  <c r="W55" i="2"/>
  <c r="W61" i="2" s="1"/>
  <c r="V55" i="2"/>
  <c r="U55" i="2"/>
  <c r="T55" i="2"/>
  <c r="T61" i="2" s="1"/>
  <c r="S55" i="2"/>
  <c r="S61" i="2" s="1"/>
  <c r="R55" i="2"/>
  <c r="Q55" i="2"/>
  <c r="P55" i="2"/>
  <c r="P61" i="2" s="1"/>
  <c r="O55" i="2"/>
  <c r="O61" i="2" s="1"/>
  <c r="N55" i="2"/>
  <c r="M55" i="2"/>
  <c r="L55" i="2"/>
  <c r="L61" i="2" s="1"/>
  <c r="K55" i="2"/>
  <c r="K61" i="2" s="1"/>
  <c r="J55" i="2"/>
  <c r="I55" i="2"/>
  <c r="H55" i="2"/>
  <c r="H61" i="2" s="1"/>
  <c r="G55" i="2"/>
  <c r="G61" i="2" s="1"/>
  <c r="F55" i="2"/>
  <c r="E55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F50" i="2"/>
  <c r="AF54" i="2" s="1"/>
  <c r="AE50" i="2"/>
  <c r="AE54" i="2" s="1"/>
  <c r="AD50" i="2"/>
  <c r="AC50" i="2"/>
  <c r="AB50" i="2"/>
  <c r="AB54" i="2" s="1"/>
  <c r="AA50" i="2"/>
  <c r="AA54" i="2" s="1"/>
  <c r="Z50" i="2"/>
  <c r="Y50" i="2"/>
  <c r="X50" i="2"/>
  <c r="X54" i="2" s="1"/>
  <c r="W50" i="2"/>
  <c r="W54" i="2" s="1"/>
  <c r="V50" i="2"/>
  <c r="U50" i="2"/>
  <c r="T50" i="2"/>
  <c r="T54" i="2" s="1"/>
  <c r="S50" i="2"/>
  <c r="S54" i="2" s="1"/>
  <c r="R50" i="2"/>
  <c r="Q50" i="2"/>
  <c r="P50" i="2"/>
  <c r="P54" i="2" s="1"/>
  <c r="O50" i="2"/>
  <c r="O54" i="2" s="1"/>
  <c r="N50" i="2"/>
  <c r="M50" i="2"/>
  <c r="L50" i="2"/>
  <c r="L54" i="2" s="1"/>
  <c r="K50" i="2"/>
  <c r="K54" i="2" s="1"/>
  <c r="J50" i="2"/>
  <c r="I50" i="2"/>
  <c r="H50" i="2"/>
  <c r="H54" i="2" s="1"/>
  <c r="G50" i="2"/>
  <c r="G54" i="2" s="1"/>
  <c r="F50" i="2"/>
  <c r="E50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F47" i="2"/>
  <c r="AF49" i="2" s="1"/>
  <c r="AE47" i="2"/>
  <c r="AE49" i="2" s="1"/>
  <c r="AD47" i="2"/>
  <c r="AC47" i="2"/>
  <c r="AB47" i="2"/>
  <c r="AB49" i="2" s="1"/>
  <c r="AA47" i="2"/>
  <c r="AA49" i="2" s="1"/>
  <c r="Z47" i="2"/>
  <c r="Y47" i="2"/>
  <c r="X47" i="2"/>
  <c r="X49" i="2" s="1"/>
  <c r="W47" i="2"/>
  <c r="W49" i="2" s="1"/>
  <c r="V47" i="2"/>
  <c r="U47" i="2"/>
  <c r="T47" i="2"/>
  <c r="T49" i="2" s="1"/>
  <c r="S47" i="2"/>
  <c r="S49" i="2" s="1"/>
  <c r="R47" i="2"/>
  <c r="Q47" i="2"/>
  <c r="P47" i="2"/>
  <c r="P49" i="2" s="1"/>
  <c r="O47" i="2"/>
  <c r="O49" i="2" s="1"/>
  <c r="N47" i="2"/>
  <c r="M47" i="2"/>
  <c r="L47" i="2"/>
  <c r="L49" i="2" s="1"/>
  <c r="K47" i="2"/>
  <c r="K49" i="2" s="1"/>
  <c r="J47" i="2"/>
  <c r="I47" i="2"/>
  <c r="H47" i="2"/>
  <c r="H49" i="2" s="1"/>
  <c r="G47" i="2"/>
  <c r="G49" i="2" s="1"/>
  <c r="F47" i="2"/>
  <c r="E47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F44" i="2"/>
  <c r="AF46" i="2" s="1"/>
  <c r="AF65" i="2" s="1"/>
  <c r="AE44" i="2"/>
  <c r="AD44" i="2"/>
  <c r="AC44" i="2"/>
  <c r="AB44" i="2"/>
  <c r="AB46" i="2" s="1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F23" i="2"/>
  <c r="AE23" i="2"/>
  <c r="AE25" i="2" s="1"/>
  <c r="AD23" i="2"/>
  <c r="AC23" i="2"/>
  <c r="AB23" i="2"/>
  <c r="AB25" i="2" s="1"/>
  <c r="AA23" i="2"/>
  <c r="AA25" i="2" s="1"/>
  <c r="Z23" i="2"/>
  <c r="Y23" i="2"/>
  <c r="X23" i="2"/>
  <c r="X25" i="2" s="1"/>
  <c r="W23" i="2"/>
  <c r="W25" i="2" s="1"/>
  <c r="V23" i="2"/>
  <c r="U23" i="2"/>
  <c r="T23" i="2"/>
  <c r="T25" i="2" s="1"/>
  <c r="S23" i="2"/>
  <c r="S25" i="2" s="1"/>
  <c r="R23" i="2"/>
  <c r="Q23" i="2"/>
  <c r="P23" i="2"/>
  <c r="P25" i="2" s="1"/>
  <c r="O23" i="2"/>
  <c r="O25" i="2" s="1"/>
  <c r="N23" i="2"/>
  <c r="M23" i="2"/>
  <c r="L23" i="2"/>
  <c r="L25" i="2" s="1"/>
  <c r="K23" i="2"/>
  <c r="K25" i="2" s="1"/>
  <c r="J23" i="2"/>
  <c r="I23" i="2"/>
  <c r="H23" i="2"/>
  <c r="H25" i="2" s="1"/>
  <c r="G23" i="2"/>
  <c r="G25" i="2" s="1"/>
  <c r="F23" i="2"/>
  <c r="E23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AG20" i="2" s="1"/>
  <c r="K20" i="2"/>
  <c r="J20" i="2"/>
  <c r="I20" i="2"/>
  <c r="H20" i="2"/>
  <c r="G20" i="2"/>
  <c r="F20" i="2"/>
  <c r="E20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AG19" i="2" s="1"/>
  <c r="K19" i="2"/>
  <c r="J19" i="2"/>
  <c r="I19" i="2"/>
  <c r="H19" i="2"/>
  <c r="G19" i="2"/>
  <c r="F19" i="2"/>
  <c r="E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AG18" i="2" s="1"/>
  <c r="K18" i="2"/>
  <c r="J18" i="2"/>
  <c r="I18" i="2"/>
  <c r="H18" i="2"/>
  <c r="G18" i="2"/>
  <c r="F18" i="2"/>
  <c r="E18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AG17" i="2" s="1"/>
  <c r="K17" i="2"/>
  <c r="J17" i="2"/>
  <c r="I17" i="2"/>
  <c r="H17" i="2"/>
  <c r="G17" i="2"/>
  <c r="F17" i="2"/>
  <c r="E17" i="2"/>
  <c r="H20" i="3" s="1"/>
  <c r="K20" i="3" s="1"/>
  <c r="AF16" i="2"/>
  <c r="AE16" i="2"/>
  <c r="AE22" i="2" s="1"/>
  <c r="AD16" i="2"/>
  <c r="AC16" i="2"/>
  <c r="AB16" i="2"/>
  <c r="AB22" i="2" s="1"/>
  <c r="AA16" i="2"/>
  <c r="AA22" i="2" s="1"/>
  <c r="Z16" i="2"/>
  <c r="Y16" i="2"/>
  <c r="X16" i="2"/>
  <c r="X22" i="2" s="1"/>
  <c r="W16" i="2"/>
  <c r="W22" i="2" s="1"/>
  <c r="V16" i="2"/>
  <c r="U16" i="2"/>
  <c r="G58" i="3" s="1"/>
  <c r="T16" i="2"/>
  <c r="T22" i="2" s="1"/>
  <c r="S16" i="2"/>
  <c r="S22" i="2" s="1"/>
  <c r="R16" i="2"/>
  <c r="Q16" i="2"/>
  <c r="P16" i="2"/>
  <c r="P22" i="2" s="1"/>
  <c r="O16" i="2"/>
  <c r="O22" i="2" s="1"/>
  <c r="N16" i="2"/>
  <c r="M16" i="2"/>
  <c r="L16" i="2"/>
  <c r="K16" i="2"/>
  <c r="K22" i="2" s="1"/>
  <c r="J16" i="2"/>
  <c r="I16" i="2"/>
  <c r="H16" i="2"/>
  <c r="H22" i="2" s="1"/>
  <c r="G16" i="2"/>
  <c r="G22" i="2" s="1"/>
  <c r="F16" i="2"/>
  <c r="E16" i="2"/>
  <c r="G20" i="3" s="1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AG13" i="2" s="1"/>
  <c r="K13" i="2"/>
  <c r="J13" i="2"/>
  <c r="I13" i="2"/>
  <c r="H13" i="2"/>
  <c r="G13" i="2"/>
  <c r="F13" i="2"/>
  <c r="E13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AG12" i="2" s="1"/>
  <c r="K12" i="2"/>
  <c r="J12" i="2"/>
  <c r="I12" i="2"/>
  <c r="H12" i="2"/>
  <c r="G12" i="2"/>
  <c r="F12" i="2"/>
  <c r="E12" i="2"/>
  <c r="AF11" i="2"/>
  <c r="AE11" i="2"/>
  <c r="AE15" i="2" s="1"/>
  <c r="AD11" i="2"/>
  <c r="AC11" i="2"/>
  <c r="AB11" i="2"/>
  <c r="AA11" i="2"/>
  <c r="AA15" i="2" s="1"/>
  <c r="Z11" i="2"/>
  <c r="Y11" i="2"/>
  <c r="X11" i="2"/>
  <c r="W11" i="2"/>
  <c r="W15" i="2" s="1"/>
  <c r="V11" i="2"/>
  <c r="U11" i="2"/>
  <c r="H55" i="3" s="1"/>
  <c r="T11" i="2"/>
  <c r="S11" i="2"/>
  <c r="S15" i="2" s="1"/>
  <c r="R11" i="2"/>
  <c r="Q11" i="2"/>
  <c r="P11" i="2"/>
  <c r="O11" i="2"/>
  <c r="O15" i="2" s="1"/>
  <c r="N11" i="2"/>
  <c r="M11" i="2"/>
  <c r="L11" i="2"/>
  <c r="AG11" i="2" s="1"/>
  <c r="K11" i="2"/>
  <c r="K15" i="2" s="1"/>
  <c r="J11" i="2"/>
  <c r="I11" i="2"/>
  <c r="H11" i="2"/>
  <c r="G11" i="2"/>
  <c r="G15" i="2" s="1"/>
  <c r="F11" i="2"/>
  <c r="E11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F8" i="2"/>
  <c r="AE8" i="2"/>
  <c r="AE10" i="2" s="1"/>
  <c r="AD8" i="2"/>
  <c r="AC8" i="2"/>
  <c r="AB8" i="2"/>
  <c r="AA8" i="2"/>
  <c r="AA10" i="2" s="1"/>
  <c r="Z8" i="2"/>
  <c r="Y8" i="2"/>
  <c r="X8" i="2"/>
  <c r="W8" i="2"/>
  <c r="W10" i="2" s="1"/>
  <c r="V8" i="2"/>
  <c r="U8" i="2"/>
  <c r="T8" i="2"/>
  <c r="S8" i="2"/>
  <c r="S10" i="2" s="1"/>
  <c r="R8" i="2"/>
  <c r="Q8" i="2"/>
  <c r="P8" i="2"/>
  <c r="O8" i="2"/>
  <c r="O10" i="2" s="1"/>
  <c r="N8" i="2"/>
  <c r="M8" i="2"/>
  <c r="L8" i="2"/>
  <c r="K8" i="2"/>
  <c r="K10" i="2" s="1"/>
  <c r="J8" i="2"/>
  <c r="I8" i="2"/>
  <c r="H8" i="2"/>
  <c r="G8" i="2"/>
  <c r="G10" i="2" s="1"/>
  <c r="F8" i="2"/>
  <c r="E8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AF5" i="2"/>
  <c r="AE5" i="2"/>
  <c r="AD5" i="2"/>
  <c r="AC5" i="2"/>
  <c r="AB5" i="2"/>
  <c r="AB7" i="2" s="1"/>
  <c r="AA5" i="2"/>
  <c r="Z5" i="2"/>
  <c r="Y5" i="2"/>
  <c r="X5" i="2"/>
  <c r="W5" i="2"/>
  <c r="V5" i="2"/>
  <c r="U5" i="2"/>
  <c r="T5" i="2"/>
  <c r="S5" i="2"/>
  <c r="R5" i="2"/>
  <c r="Q5" i="2"/>
  <c r="P5" i="2"/>
  <c r="P7" i="2" s="1"/>
  <c r="O5" i="2"/>
  <c r="N5" i="2"/>
  <c r="M5" i="2"/>
  <c r="L5" i="2"/>
  <c r="L7" i="2" s="1"/>
  <c r="K5" i="2"/>
  <c r="J5" i="2"/>
  <c r="I5" i="2"/>
  <c r="H5" i="2"/>
  <c r="G5" i="2"/>
  <c r="F5" i="2"/>
  <c r="E5" i="2"/>
  <c r="AA98" i="2"/>
  <c r="K98" i="2"/>
  <c r="AD98" i="2"/>
  <c r="Z98" i="2"/>
  <c r="V98" i="2"/>
  <c r="R98" i="2"/>
  <c r="N98" i="2"/>
  <c r="J98" i="2"/>
  <c r="F98" i="2"/>
  <c r="U95" i="2"/>
  <c r="V88" i="2"/>
  <c r="L88" i="2"/>
  <c r="AA88" i="2"/>
  <c r="S88" i="2"/>
  <c r="K88" i="2"/>
  <c r="AD83" i="2"/>
  <c r="O83" i="2"/>
  <c r="X83" i="2"/>
  <c r="T83" i="2"/>
  <c r="M83" i="2"/>
  <c r="AB80" i="2"/>
  <c r="T80" i="2"/>
  <c r="L80" i="2"/>
  <c r="AD80" i="2"/>
  <c r="Z80" i="2"/>
  <c r="V80" i="2"/>
  <c r="R80" i="2"/>
  <c r="Q80" i="2"/>
  <c r="N80" i="2"/>
  <c r="J80" i="2"/>
  <c r="F80" i="2"/>
  <c r="E80" i="2"/>
  <c r="AD64" i="2"/>
  <c r="AC64" i="2"/>
  <c r="Z64" i="2"/>
  <c r="Y64" i="2"/>
  <c r="V64" i="2"/>
  <c r="U64" i="2"/>
  <c r="R64" i="2"/>
  <c r="Q64" i="2"/>
  <c r="N64" i="2"/>
  <c r="M64" i="2"/>
  <c r="J64" i="2"/>
  <c r="F64" i="2"/>
  <c r="E64" i="2"/>
  <c r="AD61" i="2"/>
  <c r="AC61" i="2"/>
  <c r="Z61" i="2"/>
  <c r="Y61" i="2"/>
  <c r="V61" i="2"/>
  <c r="U61" i="2"/>
  <c r="R61" i="2"/>
  <c r="Q61" i="2"/>
  <c r="N61" i="2"/>
  <c r="M61" i="2"/>
  <c r="J61" i="2"/>
  <c r="F61" i="2"/>
  <c r="E61" i="2"/>
  <c r="AD54" i="2"/>
  <c r="AC54" i="2"/>
  <c r="Z54" i="2"/>
  <c r="Y54" i="2"/>
  <c r="V54" i="2"/>
  <c r="U54" i="2"/>
  <c r="R54" i="2"/>
  <c r="Q54" i="2"/>
  <c r="N54" i="2"/>
  <c r="M54" i="2"/>
  <c r="J54" i="2"/>
  <c r="F54" i="2"/>
  <c r="E54" i="2"/>
  <c r="AD49" i="2"/>
  <c r="AC49" i="2"/>
  <c r="Z49" i="2"/>
  <c r="Y49" i="2"/>
  <c r="V49" i="2"/>
  <c r="U49" i="2"/>
  <c r="R49" i="2"/>
  <c r="Q49" i="2"/>
  <c r="N49" i="2"/>
  <c r="M49" i="2"/>
  <c r="J49" i="2"/>
  <c r="F49" i="2"/>
  <c r="E49" i="2"/>
  <c r="AD25" i="2"/>
  <c r="AC25" i="2"/>
  <c r="Z25" i="2"/>
  <c r="Y25" i="2"/>
  <c r="V25" i="2"/>
  <c r="U25" i="2"/>
  <c r="R25" i="2"/>
  <c r="Q25" i="2"/>
  <c r="N25" i="2"/>
  <c r="M25" i="2"/>
  <c r="F25" i="2"/>
  <c r="E25" i="2"/>
  <c r="AD22" i="2"/>
  <c r="AC22" i="2"/>
  <c r="Z22" i="2"/>
  <c r="Y22" i="2"/>
  <c r="V22" i="2"/>
  <c r="U22" i="2"/>
  <c r="R22" i="2"/>
  <c r="Q22" i="2"/>
  <c r="N22" i="2"/>
  <c r="M22" i="2"/>
  <c r="F22" i="2"/>
  <c r="E22" i="2"/>
  <c r="AD15" i="2"/>
  <c r="AC15" i="2"/>
  <c r="AB15" i="2"/>
  <c r="Z15" i="2"/>
  <c r="Y15" i="2"/>
  <c r="X15" i="2"/>
  <c r="V15" i="2"/>
  <c r="U15" i="2"/>
  <c r="G55" i="3" s="1"/>
  <c r="T15" i="2"/>
  <c r="R15" i="2"/>
  <c r="Q15" i="2"/>
  <c r="P15" i="2"/>
  <c r="N15" i="2"/>
  <c r="M15" i="2"/>
  <c r="L15" i="2"/>
  <c r="H15" i="2"/>
  <c r="F15" i="2"/>
  <c r="E15" i="2"/>
  <c r="AD10" i="2"/>
  <c r="AC10" i="2"/>
  <c r="AB10" i="2"/>
  <c r="Z10" i="2"/>
  <c r="Y10" i="2"/>
  <c r="X10" i="2"/>
  <c r="V10" i="2"/>
  <c r="U10" i="2"/>
  <c r="T10" i="2"/>
  <c r="R10" i="2"/>
  <c r="Q10" i="2"/>
  <c r="P10" i="2"/>
  <c r="N10" i="2"/>
  <c r="M10" i="2"/>
  <c r="L10" i="2"/>
  <c r="H10" i="2"/>
  <c r="F10" i="2"/>
  <c r="E10" i="2"/>
  <c r="AD7" i="2"/>
  <c r="AC7" i="2"/>
  <c r="Z7" i="2"/>
  <c r="Y7" i="2"/>
  <c r="X7" i="2"/>
  <c r="V7" i="2"/>
  <c r="U7" i="2"/>
  <c r="T7" i="2"/>
  <c r="R7" i="2"/>
  <c r="Q7" i="2"/>
  <c r="N7" i="2"/>
  <c r="M7" i="2"/>
  <c r="H7" i="2"/>
  <c r="F7" i="2"/>
  <c r="E7" i="2"/>
  <c r="J55" i="3" l="1"/>
  <c r="G68" i="3"/>
  <c r="I55" i="3"/>
  <c r="L55" i="3" s="1"/>
  <c r="AE99" i="2"/>
  <c r="M26" i="2"/>
  <c r="P26" i="2"/>
  <c r="AB26" i="2"/>
  <c r="L22" i="2"/>
  <c r="AG22" i="2" s="1"/>
  <c r="AG16" i="2"/>
  <c r="H80" i="2"/>
  <c r="P80" i="2"/>
  <c r="X80" i="2"/>
  <c r="H53" i="3"/>
  <c r="G53" i="3"/>
  <c r="H46" i="3"/>
  <c r="G46" i="3"/>
  <c r="H34" i="3"/>
  <c r="G34" i="3"/>
  <c r="H27" i="3"/>
  <c r="G27" i="3"/>
  <c r="H65" i="3"/>
  <c r="G65" i="3"/>
  <c r="H24" i="3"/>
  <c r="G24" i="3"/>
  <c r="H62" i="3"/>
  <c r="K62" i="3" s="1"/>
  <c r="G62" i="3"/>
  <c r="H23" i="3"/>
  <c r="G23" i="3"/>
  <c r="H61" i="3"/>
  <c r="G61" i="3"/>
  <c r="H17" i="3"/>
  <c r="G17" i="3"/>
  <c r="K55" i="3"/>
  <c r="H18" i="3"/>
  <c r="G18" i="3"/>
  <c r="H56" i="3"/>
  <c r="G56" i="3"/>
  <c r="I20" i="3"/>
  <c r="L20" i="3" s="1"/>
  <c r="J20" i="3"/>
  <c r="J58" i="3"/>
  <c r="G21" i="3"/>
  <c r="H21" i="3"/>
  <c r="H59" i="3"/>
  <c r="G59" i="3"/>
  <c r="H58" i="3"/>
  <c r="K58" i="3" s="1"/>
  <c r="O99" i="2"/>
  <c r="H15" i="3"/>
  <c r="G15" i="3"/>
  <c r="AG15" i="2"/>
  <c r="AC26" i="2"/>
  <c r="H43" i="3"/>
  <c r="K43" i="3" s="1"/>
  <c r="G43" i="3"/>
  <c r="G42" i="3"/>
  <c r="H42" i="3"/>
  <c r="H36" i="3"/>
  <c r="G36" i="3"/>
  <c r="H37" i="3"/>
  <c r="G37" i="3"/>
  <c r="H39" i="3"/>
  <c r="K39" i="3" s="1"/>
  <c r="G39" i="3"/>
  <c r="H40" i="3"/>
  <c r="G40" i="3"/>
  <c r="F83" i="2"/>
  <c r="R83" i="2"/>
  <c r="P88" i="2"/>
  <c r="E88" i="2"/>
  <c r="M88" i="2"/>
  <c r="U88" i="2"/>
  <c r="AC88" i="2"/>
  <c r="AC99" i="2" s="1"/>
  <c r="F95" i="2"/>
  <c r="N95" i="2"/>
  <c r="R95" i="2"/>
  <c r="V95" i="2"/>
  <c r="V99" i="2" s="1"/>
  <c r="AD95" i="2"/>
  <c r="K95" i="2"/>
  <c r="AA95" i="2"/>
  <c r="H95" i="2"/>
  <c r="X95" i="2"/>
  <c r="Q95" i="2"/>
  <c r="H98" i="2"/>
  <c r="X98" i="2"/>
  <c r="I11" i="3"/>
  <c r="L11" i="3" s="1"/>
  <c r="K11" i="3"/>
  <c r="T26" i="2"/>
  <c r="Y26" i="2"/>
  <c r="K99" i="2"/>
  <c r="AA99" i="2"/>
  <c r="G80" i="2"/>
  <c r="G99" i="2" s="1"/>
  <c r="W80" i="2"/>
  <c r="W99" i="2" s="1"/>
  <c r="H26" i="2"/>
  <c r="E26" i="2"/>
  <c r="U26" i="2"/>
  <c r="T99" i="2"/>
  <c r="Q26" i="2"/>
  <c r="S99" i="2"/>
  <c r="E99" i="2"/>
  <c r="M99" i="2"/>
  <c r="Q99" i="2"/>
  <c r="U99" i="2"/>
  <c r="Y99" i="2"/>
  <c r="H83" i="2"/>
  <c r="L83" i="2"/>
  <c r="L99" i="2" s="1"/>
  <c r="P83" i="2"/>
  <c r="AB83" i="2"/>
  <c r="AB99" i="2" s="1"/>
  <c r="F99" i="2"/>
  <c r="J99" i="2"/>
  <c r="N99" i="2"/>
  <c r="R99" i="2"/>
  <c r="Z99" i="2"/>
  <c r="AD99" i="2"/>
  <c r="T65" i="2"/>
  <c r="AB65" i="2"/>
  <c r="E46" i="2"/>
  <c r="E65" i="2" s="1"/>
  <c r="M46" i="2"/>
  <c r="M65" i="2" s="1"/>
  <c r="Q46" i="2"/>
  <c r="Q65" i="2" s="1"/>
  <c r="U46" i="2"/>
  <c r="U65" i="2" s="1"/>
  <c r="Y46" i="2"/>
  <c r="Y65" i="2" s="1"/>
  <c r="AC46" i="2"/>
  <c r="AC65" i="2" s="1"/>
  <c r="H46" i="2"/>
  <c r="H65" i="2" s="1"/>
  <c r="L46" i="2"/>
  <c r="L65" i="2" s="1"/>
  <c r="P46" i="2"/>
  <c r="P65" i="2" s="1"/>
  <c r="T46" i="2"/>
  <c r="X46" i="2"/>
  <c r="F46" i="2"/>
  <c r="F65" i="2" s="1"/>
  <c r="J46" i="2"/>
  <c r="J65" i="2" s="1"/>
  <c r="N46" i="2"/>
  <c r="N65" i="2" s="1"/>
  <c r="R46" i="2"/>
  <c r="R65" i="2" s="1"/>
  <c r="V46" i="2"/>
  <c r="V65" i="2" s="1"/>
  <c r="Z46" i="2"/>
  <c r="Z65" i="2" s="1"/>
  <c r="AD46" i="2"/>
  <c r="AD65" i="2" s="1"/>
  <c r="G46" i="2"/>
  <c r="G65" i="2" s="1"/>
  <c r="K46" i="2"/>
  <c r="K65" i="2" s="1"/>
  <c r="O46" i="2"/>
  <c r="O65" i="2" s="1"/>
  <c r="S46" i="2"/>
  <c r="S65" i="2" s="1"/>
  <c r="W46" i="2"/>
  <c r="W65" i="2" s="1"/>
  <c r="AA46" i="2"/>
  <c r="AA65" i="2" s="1"/>
  <c r="AE46" i="2"/>
  <c r="AE65" i="2" s="1"/>
  <c r="K7" i="2"/>
  <c r="K26" i="2" s="1"/>
  <c r="W7" i="2"/>
  <c r="W26" i="2" s="1"/>
  <c r="AE7" i="2"/>
  <c r="AE26" i="2" s="1"/>
  <c r="F26" i="2"/>
  <c r="N26" i="2"/>
  <c r="R26" i="2"/>
  <c r="V26" i="2"/>
  <c r="Z26" i="2"/>
  <c r="AD26" i="2"/>
  <c r="G7" i="2"/>
  <c r="G26" i="2" s="1"/>
  <c r="O7" i="2"/>
  <c r="O26" i="2" s="1"/>
  <c r="S7" i="2"/>
  <c r="S26" i="2" s="1"/>
  <c r="AA7" i="2"/>
  <c r="AA26" i="2" s="1"/>
  <c r="K40" i="3" l="1"/>
  <c r="H41" i="3"/>
  <c r="K41" i="3" s="1"/>
  <c r="J21" i="3"/>
  <c r="G22" i="3"/>
  <c r="I21" i="3"/>
  <c r="L21" i="3" s="1"/>
  <c r="H30" i="3"/>
  <c r="K30" i="3" s="1"/>
  <c r="K17" i="3"/>
  <c r="H28" i="3"/>
  <c r="K28" i="3" s="1"/>
  <c r="K27" i="3"/>
  <c r="P99" i="2"/>
  <c r="J39" i="3"/>
  <c r="I39" i="3"/>
  <c r="L39" i="3" s="1"/>
  <c r="G49" i="3"/>
  <c r="I36" i="3"/>
  <c r="L36" i="3" s="1"/>
  <c r="J36" i="3"/>
  <c r="J43" i="3"/>
  <c r="I43" i="3"/>
  <c r="L43" i="3" s="1"/>
  <c r="G16" i="3"/>
  <c r="J15" i="3"/>
  <c r="G31" i="3"/>
  <c r="I15" i="3"/>
  <c r="L15" i="3" s="1"/>
  <c r="G60" i="3"/>
  <c r="J59" i="3"/>
  <c r="J56" i="3"/>
  <c r="G57" i="3"/>
  <c r="I56" i="3"/>
  <c r="L56" i="3" s="1"/>
  <c r="I61" i="3"/>
  <c r="L61" i="3" s="1"/>
  <c r="J61" i="3"/>
  <c r="G67" i="3"/>
  <c r="G63" i="3"/>
  <c r="J62" i="3"/>
  <c r="I62" i="3"/>
  <c r="L62" i="3" s="1"/>
  <c r="G66" i="3"/>
  <c r="J65" i="3"/>
  <c r="I65" i="3"/>
  <c r="L65" i="3" s="1"/>
  <c r="G35" i="3"/>
  <c r="G50" i="3"/>
  <c r="I34" i="3"/>
  <c r="L34" i="3" s="1"/>
  <c r="J34" i="3"/>
  <c r="G54" i="3"/>
  <c r="J53" i="3"/>
  <c r="G69" i="3"/>
  <c r="I53" i="3"/>
  <c r="L53" i="3" s="1"/>
  <c r="H38" i="3"/>
  <c r="K38" i="3" s="1"/>
  <c r="K37" i="3"/>
  <c r="K18" i="3"/>
  <c r="H19" i="3"/>
  <c r="K19" i="3" s="1"/>
  <c r="H29" i="3"/>
  <c r="K23" i="3"/>
  <c r="H25" i="3"/>
  <c r="K25" i="3" s="1"/>
  <c r="K24" i="3"/>
  <c r="H47" i="3"/>
  <c r="K47" i="3" s="1"/>
  <c r="K46" i="3"/>
  <c r="K36" i="3"/>
  <c r="H49" i="3"/>
  <c r="K49" i="3" s="1"/>
  <c r="H16" i="3"/>
  <c r="K16" i="3" s="1"/>
  <c r="H31" i="3"/>
  <c r="K31" i="3" s="1"/>
  <c r="K15" i="3"/>
  <c r="H60" i="3"/>
  <c r="K60" i="3" s="1"/>
  <c r="K59" i="3"/>
  <c r="I58" i="3"/>
  <c r="L58" i="3" s="1"/>
  <c r="K56" i="3"/>
  <c r="H57" i="3"/>
  <c r="K57" i="3" s="1"/>
  <c r="H68" i="3"/>
  <c r="K68" i="3" s="1"/>
  <c r="K61" i="3"/>
  <c r="H67" i="3"/>
  <c r="H63" i="3"/>
  <c r="K63" i="3" s="1"/>
  <c r="H66" i="3"/>
  <c r="K66" i="3" s="1"/>
  <c r="K65" i="3"/>
  <c r="H35" i="3"/>
  <c r="K35" i="3" s="1"/>
  <c r="H50" i="3"/>
  <c r="K50" i="3" s="1"/>
  <c r="K34" i="3"/>
  <c r="H54" i="3"/>
  <c r="K54" i="3" s="1"/>
  <c r="K53" i="3"/>
  <c r="H69" i="3"/>
  <c r="K69" i="3" s="1"/>
  <c r="L26" i="2"/>
  <c r="L35" i="2" s="1"/>
  <c r="J68" i="3"/>
  <c r="G44" i="3"/>
  <c r="G48" i="3"/>
  <c r="I42" i="3"/>
  <c r="L42" i="3" s="1"/>
  <c r="H99" i="2"/>
  <c r="J40" i="3"/>
  <c r="I40" i="3"/>
  <c r="L40" i="3" s="1"/>
  <c r="G41" i="3"/>
  <c r="I37" i="3"/>
  <c r="L37" i="3" s="1"/>
  <c r="J37" i="3"/>
  <c r="G38" i="3"/>
  <c r="H44" i="3"/>
  <c r="K44" i="3" s="1"/>
  <c r="H48" i="3"/>
  <c r="K42" i="3"/>
  <c r="H22" i="3"/>
  <c r="K22" i="3" s="1"/>
  <c r="K21" i="3"/>
  <c r="I18" i="3"/>
  <c r="L18" i="3" s="1"/>
  <c r="J18" i="3"/>
  <c r="G19" i="3"/>
  <c r="J17" i="3"/>
  <c r="G30" i="3"/>
  <c r="I17" i="3"/>
  <c r="L17" i="3" s="1"/>
  <c r="J23" i="3"/>
  <c r="G29" i="3"/>
  <c r="I23" i="3"/>
  <c r="L23" i="3" s="1"/>
  <c r="I24" i="3"/>
  <c r="L24" i="3" s="1"/>
  <c r="J24" i="3"/>
  <c r="G25" i="3"/>
  <c r="G28" i="3"/>
  <c r="J27" i="3"/>
  <c r="I27" i="3"/>
  <c r="L27" i="3" s="1"/>
  <c r="G47" i="3"/>
  <c r="J46" i="3"/>
  <c r="I46" i="3"/>
  <c r="L46" i="3" s="1"/>
  <c r="AG26" i="2"/>
  <c r="I38" i="2" s="1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6" i="2"/>
  <c r="A105" i="2"/>
  <c r="A104" i="2"/>
  <c r="A103" i="2"/>
  <c r="AF74" i="2"/>
  <c r="AE74" i="2"/>
  <c r="AD74" i="2"/>
  <c r="AC74" i="2"/>
  <c r="AB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2" i="2"/>
  <c r="A71" i="2"/>
  <c r="A70" i="2"/>
  <c r="A69" i="2"/>
  <c r="AA74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K35" i="2"/>
  <c r="J35" i="2"/>
  <c r="H35" i="2"/>
  <c r="G35" i="2"/>
  <c r="F35" i="2"/>
  <c r="E35" i="2"/>
  <c r="D33" i="2"/>
  <c r="A32" i="2"/>
  <c r="A31" i="2"/>
  <c r="A30" i="2"/>
  <c r="AF37" i="2"/>
  <c r="AE37" i="2"/>
  <c r="M36" i="2"/>
  <c r="I35" i="2"/>
  <c r="S38" i="2"/>
  <c r="R38" i="2"/>
  <c r="P38" i="2"/>
  <c r="S37" i="2"/>
  <c r="R37" i="2"/>
  <c r="P37" i="2"/>
  <c r="K29" i="3" l="1"/>
  <c r="H32" i="3"/>
  <c r="K32" i="3" s="1"/>
  <c r="J31" i="3"/>
  <c r="I31" i="3"/>
  <c r="L31" i="3" s="1"/>
  <c r="J44" i="3"/>
  <c r="I44" i="3"/>
  <c r="L44" i="3" s="1"/>
  <c r="J38" i="2"/>
  <c r="G12" i="3"/>
  <c r="I54" i="3"/>
  <c r="L54" i="3" s="1"/>
  <c r="J54" i="3"/>
  <c r="J35" i="3"/>
  <c r="I35" i="3"/>
  <c r="L35" i="3" s="1"/>
  <c r="I22" i="3"/>
  <c r="L22" i="3" s="1"/>
  <c r="J22" i="3"/>
  <c r="J28" i="3"/>
  <c r="I28" i="3"/>
  <c r="L28" i="3" s="1"/>
  <c r="J30" i="3"/>
  <c r="I30" i="3"/>
  <c r="L30" i="3" s="1"/>
  <c r="K48" i="3"/>
  <c r="H51" i="3"/>
  <c r="K51" i="3" s="1"/>
  <c r="I68" i="3"/>
  <c r="L68" i="3" s="1"/>
  <c r="K67" i="3"/>
  <c r="H70" i="3"/>
  <c r="J69" i="3"/>
  <c r="I69" i="3"/>
  <c r="L69" i="3" s="1"/>
  <c r="I63" i="3"/>
  <c r="L63" i="3" s="1"/>
  <c r="J63" i="3"/>
  <c r="J60" i="3"/>
  <c r="M60" i="3" s="1"/>
  <c r="I60" i="3"/>
  <c r="L60" i="3" s="1"/>
  <c r="I16" i="3"/>
  <c r="L16" i="3" s="1"/>
  <c r="J16" i="3"/>
  <c r="I19" i="3"/>
  <c r="L19" i="3" s="1"/>
  <c r="J19" i="3"/>
  <c r="J38" i="3"/>
  <c r="M38" i="3" s="1"/>
  <c r="I38" i="3"/>
  <c r="L38" i="3" s="1"/>
  <c r="G51" i="3"/>
  <c r="J48" i="3"/>
  <c r="I48" i="3"/>
  <c r="L48" i="3" s="1"/>
  <c r="I47" i="3"/>
  <c r="L47" i="3" s="1"/>
  <c r="J47" i="3"/>
  <c r="I25" i="3"/>
  <c r="L25" i="3" s="1"/>
  <c r="J25" i="3"/>
  <c r="I29" i="3"/>
  <c r="L29" i="3" s="1"/>
  <c r="J29" i="3"/>
  <c r="G32" i="3"/>
  <c r="J41" i="3"/>
  <c r="M41" i="3" s="1"/>
  <c r="I41" i="3"/>
  <c r="L41" i="3" s="1"/>
  <c r="I50" i="3"/>
  <c r="L50" i="3" s="1"/>
  <c r="J50" i="3"/>
  <c r="J66" i="3"/>
  <c r="I66" i="3"/>
  <c r="L66" i="3" s="1"/>
  <c r="I67" i="3"/>
  <c r="L67" i="3" s="1"/>
  <c r="J67" i="3"/>
  <c r="G70" i="3"/>
  <c r="J57" i="3"/>
  <c r="M57" i="3" s="1"/>
  <c r="I57" i="3"/>
  <c r="L57" i="3" s="1"/>
  <c r="I49" i="3"/>
  <c r="L49" i="3" s="1"/>
  <c r="J49" i="3"/>
  <c r="T37" i="2"/>
  <c r="Q37" i="2"/>
  <c r="T38" i="2"/>
  <c r="Q38" i="2"/>
  <c r="U37" i="2"/>
  <c r="I51" i="3" l="1"/>
  <c r="L51" i="3" s="1"/>
  <c r="J51" i="3"/>
  <c r="M51" i="3" s="1"/>
  <c r="H76" i="3"/>
  <c r="H78" i="3" s="1"/>
  <c r="K70" i="3"/>
  <c r="G13" i="3"/>
  <c r="J12" i="3"/>
  <c r="H12" i="3"/>
  <c r="I70" i="3"/>
  <c r="L70" i="3" s="1"/>
  <c r="J70" i="3"/>
  <c r="M70" i="3" s="1"/>
  <c r="G76" i="3"/>
  <c r="G78" i="3" s="1"/>
  <c r="I32" i="3"/>
  <c r="L32" i="3" s="1"/>
  <c r="J32" i="3"/>
  <c r="H13" i="3" l="1"/>
  <c r="J13" i="3"/>
  <c r="K12" i="3"/>
  <c r="I12" i="3"/>
  <c r="L12" i="3" s="1"/>
  <c r="I13" i="3" l="1"/>
  <c r="L13" i="3" s="1"/>
  <c r="K13" i="3"/>
</calcChain>
</file>

<file path=xl/sharedStrings.xml><?xml version="1.0" encoding="utf-8"?>
<sst xmlns="http://schemas.openxmlformats.org/spreadsheetml/2006/main" count="668" uniqueCount="312">
  <si>
    <t>TOTAL</t>
  </si>
  <si>
    <t>Classification</t>
  </si>
  <si>
    <t>Manpower</t>
  </si>
  <si>
    <t>Basic salary
(A)</t>
  </si>
  <si>
    <t>Allowance
(B)</t>
  </si>
  <si>
    <t>OT amount
'©</t>
  </si>
  <si>
    <t>OVERTIME</t>
  </si>
  <si>
    <t>All 30%</t>
  </si>
  <si>
    <t>Total salary
(A+B+C + D)</t>
  </si>
  <si>
    <t>Union paid by company</t>
  </si>
  <si>
    <t>Insurance paied by company</t>
  </si>
  <si>
    <t>Total amount</t>
  </si>
  <si>
    <t>Insurance paied by employee (10.5%)
(E)</t>
  </si>
  <si>
    <t>PIT</t>
  </si>
  <si>
    <t>Union fee paid by employee</t>
  </si>
  <si>
    <t>Child allowance</t>
  </si>
  <si>
    <t>Women allowance</t>
  </si>
  <si>
    <t>Resignation support</t>
  </si>
  <si>
    <t>Net income</t>
  </si>
  <si>
    <t>Bonus</t>
  </si>
  <si>
    <t>Unit price/hour</t>
  </si>
  <si>
    <t>Working hour excluded Annual leave</t>
  </si>
  <si>
    <t>(150%)
Số giờ tăng ca ngày thường / Normal working day OT No.</t>
  </si>
  <si>
    <t>(200%) Tăng ca ngày nghỉ</t>
  </si>
  <si>
    <t>210% tăng ca đêm ngày thường</t>
  </si>
  <si>
    <t>270% tăng ca đêm ngày nghỉ</t>
  </si>
  <si>
    <t>300% tăng ca ngày lễ, tết</t>
  </si>
  <si>
    <t>390% tăng ca đêm ngày lễ, tết</t>
  </si>
  <si>
    <t>Total OT hour</t>
  </si>
  <si>
    <t>Total working &amp; OT converted</t>
  </si>
  <si>
    <t>Hour</t>
  </si>
  <si>
    <t>Amount (D)</t>
  </si>
  <si>
    <t>Office</t>
  </si>
  <si>
    <t>Office 1</t>
  </si>
  <si>
    <t>1st floor</t>
  </si>
  <si>
    <t>Indirect</t>
  </si>
  <si>
    <t>Office 2</t>
  </si>
  <si>
    <t>2nd floor</t>
  </si>
  <si>
    <t>Admin</t>
  </si>
  <si>
    <t>Subtotal</t>
  </si>
  <si>
    <t>Worker</t>
  </si>
  <si>
    <t>Warehouse</t>
  </si>
  <si>
    <t>Delivery</t>
  </si>
  <si>
    <t>MCT worker</t>
  </si>
  <si>
    <t>Manufacture</t>
  </si>
  <si>
    <t>FM/DF Production</t>
  </si>
  <si>
    <t>Direct</t>
  </si>
  <si>
    <t>MET/MMT</t>
  </si>
  <si>
    <t>MAT worker</t>
  </si>
  <si>
    <t>MAT_Seasonal worker</t>
  </si>
  <si>
    <t>Quality</t>
  </si>
  <si>
    <t>FM/DF QC</t>
  </si>
  <si>
    <t>V/I</t>
  </si>
  <si>
    <t>Auto, Brushing, deburring</t>
  </si>
  <si>
    <t>Other indirect (PQC)</t>
  </si>
  <si>
    <t>Packing</t>
  </si>
  <si>
    <t>Seasonal worker</t>
  </si>
  <si>
    <t>Other</t>
  </si>
  <si>
    <t>Service</t>
  </si>
  <si>
    <t>Cleaner</t>
  </si>
  <si>
    <t>Sub-Total</t>
  </si>
  <si>
    <t>M/P</t>
  </si>
  <si>
    <t>CV allowance</t>
  </si>
  <si>
    <t>Pay tax</t>
  </si>
  <si>
    <t>Working day</t>
  </si>
  <si>
    <t>Total working and OT hour converted</t>
  </si>
  <si>
    <t>Total</t>
  </si>
  <si>
    <t>Month</t>
  </si>
  <si>
    <t>OT day</t>
  </si>
  <si>
    <t>Total actual working day</t>
  </si>
  <si>
    <t>Class</t>
  </si>
  <si>
    <t>Working hour</t>
  </si>
  <si>
    <t>OT</t>
  </si>
  <si>
    <t>Total OT+ working hour</t>
  </si>
  <si>
    <t>TOTAL MANHOUR</t>
  </si>
  <si>
    <t>Attendance rate
Included AL</t>
  </si>
  <si>
    <t>Actual working day</t>
  </si>
  <si>
    <t>Public holiday</t>
  </si>
  <si>
    <t>Summer holiday</t>
  </si>
  <si>
    <t>Working Saturday</t>
  </si>
  <si>
    <t>Calendar</t>
  </si>
  <si>
    <t>Calculate salary working day</t>
  </si>
  <si>
    <t>Saturday</t>
  </si>
  <si>
    <t>Sunday</t>
  </si>
  <si>
    <t>Pro</t>
  </si>
  <si>
    <t>QCT</t>
  </si>
  <si>
    <t>D1</t>
  </si>
  <si>
    <t>D2</t>
  </si>
  <si>
    <t>NameEN</t>
  </si>
  <si>
    <t>NameKR</t>
  </si>
  <si>
    <t>MaCongViecAll</t>
  </si>
  <si>
    <t>GroupbyChucDanhAll</t>
  </si>
  <si>
    <t>SoLuongNVAll</t>
  </si>
  <si>
    <t>BasicSalaryAll</t>
  </si>
  <si>
    <t>PhuCapAll</t>
  </si>
  <si>
    <t>TienTangCaAll</t>
  </si>
  <si>
    <t>Luong1GioAll</t>
  </si>
  <si>
    <t>GioLamViecKhongCoNghiAll</t>
  </si>
  <si>
    <t>GioTangCa150All</t>
  </si>
  <si>
    <t>GioTangCaCN200All</t>
  </si>
  <si>
    <t>GioTangCaDem210All</t>
  </si>
  <si>
    <t>GioTangCaDemCN270All</t>
  </si>
  <si>
    <t>GioTangCaLe300All</t>
  </si>
  <si>
    <t>GioTangCaDemLe390All</t>
  </si>
  <si>
    <t>GioLamDem130All</t>
  </si>
  <si>
    <t>TienCaDem130All</t>
  </si>
  <si>
    <t>CongDoanCtyTraAll</t>
  </si>
  <si>
    <t>MaCongViecD1</t>
  </si>
  <si>
    <t>GroupbyChucDanhD1</t>
  </si>
  <si>
    <t>SoLuongNVD1</t>
  </si>
  <si>
    <t>BasicSalaryD1</t>
  </si>
  <si>
    <t>PhuCapD1</t>
  </si>
  <si>
    <t>TienTangCaD1</t>
  </si>
  <si>
    <t>Luong1GioD1</t>
  </si>
  <si>
    <t>GioTangCa150D1</t>
  </si>
  <si>
    <t>GioTangCaCN200D1</t>
  </si>
  <si>
    <t>GioTangCaDem210D1</t>
  </si>
  <si>
    <t>GioTangCaDemCN270D1</t>
  </si>
  <si>
    <t>GioTangCaLe300D1</t>
  </si>
  <si>
    <t>GioTangCaDemLe390D1</t>
  </si>
  <si>
    <t>GioLamDem130D1</t>
  </si>
  <si>
    <t>TienCaDem130D1</t>
  </si>
  <si>
    <t>CongDoanCtyTraD1</t>
  </si>
  <si>
    <t>MaCongViecD2</t>
  </si>
  <si>
    <t>GroupbyChucDanhD2</t>
  </si>
  <si>
    <t>SoLuongNVD2</t>
  </si>
  <si>
    <t>BasicSalaryD2</t>
  </si>
  <si>
    <t>PhuCapD2</t>
  </si>
  <si>
    <t>TienTangCaD2</t>
  </si>
  <si>
    <t>Luong1GioD2</t>
  </si>
  <si>
    <t>GioTangCa150D2</t>
  </si>
  <si>
    <t>GioTangCaCN200D2</t>
  </si>
  <si>
    <t>GioTangCaDem210D2</t>
  </si>
  <si>
    <t>GioTangCaDemCN270D2</t>
  </si>
  <si>
    <t>GioTangCaLe300D2</t>
  </si>
  <si>
    <t>GioTangCaDemLe390D2</t>
  </si>
  <si>
    <t>GioLamDem130D2</t>
  </si>
  <si>
    <t>TienCaDem130D2</t>
  </si>
  <si>
    <t>CongDoanCtyTraD2</t>
  </si>
  <si>
    <t>No</t>
  </si>
  <si>
    <t>TongTangCaAll</t>
  </si>
  <si>
    <t>TongTangCaVaHCDaChuyenAll</t>
  </si>
  <si>
    <t>TongTangCaD1</t>
  </si>
  <si>
    <t>TongTangCaVaHCDaChuyenD1</t>
  </si>
  <si>
    <t>TongTangCaD2</t>
  </si>
  <si>
    <t>TongTangCaVaHCDaChuyenD2</t>
  </si>
  <si>
    <t>TongLuongAll</t>
  </si>
  <si>
    <t>BHCtyTraAll</t>
  </si>
  <si>
    <t>TongChiPhiAll</t>
  </si>
  <si>
    <t>BHNVDongAll</t>
  </si>
  <si>
    <t>TTCNAll</t>
  </si>
  <si>
    <t>CongDoanNVDongAll</t>
  </si>
  <si>
    <t>TroCapConNhoAll</t>
  </si>
  <si>
    <t>TroCapPhuNuAll</t>
  </si>
  <si>
    <t>HoTroKhacAll</t>
  </si>
  <si>
    <t>ThucNhanAll</t>
  </si>
  <si>
    <t>LuongChoViecAll</t>
  </si>
  <si>
    <t>TongLuongD1</t>
  </si>
  <si>
    <t>BHCtyTraD1</t>
  </si>
  <si>
    <t>TongChiPhiD1</t>
  </si>
  <si>
    <t>BHNVDongD1</t>
  </si>
  <si>
    <t>TTCND1</t>
  </si>
  <si>
    <t>CongDoanNVDongD1</t>
  </si>
  <si>
    <t>TroCapConNhoD1</t>
  </si>
  <si>
    <t>TroCapPhuNuD1</t>
  </si>
  <si>
    <t>HoTroKhacD1</t>
  </si>
  <si>
    <t>ThucNhanD1</t>
  </si>
  <si>
    <t>LuongChoViecD1</t>
  </si>
  <si>
    <t>TongLuongD2</t>
  </si>
  <si>
    <t>BHCtyTraD2</t>
  </si>
  <si>
    <t>TongChiPhiD2</t>
  </si>
  <si>
    <t>BHNVDongD2</t>
  </si>
  <si>
    <t>TTCND2</t>
  </si>
  <si>
    <t>CongDoanNVDongD2</t>
  </si>
  <si>
    <t>TroCapConNhoD2</t>
  </si>
  <si>
    <t>TroCapPhuNuD2</t>
  </si>
  <si>
    <t>HoTroKhacD2</t>
  </si>
  <si>
    <t>ThucNhanD2</t>
  </si>
  <si>
    <t>LuongChoViecD2</t>
  </si>
  <si>
    <t>GioLamViecKhongCoNghiD1</t>
  </si>
  <si>
    <t>GioLamViecKhongCoNghiD2</t>
  </si>
  <si>
    <t>MaCongViecAllVT</t>
  </si>
  <si>
    <t>GroupbyViTriAllVT</t>
  </si>
  <si>
    <t>SoLuongNVAllVT</t>
  </si>
  <si>
    <t>BasicSalaryAllVT</t>
  </si>
  <si>
    <t>PhuCapAllVT</t>
  </si>
  <si>
    <t>TienTangCaAllVT</t>
  </si>
  <si>
    <t>Luong1GioAllVT</t>
  </si>
  <si>
    <t>GioLamViecKhongCoNghiAllVT</t>
  </si>
  <si>
    <t>GioTangCa150AllVT</t>
  </si>
  <si>
    <t>GioTangCaCN200AllVT</t>
  </si>
  <si>
    <t>GioTangCaDem210AllVT</t>
  </si>
  <si>
    <t>GioTangCaDemCN270AllVT</t>
  </si>
  <si>
    <t>GioTangCaLe300AllVT</t>
  </si>
  <si>
    <t>GioTangCaDemLe390AllVT</t>
  </si>
  <si>
    <t>TongTangCaAllVT</t>
  </si>
  <si>
    <t>TongTangCaVaHCDaChuyenAllVT</t>
  </si>
  <si>
    <t>TienCaDem130AllVT</t>
  </si>
  <si>
    <t>TongLuongAllVT</t>
  </si>
  <si>
    <t>CongDoanCtyTraAllVT</t>
  </si>
  <si>
    <t>BHCtyTraAllVT</t>
  </si>
  <si>
    <t>TongChiPhiAllVT</t>
  </si>
  <si>
    <t>BHNVDongAllVT</t>
  </si>
  <si>
    <t>TTCNAllVT</t>
  </si>
  <si>
    <t>CongDoanNVDongAllVT</t>
  </si>
  <si>
    <t>TroCapConNhoAllVT</t>
  </si>
  <si>
    <t>TroCapPhuNuAllVT</t>
  </si>
  <si>
    <t>HoTroKhacAllVT</t>
  </si>
  <si>
    <t>ThucNhanAllVT</t>
  </si>
  <si>
    <t>LuongChoViecAllVT</t>
  </si>
  <si>
    <t>MaCongViecD1VT</t>
  </si>
  <si>
    <t>GroupbyViTriD1VT</t>
  </si>
  <si>
    <t>SoLuongNVD1VT</t>
  </si>
  <si>
    <t>BasicSalaryD1VT</t>
  </si>
  <si>
    <t>PhuCapD1VT</t>
  </si>
  <si>
    <t>TienTangCaD1VT</t>
  </si>
  <si>
    <t>Luong1GioD1VT</t>
  </si>
  <si>
    <t>GioLamViecKhongCoNghiD1VT</t>
  </si>
  <si>
    <t>GioTangCa150D1VT</t>
  </si>
  <si>
    <t>GioTangCaCN200D1VT</t>
  </si>
  <si>
    <t>GioTangCaDem210D1VT</t>
  </si>
  <si>
    <t>GioTangCaDemCN270D1VT</t>
  </si>
  <si>
    <t>GioTangCaLe300D1VT</t>
  </si>
  <si>
    <t>GioTangCaDemLe390D1VT</t>
  </si>
  <si>
    <t>TongTangCaD1VT</t>
  </si>
  <si>
    <t>TongTangCaVaHCDaChuyenD1VT</t>
  </si>
  <si>
    <t>TienCaDem130D1VT</t>
  </si>
  <si>
    <t>TongLuongD1VT</t>
  </si>
  <si>
    <t>CongDoanCtyTraD1VT</t>
  </si>
  <si>
    <t>BHCtyTraD1VT</t>
  </si>
  <si>
    <t>TongChiPhiD1VT</t>
  </si>
  <si>
    <t>BHNVDongD1VT</t>
  </si>
  <si>
    <t>TTCND1VT</t>
  </si>
  <si>
    <t>CongDoanNVDongD1VT</t>
  </si>
  <si>
    <t>TroCapConNhoD1VT</t>
  </si>
  <si>
    <t>TroCapPhuNuD1VT</t>
  </si>
  <si>
    <t>HoTroKhacD1VT</t>
  </si>
  <si>
    <t>ThucNhanD1VT</t>
  </si>
  <si>
    <t>LuongChoViecD1VT</t>
  </si>
  <si>
    <t>MaCongViecD2VT</t>
  </si>
  <si>
    <t>GroupbyViTriD2VT</t>
  </si>
  <si>
    <t>SoLuongNVD2VT</t>
  </si>
  <si>
    <t>BasicSalaryD2VT</t>
  </si>
  <si>
    <t>PhuCapD2VT</t>
  </si>
  <si>
    <t>TienTangCaD2VT</t>
  </si>
  <si>
    <t>Luong1GioD2VT</t>
  </si>
  <si>
    <t>GioLamViecKhongCoNghiD2VT</t>
  </si>
  <si>
    <t>GioTangCa150D2VT</t>
  </si>
  <si>
    <t>GioTangCaCN200D2VT</t>
  </si>
  <si>
    <t>GioTangCaDem210D2VT</t>
  </si>
  <si>
    <t>GioTangCaDemCN270D2VT</t>
  </si>
  <si>
    <t>GioTangCaLe300D2VT</t>
  </si>
  <si>
    <t>GioTangCaDemLe390D2VT</t>
  </si>
  <si>
    <t>TongTangCaD2VT</t>
  </si>
  <si>
    <t>TongTangCaVaHCDaChuyenD2VT</t>
  </si>
  <si>
    <t>GioLamDem130D2VT</t>
  </si>
  <si>
    <t>TienCaDem130D2VT</t>
  </si>
  <si>
    <t>TongLuongD2VT</t>
  </si>
  <si>
    <t>CongDoanCtyTraD2VT</t>
  </si>
  <si>
    <t>BHCtyTraD2VT</t>
  </si>
  <si>
    <t>TongChiPhiD2VT</t>
  </si>
  <si>
    <t>BHNVDongD2VT</t>
  </si>
  <si>
    <t>TTCND2VT</t>
  </si>
  <si>
    <t>CongDoanNVDongD2VT</t>
  </si>
  <si>
    <t>TroCapConNhoD2VT</t>
  </si>
  <si>
    <t>TroCapPhuNuD2VT</t>
  </si>
  <si>
    <t>HoTroKhacD2VT</t>
  </si>
  <si>
    <t>ThucNhanD2VT</t>
  </si>
  <si>
    <t>LuongChoViecD2VT</t>
  </si>
  <si>
    <t>GioLamDem130AllVT</t>
  </si>
  <si>
    <t>GioLamDem130D1VT</t>
  </si>
  <si>
    <t>ActualWorkingDay</t>
  </si>
  <si>
    <t>PublicHoliday</t>
  </si>
  <si>
    <t>WorkingSaturday</t>
  </si>
  <si>
    <t>SaturdayOT</t>
  </si>
  <si>
    <t>2023 년 01월 Actual 대비 현지인 노무비 차이분석</t>
  </si>
  <si>
    <t>23.02.07</t>
  </si>
  <si>
    <t>단위:명,일,시간,$</t>
    <phoneticPr fontId="14" type="noConversion"/>
  </si>
  <si>
    <t>Classtication</t>
  </si>
  <si>
    <t>OP</t>
  </si>
  <si>
    <t>Actual</t>
  </si>
  <si>
    <t>Diff (증감)</t>
    <phoneticPr fontId="14" type="noConversion"/>
  </si>
  <si>
    <t>Remark</t>
  </si>
  <si>
    <t>매출액</t>
    <phoneticPr fontId="14" type="noConversion"/>
  </si>
  <si>
    <t>KVP</t>
    <phoneticPr fontId="14" type="noConversion"/>
  </si>
  <si>
    <t>DY</t>
    <phoneticPr fontId="14" type="noConversion"/>
  </si>
  <si>
    <t>바이백</t>
    <phoneticPr fontId="14" type="noConversion"/>
  </si>
  <si>
    <t>계</t>
    <phoneticPr fontId="14" type="noConversion"/>
  </si>
  <si>
    <t>증가율</t>
    <phoneticPr fontId="14" type="noConversion"/>
  </si>
  <si>
    <t>Working day
(작업일수/월)</t>
    <phoneticPr fontId="14" type="noConversion"/>
  </si>
  <si>
    <t>정취</t>
    <phoneticPr fontId="14" type="noConversion"/>
  </si>
  <si>
    <t>특근</t>
    <phoneticPr fontId="14" type="noConversion"/>
  </si>
  <si>
    <t>MP
(소요인원/월)</t>
    <phoneticPr fontId="14" type="noConversion"/>
  </si>
  <si>
    <t>MCT</t>
  </si>
  <si>
    <t>직접</t>
    <phoneticPr fontId="14" type="noConversion"/>
  </si>
  <si>
    <t>간접</t>
    <phoneticPr fontId="14" type="noConversion"/>
  </si>
  <si>
    <t>MAT/MMT/MET</t>
  </si>
  <si>
    <t>직접</t>
  </si>
  <si>
    <t>간접</t>
  </si>
  <si>
    <t>계</t>
  </si>
  <si>
    <t>일반</t>
    <phoneticPr fontId="14" type="noConversion"/>
  </si>
  <si>
    <t>MH
Manhour
(환산작업시간/월)</t>
    <phoneticPr fontId="14" type="noConversion"/>
  </si>
  <si>
    <t>Gross salary
(USD)</t>
    <phoneticPr fontId="14" type="noConversion"/>
  </si>
  <si>
    <t>합계</t>
    <phoneticPr fontId="14" type="noConversion"/>
  </si>
  <si>
    <t>** 노무비 증가원인 요약</t>
    <phoneticPr fontId="14" type="noConversion"/>
  </si>
  <si>
    <t>1) 바이백 물량 증가</t>
    <phoneticPr fontId="14" type="noConversion"/>
  </si>
  <si>
    <t xml:space="preserve"> :  D. M/CORE  200,000개 증가. 하우징 350바 14,400개 증가</t>
    <phoneticPr fontId="14" type="noConversion"/>
  </si>
  <si>
    <t>2) HV10 감마플랜지 26,500개/ 스풀 37,217개/ 폴 NH  31,867개  증가</t>
    <phoneticPr fontId="14" type="noConversion"/>
  </si>
  <si>
    <t>3) 밸브바디 82,000개 증가, T/P 37,000개 증가</t>
    <phoneticPr fontId="14" type="noConversion"/>
  </si>
  <si>
    <t>** 장비가동</t>
    <phoneticPr fontId="14" type="noConversion"/>
  </si>
  <si>
    <t>1) BP : 111대, 2) OP : 108대  비가동 : 3대 (시마다 1대, 제현장비 2대)</t>
    <phoneticPr fontId="1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</si>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</sst>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00"/>
    <numFmt numFmtId="166" formatCode="_-* #,##0.00\ _₫_-;\-* #,##0.00\ _₫_-;_-* &quot;-&quot;??\ _₫_-;_-@_-"/>
    <numFmt numFmtId="167" formatCode="_(* #,##0_);_(* \(#,##0\);_(* &quot;-&quot;??_);_(@_)"/>
    <numFmt numFmtId="168" formatCode="0.0%"/>
    <numFmt numFmtId="169" formatCode="#,##0.000"/>
    <numFmt numFmtId="170" formatCode="#,##0.0"/>
    <numFmt numFmtId="171" formatCode="_(* #,##0.0_);_(* \(#,##0.0\);_(* &quot;-&quot;_);_(@_)"/>
    <numFmt numFmtId="172" formatCode="_(* #,##0.00_);_(* \(#,##0.00\);_(* &quot;-&quot;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9"/>
      <color theme="1"/>
      <name val="Times New Roman"/>
      <family val="1"/>
    </font>
    <font>
      <sz val="12"/>
      <name val=".VnTime"/>
      <family val="2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charset val="129"/>
      <scheme val="minor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2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5"/>
      <color theme="1"/>
      <name val="Calibri"/>
      <family val="2"/>
      <scheme val="minor"/>
    </font>
    <font>
      <sz val="20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2"/>
      <name val="현대하모니 L"/>
      <family val="1"/>
      <charset val="129"/>
    </font>
    <font>
      <sz val="11.5"/>
      <color theme="1"/>
      <name val="현대하모니 L"/>
      <family val="1"/>
      <charset val="129"/>
    </font>
    <font>
      <sz val="8"/>
      <color rgb="FFFF0000"/>
      <name val="현대하모니 L"/>
      <family val="1"/>
      <charset val="129"/>
    </font>
    <font>
      <sz val="11.5"/>
      <color rgb="FFFF000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1.5"/>
      <name val="현대하모니 L"/>
      <family val="1"/>
      <charset val="129"/>
    </font>
    <font>
      <sz val="9"/>
      <color rgb="FFFF0000"/>
      <name val="현대하모니 L"/>
      <family val="1"/>
      <charset val="129"/>
    </font>
    <font>
      <sz val="10"/>
      <color rgb="FFFF0000"/>
      <name val="현대하모니 L"/>
      <family val="1"/>
      <charset val="129"/>
    </font>
    <font>
      <b/>
      <sz val="12"/>
      <color theme="1"/>
      <name val="현대하모니 L"/>
      <family val="1"/>
      <charset val="129"/>
    </font>
    <font>
      <sz val="12"/>
      <color rgb="FFFF0000"/>
      <name val="현대하모니 L"/>
      <family val="1"/>
      <charset val="129"/>
    </font>
    <font>
      <b/>
      <sz val="11.5"/>
      <color theme="1"/>
      <name val="현대하모니 L"/>
      <family val="1"/>
      <charset val="129"/>
    </font>
    <font>
      <b/>
      <sz val="11.5"/>
      <name val="현대하모니 L"/>
      <family val="1"/>
      <charset val="129"/>
    </font>
    <font>
      <sz val="6"/>
      <color theme="1"/>
      <name val="현대하모니 L"/>
      <family val="1"/>
      <charset val="129"/>
    </font>
    <font>
      <sz val="8"/>
      <color theme="1"/>
      <name val="현대하모니 L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DotDot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medium">
        <color auto="1"/>
      </top>
      <bottom style="hair">
        <color theme="0" tint="-0.34998626667073579"/>
      </bottom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theme="0" tint="-0.34998626667073579"/>
      </bottom>
      <diagonal/>
    </border>
    <border>
      <left style="medium">
        <color theme="0" tint="-0.34998626667073579"/>
      </left>
      <right/>
      <top style="medium">
        <color indexed="64"/>
      </top>
      <bottom/>
      <diagonal/>
    </border>
    <border>
      <left style="medium">
        <color theme="0" tint="-0.34998626667073579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hair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double">
        <color auto="1"/>
      </bottom>
      <diagonal/>
    </border>
    <border>
      <left style="medium">
        <color theme="0" tint="-0.499984740745262"/>
      </left>
      <right style="thin">
        <color theme="0" tint="-0.34998626667073579"/>
      </right>
      <top/>
      <bottom style="double">
        <color auto="1"/>
      </bottom>
      <diagonal/>
    </border>
    <border>
      <left style="medium">
        <color theme="0" tint="-0.499984740745262"/>
      </left>
      <right/>
      <top/>
      <bottom style="double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double">
        <color auto="1"/>
      </bottom>
      <diagonal/>
    </border>
    <border>
      <left style="medium">
        <color theme="0" tint="-0.34998626667073579"/>
      </left>
      <right style="medium">
        <color theme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double">
        <color auto="1"/>
      </top>
      <bottom style="hair">
        <color theme="0" tint="-0.499984740745262"/>
      </bottom>
      <diagonal/>
    </border>
    <border>
      <left/>
      <right style="thin">
        <color theme="0" tint="-0.34998626667073579"/>
      </right>
      <top style="double">
        <color auto="1"/>
      </top>
      <bottom style="hair">
        <color theme="0" tint="-0.499984740745262"/>
      </bottom>
      <diagonal/>
    </border>
    <border>
      <left style="thin">
        <color theme="0" tint="-0.34998626667073579"/>
      </left>
      <right/>
      <top style="double">
        <color auto="1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double">
        <color auto="1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hair">
        <color theme="0" tint="-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double">
        <color auto="1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theme="0" tint="-0.34998626667073579"/>
      </right>
      <top style="double">
        <color auto="1"/>
      </top>
      <bottom style="hair">
        <color theme="0" tint="-0.499984740745262"/>
      </bottom>
      <diagonal/>
    </border>
    <border>
      <left style="medium">
        <color theme="0" tint="-0.34998626667073579"/>
      </left>
      <right style="medium">
        <color theme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medium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499984740745262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hair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1"/>
      </right>
      <top/>
      <bottom style="thin">
        <color theme="0" tint="-0.49998474074526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auto="1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auto="1"/>
      </bottom>
      <diagonal/>
    </border>
    <border>
      <left style="medium">
        <color theme="0" tint="-0.34998626667073579"/>
      </left>
      <right style="medium">
        <color theme="1"/>
      </right>
      <top style="thin">
        <color theme="0" tint="-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 tint="-0.34998626667073579"/>
      </left>
      <right/>
      <top style="thin">
        <color auto="1"/>
      </top>
      <bottom style="hair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medium">
        <color theme="0" tint="-0.34998626667073579"/>
      </left>
      <right style="medium">
        <color theme="1"/>
      </right>
      <top style="thin">
        <color auto="1"/>
      </top>
      <bottom/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/>
      <top/>
      <bottom style="hair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/>
      <diagonal/>
    </border>
    <border>
      <left/>
      <right/>
      <top style="hair">
        <color theme="0" tint="-0.34998626667073579"/>
      </top>
      <bottom style="thin">
        <color auto="1"/>
      </bottom>
      <diagonal/>
    </border>
    <border>
      <left style="medium">
        <color theme="0" tint="-0.499984740745262"/>
      </left>
      <right style="thin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auto="1"/>
      </bottom>
      <diagonal/>
    </border>
    <border>
      <left style="medium">
        <color theme="0" tint="-0.34998626667073579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 style="medium">
        <color theme="0" tint="-0.34998626667073579"/>
      </left>
      <right style="medium">
        <color indexed="64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1"/>
      </left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1"/>
      </left>
      <right/>
      <top style="hair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hair">
        <color theme="0" tint="-0.34998626667073579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hair">
        <color theme="0" tint="-0.34998626667073579"/>
      </top>
      <bottom style="thin">
        <color theme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1"/>
      </bottom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/>
      <bottom style="thin">
        <color theme="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1"/>
      </bottom>
      <diagonal/>
    </border>
    <border>
      <left/>
      <right/>
      <top/>
      <bottom style="hair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medium">
        <color auto="1"/>
      </bottom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/>
      <bottom style="medium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7">
    <xf numFmtId="0" fontId="0" fillId="0" borderId="0" xfId="0"/>
    <xf numFmtId="3" fontId="6" fillId="0" borderId="1" xfId="3" applyNumberFormat="1" applyFont="1" applyBorder="1" applyAlignment="1">
      <alignment horizontal="center" vertical="center" wrapText="1"/>
    </xf>
    <xf numFmtId="3" fontId="8" fillId="4" borderId="2" xfId="3" applyNumberFormat="1" applyFont="1" applyFill="1" applyBorder="1" applyAlignment="1">
      <alignment horizontal="center" vertical="center" wrapText="1"/>
    </xf>
    <xf numFmtId="164" fontId="10" fillId="0" borderId="2" xfId="4" applyNumberFormat="1" applyFont="1" applyFill="1" applyBorder="1" applyAlignment="1">
      <alignment horizontal="center" vertical="top" wrapText="1"/>
    </xf>
    <xf numFmtId="164" fontId="10" fillId="0" borderId="2" xfId="4" applyNumberFormat="1" applyFont="1" applyFill="1" applyBorder="1" applyAlignment="1">
      <alignment horizontal="center" vertical="center" wrapText="1"/>
    </xf>
    <xf numFmtId="3" fontId="10" fillId="0" borderId="2" xfId="3" applyNumberFormat="1" applyFont="1" applyBorder="1" applyAlignment="1">
      <alignment horizontal="center" vertical="center" wrapText="1"/>
    </xf>
    <xf numFmtId="3" fontId="6" fillId="0" borderId="2" xfId="3" applyNumberFormat="1" applyFont="1" applyBorder="1" applyAlignment="1">
      <alignment horizontal="center" vertical="center" wrapText="1"/>
    </xf>
    <xf numFmtId="3" fontId="10" fillId="0" borderId="2" xfId="3" applyNumberFormat="1" applyFont="1" applyBorder="1" applyAlignment="1">
      <alignment horizontal="center" vertical="top" wrapText="1"/>
    </xf>
    <xf numFmtId="0" fontId="17" fillId="0" borderId="15" xfId="2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wrapText="1"/>
    </xf>
    <xf numFmtId="3" fontId="2" fillId="0" borderId="19" xfId="2" applyNumberFormat="1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 wrapText="1"/>
    </xf>
    <xf numFmtId="0" fontId="19" fillId="4" borderId="0" xfId="2" applyFont="1" applyFill="1" applyAlignment="1">
      <alignment horizontal="center" vertical="center" wrapText="1"/>
    </xf>
    <xf numFmtId="0" fontId="17" fillId="0" borderId="2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7" borderId="1" xfId="2" applyFont="1" applyFill="1" applyBorder="1" applyAlignment="1">
      <alignment horizontal="center" vertical="center" wrapText="1"/>
    </xf>
    <xf numFmtId="0" fontId="18" fillId="8" borderId="1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wrapText="1"/>
    </xf>
    <xf numFmtId="0" fontId="1" fillId="0" borderId="0" xfId="2" applyAlignment="1">
      <alignment wrapText="1"/>
    </xf>
    <xf numFmtId="3" fontId="3" fillId="0" borderId="0" xfId="2" applyNumberFormat="1" applyFont="1" applyAlignment="1">
      <alignment horizontal="center" wrapText="1"/>
    </xf>
    <xf numFmtId="0" fontId="11" fillId="0" borderId="1" xfId="3" quotePrefix="1" applyFont="1" applyBorder="1" applyAlignment="1">
      <alignment vertical="center" wrapText="1"/>
    </xf>
    <xf numFmtId="0" fontId="11" fillId="0" borderId="1" xfId="3" quotePrefix="1" applyFont="1" applyBorder="1" applyAlignment="1">
      <alignment horizontal="left" vertical="center" wrapText="1"/>
    </xf>
    <xf numFmtId="3" fontId="13" fillId="0" borderId="1" xfId="5" applyNumberFormat="1" applyFont="1" applyFill="1" applyBorder="1" applyAlignment="1">
      <alignment horizontal="right" vertical="center" wrapText="1"/>
    </xf>
    <xf numFmtId="0" fontId="11" fillId="5" borderId="1" xfId="3" quotePrefix="1" applyFont="1" applyFill="1" applyBorder="1" applyAlignment="1">
      <alignment horizontal="left" vertical="center" wrapText="1"/>
    </xf>
    <xf numFmtId="3" fontId="13" fillId="5" borderId="1" xfId="5" applyNumberFormat="1" applyFont="1" applyFill="1" applyBorder="1" applyAlignment="1">
      <alignment horizontal="right" vertical="center" wrapText="1"/>
    </xf>
    <xf numFmtId="0" fontId="11" fillId="5" borderId="1" xfId="3" quotePrefix="1" applyFont="1" applyFill="1" applyBorder="1" applyAlignment="1">
      <alignment vertical="center" wrapText="1"/>
    </xf>
    <xf numFmtId="0" fontId="11" fillId="0" borderId="3" xfId="3" quotePrefix="1" applyFont="1" applyBorder="1" applyAlignment="1">
      <alignment vertical="center" wrapText="1"/>
    </xf>
    <xf numFmtId="0" fontId="11" fillId="0" borderId="3" xfId="3" quotePrefix="1" applyFont="1" applyBorder="1" applyAlignment="1">
      <alignment horizontal="left" vertical="center" wrapText="1"/>
    </xf>
    <xf numFmtId="0" fontId="7" fillId="5" borderId="1" xfId="3" quotePrefix="1" applyFont="1" applyFill="1" applyBorder="1" applyAlignment="1">
      <alignment horizontal="center" vertical="center" wrapText="1"/>
    </xf>
    <xf numFmtId="3" fontId="14" fillId="5" borderId="1" xfId="5" applyNumberFormat="1" applyFont="1" applyFill="1" applyBorder="1" applyAlignment="1">
      <alignment horizontal="right" vertical="center" wrapText="1"/>
    </xf>
    <xf numFmtId="0" fontId="7" fillId="0" borderId="0" xfId="3" quotePrefix="1" applyFont="1" applyAlignment="1">
      <alignment horizontal="center" vertical="center" wrapText="1"/>
    </xf>
    <xf numFmtId="3" fontId="14" fillId="0" borderId="0" xfId="5" applyNumberFormat="1" applyFont="1" applyFill="1" applyBorder="1" applyAlignment="1">
      <alignment horizontal="center" vertical="center" wrapText="1"/>
    </xf>
    <xf numFmtId="3" fontId="15" fillId="0" borderId="0" xfId="3" applyNumberFormat="1" applyFont="1" applyAlignment="1">
      <alignment horizontal="center" vertical="center" wrapText="1"/>
    </xf>
    <xf numFmtId="43" fontId="15" fillId="0" borderId="0" xfId="1" applyFont="1" applyFill="1" applyAlignment="1">
      <alignment horizontal="center" vertical="center" wrapText="1"/>
    </xf>
    <xf numFmtId="3" fontId="15" fillId="0" borderId="8" xfId="3" applyNumberFormat="1" applyFont="1" applyBorder="1" applyAlignment="1">
      <alignment horizontal="center" vertical="center" wrapText="1"/>
    </xf>
    <xf numFmtId="3" fontId="15" fillId="0" borderId="7" xfId="3" applyNumberFormat="1" applyFont="1" applyBorder="1" applyAlignment="1">
      <alignment horizontal="center" vertical="center" wrapText="1"/>
    </xf>
    <xf numFmtId="0" fontId="11" fillId="0" borderId="1" xfId="3" quotePrefix="1" applyFont="1" applyBorder="1" applyAlignment="1">
      <alignment horizontal="center" vertical="center" wrapText="1"/>
    </xf>
    <xf numFmtId="3" fontId="10" fillId="0" borderId="1" xfId="3" applyNumberFormat="1" applyFont="1" applyBorder="1" applyAlignment="1">
      <alignment horizontal="right" vertical="center" wrapText="1"/>
    </xf>
    <xf numFmtId="0" fontId="11" fillId="4" borderId="1" xfId="3" quotePrefix="1" applyFont="1" applyFill="1" applyBorder="1" applyAlignment="1">
      <alignment horizontal="center" vertical="center" wrapText="1"/>
    </xf>
    <xf numFmtId="165" fontId="7" fillId="6" borderId="1" xfId="3" applyNumberFormat="1" applyFont="1" applyFill="1" applyBorder="1" applyAlignment="1">
      <alignment horizontal="center" vertical="center" wrapText="1"/>
    </xf>
    <xf numFmtId="3" fontId="14" fillId="6" borderId="1" xfId="5" applyNumberFormat="1" applyFont="1" applyFill="1" applyBorder="1" applyAlignment="1">
      <alignment horizontal="right" vertical="center" wrapText="1"/>
    </xf>
    <xf numFmtId="165" fontId="7" fillId="0" borderId="0" xfId="3" applyNumberFormat="1" applyFont="1" applyAlignment="1">
      <alignment horizontal="center" vertical="center" wrapText="1"/>
    </xf>
    <xf numFmtId="3" fontId="13" fillId="0" borderId="0" xfId="5" applyNumberFormat="1" applyFont="1" applyFill="1" applyBorder="1" applyAlignment="1">
      <alignment horizontal="right" vertical="center" wrapText="1"/>
    </xf>
    <xf numFmtId="0" fontId="1" fillId="0" borderId="0" xfId="2" applyAlignment="1">
      <alignment vertical="center" wrapText="1"/>
    </xf>
    <xf numFmtId="3" fontId="1" fillId="0" borderId="0" xfId="2" applyNumberFormat="1" applyAlignment="1">
      <alignment vertical="center" wrapText="1"/>
    </xf>
    <xf numFmtId="3" fontId="1" fillId="0" borderId="0" xfId="2" applyNumberFormat="1" applyAlignment="1">
      <alignment wrapText="1"/>
    </xf>
    <xf numFmtId="0" fontId="2" fillId="0" borderId="23" xfId="2" applyFont="1" applyBorder="1" applyAlignment="1">
      <alignment wrapText="1"/>
    </xf>
    <xf numFmtId="167" fontId="2" fillId="0" borderId="24" xfId="6" applyNumberFormat="1" applyFont="1" applyBorder="1" applyAlignment="1">
      <alignment wrapText="1"/>
    </xf>
    <xf numFmtId="3" fontId="2" fillId="0" borderId="24" xfId="2" applyNumberFormat="1" applyFont="1" applyBorder="1" applyAlignment="1">
      <alignment wrapText="1"/>
    </xf>
    <xf numFmtId="3" fontId="19" fillId="0" borderId="25" xfId="2" applyNumberFormat="1" applyFont="1" applyBorder="1" applyAlignment="1">
      <alignment wrapText="1"/>
    </xf>
    <xf numFmtId="168" fontId="20" fillId="0" borderId="0" xfId="7" applyNumberFormat="1" applyFont="1" applyFill="1" applyAlignment="1">
      <alignment horizontal="center" wrapText="1"/>
    </xf>
    <xf numFmtId="167" fontId="1" fillId="0" borderId="0" xfId="8" applyNumberFormat="1" applyFont="1" applyAlignment="1">
      <alignment wrapText="1"/>
    </xf>
    <xf numFmtId="43" fontId="1" fillId="0" borderId="0" xfId="8" applyFont="1" applyAlignment="1">
      <alignment wrapText="1"/>
    </xf>
    <xf numFmtId="169" fontId="1" fillId="0" borderId="0" xfId="2" applyNumberFormat="1" applyAlignment="1">
      <alignment wrapText="1"/>
    </xf>
    <xf numFmtId="17" fontId="21" fillId="0" borderId="26" xfId="0" applyNumberFormat="1" applyFont="1" applyBorder="1" applyAlignment="1">
      <alignment horizontal="center" vertical="center" wrapText="1"/>
    </xf>
    <xf numFmtId="1" fontId="18" fillId="0" borderId="27" xfId="0" applyNumberFormat="1" applyFont="1" applyBorder="1" applyAlignment="1">
      <alignment horizontal="center" vertical="center" wrapText="1"/>
    </xf>
    <xf numFmtId="43" fontId="22" fillId="8" borderId="27" xfId="0" applyNumberFormat="1" applyFont="1" applyFill="1" applyBorder="1" applyAlignment="1">
      <alignment horizontal="center" vertical="center" wrapText="1"/>
    </xf>
    <xf numFmtId="43" fontId="23" fillId="0" borderId="28" xfId="1" applyFont="1" applyBorder="1" applyAlignment="1">
      <alignment horizontal="center" vertical="center" wrapText="1"/>
    </xf>
    <xf numFmtId="0" fontId="2" fillId="0" borderId="29" xfId="2" applyFont="1" applyBorder="1" applyAlignment="1">
      <alignment wrapText="1"/>
    </xf>
    <xf numFmtId="167" fontId="2" fillId="0" borderId="30" xfId="6" applyNumberFormat="1" applyFont="1" applyBorder="1" applyAlignment="1">
      <alignment wrapText="1"/>
    </xf>
    <xf numFmtId="3" fontId="2" fillId="0" borderId="30" xfId="2" applyNumberFormat="1" applyFont="1" applyBorder="1" applyAlignment="1">
      <alignment wrapText="1"/>
    </xf>
    <xf numFmtId="3" fontId="19" fillId="0" borderId="31" xfId="2" applyNumberFormat="1" applyFont="1" applyBorder="1" applyAlignment="1">
      <alignment wrapText="1"/>
    </xf>
    <xf numFmtId="1" fontId="16" fillId="0" borderId="0" xfId="2" applyNumberFormat="1" applyFont="1" applyAlignment="1">
      <alignment wrapText="1"/>
    </xf>
    <xf numFmtId="170" fontId="1" fillId="0" borderId="0" xfId="2" applyNumberFormat="1" applyAlignment="1">
      <alignment wrapText="1"/>
    </xf>
    <xf numFmtId="0" fontId="7" fillId="5" borderId="0" xfId="3" quotePrefix="1" applyFont="1" applyFill="1" applyAlignment="1">
      <alignment horizontal="center" vertical="center" wrapText="1"/>
    </xf>
    <xf numFmtId="3" fontId="14" fillId="5" borderId="0" xfId="5" applyNumberFormat="1" applyFont="1" applyFill="1" applyBorder="1" applyAlignment="1">
      <alignment horizontal="center" vertical="center" wrapText="1"/>
    </xf>
    <xf numFmtId="3" fontId="15" fillId="5" borderId="0" xfId="3" applyNumberFormat="1" applyFont="1" applyFill="1" applyAlignment="1">
      <alignment horizontal="center" vertical="center" wrapText="1"/>
    </xf>
    <xf numFmtId="3" fontId="15" fillId="5" borderId="8" xfId="3" applyNumberFormat="1" applyFont="1" applyFill="1" applyBorder="1" applyAlignment="1">
      <alignment horizontal="center" vertical="center" wrapText="1"/>
    </xf>
    <xf numFmtId="3" fontId="15" fillId="5" borderId="7" xfId="3" applyNumberFormat="1" applyFont="1" applyFill="1" applyBorder="1" applyAlignment="1">
      <alignment horizontal="center" vertical="center" wrapText="1"/>
    </xf>
    <xf numFmtId="3" fontId="15" fillId="5" borderId="32" xfId="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5" borderId="0" xfId="0" applyFill="1"/>
    <xf numFmtId="0" fontId="0" fillId="5" borderId="1" xfId="0" applyFill="1" applyBorder="1"/>
    <xf numFmtId="1" fontId="18" fillId="0" borderId="27" xfId="2" applyNumberFormat="1" applyFont="1" applyBorder="1" applyAlignment="1">
      <alignment horizontal="center" vertical="center" wrapText="1"/>
    </xf>
    <xf numFmtId="0" fontId="1" fillId="9" borderId="33" xfId="2" applyFill="1" applyBorder="1"/>
    <xf numFmtId="0" fontId="25" fillId="10" borderId="0" xfId="0" applyFont="1" applyFill="1" applyAlignment="1">
      <alignment horizontal="left" vertical="center"/>
    </xf>
    <xf numFmtId="38" fontId="25" fillId="10" borderId="0" xfId="1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/>
    </xf>
    <xf numFmtId="38" fontId="26" fillId="10" borderId="0" xfId="1" applyNumberFormat="1" applyFont="1" applyFill="1" applyAlignment="1">
      <alignment horizontal="center"/>
    </xf>
    <xf numFmtId="0" fontId="26" fillId="10" borderId="0" xfId="0" applyFont="1" applyFill="1" applyAlignment="1">
      <alignment horizontal="right"/>
    </xf>
    <xf numFmtId="38" fontId="26" fillId="10" borderId="44" xfId="1" applyNumberFormat="1" applyFont="1" applyFill="1" applyBorder="1" applyAlignment="1">
      <alignment horizontal="center" vertical="center"/>
    </xf>
    <xf numFmtId="38" fontId="26" fillId="10" borderId="42" xfId="1" applyNumberFormat="1" applyFont="1" applyFill="1" applyBorder="1" applyAlignment="1">
      <alignment horizontal="center" vertical="center"/>
    </xf>
    <xf numFmtId="38" fontId="26" fillId="10" borderId="43" xfId="1" applyNumberFormat="1" applyFont="1" applyFill="1" applyBorder="1" applyAlignment="1">
      <alignment horizontal="center" vertical="center"/>
    </xf>
    <xf numFmtId="38" fontId="26" fillId="10" borderId="45" xfId="1" applyNumberFormat="1" applyFont="1" applyFill="1" applyBorder="1" applyAlignment="1">
      <alignment horizontal="center" vertical="center"/>
    </xf>
    <xf numFmtId="38" fontId="26" fillId="10" borderId="46" xfId="1" applyNumberFormat="1" applyFont="1" applyFill="1" applyBorder="1" applyAlignment="1">
      <alignment horizontal="center" vertical="center"/>
    </xf>
    <xf numFmtId="0" fontId="27" fillId="10" borderId="50" xfId="0" applyFont="1" applyFill="1" applyBorder="1" applyAlignment="1">
      <alignment horizontal="center" vertical="center"/>
    </xf>
    <xf numFmtId="167" fontId="27" fillId="10" borderId="51" xfId="1" applyNumberFormat="1" applyFont="1" applyFill="1" applyBorder="1" applyAlignment="1">
      <alignment horizontal="center" vertical="center"/>
    </xf>
    <xf numFmtId="38" fontId="27" fillId="10" borderId="52" xfId="1" applyNumberFormat="1" applyFont="1" applyFill="1" applyBorder="1" applyAlignment="1">
      <alignment horizontal="right" vertical="center"/>
    </xf>
    <xf numFmtId="38" fontId="27" fillId="10" borderId="53" xfId="1" applyNumberFormat="1" applyFont="1" applyFill="1" applyBorder="1" applyAlignment="1">
      <alignment horizontal="right" vertical="center"/>
    </xf>
    <xf numFmtId="38" fontId="27" fillId="10" borderId="54" xfId="1" applyNumberFormat="1" applyFont="1" applyFill="1" applyBorder="1" applyAlignment="1">
      <alignment horizontal="right" vertical="center"/>
    </xf>
    <xf numFmtId="38" fontId="27" fillId="10" borderId="55" xfId="1" applyNumberFormat="1" applyFont="1" applyFill="1" applyBorder="1" applyAlignment="1">
      <alignment horizontal="right" vertical="center"/>
    </xf>
    <xf numFmtId="38" fontId="27" fillId="10" borderId="56" xfId="1" applyNumberFormat="1" applyFont="1" applyFill="1" applyBorder="1" applyAlignment="1">
      <alignment horizontal="right" vertical="center"/>
    </xf>
    <xf numFmtId="38" fontId="27" fillId="10" borderId="57" xfId="1" applyNumberFormat="1" applyFont="1" applyFill="1" applyBorder="1" applyAlignment="1">
      <alignment horizontal="right" vertical="center"/>
    </xf>
    <xf numFmtId="38" fontId="27" fillId="10" borderId="58" xfId="1" applyNumberFormat="1" applyFont="1" applyFill="1" applyBorder="1" applyAlignment="1">
      <alignment horizontal="right" vertical="center"/>
    </xf>
    <xf numFmtId="43" fontId="27" fillId="10" borderId="60" xfId="1" applyFont="1" applyFill="1" applyBorder="1" applyAlignment="1">
      <alignment horizontal="center" vertical="center"/>
    </xf>
    <xf numFmtId="43" fontId="27" fillId="10" borderId="61" xfId="1" applyFont="1" applyFill="1" applyBorder="1" applyAlignment="1">
      <alignment horizontal="right" vertical="center"/>
    </xf>
    <xf numFmtId="167" fontId="27" fillId="10" borderId="62" xfId="1" applyNumberFormat="1" applyFont="1" applyFill="1" applyBorder="1" applyAlignment="1">
      <alignment horizontal="right" vertical="center"/>
    </xf>
    <xf numFmtId="38" fontId="27" fillId="10" borderId="63" xfId="1" applyNumberFormat="1" applyFont="1" applyFill="1" applyBorder="1" applyAlignment="1">
      <alignment horizontal="right" vertical="center"/>
    </xf>
    <xf numFmtId="43" fontId="27" fillId="10" borderId="64" xfId="1" applyFont="1" applyFill="1" applyBorder="1" applyAlignment="1">
      <alignment horizontal="right" vertical="center"/>
    </xf>
    <xf numFmtId="38" fontId="27" fillId="10" borderId="62" xfId="1" applyNumberFormat="1" applyFont="1" applyFill="1" applyBorder="1" applyAlignment="1">
      <alignment horizontal="right" vertical="center"/>
    </xf>
    <xf numFmtId="38" fontId="27" fillId="10" borderId="65" xfId="1" applyNumberFormat="1" applyFont="1" applyFill="1" applyBorder="1" applyAlignment="1">
      <alignment horizontal="right" vertical="center"/>
    </xf>
    <xf numFmtId="38" fontId="27" fillId="10" borderId="61" xfId="1" applyNumberFormat="1" applyFont="1" applyFill="1" applyBorder="1" applyAlignment="1">
      <alignment horizontal="right" vertical="center"/>
    </xf>
    <xf numFmtId="38" fontId="27" fillId="10" borderId="66" xfId="1" applyNumberFormat="1" applyFont="1" applyFill="1" applyBorder="1" applyAlignment="1">
      <alignment horizontal="right" vertical="center"/>
    </xf>
    <xf numFmtId="0" fontId="27" fillId="10" borderId="67" xfId="0" applyFont="1" applyFill="1" applyBorder="1" applyAlignment="1">
      <alignment horizontal="center" vertical="center"/>
    </xf>
    <xf numFmtId="38" fontId="27" fillId="10" borderId="68" xfId="0" applyNumberFormat="1" applyFont="1" applyFill="1" applyBorder="1" applyAlignment="1">
      <alignment horizontal="right" vertical="center"/>
    </xf>
    <xf numFmtId="38" fontId="27" fillId="10" borderId="69" xfId="1" applyNumberFormat="1" applyFont="1" applyFill="1" applyBorder="1" applyAlignment="1">
      <alignment horizontal="right" vertical="center"/>
    </xf>
    <xf numFmtId="38" fontId="27" fillId="10" borderId="70" xfId="1" applyNumberFormat="1" applyFont="1" applyFill="1" applyBorder="1" applyAlignment="1">
      <alignment horizontal="right" vertical="center"/>
    </xf>
    <xf numFmtId="38" fontId="27" fillId="10" borderId="71" xfId="1" applyNumberFormat="1" applyFont="1" applyFill="1" applyBorder="1" applyAlignment="1">
      <alignment horizontal="right" vertical="center"/>
    </xf>
    <xf numFmtId="38" fontId="27" fillId="10" borderId="72" xfId="1" applyNumberFormat="1" applyFont="1" applyFill="1" applyBorder="1" applyAlignment="1">
      <alignment horizontal="right" vertical="center"/>
    </xf>
    <xf numFmtId="38" fontId="27" fillId="10" borderId="73" xfId="1" applyNumberFormat="1" applyFont="1" applyFill="1" applyBorder="1" applyAlignment="1">
      <alignment horizontal="right" vertical="center"/>
    </xf>
    <xf numFmtId="38" fontId="27" fillId="10" borderId="74" xfId="1" applyNumberFormat="1" applyFont="1" applyFill="1" applyBorder="1" applyAlignment="1">
      <alignment horizontal="right" vertical="center"/>
    </xf>
    <xf numFmtId="38" fontId="27" fillId="10" borderId="75" xfId="1" applyNumberFormat="1" applyFont="1" applyFill="1" applyBorder="1" applyAlignment="1">
      <alignment horizontal="right" vertical="center"/>
    </xf>
    <xf numFmtId="38" fontId="27" fillId="10" borderId="76" xfId="1" applyNumberFormat="1" applyFont="1" applyFill="1" applyBorder="1" applyAlignment="1">
      <alignment horizontal="right" vertical="center"/>
    </xf>
    <xf numFmtId="9" fontId="27" fillId="10" borderId="58" xfId="10" applyFont="1" applyFill="1" applyBorder="1" applyAlignment="1">
      <alignment horizontal="left" vertical="center"/>
    </xf>
    <xf numFmtId="0" fontId="27" fillId="10" borderId="77" xfId="0" applyFont="1" applyFill="1" applyBorder="1" applyAlignment="1">
      <alignment horizontal="center" vertical="center"/>
    </xf>
    <xf numFmtId="38" fontId="27" fillId="10" borderId="78" xfId="1" applyNumberFormat="1" applyFont="1" applyFill="1" applyBorder="1" applyAlignment="1">
      <alignment horizontal="right" vertical="center"/>
    </xf>
    <xf numFmtId="38" fontId="27" fillId="10" borderId="79" xfId="1" applyNumberFormat="1" applyFont="1" applyFill="1" applyBorder="1" applyAlignment="1">
      <alignment horizontal="right" vertical="center"/>
    </xf>
    <xf numFmtId="38" fontId="27" fillId="10" borderId="50" xfId="1" applyNumberFormat="1" applyFont="1" applyFill="1" applyBorder="1" applyAlignment="1">
      <alignment horizontal="right" vertical="center"/>
    </xf>
    <xf numFmtId="38" fontId="27" fillId="10" borderId="80" xfId="1" applyNumberFormat="1" applyFont="1" applyFill="1" applyBorder="1" applyAlignment="1">
      <alignment horizontal="right" vertical="center"/>
    </xf>
    <xf numFmtId="38" fontId="27" fillId="10" borderId="81" xfId="1" applyNumberFormat="1" applyFont="1" applyFill="1" applyBorder="1" applyAlignment="1">
      <alignment horizontal="right" vertical="center"/>
    </xf>
    <xf numFmtId="38" fontId="27" fillId="10" borderId="82" xfId="1" applyNumberFormat="1" applyFont="1" applyFill="1" applyBorder="1" applyAlignment="1">
      <alignment horizontal="right" vertical="center"/>
    </xf>
    <xf numFmtId="0" fontId="27" fillId="10" borderId="83" xfId="0" applyFont="1" applyFill="1" applyBorder="1" applyAlignment="1">
      <alignment horizontal="center" vertical="center"/>
    </xf>
    <xf numFmtId="0" fontId="26" fillId="10" borderId="85" xfId="0" applyFont="1" applyFill="1" applyBorder="1" applyAlignment="1">
      <alignment horizontal="center" vertical="center"/>
    </xf>
    <xf numFmtId="38" fontId="26" fillId="10" borderId="86" xfId="1" applyNumberFormat="1" applyFont="1" applyFill="1" applyBorder="1" applyAlignment="1">
      <alignment horizontal="right" vertical="center"/>
    </xf>
    <xf numFmtId="38" fontId="26" fillId="10" borderId="87" xfId="1" applyNumberFormat="1" applyFont="1" applyFill="1" applyBorder="1" applyAlignment="1">
      <alignment horizontal="right" vertical="center"/>
    </xf>
    <xf numFmtId="38" fontId="26" fillId="10" borderId="88" xfId="1" applyNumberFormat="1" applyFont="1" applyFill="1" applyBorder="1" applyAlignment="1">
      <alignment horizontal="right" vertical="center"/>
    </xf>
    <xf numFmtId="38" fontId="26" fillId="10" borderId="89" xfId="1" applyNumberFormat="1" applyFont="1" applyFill="1" applyBorder="1" applyAlignment="1">
      <alignment horizontal="right" vertical="center"/>
    </xf>
    <xf numFmtId="168" fontId="26" fillId="11" borderId="90" xfId="10" applyNumberFormat="1" applyFont="1" applyFill="1" applyBorder="1" applyAlignment="1">
      <alignment horizontal="right" vertical="center"/>
    </xf>
    <xf numFmtId="168" fontId="26" fillId="11" borderId="87" xfId="10" applyNumberFormat="1" applyFont="1" applyFill="1" applyBorder="1" applyAlignment="1">
      <alignment horizontal="right" vertical="center"/>
    </xf>
    <xf numFmtId="168" fontId="26" fillId="11" borderId="88" xfId="10" applyNumberFormat="1" applyFont="1" applyFill="1" applyBorder="1" applyAlignment="1">
      <alignment horizontal="right" vertical="center"/>
    </xf>
    <xf numFmtId="0" fontId="26" fillId="10" borderId="91" xfId="0" applyFont="1" applyFill="1" applyBorder="1" applyAlignment="1">
      <alignment horizontal="center" vertical="center"/>
    </xf>
    <xf numFmtId="0" fontId="26" fillId="10" borderId="93" xfId="0" applyFont="1" applyFill="1" applyBorder="1" applyAlignment="1">
      <alignment horizontal="center" vertical="center"/>
    </xf>
    <xf numFmtId="171" fontId="28" fillId="10" borderId="94" xfId="9" applyNumberFormat="1" applyFont="1" applyFill="1" applyBorder="1" applyAlignment="1">
      <alignment horizontal="center" vertical="center"/>
    </xf>
    <xf numFmtId="171" fontId="28" fillId="10" borderId="95" xfId="9" applyNumberFormat="1" applyFont="1" applyFill="1" applyBorder="1" applyAlignment="1">
      <alignment horizontal="center" vertical="center"/>
    </xf>
    <xf numFmtId="171" fontId="28" fillId="10" borderId="93" xfId="9" applyNumberFormat="1" applyFont="1" applyFill="1" applyBorder="1" applyAlignment="1">
      <alignment horizontal="center" vertical="center"/>
    </xf>
    <xf numFmtId="171" fontId="28" fillId="10" borderId="96" xfId="9" applyNumberFormat="1" applyFont="1" applyFill="1" applyBorder="1" applyAlignment="1">
      <alignment horizontal="center" vertical="center"/>
    </xf>
    <xf numFmtId="0" fontId="26" fillId="10" borderId="97" xfId="0" applyFont="1" applyFill="1" applyBorder="1" applyAlignment="1">
      <alignment horizontal="center" vertical="center"/>
    </xf>
    <xf numFmtId="0" fontId="26" fillId="10" borderId="98" xfId="0" applyFont="1" applyFill="1" applyBorder="1" applyAlignment="1">
      <alignment horizontal="center" vertical="center"/>
    </xf>
    <xf numFmtId="172" fontId="28" fillId="10" borderId="99" xfId="9" applyNumberFormat="1" applyFont="1" applyFill="1" applyBorder="1" applyAlignment="1">
      <alignment horizontal="center" vertical="center"/>
    </xf>
    <xf numFmtId="172" fontId="28" fillId="10" borderId="100" xfId="9" applyNumberFormat="1" applyFont="1" applyFill="1" applyBorder="1" applyAlignment="1">
      <alignment horizontal="center" vertical="center"/>
    </xf>
    <xf numFmtId="172" fontId="28" fillId="10" borderId="101" xfId="9" applyNumberFormat="1" applyFont="1" applyFill="1" applyBorder="1" applyAlignment="1">
      <alignment horizontal="center" vertical="center"/>
    </xf>
    <xf numFmtId="171" fontId="28" fillId="10" borderId="99" xfId="9" applyNumberFormat="1" applyFont="1" applyFill="1" applyBorder="1" applyAlignment="1">
      <alignment horizontal="center" vertical="center"/>
    </xf>
    <xf numFmtId="171" fontId="28" fillId="10" borderId="100" xfId="9" applyNumberFormat="1" applyFont="1" applyFill="1" applyBorder="1" applyAlignment="1">
      <alignment horizontal="center" vertical="center"/>
    </xf>
    <xf numFmtId="171" fontId="28" fillId="10" borderId="101" xfId="9" applyNumberFormat="1" applyFont="1" applyFill="1" applyBorder="1" applyAlignment="1">
      <alignment horizontal="center" vertical="center"/>
    </xf>
    <xf numFmtId="172" fontId="28" fillId="11" borderId="102" xfId="9" applyNumberFormat="1" applyFont="1" applyFill="1" applyBorder="1" applyAlignment="1">
      <alignment horizontal="center" vertical="center"/>
    </xf>
    <xf numFmtId="172" fontId="28" fillId="11" borderId="100" xfId="9" applyNumberFormat="1" applyFont="1" applyFill="1" applyBorder="1" applyAlignment="1">
      <alignment horizontal="center" vertical="center"/>
    </xf>
    <xf numFmtId="172" fontId="28" fillId="11" borderId="101" xfId="9" applyNumberFormat="1" applyFont="1" applyFill="1" applyBorder="1" applyAlignment="1">
      <alignment horizontal="center" vertical="center"/>
    </xf>
    <xf numFmtId="0" fontId="29" fillId="10" borderId="103" xfId="0" applyFont="1" applyFill="1" applyBorder="1" applyAlignment="1">
      <alignment vertical="center"/>
    </xf>
    <xf numFmtId="0" fontId="26" fillId="10" borderId="104" xfId="0" applyFont="1" applyFill="1" applyBorder="1" applyAlignment="1">
      <alignment horizontal="center" vertical="center"/>
    </xf>
    <xf numFmtId="171" fontId="28" fillId="10" borderId="105" xfId="9" applyNumberFormat="1" applyFont="1" applyFill="1" applyBorder="1" applyAlignment="1">
      <alignment horizontal="center" vertical="center"/>
    </xf>
    <xf numFmtId="171" fontId="28" fillId="10" borderId="106" xfId="9" applyNumberFormat="1" applyFont="1" applyFill="1" applyBorder="1" applyAlignment="1">
      <alignment horizontal="center" vertical="center"/>
    </xf>
    <xf numFmtId="171" fontId="28" fillId="10" borderId="107" xfId="9" applyNumberFormat="1" applyFont="1" applyFill="1" applyBorder="1" applyAlignment="1">
      <alignment horizontal="center" vertical="center"/>
    </xf>
    <xf numFmtId="172" fontId="28" fillId="10" borderId="108" xfId="9" applyNumberFormat="1" applyFont="1" applyFill="1" applyBorder="1" applyAlignment="1">
      <alignment horizontal="center" vertical="center"/>
    </xf>
    <xf numFmtId="172" fontId="28" fillId="10" borderId="106" xfId="9" applyNumberFormat="1" applyFont="1" applyFill="1" applyBorder="1" applyAlignment="1">
      <alignment horizontal="center" vertical="center"/>
    </xf>
    <xf numFmtId="172" fontId="30" fillId="10" borderId="107" xfId="9" applyNumberFormat="1" applyFont="1" applyFill="1" applyBorder="1" applyAlignment="1">
      <alignment horizontal="center" vertical="center"/>
    </xf>
    <xf numFmtId="0" fontId="31" fillId="10" borderId="109" xfId="0" applyFont="1" applyFill="1" applyBorder="1" applyAlignment="1">
      <alignment horizontal="center" vertical="center"/>
    </xf>
    <xf numFmtId="38" fontId="28" fillId="10" borderId="94" xfId="1" applyNumberFormat="1" applyFont="1" applyFill="1" applyBorder="1" applyAlignment="1">
      <alignment horizontal="right" vertical="center"/>
    </xf>
    <xf numFmtId="38" fontId="28" fillId="10" borderId="95" xfId="1" applyNumberFormat="1" applyFont="1" applyFill="1" applyBorder="1" applyAlignment="1">
      <alignment horizontal="right" vertical="center"/>
    </xf>
    <xf numFmtId="38" fontId="28" fillId="10" borderId="93" xfId="1" applyNumberFormat="1" applyFont="1" applyFill="1" applyBorder="1" applyAlignment="1">
      <alignment horizontal="right" vertical="center"/>
    </xf>
    <xf numFmtId="38" fontId="32" fillId="0" borderId="96" xfId="1" applyNumberFormat="1" applyFont="1" applyFill="1" applyBorder="1" applyAlignment="1">
      <alignment horizontal="right" vertical="center"/>
    </xf>
    <xf numFmtId="38" fontId="32" fillId="0" borderId="95" xfId="1" applyNumberFormat="1" applyFont="1" applyFill="1" applyBorder="1" applyAlignment="1">
      <alignment horizontal="right" vertical="center"/>
    </xf>
    <xf numFmtId="38" fontId="32" fillId="0" borderId="93" xfId="1" applyNumberFormat="1" applyFont="1" applyFill="1" applyBorder="1" applyAlignment="1">
      <alignment horizontal="right" vertical="center"/>
    </xf>
    <xf numFmtId="0" fontId="31" fillId="10" borderId="111" xfId="0" applyFont="1" applyFill="1" applyBorder="1" applyAlignment="1">
      <alignment horizontal="left" vertical="center"/>
    </xf>
    <xf numFmtId="38" fontId="28" fillId="10" borderId="99" xfId="1" applyNumberFormat="1" applyFont="1" applyFill="1" applyBorder="1" applyAlignment="1">
      <alignment horizontal="right" vertical="center"/>
    </xf>
    <xf numFmtId="38" fontId="28" fillId="10" borderId="113" xfId="1" applyNumberFormat="1" applyFont="1" applyFill="1" applyBorder="1" applyAlignment="1">
      <alignment horizontal="right" vertical="center"/>
    </xf>
    <xf numFmtId="38" fontId="28" fillId="10" borderId="98" xfId="1" applyNumberFormat="1" applyFont="1" applyFill="1" applyBorder="1" applyAlignment="1">
      <alignment horizontal="right" vertical="center"/>
    </xf>
    <xf numFmtId="38" fontId="28" fillId="10" borderId="101" xfId="1" applyNumberFormat="1" applyFont="1" applyFill="1" applyBorder="1" applyAlignment="1">
      <alignment horizontal="right" vertical="center"/>
    </xf>
    <xf numFmtId="38" fontId="32" fillId="0" borderId="102" xfId="1" applyNumberFormat="1" applyFont="1" applyFill="1" applyBorder="1" applyAlignment="1">
      <alignment horizontal="right" vertical="center"/>
    </xf>
    <xf numFmtId="38" fontId="32" fillId="0" borderId="100" xfId="1" applyNumberFormat="1" applyFont="1" applyFill="1" applyBorder="1" applyAlignment="1">
      <alignment horizontal="right" vertical="center"/>
    </xf>
    <xf numFmtId="38" fontId="32" fillId="0" borderId="101" xfId="1" applyNumberFormat="1" applyFont="1" applyFill="1" applyBorder="1" applyAlignment="1">
      <alignment horizontal="right" vertical="center"/>
    </xf>
    <xf numFmtId="0" fontId="31" fillId="10" borderId="103" xfId="0" applyFont="1" applyFill="1" applyBorder="1" applyAlignment="1">
      <alignment horizontal="left" vertical="center"/>
    </xf>
    <xf numFmtId="0" fontId="26" fillId="10" borderId="115" xfId="0" applyFont="1" applyFill="1" applyBorder="1" applyAlignment="1">
      <alignment horizontal="center" vertical="center"/>
    </xf>
    <xf numFmtId="38" fontId="28" fillId="10" borderId="117" xfId="1" applyNumberFormat="1" applyFont="1" applyFill="1" applyBorder="1" applyAlignment="1">
      <alignment horizontal="right" vertical="center"/>
    </xf>
    <xf numFmtId="38" fontId="28" fillId="10" borderId="118" xfId="1" applyNumberFormat="1" applyFont="1" applyFill="1" applyBorder="1" applyAlignment="1">
      <alignment horizontal="right" vertical="center"/>
    </xf>
    <xf numFmtId="38" fontId="32" fillId="0" borderId="119" xfId="1" applyNumberFormat="1" applyFont="1" applyFill="1" applyBorder="1" applyAlignment="1">
      <alignment horizontal="right" vertical="center"/>
    </xf>
    <xf numFmtId="0" fontId="31" fillId="10" borderId="120" xfId="0" applyFont="1" applyFill="1" applyBorder="1" applyAlignment="1">
      <alignment horizontal="left" vertical="center"/>
    </xf>
    <xf numFmtId="0" fontId="33" fillId="10" borderId="120" xfId="0" applyFont="1" applyFill="1" applyBorder="1" applyAlignment="1">
      <alignment horizontal="left" vertical="center" wrapText="1"/>
    </xf>
    <xf numFmtId="38" fontId="32" fillId="0" borderId="117" xfId="1" applyNumberFormat="1" applyFont="1" applyFill="1" applyBorder="1" applyAlignment="1">
      <alignment horizontal="right" vertical="center"/>
    </xf>
    <xf numFmtId="38" fontId="32" fillId="0" borderId="113" xfId="1" applyNumberFormat="1" applyFont="1" applyFill="1" applyBorder="1" applyAlignment="1">
      <alignment horizontal="right" vertical="center"/>
    </xf>
    <xf numFmtId="38" fontId="32" fillId="0" borderId="121" xfId="1" applyNumberFormat="1" applyFont="1" applyFill="1" applyBorder="1" applyAlignment="1">
      <alignment horizontal="right" vertical="center"/>
    </xf>
    <xf numFmtId="0" fontId="26" fillId="10" borderId="123" xfId="0" applyFont="1" applyFill="1" applyBorder="1" applyAlignment="1">
      <alignment horizontal="center" vertical="center"/>
    </xf>
    <xf numFmtId="38" fontId="28" fillId="10" borderId="124" xfId="1" applyNumberFormat="1" applyFont="1" applyFill="1" applyBorder="1" applyAlignment="1">
      <alignment horizontal="right" vertical="center"/>
    </xf>
    <xf numFmtId="38" fontId="28" fillId="10" borderId="125" xfId="1" applyNumberFormat="1" applyFont="1" applyFill="1" applyBorder="1" applyAlignment="1">
      <alignment horizontal="right" vertical="center"/>
    </xf>
    <xf numFmtId="38" fontId="28" fillId="10" borderId="126" xfId="1" applyNumberFormat="1" applyFont="1" applyFill="1" applyBorder="1" applyAlignment="1">
      <alignment horizontal="right" vertical="center"/>
    </xf>
    <xf numFmtId="38" fontId="28" fillId="10" borderId="127" xfId="1" applyNumberFormat="1" applyFont="1" applyFill="1" applyBorder="1" applyAlignment="1">
      <alignment horizontal="right" vertical="center"/>
    </xf>
    <xf numFmtId="38" fontId="28" fillId="10" borderId="128" xfId="1" applyNumberFormat="1" applyFont="1" applyFill="1" applyBorder="1" applyAlignment="1">
      <alignment horizontal="right" vertical="center"/>
    </xf>
    <xf numFmtId="38" fontId="32" fillId="0" borderId="129" xfId="1" applyNumberFormat="1" applyFont="1" applyFill="1" applyBorder="1" applyAlignment="1">
      <alignment horizontal="right" vertical="center"/>
    </xf>
    <xf numFmtId="38" fontId="32" fillId="0" borderId="130" xfId="1" applyNumberFormat="1" applyFont="1" applyFill="1" applyBorder="1" applyAlignment="1">
      <alignment horizontal="right" vertical="center"/>
    </xf>
    <xf numFmtId="38" fontId="32" fillId="0" borderId="131" xfId="1" applyNumberFormat="1" applyFont="1" applyFill="1" applyBorder="1" applyAlignment="1">
      <alignment horizontal="right" vertical="center"/>
    </xf>
    <xf numFmtId="0" fontId="26" fillId="10" borderId="132" xfId="0" applyFont="1" applyFill="1" applyBorder="1" applyAlignment="1">
      <alignment horizontal="center" vertical="center"/>
    </xf>
    <xf numFmtId="38" fontId="28" fillId="10" borderId="102" xfId="1" applyNumberFormat="1" applyFont="1" applyFill="1" applyBorder="1" applyAlignment="1">
      <alignment horizontal="right" vertical="center"/>
    </xf>
    <xf numFmtId="38" fontId="28" fillId="10" borderId="100" xfId="1" applyNumberFormat="1" applyFont="1" applyFill="1" applyBorder="1" applyAlignment="1">
      <alignment horizontal="right" vertical="center"/>
    </xf>
    <xf numFmtId="38" fontId="28" fillId="10" borderId="133" xfId="1" applyNumberFormat="1" applyFont="1" applyFill="1" applyBorder="1" applyAlignment="1">
      <alignment horizontal="right" vertical="center"/>
    </xf>
    <xf numFmtId="0" fontId="26" fillId="10" borderId="136" xfId="0" applyFont="1" applyFill="1" applyBorder="1" applyAlignment="1">
      <alignment horizontal="center" vertical="center"/>
    </xf>
    <xf numFmtId="38" fontId="28" fillId="10" borderId="137" xfId="1" applyNumberFormat="1" applyFont="1" applyFill="1" applyBorder="1" applyAlignment="1">
      <alignment horizontal="right" vertical="center"/>
    </xf>
    <xf numFmtId="38" fontId="28" fillId="10" borderId="138" xfId="1" applyNumberFormat="1" applyFont="1" applyFill="1" applyBorder="1" applyAlignment="1">
      <alignment horizontal="right" vertical="center"/>
    </xf>
    <xf numFmtId="38" fontId="28" fillId="10" borderId="139" xfId="1" applyNumberFormat="1" applyFont="1" applyFill="1" applyBorder="1" applyAlignment="1">
      <alignment horizontal="right" vertical="center"/>
    </xf>
    <xf numFmtId="38" fontId="28" fillId="10" borderId="140" xfId="1" applyNumberFormat="1" applyFont="1" applyFill="1" applyBorder="1" applyAlignment="1">
      <alignment horizontal="right" vertical="center"/>
    </xf>
    <xf numFmtId="38" fontId="28" fillId="10" borderId="141" xfId="1" applyNumberFormat="1" applyFont="1" applyFill="1" applyBorder="1" applyAlignment="1">
      <alignment horizontal="right" vertical="center"/>
    </xf>
    <xf numFmtId="38" fontId="32" fillId="11" borderId="142" xfId="1" applyNumberFormat="1" applyFont="1" applyFill="1" applyBorder="1" applyAlignment="1">
      <alignment horizontal="right" vertical="center"/>
    </xf>
    <xf numFmtId="38" fontId="32" fillId="11" borderId="143" xfId="1" applyNumberFormat="1" applyFont="1" applyFill="1" applyBorder="1" applyAlignment="1">
      <alignment horizontal="right" vertical="center"/>
    </xf>
    <xf numFmtId="38" fontId="32" fillId="11" borderId="144" xfId="1" applyNumberFormat="1" applyFont="1" applyFill="1" applyBorder="1" applyAlignment="1">
      <alignment horizontal="right" vertical="center"/>
    </xf>
    <xf numFmtId="0" fontId="26" fillId="10" borderId="36" xfId="0" applyFont="1" applyFill="1" applyBorder="1" applyAlignment="1">
      <alignment horizontal="center" vertical="center"/>
    </xf>
    <xf numFmtId="38" fontId="28" fillId="10" borderId="147" xfId="1" applyNumberFormat="1" applyFont="1" applyFill="1" applyBorder="1" applyAlignment="1">
      <alignment horizontal="right" vertical="center"/>
    </xf>
    <xf numFmtId="38" fontId="28" fillId="10" borderId="35" xfId="1" applyNumberFormat="1" applyFont="1" applyFill="1" applyBorder="1" applyAlignment="1">
      <alignment horizontal="right" vertical="center"/>
    </xf>
    <xf numFmtId="38" fontId="28" fillId="10" borderId="36" xfId="1" applyNumberFormat="1" applyFont="1" applyFill="1" applyBorder="1" applyAlignment="1">
      <alignment horizontal="right" vertical="center"/>
    </xf>
    <xf numFmtId="38" fontId="28" fillId="10" borderId="148" xfId="1" applyNumberFormat="1" applyFont="1" applyFill="1" applyBorder="1" applyAlignment="1">
      <alignment horizontal="right" vertical="center"/>
    </xf>
    <xf numFmtId="38" fontId="32" fillId="0" borderId="147" xfId="1" applyNumberFormat="1" applyFont="1" applyFill="1" applyBorder="1" applyAlignment="1">
      <alignment horizontal="right" vertical="center"/>
    </xf>
    <xf numFmtId="38" fontId="32" fillId="0" borderId="35" xfId="1" applyNumberFormat="1" applyFont="1" applyFill="1" applyBorder="1" applyAlignment="1">
      <alignment horizontal="right" vertical="center"/>
    </xf>
    <xf numFmtId="38" fontId="32" fillId="0" borderId="149" xfId="1" applyNumberFormat="1" applyFont="1" applyFill="1" applyBorder="1" applyAlignment="1">
      <alignment horizontal="right" vertical="center"/>
    </xf>
    <xf numFmtId="0" fontId="26" fillId="10" borderId="150" xfId="0" applyFont="1" applyFill="1" applyBorder="1" applyAlignment="1">
      <alignment horizontal="center" vertical="center"/>
    </xf>
    <xf numFmtId="38" fontId="28" fillId="10" borderId="151" xfId="1" applyNumberFormat="1" applyFont="1" applyFill="1" applyBorder="1" applyAlignment="1">
      <alignment horizontal="right" vertical="center"/>
    </xf>
    <xf numFmtId="38" fontId="28" fillId="10" borderId="152" xfId="1" applyNumberFormat="1" applyFont="1" applyFill="1" applyBorder="1" applyAlignment="1">
      <alignment horizontal="right" vertical="center"/>
    </xf>
    <xf numFmtId="38" fontId="28" fillId="10" borderId="153" xfId="1" applyNumberFormat="1" applyFont="1" applyFill="1" applyBorder="1" applyAlignment="1">
      <alignment horizontal="right" vertical="center"/>
    </xf>
    <xf numFmtId="38" fontId="28" fillId="10" borderId="154" xfId="1" applyNumberFormat="1" applyFont="1" applyFill="1" applyBorder="1" applyAlignment="1">
      <alignment horizontal="right" vertical="center"/>
    </xf>
    <xf numFmtId="38" fontId="32" fillId="0" borderId="155" xfId="1" applyNumberFormat="1" applyFont="1" applyFill="1" applyBorder="1" applyAlignment="1">
      <alignment horizontal="right" vertical="center"/>
    </xf>
    <xf numFmtId="38" fontId="32" fillId="0" borderId="79" xfId="1" applyNumberFormat="1" applyFont="1" applyFill="1" applyBorder="1" applyAlignment="1">
      <alignment horizontal="right" vertical="center"/>
    </xf>
    <xf numFmtId="38" fontId="32" fillId="0" borderId="156" xfId="1" applyNumberFormat="1" applyFont="1" applyFill="1" applyBorder="1" applyAlignment="1">
      <alignment horizontal="right" vertical="center"/>
    </xf>
    <xf numFmtId="0" fontId="26" fillId="10" borderId="158" xfId="0" applyFont="1" applyFill="1" applyBorder="1" applyAlignment="1">
      <alignment horizontal="center" vertical="center"/>
    </xf>
    <xf numFmtId="38" fontId="28" fillId="10" borderId="159" xfId="1" applyNumberFormat="1" applyFont="1" applyFill="1" applyBorder="1" applyAlignment="1">
      <alignment horizontal="right" vertical="center"/>
    </xf>
    <xf numFmtId="38" fontId="28" fillId="10" borderId="160" xfId="1" applyNumberFormat="1" applyFont="1" applyFill="1" applyBorder="1" applyAlignment="1">
      <alignment horizontal="right" vertical="center"/>
    </xf>
    <xf numFmtId="38" fontId="28" fillId="10" borderId="158" xfId="1" applyNumberFormat="1" applyFont="1" applyFill="1" applyBorder="1" applyAlignment="1">
      <alignment horizontal="right" vertical="center"/>
    </xf>
    <xf numFmtId="38" fontId="28" fillId="10" borderId="161" xfId="1" applyNumberFormat="1" applyFont="1" applyFill="1" applyBorder="1" applyAlignment="1">
      <alignment horizontal="right" vertical="center"/>
    </xf>
    <xf numFmtId="38" fontId="32" fillId="0" borderId="159" xfId="1" applyNumberFormat="1" applyFont="1" applyFill="1" applyBorder="1" applyAlignment="1">
      <alignment horizontal="right" vertical="center"/>
    </xf>
    <xf numFmtId="38" fontId="32" fillId="0" borderId="160" xfId="1" applyNumberFormat="1" applyFont="1" applyFill="1" applyBorder="1" applyAlignment="1">
      <alignment horizontal="right" vertical="center"/>
    </xf>
    <xf numFmtId="0" fontId="26" fillId="10" borderId="162" xfId="0" applyFont="1" applyFill="1" applyBorder="1" applyAlignment="1">
      <alignment horizontal="center" vertical="center"/>
    </xf>
    <xf numFmtId="38" fontId="28" fillId="10" borderId="163" xfId="1" applyNumberFormat="1" applyFont="1" applyFill="1" applyBorder="1" applyAlignment="1">
      <alignment horizontal="right" vertical="center"/>
    </xf>
    <xf numFmtId="38" fontId="28" fillId="10" borderId="164" xfId="1" applyNumberFormat="1" applyFont="1" applyFill="1" applyBorder="1" applyAlignment="1">
      <alignment horizontal="right" vertical="center"/>
    </xf>
    <xf numFmtId="38" fontId="28" fillId="10" borderId="165" xfId="1" applyNumberFormat="1" applyFont="1" applyFill="1" applyBorder="1" applyAlignment="1">
      <alignment horizontal="right" vertical="center"/>
    </xf>
    <xf numFmtId="38" fontId="28" fillId="10" borderId="166" xfId="1" applyNumberFormat="1" applyFont="1" applyFill="1" applyBorder="1" applyAlignment="1">
      <alignment horizontal="right" vertical="center"/>
    </xf>
    <xf numFmtId="38" fontId="32" fillId="11" borderId="167" xfId="1" applyNumberFormat="1" applyFont="1" applyFill="1" applyBorder="1" applyAlignment="1">
      <alignment horizontal="right" vertical="center"/>
    </xf>
    <xf numFmtId="38" fontId="32" fillId="11" borderId="168" xfId="1" applyNumberFormat="1" applyFont="1" applyFill="1" applyBorder="1" applyAlignment="1">
      <alignment horizontal="right" vertical="center"/>
    </xf>
    <xf numFmtId="168" fontId="34" fillId="10" borderId="120" xfId="10" applyNumberFormat="1" applyFont="1" applyFill="1" applyBorder="1" applyAlignment="1">
      <alignment horizontal="left" vertical="center"/>
    </xf>
    <xf numFmtId="0" fontId="26" fillId="10" borderId="101" xfId="0" applyFont="1" applyFill="1" applyBorder="1" applyAlignment="1">
      <alignment horizontal="center" vertical="center"/>
    </xf>
    <xf numFmtId="168" fontId="31" fillId="10" borderId="120" xfId="10" applyNumberFormat="1" applyFont="1" applyFill="1" applyBorder="1" applyAlignment="1">
      <alignment horizontal="left" vertical="center"/>
    </xf>
    <xf numFmtId="38" fontId="32" fillId="11" borderId="102" xfId="1" applyNumberFormat="1" applyFont="1" applyFill="1" applyBorder="1" applyAlignment="1">
      <alignment horizontal="right" vertical="center"/>
    </xf>
    <xf numFmtId="38" fontId="32" fillId="11" borderId="100" xfId="1" applyNumberFormat="1" applyFont="1" applyFill="1" applyBorder="1" applyAlignment="1">
      <alignment horizontal="right" vertical="center"/>
    </xf>
    <xf numFmtId="38" fontId="32" fillId="11" borderId="119" xfId="1" applyNumberFormat="1" applyFont="1" applyFill="1" applyBorder="1" applyAlignment="1">
      <alignment horizontal="right" vertical="center"/>
    </xf>
    <xf numFmtId="0" fontId="35" fillId="10" borderId="136" xfId="0" applyFont="1" applyFill="1" applyBorder="1" applyAlignment="1">
      <alignment horizontal="center" vertical="center"/>
    </xf>
    <xf numFmtId="38" fontId="32" fillId="0" borderId="142" xfId="1" applyNumberFormat="1" applyFont="1" applyFill="1" applyBorder="1" applyAlignment="1">
      <alignment horizontal="right" vertical="center"/>
    </xf>
    <xf numFmtId="38" fontId="32" fillId="0" borderId="143" xfId="1" applyNumberFormat="1" applyFont="1" applyFill="1" applyBorder="1" applyAlignment="1">
      <alignment horizontal="right" vertical="center"/>
    </xf>
    <xf numFmtId="38" fontId="32" fillId="0" borderId="144" xfId="1" applyNumberFormat="1" applyFont="1" applyFill="1" applyBorder="1" applyAlignment="1">
      <alignment horizontal="right" vertical="center"/>
    </xf>
    <xf numFmtId="38" fontId="28" fillId="10" borderId="50" xfId="1" applyNumberFormat="1" applyFont="1" applyFill="1" applyBorder="1" applyAlignment="1">
      <alignment horizontal="right" vertical="center"/>
    </xf>
    <xf numFmtId="0" fontId="26" fillId="10" borderId="170" xfId="0" applyFont="1" applyFill="1" applyBorder="1" applyAlignment="1">
      <alignment horizontal="center" vertical="center"/>
    </xf>
    <xf numFmtId="38" fontId="28" fillId="10" borderId="171" xfId="1" applyNumberFormat="1" applyFont="1" applyFill="1" applyBorder="1" applyAlignment="1">
      <alignment horizontal="right" vertical="center"/>
    </xf>
    <xf numFmtId="38" fontId="28" fillId="10" borderId="172" xfId="1" applyNumberFormat="1" applyFont="1" applyFill="1" applyBorder="1" applyAlignment="1">
      <alignment horizontal="right" vertical="center"/>
    </xf>
    <xf numFmtId="38" fontId="28" fillId="10" borderId="170" xfId="1" applyNumberFormat="1" applyFont="1" applyFill="1" applyBorder="1" applyAlignment="1">
      <alignment horizontal="right" vertical="center"/>
    </xf>
    <xf numFmtId="38" fontId="28" fillId="10" borderId="173" xfId="1" applyNumberFormat="1" applyFont="1" applyFill="1" applyBorder="1" applyAlignment="1">
      <alignment horizontal="right" vertical="center"/>
    </xf>
    <xf numFmtId="38" fontId="32" fillId="0" borderId="171" xfId="1" applyNumberFormat="1" applyFont="1" applyFill="1" applyBorder="1" applyAlignment="1">
      <alignment horizontal="right" vertical="center"/>
    </xf>
    <xf numFmtId="38" fontId="32" fillId="0" borderId="172" xfId="1" applyNumberFormat="1" applyFont="1" applyFill="1" applyBorder="1" applyAlignment="1">
      <alignment horizontal="right" vertical="center"/>
    </xf>
    <xf numFmtId="38" fontId="32" fillId="0" borderId="174" xfId="1" applyNumberFormat="1" applyFont="1" applyFill="1" applyBorder="1" applyAlignment="1">
      <alignment horizontal="right" vertical="center"/>
    </xf>
    <xf numFmtId="168" fontId="36" fillId="10" borderId="120" xfId="10" applyNumberFormat="1" applyFont="1" applyFill="1" applyBorder="1" applyAlignment="1">
      <alignment horizontal="left" vertical="center"/>
    </xf>
    <xf numFmtId="0" fontId="26" fillId="10" borderId="177" xfId="0" applyFont="1" applyFill="1" applyBorder="1" applyAlignment="1">
      <alignment horizontal="center" vertical="center"/>
    </xf>
    <xf numFmtId="38" fontId="28" fillId="10" borderId="178" xfId="1" applyNumberFormat="1" applyFont="1" applyFill="1" applyBorder="1" applyAlignment="1">
      <alignment horizontal="right" vertical="center"/>
    </xf>
    <xf numFmtId="38" fontId="28" fillId="10" borderId="179" xfId="1" applyNumberFormat="1" applyFont="1" applyFill="1" applyBorder="1" applyAlignment="1">
      <alignment horizontal="right" vertical="center"/>
    </xf>
    <xf numFmtId="38" fontId="28" fillId="10" borderId="180" xfId="1" applyNumberFormat="1" applyFont="1" applyFill="1" applyBorder="1" applyAlignment="1">
      <alignment horizontal="right" vertical="center"/>
    </xf>
    <xf numFmtId="38" fontId="28" fillId="10" borderId="181" xfId="1" applyNumberFormat="1" applyFont="1" applyFill="1" applyBorder="1" applyAlignment="1">
      <alignment horizontal="right" vertical="center"/>
    </xf>
    <xf numFmtId="38" fontId="28" fillId="10" borderId="182" xfId="1" applyNumberFormat="1" applyFont="1" applyFill="1" applyBorder="1" applyAlignment="1">
      <alignment horizontal="right" vertical="center"/>
    </xf>
    <xf numFmtId="38" fontId="32" fillId="11" borderId="183" xfId="1" applyNumberFormat="1" applyFont="1" applyFill="1" applyBorder="1" applyAlignment="1">
      <alignment horizontal="right" vertical="center"/>
    </xf>
    <xf numFmtId="38" fontId="32" fillId="11" borderId="184" xfId="1" applyNumberFormat="1" applyFont="1" applyFill="1" applyBorder="1" applyAlignment="1">
      <alignment horizontal="right" vertical="center"/>
    </xf>
    <xf numFmtId="38" fontId="32" fillId="11" borderId="185" xfId="1" applyNumberFormat="1" applyFont="1" applyFill="1" applyBorder="1" applyAlignment="1">
      <alignment horizontal="right" vertical="center"/>
    </xf>
    <xf numFmtId="0" fontId="26" fillId="10" borderId="59" xfId="0" applyFont="1" applyFill="1" applyBorder="1" applyAlignment="1">
      <alignment horizontal="center" vertical="center"/>
    </xf>
    <xf numFmtId="0" fontId="26" fillId="10" borderId="134" xfId="0" applyFont="1" applyFill="1" applyBorder="1" applyAlignment="1">
      <alignment horizontal="center" vertical="center"/>
    </xf>
    <xf numFmtId="38" fontId="37" fillId="10" borderId="137" xfId="1" applyNumberFormat="1" applyFont="1" applyFill="1" applyBorder="1" applyAlignment="1">
      <alignment horizontal="right" vertical="center" shrinkToFit="1"/>
    </xf>
    <xf numFmtId="38" fontId="37" fillId="10" borderId="138" xfId="1" applyNumberFormat="1" applyFont="1" applyFill="1" applyBorder="1" applyAlignment="1">
      <alignment horizontal="right" vertical="center" shrinkToFit="1"/>
    </xf>
    <xf numFmtId="38" fontId="37" fillId="10" borderId="139" xfId="1" applyNumberFormat="1" applyFont="1" applyFill="1" applyBorder="1" applyAlignment="1">
      <alignment horizontal="right" vertical="center" shrinkToFit="1"/>
    </xf>
    <xf numFmtId="38" fontId="37" fillId="10" borderId="140" xfId="1" applyNumberFormat="1" applyFont="1" applyFill="1" applyBorder="1" applyAlignment="1">
      <alignment horizontal="right" vertical="center" shrinkToFit="1"/>
    </xf>
    <xf numFmtId="38" fontId="37" fillId="10" borderId="141" xfId="1" applyNumberFormat="1" applyFont="1" applyFill="1" applyBorder="1" applyAlignment="1">
      <alignment horizontal="right" vertical="center"/>
    </xf>
    <xf numFmtId="38" fontId="38" fillId="11" borderId="142" xfId="1" applyNumberFormat="1" applyFont="1" applyFill="1" applyBorder="1" applyAlignment="1">
      <alignment horizontal="right" vertical="center"/>
    </xf>
    <xf numFmtId="38" fontId="38" fillId="11" borderId="143" xfId="1" applyNumberFormat="1" applyFont="1" applyFill="1" applyBorder="1" applyAlignment="1">
      <alignment horizontal="right" vertical="center"/>
    </xf>
    <xf numFmtId="38" fontId="38" fillId="11" borderId="144" xfId="1" applyNumberFormat="1" applyFont="1" applyFill="1" applyBorder="1" applyAlignment="1">
      <alignment horizontal="right" vertical="center"/>
    </xf>
    <xf numFmtId="168" fontId="36" fillId="10" borderId="186" xfId="10" applyNumberFormat="1" applyFont="1" applyFill="1" applyBorder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38" fontId="26" fillId="10" borderId="0" xfId="1" applyNumberFormat="1" applyFont="1" applyFill="1" applyAlignment="1">
      <alignment horizontal="center" vertical="center"/>
    </xf>
    <xf numFmtId="38" fontId="26" fillId="10" borderId="0" xfId="1" applyNumberFormat="1" applyFont="1" applyFill="1" applyAlignment="1">
      <alignment horizontal="right" vertical="center"/>
    </xf>
    <xf numFmtId="38" fontId="26" fillId="10" borderId="0" xfId="1" applyNumberFormat="1" applyFont="1" applyFill="1" applyAlignment="1">
      <alignment horizontal="left" vertical="center"/>
    </xf>
    <xf numFmtId="38" fontId="34" fillId="10" borderId="0" xfId="1" applyNumberFormat="1" applyFont="1" applyFill="1" applyAlignment="1">
      <alignment horizontal="left" vertical="center"/>
    </xf>
    <xf numFmtId="38" fontId="31" fillId="10" borderId="0" xfId="1" applyNumberFormat="1" applyFont="1" applyFill="1" applyAlignment="1">
      <alignment horizontal="center" vertical="center"/>
    </xf>
    <xf numFmtId="38" fontId="31" fillId="10" borderId="0" xfId="1" applyNumberFormat="1" applyFont="1" applyFill="1" applyAlignment="1">
      <alignment horizontal="left" vertical="center"/>
    </xf>
    <xf numFmtId="0" fontId="31" fillId="10" borderId="0" xfId="0" applyFont="1" applyFill="1" applyAlignment="1">
      <alignment horizontal="center" vertical="center"/>
    </xf>
    <xf numFmtId="38" fontId="39" fillId="10" borderId="0" xfId="1" applyNumberFormat="1" applyFont="1" applyFill="1" applyAlignment="1">
      <alignment horizontal="center" vertical="center"/>
    </xf>
    <xf numFmtId="38" fontId="40" fillId="10" borderId="0" xfId="1" applyNumberFormat="1" applyFont="1" applyFill="1" applyAlignment="1">
      <alignment horizontal="center" vertical="center"/>
    </xf>
    <xf numFmtId="167" fontId="39" fillId="10" borderId="0" xfId="1" applyNumberFormat="1" applyFont="1" applyFill="1" applyAlignment="1">
      <alignment horizontal="center" vertical="center"/>
    </xf>
    <xf numFmtId="0" fontId="3" fillId="0" borderId="0" xfId="2" applyFont="1" applyAlignment="1">
      <alignment horizontal="left" wrapText="1"/>
    </xf>
    <xf numFmtId="0" fontId="4" fillId="2" borderId="0" xfId="2" applyFont="1" applyFill="1" applyAlignment="1">
      <alignment horizontal="left" wrapText="1"/>
    </xf>
    <xf numFmtId="0" fontId="6" fillId="0" borderId="1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3" fontId="6" fillId="0" borderId="1" xfId="3" applyNumberFormat="1" applyFont="1" applyBorder="1" applyAlignment="1">
      <alignment horizontal="center" vertical="center" wrapText="1"/>
    </xf>
    <xf numFmtId="3" fontId="7" fillId="0" borderId="2" xfId="3" applyNumberFormat="1" applyFont="1" applyBorder="1" applyAlignment="1">
      <alignment horizontal="center" vertical="center" wrapText="1"/>
    </xf>
    <xf numFmtId="3" fontId="7" fillId="0" borderId="6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165" fontId="11" fillId="0" borderId="1" xfId="3" applyNumberFormat="1" applyFont="1" applyBorder="1" applyAlignment="1">
      <alignment horizontal="center" vertical="center" wrapText="1"/>
    </xf>
    <xf numFmtId="0" fontId="11" fillId="5" borderId="1" xfId="3" quotePrefix="1" applyFont="1" applyFill="1" applyBorder="1" applyAlignment="1">
      <alignment horizontal="left" vertical="center" wrapText="1"/>
    </xf>
    <xf numFmtId="3" fontId="7" fillId="0" borderId="1" xfId="3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7" fillId="5" borderId="1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3" fontId="11" fillId="0" borderId="1" xfId="3" applyNumberFormat="1" applyFont="1" applyBorder="1" applyAlignment="1">
      <alignment horizontal="center" vertical="center" wrapText="1"/>
    </xf>
    <xf numFmtId="0" fontId="11" fillId="0" borderId="1" xfId="3" quotePrefix="1" applyFont="1" applyBorder="1" applyAlignment="1">
      <alignment horizontal="center" vertical="center" wrapText="1"/>
    </xf>
    <xf numFmtId="165" fontId="7" fillId="6" borderId="1" xfId="3" applyNumberFormat="1" applyFont="1" applyFill="1" applyBorder="1" applyAlignment="1">
      <alignment horizontal="center" vertical="center" wrapText="1"/>
    </xf>
    <xf numFmtId="165" fontId="7" fillId="0" borderId="0" xfId="3" applyNumberFormat="1" applyFont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8" fillId="0" borderId="17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24" fillId="2" borderId="0" xfId="2" applyFont="1" applyFill="1" applyAlignment="1">
      <alignment horizontal="left" wrapText="1"/>
    </xf>
    <xf numFmtId="0" fontId="26" fillId="10" borderId="82" xfId="0" applyFont="1" applyFill="1" applyBorder="1" applyAlignment="1">
      <alignment horizontal="center" vertical="center" wrapText="1"/>
    </xf>
    <xf numFmtId="0" fontId="26" fillId="10" borderId="135" xfId="0" applyFont="1" applyFill="1" applyBorder="1" applyAlignment="1">
      <alignment horizontal="center" vertical="center" wrapText="1"/>
    </xf>
    <xf numFmtId="0" fontId="26" fillId="10" borderId="145" xfId="0" applyFont="1" applyFill="1" applyBorder="1" applyAlignment="1">
      <alignment horizontal="center" vertical="center" wrapText="1"/>
    </xf>
    <xf numFmtId="0" fontId="26" fillId="10" borderId="59" xfId="0" applyFont="1" applyFill="1" applyBorder="1" applyAlignment="1">
      <alignment horizontal="center" vertical="center"/>
    </xf>
    <xf numFmtId="0" fontId="26" fillId="10" borderId="146" xfId="0" applyFont="1" applyFill="1" applyBorder="1" applyAlignment="1">
      <alignment horizontal="center" vertical="center" wrapText="1"/>
    </xf>
    <xf numFmtId="0" fontId="26" fillId="10" borderId="112" xfId="0" applyFont="1" applyFill="1" applyBorder="1" applyAlignment="1">
      <alignment horizontal="center" vertical="center" wrapText="1"/>
    </xf>
    <xf numFmtId="0" fontId="26" fillId="10" borderId="169" xfId="0" applyFont="1" applyFill="1" applyBorder="1" applyAlignment="1">
      <alignment horizontal="center" vertical="center" wrapText="1"/>
    </xf>
    <xf numFmtId="0" fontId="26" fillId="10" borderId="175" xfId="0" applyFont="1" applyFill="1" applyBorder="1" applyAlignment="1">
      <alignment horizontal="center" vertical="center" wrapText="1"/>
    </xf>
    <xf numFmtId="0" fontId="26" fillId="10" borderId="176" xfId="0" applyFont="1" applyFill="1" applyBorder="1" applyAlignment="1">
      <alignment horizontal="center" vertical="center" wrapText="1"/>
    </xf>
    <xf numFmtId="0" fontId="26" fillId="10" borderId="114" xfId="0" applyFont="1" applyFill="1" applyBorder="1" applyAlignment="1">
      <alignment horizontal="center" vertical="center" wrapText="1"/>
    </xf>
    <xf numFmtId="0" fontId="26" fillId="10" borderId="116" xfId="0" applyFont="1" applyFill="1" applyBorder="1" applyAlignment="1">
      <alignment horizontal="center" vertical="center" wrapText="1"/>
    </xf>
    <xf numFmtId="0" fontId="26" fillId="10" borderId="122" xfId="0" applyFont="1" applyFill="1" applyBorder="1" applyAlignment="1">
      <alignment horizontal="center" vertical="center" wrapText="1"/>
    </xf>
    <xf numFmtId="0" fontId="26" fillId="10" borderId="134" xfId="0" applyFont="1" applyFill="1" applyBorder="1" applyAlignment="1">
      <alignment horizontal="center" vertical="center"/>
    </xf>
    <xf numFmtId="0" fontId="26" fillId="10" borderId="157" xfId="0" applyFont="1" applyFill="1" applyBorder="1" applyAlignment="1">
      <alignment horizontal="center" vertical="center" wrapText="1"/>
    </xf>
    <xf numFmtId="0" fontId="26" fillId="10" borderId="50" xfId="0" applyFont="1" applyFill="1" applyBorder="1" applyAlignment="1">
      <alignment horizontal="center" vertical="center" wrapText="1"/>
    </xf>
    <xf numFmtId="0" fontId="26" fillId="10" borderId="67" xfId="0" applyFont="1" applyFill="1" applyBorder="1" applyAlignment="1">
      <alignment horizontal="center" vertical="center" wrapText="1"/>
    </xf>
    <xf numFmtId="0" fontId="34" fillId="10" borderId="103" xfId="0" applyFont="1" applyFill="1" applyBorder="1" applyAlignment="1">
      <alignment horizontal="left" vertical="center" wrapText="1"/>
    </xf>
    <xf numFmtId="0" fontId="26" fillId="10" borderId="34" xfId="0" applyFont="1" applyFill="1" applyBorder="1" applyAlignment="1">
      <alignment horizontal="center" vertical="center"/>
    </xf>
    <xf numFmtId="0" fontId="26" fillId="10" borderId="35" xfId="0" applyFont="1" applyFill="1" applyBorder="1" applyAlignment="1">
      <alignment horizontal="center" vertical="center"/>
    </xf>
    <xf numFmtId="0" fontId="26" fillId="10" borderId="36" xfId="0" applyFont="1" applyFill="1" applyBorder="1" applyAlignment="1">
      <alignment horizontal="center" vertical="center"/>
    </xf>
    <xf numFmtId="0" fontId="26" fillId="10" borderId="41" xfId="0" applyFont="1" applyFill="1" applyBorder="1" applyAlignment="1">
      <alignment horizontal="center" vertical="center"/>
    </xf>
    <xf numFmtId="0" fontId="26" fillId="10" borderId="42" xfId="0" applyFont="1" applyFill="1" applyBorder="1" applyAlignment="1">
      <alignment horizontal="center" vertical="center"/>
    </xf>
    <xf numFmtId="0" fontId="26" fillId="10" borderId="43" xfId="0" applyFont="1" applyFill="1" applyBorder="1" applyAlignment="1">
      <alignment horizontal="center" vertical="center"/>
    </xf>
    <xf numFmtId="38" fontId="26" fillId="10" borderId="37" xfId="1" applyNumberFormat="1" applyFont="1" applyFill="1" applyBorder="1" applyAlignment="1">
      <alignment horizontal="center" vertical="center"/>
    </xf>
    <xf numFmtId="38" fontId="26" fillId="10" borderId="38" xfId="1" applyNumberFormat="1" applyFont="1" applyFill="1" applyBorder="1" applyAlignment="1">
      <alignment horizontal="center" vertical="center"/>
    </xf>
    <xf numFmtId="38" fontId="26" fillId="10" borderId="39" xfId="1" applyNumberFormat="1" applyFont="1" applyFill="1" applyBorder="1" applyAlignment="1">
      <alignment horizontal="center" vertical="center"/>
    </xf>
    <xf numFmtId="0" fontId="26" fillId="10" borderId="40" xfId="0" applyFont="1" applyFill="1" applyBorder="1" applyAlignment="1">
      <alignment horizontal="center" vertical="center"/>
    </xf>
    <xf numFmtId="0" fontId="26" fillId="10" borderId="47" xfId="0" applyFont="1" applyFill="1" applyBorder="1" applyAlignment="1">
      <alignment horizontal="center" vertical="center"/>
    </xf>
    <xf numFmtId="0" fontId="26" fillId="10" borderId="48" xfId="0" applyFont="1" applyFill="1" applyBorder="1" applyAlignment="1">
      <alignment horizontal="center" vertical="center"/>
    </xf>
    <xf numFmtId="0" fontId="26" fillId="10" borderId="49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6" fillId="10" borderId="84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26" fillId="10" borderId="92" xfId="0" applyFont="1" applyFill="1" applyBorder="1" applyAlignment="1">
      <alignment horizontal="center" vertical="center" wrapText="1"/>
    </xf>
    <xf numFmtId="0" fontId="26" fillId="10" borderId="10" xfId="0" applyFont="1" applyFill="1" applyBorder="1" applyAlignment="1">
      <alignment horizontal="center" vertical="center"/>
    </xf>
    <xf numFmtId="0" fontId="26" fillId="10" borderId="110" xfId="0" applyFont="1" applyFill="1" applyBorder="1" applyAlignment="1">
      <alignment horizontal="center" vertical="center" wrapText="1"/>
    </xf>
  </cellXfs>
  <cellStyles count="11">
    <cellStyle name="Comma" xfId="1" builtinId="3"/>
    <cellStyle name="Comma [0]" xfId="9" builtinId="6"/>
    <cellStyle name="Comma 2 2" xfId="5" xr:uid="{00000000-0005-0000-0000-000002000000}"/>
    <cellStyle name="Comma 26 2" xfId="8" xr:uid="{00000000-0005-0000-0000-000003000000}"/>
    <cellStyle name="Comma 27 2" xfId="6" xr:uid="{00000000-0005-0000-0000-000004000000}"/>
    <cellStyle name="Comma 3" xfId="4" xr:uid="{00000000-0005-0000-0000-000005000000}"/>
    <cellStyle name="Normal" xfId="0" builtinId="0"/>
    <cellStyle name="Normal 14 2" xfId="2" xr:uid="{00000000-0005-0000-0000-000007000000}"/>
    <cellStyle name="Normal 2 2" xfId="3" xr:uid="{00000000-0005-0000-0000-000008000000}"/>
    <cellStyle name="Percent" xfId="10" builtinId="5"/>
    <cellStyle name="Percent 2 2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\18.%20ATTENDANCE%20&amp;%20SALARY%20CALCULATION\7.%20N&#259;m%202023\2.%20Actual\01.2023\Report\2.%20Actual%20&amp;%20plan%20of%20Jan%202023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UONGDZ\Documents\Zalo%20Received%20Files\3.%20Compare%20Actual%20&amp;%20OP%2001.2023_&#45432;&#47924;&#48708;%20&#51613;&#44032;&#49324;&#50976;_HR%20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eive%20File%20Zalo/3.%20Compare%20Actual%20&amp;%20OP%2001.2023_&#45432;&#47924;&#48708;%20&#51613;&#44032;&#49324;&#50976;_HR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 nghi 06.09"/>
      <sheetName val="01.2023"/>
      <sheetName val="SUM2"/>
      <sheetName val="Compare Total "/>
      <sheetName val="Direct cost"/>
      <sheetName val="Compare USD"/>
      <sheetName val="Compare  D1"/>
      <sheetName val="Compare  D2"/>
      <sheetName val="Compare working day"/>
      <sheetName val="Anual leave"/>
      <sheetName val="DEDUCT"/>
      <sheetName val="Memo ko tham gia BH"/>
      <sheetName val="Tính trợ cấp thôi việc"/>
      <sheetName val="Ngay nghi"/>
      <sheetName val="Bảng ký hiệ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0">
          <cell r="I30">
            <v>2</v>
          </cell>
          <cell r="J30">
            <v>2.9484177215189877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01.2023 Total"/>
      <sheetName val="Actual D1_01.2023"/>
      <sheetName val="OP 01.2023 Total"/>
      <sheetName val="D1_B1"/>
      <sheetName val="보고서"/>
      <sheetName val="New comer"/>
    </sheetNames>
    <sheetDataSet>
      <sheetData sheetId="0"/>
      <sheetData sheetId="1"/>
      <sheetData sheetId="2">
        <row r="5">
          <cell r="E5">
            <v>17</v>
          </cell>
          <cell r="R5">
            <v>3972.9</v>
          </cell>
          <cell r="U5">
            <v>299475592</v>
          </cell>
        </row>
        <row r="6">
          <cell r="E6">
            <v>11</v>
          </cell>
          <cell r="R6">
            <v>2121.35</v>
          </cell>
          <cell r="U6">
            <v>187322609.9375</v>
          </cell>
        </row>
        <row r="10">
          <cell r="E10">
            <v>7</v>
          </cell>
          <cell r="R10">
            <v>2264.5149999999999</v>
          </cell>
          <cell r="S10">
            <v>102.6</v>
          </cell>
          <cell r="U10">
            <v>83234244</v>
          </cell>
        </row>
        <row r="11">
          <cell r="E11">
            <v>5</v>
          </cell>
          <cell r="R11">
            <v>1788.375</v>
          </cell>
          <cell r="S11">
            <v>0</v>
          </cell>
        </row>
        <row r="12">
          <cell r="E12">
            <v>10</v>
          </cell>
          <cell r="R12">
            <v>3736.16</v>
          </cell>
          <cell r="S12">
            <v>164.15999999999997</v>
          </cell>
          <cell r="U12">
            <v>137500804.375</v>
          </cell>
        </row>
        <row r="13">
          <cell r="E13">
            <v>143</v>
          </cell>
          <cell r="R13">
            <v>52237.744999999944</v>
          </cell>
          <cell r="S13">
            <v>2995.9199999999992</v>
          </cell>
        </row>
        <row r="14">
          <cell r="E14">
            <v>0</v>
          </cell>
          <cell r="R14">
            <v>0</v>
          </cell>
          <cell r="S14">
            <v>0</v>
          </cell>
        </row>
        <row r="15">
          <cell r="U15">
            <v>1902751891.25</v>
          </cell>
        </row>
        <row r="16">
          <cell r="E16">
            <v>2</v>
          </cell>
          <cell r="R16">
            <v>636.5</v>
          </cell>
          <cell r="S16">
            <v>0</v>
          </cell>
          <cell r="U16">
            <v>29521263</v>
          </cell>
        </row>
        <row r="17">
          <cell r="E17">
            <v>130</v>
          </cell>
          <cell r="R17">
            <v>42311.479999999974</v>
          </cell>
          <cell r="S17">
            <v>1149.1200000000006</v>
          </cell>
          <cell r="U17">
            <v>1323613328</v>
          </cell>
        </row>
        <row r="18">
          <cell r="E18">
            <v>21</v>
          </cell>
          <cell r="R18">
            <v>6783.8549999999987</v>
          </cell>
          <cell r="S18">
            <v>123.11999999999999</v>
          </cell>
          <cell r="U18">
            <v>215265279</v>
          </cell>
        </row>
        <row r="19">
          <cell r="E19">
            <v>23</v>
          </cell>
          <cell r="R19">
            <v>7487.4250000000002</v>
          </cell>
          <cell r="S19">
            <v>205.19999999999996</v>
          </cell>
          <cell r="U19">
            <v>235967138.25</v>
          </cell>
        </row>
        <row r="20">
          <cell r="E20">
            <v>1</v>
          </cell>
          <cell r="R20">
            <v>351.78499999999997</v>
          </cell>
          <cell r="S20">
            <v>41.039999999999992</v>
          </cell>
          <cell r="U20">
            <v>11594562</v>
          </cell>
        </row>
        <row r="21">
          <cell r="E21">
            <v>0</v>
          </cell>
        </row>
        <row r="25">
          <cell r="E25">
            <v>3</v>
          </cell>
          <cell r="R25">
            <v>706.94999999999993</v>
          </cell>
          <cell r="U25">
            <v>27538477</v>
          </cell>
        </row>
      </sheetData>
      <sheetData sheetId="3">
        <row r="5">
          <cell r="E5">
            <v>16</v>
          </cell>
          <cell r="R5">
            <v>3739.2</v>
          </cell>
          <cell r="U5">
            <v>284480404.5625</v>
          </cell>
        </row>
        <row r="6">
          <cell r="E6">
            <v>10</v>
          </cell>
          <cell r="R6">
            <v>1928.4999999999998</v>
          </cell>
          <cell r="U6">
            <v>173360400.1875</v>
          </cell>
        </row>
        <row r="10">
          <cell r="E10">
            <v>7</v>
          </cell>
          <cell r="R10">
            <v>2264.5149999999999</v>
          </cell>
          <cell r="S10">
            <v>102.6</v>
          </cell>
          <cell r="U10">
            <v>83234244</v>
          </cell>
        </row>
        <row r="11">
          <cell r="E11">
            <v>5</v>
          </cell>
          <cell r="R11">
            <v>1788.375</v>
          </cell>
          <cell r="S11">
            <v>0</v>
          </cell>
        </row>
        <row r="12">
          <cell r="E12">
            <v>10</v>
          </cell>
          <cell r="R12">
            <v>3736.16</v>
          </cell>
          <cell r="S12">
            <v>164.15999999999997</v>
          </cell>
          <cell r="U12">
            <v>137500804.375</v>
          </cell>
        </row>
        <row r="13">
          <cell r="E13">
            <v>119</v>
          </cell>
          <cell r="R13">
            <v>43268.889999999956</v>
          </cell>
          <cell r="S13">
            <v>2093.0400000000018</v>
          </cell>
        </row>
        <row r="14">
          <cell r="E14">
            <v>0</v>
          </cell>
        </row>
        <row r="15">
          <cell r="U15">
            <v>1620113635</v>
          </cell>
        </row>
        <row r="16">
          <cell r="E16">
            <v>2</v>
          </cell>
          <cell r="R16">
            <v>636.5</v>
          </cell>
          <cell r="S16">
            <v>0</v>
          </cell>
          <cell r="U16">
            <v>29521263</v>
          </cell>
        </row>
        <row r="17">
          <cell r="E17">
            <v>112</v>
          </cell>
          <cell r="R17">
            <v>36079.954999999987</v>
          </cell>
          <cell r="S17">
            <v>533.51999999999987</v>
          </cell>
          <cell r="U17">
            <v>1119280556.5</v>
          </cell>
        </row>
        <row r="18">
          <cell r="E18">
            <v>21</v>
          </cell>
          <cell r="R18">
            <v>6783.8549999999987</v>
          </cell>
          <cell r="S18">
            <v>123.11999999999999</v>
          </cell>
          <cell r="U18">
            <v>215265279</v>
          </cell>
        </row>
        <row r="19">
          <cell r="E19">
            <v>15</v>
          </cell>
          <cell r="R19">
            <v>4807.2849999999989</v>
          </cell>
          <cell r="S19">
            <v>41.039999999999992</v>
          </cell>
          <cell r="U19">
            <v>151147290.375</v>
          </cell>
        </row>
        <row r="20">
          <cell r="E20">
            <v>1</v>
          </cell>
          <cell r="R20">
            <v>351.78499999999997</v>
          </cell>
          <cell r="S20">
            <v>41.039999999999992</v>
          </cell>
          <cell r="U20">
            <v>11594562</v>
          </cell>
        </row>
        <row r="21">
          <cell r="E21">
            <v>0</v>
          </cell>
          <cell r="R21">
            <v>0</v>
          </cell>
          <cell r="S21">
            <v>0</v>
          </cell>
        </row>
        <row r="25">
          <cell r="E25">
            <v>3</v>
          </cell>
          <cell r="R25">
            <v>706.94999999999993</v>
          </cell>
          <cell r="U25">
            <v>27538477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01.2023 Total"/>
      <sheetName val="Actual D1_01.2023"/>
      <sheetName val="OP 01.2023 Total"/>
      <sheetName val="D1_B1"/>
      <sheetName val="보고서"/>
      <sheetName val="New comer"/>
    </sheetNames>
    <sheetDataSet>
      <sheetData sheetId="0">
        <row r="5">
          <cell r="E5">
            <v>17</v>
          </cell>
        </row>
        <row r="26">
          <cell r="U26">
            <v>3955012739</v>
          </cell>
        </row>
      </sheetData>
      <sheetData sheetId="1">
        <row r="5">
          <cell r="E5">
            <v>16</v>
          </cell>
        </row>
        <row r="26">
          <cell r="U26">
            <v>3416428568</v>
          </cell>
        </row>
      </sheetData>
      <sheetData sheetId="2">
        <row r="5">
          <cell r="E5">
            <v>17</v>
          </cell>
        </row>
        <row r="26">
          <cell r="U26">
            <v>4316284384.4375</v>
          </cell>
        </row>
      </sheetData>
      <sheetData sheetId="3">
        <row r="5">
          <cell r="E5">
            <v>16</v>
          </cell>
        </row>
        <row r="26">
          <cell r="U26">
            <v>3715536111.625</v>
          </cell>
        </row>
      </sheetData>
      <sheetData sheetId="4"/>
      <sheetData sheetId="5">
        <row r="3">
          <cell r="E3" t="str">
            <v>MAT/MET/MMT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1"/>
  <sheetViews>
    <sheetView workbookViewId="0"/>
  </sheetViews>
  <sheetFormatPr defaultRowHeight="15"/>
  <cols>
    <col min="3" max="3" width="8.7109375" bestFit="1" customWidth="1"/>
    <col min="4" max="4" width="8.5703125" bestFit="1" customWidth="1"/>
    <col min="5" max="5" width="14.5703125" style="73" bestFit="1" customWidth="1"/>
    <col min="6" max="6" width="20.140625" bestFit="1" customWidth="1"/>
    <col min="7" max="7" width="13.7109375" bestFit="1" customWidth="1"/>
    <col min="8" max="8" width="13.28515625" bestFit="1" customWidth="1"/>
    <col min="9" max="9" width="10.140625" bestFit="1" customWidth="1"/>
    <col min="10" max="10" width="13.7109375" bestFit="1" customWidth="1"/>
    <col min="11" max="11" width="12.7109375" bestFit="1" customWidth="1"/>
    <col min="12" max="12" width="26.42578125" bestFit="1" customWidth="1"/>
    <col min="13" max="13" width="15.85546875" bestFit="1" customWidth="1"/>
    <col min="14" max="14" width="18.5703125" bestFit="1" customWidth="1"/>
    <col min="15" max="15" width="20.140625" bestFit="1" customWidth="1"/>
    <col min="16" max="16" width="22.85546875" bestFit="1" customWidth="1"/>
    <col min="17" max="17" width="18" bestFit="1" customWidth="1"/>
    <col min="18" max="18" width="22.28515625" bestFit="1" customWidth="1"/>
    <col min="19" max="19" width="17.42578125" bestFit="1" customWidth="1"/>
    <col min="20" max="21" width="16.7109375" bestFit="1" customWidth="1"/>
    <col min="22" max="32" width="18.28515625" bestFit="1" customWidth="1"/>
    <col min="33" max="33" width="14.42578125" bestFit="1" customWidth="1"/>
    <col min="34" max="34" width="20" bestFit="1" customWidth="1"/>
    <col min="35" max="35" width="13.5703125" style="73" bestFit="1" customWidth="1"/>
    <col min="36" max="36" width="13.140625" bestFit="1" customWidth="1"/>
    <col min="37" max="37" width="10" bestFit="1" customWidth="1"/>
    <col min="38" max="38" width="13.5703125" bestFit="1" customWidth="1"/>
    <col min="39" max="39" width="12.5703125" bestFit="1" customWidth="1"/>
    <col min="40" max="40" width="26.42578125" bestFit="1" customWidth="1"/>
    <col min="41" max="41" width="15.7109375" bestFit="1" customWidth="1"/>
    <col min="42" max="42" width="18.42578125" bestFit="1" customWidth="1"/>
    <col min="43" max="43" width="20" bestFit="1" customWidth="1"/>
    <col min="44" max="44" width="22.7109375" bestFit="1" customWidth="1"/>
    <col min="45" max="45" width="17.85546875" bestFit="1" customWidth="1"/>
    <col min="46" max="46" width="22.140625" bestFit="1" customWidth="1"/>
    <col min="47" max="47" width="17.28515625" bestFit="1" customWidth="1"/>
    <col min="48" max="48" width="16.5703125" bestFit="1" customWidth="1"/>
    <col min="49" max="49" width="16.7109375" bestFit="1" customWidth="1"/>
    <col min="50" max="60" width="18.140625" bestFit="1" customWidth="1"/>
    <col min="61" max="61" width="14.42578125" bestFit="1" customWidth="1"/>
    <col min="62" max="62" width="20" bestFit="1" customWidth="1"/>
    <col min="63" max="63" width="13.5703125" bestFit="1" customWidth="1"/>
    <col min="64" max="64" width="13.140625" bestFit="1" customWidth="1"/>
    <col min="65" max="65" width="10" style="73" bestFit="1" customWidth="1"/>
    <col min="66" max="66" width="13.5703125" bestFit="1" customWidth="1"/>
    <col min="67" max="67" width="12.5703125" bestFit="1" customWidth="1"/>
    <col min="68" max="68" width="26.42578125" bestFit="1" customWidth="1"/>
    <col min="69" max="69" width="15.7109375" bestFit="1" customWidth="1"/>
    <col min="70" max="70" width="18.42578125" bestFit="1" customWidth="1"/>
    <col min="71" max="71" width="20" bestFit="1" customWidth="1"/>
    <col min="72" max="72" width="22.7109375" bestFit="1" customWidth="1"/>
    <col min="73" max="73" width="17.85546875" bestFit="1" customWidth="1"/>
    <col min="74" max="74" width="22.140625" bestFit="1" customWidth="1"/>
    <col min="75" max="75" width="17.28515625" bestFit="1" customWidth="1"/>
    <col min="76" max="76" width="16.5703125" bestFit="1" customWidth="1"/>
    <col min="77" max="77" width="16.7109375" bestFit="1" customWidth="1"/>
    <col min="78" max="88" width="18.140625" bestFit="1" customWidth="1"/>
    <col min="95" max="95" width="9.140625" style="73"/>
    <col min="125" max="125" width="9.140625" style="73"/>
    <col min="155" max="155" width="9.140625" style="73"/>
    <col min="185" max="188" width="9.140625" style="73"/>
  </cols>
  <sheetData>
    <row r="1" spans="1:188">
      <c r="A1">
        <v>1</v>
      </c>
    </row>
    <row r="2" spans="1:188">
      <c r="A2">
        <v>2</v>
      </c>
    </row>
    <row r="3" spans="1:188">
      <c r="A3">
        <v>3</v>
      </c>
      <c r="B3">
        <v>2</v>
      </c>
      <c r="C3">
        <v>2</v>
      </c>
      <c r="D3">
        <v>2</v>
      </c>
      <c r="E3" s="7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 s="7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 s="7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</row>
    <row r="4" spans="1:188">
      <c r="A4">
        <v>4</v>
      </c>
      <c r="B4" t="s">
        <v>139</v>
      </c>
      <c r="C4" t="s">
        <v>88</v>
      </c>
      <c r="D4" t="s">
        <v>89</v>
      </c>
      <c r="E4" s="73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140</v>
      </c>
      <c r="T4" t="s">
        <v>141</v>
      </c>
      <c r="U4" t="s">
        <v>104</v>
      </c>
      <c r="V4" t="s">
        <v>105</v>
      </c>
      <c r="W4" t="s">
        <v>146</v>
      </c>
      <c r="X4" t="s">
        <v>106</v>
      </c>
      <c r="Y4" t="s">
        <v>147</v>
      </c>
      <c r="Z4" t="s">
        <v>148</v>
      </c>
      <c r="AA4" t="s">
        <v>149</v>
      </c>
      <c r="AB4" t="s">
        <v>150</v>
      </c>
      <c r="AC4" t="s">
        <v>151</v>
      </c>
      <c r="AD4" t="s">
        <v>152</v>
      </c>
      <c r="AE4" t="s">
        <v>153</v>
      </c>
      <c r="AF4" t="s">
        <v>154</v>
      </c>
      <c r="AG4" t="s">
        <v>155</v>
      </c>
      <c r="AH4" t="s">
        <v>156</v>
      </c>
      <c r="AI4" s="73" t="s">
        <v>107</v>
      </c>
      <c r="AJ4" t="s">
        <v>108</v>
      </c>
      <c r="AK4" t="s">
        <v>109</v>
      </c>
      <c r="AL4" t="s">
        <v>110</v>
      </c>
      <c r="AM4" t="s">
        <v>111</v>
      </c>
      <c r="AN4" t="s">
        <v>112</v>
      </c>
      <c r="AO4" t="s">
        <v>113</v>
      </c>
      <c r="AP4" t="s">
        <v>179</v>
      </c>
      <c r="AQ4" t="s">
        <v>114</v>
      </c>
      <c r="AR4" t="s">
        <v>115</v>
      </c>
      <c r="AS4" t="s">
        <v>116</v>
      </c>
      <c r="AT4" t="s">
        <v>117</v>
      </c>
      <c r="AU4" t="s">
        <v>118</v>
      </c>
      <c r="AV4" t="s">
        <v>119</v>
      </c>
      <c r="AW4" t="s">
        <v>142</v>
      </c>
      <c r="AX4" t="s">
        <v>143</v>
      </c>
      <c r="AY4" t="s">
        <v>120</v>
      </c>
      <c r="AZ4" t="s">
        <v>121</v>
      </c>
      <c r="BA4" t="s">
        <v>157</v>
      </c>
      <c r="BB4" t="s">
        <v>122</v>
      </c>
      <c r="BC4" t="s">
        <v>158</v>
      </c>
      <c r="BD4" t="s">
        <v>159</v>
      </c>
      <c r="BE4" t="s">
        <v>160</v>
      </c>
      <c r="BF4" t="s">
        <v>161</v>
      </c>
      <c r="BG4" t="s">
        <v>162</v>
      </c>
      <c r="BH4" t="s">
        <v>163</v>
      </c>
      <c r="BI4" t="s">
        <v>164</v>
      </c>
      <c r="BJ4" t="s">
        <v>165</v>
      </c>
      <c r="BK4" t="s">
        <v>166</v>
      </c>
      <c r="BL4" t="s">
        <v>167</v>
      </c>
      <c r="BM4" s="73" t="s">
        <v>123</v>
      </c>
      <c r="BN4" t="s">
        <v>124</v>
      </c>
      <c r="BO4" t="s">
        <v>125</v>
      </c>
      <c r="BP4" t="s">
        <v>126</v>
      </c>
      <c r="BQ4" t="s">
        <v>127</v>
      </c>
      <c r="BR4" t="s">
        <v>128</v>
      </c>
      <c r="BS4" t="s">
        <v>129</v>
      </c>
      <c r="BT4" t="s">
        <v>180</v>
      </c>
      <c r="BU4" t="s">
        <v>130</v>
      </c>
      <c r="BV4" t="s">
        <v>131</v>
      </c>
      <c r="BW4" t="s">
        <v>132</v>
      </c>
      <c r="BX4" t="s">
        <v>133</v>
      </c>
      <c r="BY4" t="s">
        <v>134</v>
      </c>
      <c r="BZ4" t="s">
        <v>135</v>
      </c>
      <c r="CA4" t="s">
        <v>144</v>
      </c>
      <c r="CB4" t="s">
        <v>145</v>
      </c>
      <c r="CC4" t="s">
        <v>136</v>
      </c>
      <c r="CD4" t="s">
        <v>137</v>
      </c>
      <c r="CE4" t="s">
        <v>168</v>
      </c>
      <c r="CF4" t="s">
        <v>138</v>
      </c>
      <c r="CG4" t="s">
        <v>169</v>
      </c>
      <c r="CH4" t="s">
        <v>170</v>
      </c>
      <c r="CI4" t="s">
        <v>171</v>
      </c>
      <c r="CJ4" t="s">
        <v>172</v>
      </c>
      <c r="CK4" t="s">
        <v>173</v>
      </c>
      <c r="CL4" t="s">
        <v>174</v>
      </c>
      <c r="CM4" t="s">
        <v>175</v>
      </c>
      <c r="CN4" t="s">
        <v>176</v>
      </c>
      <c r="CO4" t="s">
        <v>177</v>
      </c>
      <c r="CP4" t="s">
        <v>178</v>
      </c>
      <c r="CQ4" s="73" t="s">
        <v>181</v>
      </c>
      <c r="CR4" t="s">
        <v>182</v>
      </c>
      <c r="CS4" t="s">
        <v>183</v>
      </c>
      <c r="CT4" t="s">
        <v>184</v>
      </c>
      <c r="CU4" t="s">
        <v>185</v>
      </c>
      <c r="CV4" t="s">
        <v>186</v>
      </c>
      <c r="CW4" t="s">
        <v>187</v>
      </c>
      <c r="CX4" t="s">
        <v>188</v>
      </c>
      <c r="CY4" t="s">
        <v>189</v>
      </c>
      <c r="CZ4" t="s">
        <v>190</v>
      </c>
      <c r="DA4" t="s">
        <v>191</v>
      </c>
      <c r="DB4" t="s">
        <v>192</v>
      </c>
      <c r="DC4" t="s">
        <v>193</v>
      </c>
      <c r="DD4" t="s">
        <v>194</v>
      </c>
      <c r="DE4" t="s">
        <v>195</v>
      </c>
      <c r="DF4" t="s">
        <v>196</v>
      </c>
      <c r="DG4" t="s">
        <v>269</v>
      </c>
      <c r="DH4" t="s">
        <v>197</v>
      </c>
      <c r="DI4" t="s">
        <v>198</v>
      </c>
      <c r="DJ4" t="s">
        <v>199</v>
      </c>
      <c r="DK4" t="s">
        <v>200</v>
      </c>
      <c r="DL4" t="s">
        <v>201</v>
      </c>
      <c r="DM4" t="s">
        <v>202</v>
      </c>
      <c r="DN4" t="s">
        <v>203</v>
      </c>
      <c r="DO4" t="s">
        <v>204</v>
      </c>
      <c r="DP4" t="s">
        <v>205</v>
      </c>
      <c r="DQ4" t="s">
        <v>206</v>
      </c>
      <c r="DR4" t="s">
        <v>207</v>
      </c>
      <c r="DS4" t="s">
        <v>208</v>
      </c>
      <c r="DT4" t="s">
        <v>209</v>
      </c>
      <c r="DU4" s="73" t="s">
        <v>210</v>
      </c>
      <c r="DV4" t="s">
        <v>211</v>
      </c>
      <c r="DW4" t="s">
        <v>212</v>
      </c>
      <c r="DX4" t="s">
        <v>213</v>
      </c>
      <c r="DY4" t="s">
        <v>214</v>
      </c>
      <c r="DZ4" t="s">
        <v>215</v>
      </c>
      <c r="EA4" t="s">
        <v>216</v>
      </c>
      <c r="EB4" t="s">
        <v>217</v>
      </c>
      <c r="EC4" t="s">
        <v>218</v>
      </c>
      <c r="ED4" t="s">
        <v>219</v>
      </c>
      <c r="EE4" t="s">
        <v>220</v>
      </c>
      <c r="EF4" t="s">
        <v>221</v>
      </c>
      <c r="EG4" t="s">
        <v>222</v>
      </c>
      <c r="EH4" t="s">
        <v>223</v>
      </c>
      <c r="EI4" t="s">
        <v>224</v>
      </c>
      <c r="EJ4" t="s">
        <v>225</v>
      </c>
      <c r="EK4" t="s">
        <v>270</v>
      </c>
      <c r="EL4" t="s">
        <v>226</v>
      </c>
      <c r="EM4" t="s">
        <v>227</v>
      </c>
      <c r="EN4" t="s">
        <v>228</v>
      </c>
      <c r="EO4" t="s">
        <v>229</v>
      </c>
      <c r="EP4" t="s">
        <v>230</v>
      </c>
      <c r="EQ4" t="s">
        <v>231</v>
      </c>
      <c r="ER4" t="s">
        <v>232</v>
      </c>
      <c r="ES4" t="s">
        <v>233</v>
      </c>
      <c r="ET4" t="s">
        <v>234</v>
      </c>
      <c r="EU4" t="s">
        <v>235</v>
      </c>
      <c r="EV4" t="s">
        <v>236</v>
      </c>
      <c r="EW4" t="s">
        <v>237</v>
      </c>
      <c r="EX4" t="s">
        <v>238</v>
      </c>
      <c r="EY4" s="73" t="s">
        <v>239</v>
      </c>
      <c r="EZ4" t="s">
        <v>240</v>
      </c>
      <c r="FA4" t="s">
        <v>241</v>
      </c>
      <c r="FB4" t="s">
        <v>242</v>
      </c>
      <c r="FC4" t="s">
        <v>243</v>
      </c>
      <c r="FD4" t="s">
        <v>244</v>
      </c>
      <c r="FE4" t="s">
        <v>245</v>
      </c>
      <c r="FF4" t="s">
        <v>246</v>
      </c>
      <c r="FG4" t="s">
        <v>247</v>
      </c>
      <c r="FH4" t="s">
        <v>248</v>
      </c>
      <c r="FI4" t="s">
        <v>249</v>
      </c>
      <c r="FJ4" t="s">
        <v>250</v>
      </c>
      <c r="FK4" t="s">
        <v>251</v>
      </c>
      <c r="FL4" t="s">
        <v>252</v>
      </c>
      <c r="FM4" t="s">
        <v>253</v>
      </c>
      <c r="FN4" t="s">
        <v>254</v>
      </c>
      <c r="FO4" t="s">
        <v>255</v>
      </c>
      <c r="FP4" t="s">
        <v>256</v>
      </c>
      <c r="FQ4" t="s">
        <v>257</v>
      </c>
      <c r="FR4" t="s">
        <v>258</v>
      </c>
      <c r="FS4" t="s">
        <v>259</v>
      </c>
      <c r="FT4" t="s">
        <v>260</v>
      </c>
      <c r="FU4" t="s">
        <v>261</v>
      </c>
      <c r="FV4" t="s">
        <v>262</v>
      </c>
      <c r="FW4" t="s">
        <v>263</v>
      </c>
      <c r="FX4" t="s">
        <v>264</v>
      </c>
      <c r="FY4" t="s">
        <v>265</v>
      </c>
      <c r="FZ4" t="s">
        <v>266</v>
      </c>
      <c r="GA4" t="s">
        <v>267</v>
      </c>
      <c r="GB4" t="s">
        <v>268</v>
      </c>
      <c r="GC4" s="73" t="s">
        <v>271</v>
      </c>
      <c r="GD4" s="73" t="s">
        <v>272</v>
      </c>
      <c r="GE4" s="73" t="s">
        <v>273</v>
      </c>
      <c r="GF4" s="73" t="s">
        <v>274</v>
      </c>
    </row>
    <row r="6" spans="1:188">
      <c r="B6" s="72">
        <v>1</v>
      </c>
      <c r="C6" s="72"/>
      <c r="D6" s="72"/>
      <c r="E6" s="74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4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4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4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4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4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4"/>
      <c r="GD6" s="74"/>
      <c r="GE6" s="74"/>
      <c r="GF6" s="74"/>
    </row>
    <row r="11" spans="1:188" ht="14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8"/>
  <sheetViews>
    <sheetView tabSelected="1" zoomScale="70" zoomScaleNormal="70" workbookViewId="0">
      <selection activeCell="E5" sqref="E5"/>
    </sheetView>
  </sheetViews>
  <sheetFormatPr defaultRowHeight="15"/>
  <cols>
    <col min="1" max="1" width="8.85546875" style="71" bestFit="1" customWidth="1"/>
    <col min="2" max="2" width="9.28515625" style="71" customWidth="1"/>
    <col min="3" max="3" width="27.42578125" style="71" bestFit="1" customWidth="1"/>
    <col min="4" max="4" width="9.140625" style="71" bestFit="1" customWidth="1"/>
    <col min="5" max="5" width="13.140625" style="71" bestFit="1" customWidth="1"/>
    <col min="6" max="6" width="15.42578125" style="71" bestFit="1" customWidth="1"/>
    <col min="7" max="7" width="13.85546875" style="71" bestFit="1" customWidth="1"/>
    <col min="8" max="8" width="15.28515625" style="71" bestFit="1" customWidth="1"/>
    <col min="9" max="9" width="13.85546875" style="71" customWidth="1"/>
    <col min="10" max="10" width="13" style="71" customWidth="1"/>
    <col min="11" max="18" width="9" style="71" customWidth="1"/>
    <col min="19" max="19" width="8.28515625" style="71" bestFit="1" customWidth="1"/>
    <col min="20" max="20" width="14.28515625" style="71" bestFit="1" customWidth="1"/>
    <col min="21" max="21" width="15.42578125" style="71" bestFit="1" customWidth="1"/>
    <col min="22" max="22" width="28.5703125" style="71" bestFit="1" customWidth="1"/>
    <col min="23" max="23" width="14" style="71" bestFit="1" customWidth="1"/>
    <col min="24" max="24" width="15" style="71" bestFit="1" customWidth="1"/>
    <col min="25" max="25" width="13.5703125" style="71" bestFit="1" customWidth="1"/>
    <col min="26" max="26" width="12.5703125" style="71" bestFit="1" customWidth="1"/>
    <col min="27" max="27" width="12.140625" style="71" bestFit="1" customWidth="1"/>
    <col min="28" max="28" width="15.42578125" style="71" bestFit="1" customWidth="1"/>
    <col min="29" max="29" width="11" style="71" bestFit="1" customWidth="1"/>
    <col min="30" max="30" width="11.5703125" style="71" bestFit="1" customWidth="1"/>
    <col min="31" max="31" width="15.7109375" style="71" bestFit="1" customWidth="1"/>
    <col min="32" max="32" width="16.28515625" style="71" bestFit="1" customWidth="1"/>
    <col min="33" max="33" width="10.140625" customWidth="1"/>
  </cols>
  <sheetData>
    <row r="1" spans="1:33" ht="22.5">
      <c r="A1" s="286" t="str">
        <f>TEXT(Sheet1!A1*28,"MMM") &amp; " " &amp; Sheet1!A2 &amp; " SALARY"</f>
        <v>Jan 2 SALARY</v>
      </c>
      <c r="B1" s="286"/>
      <c r="C1" s="286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/>
      <c r="AC1" s="19"/>
      <c r="AD1" s="18"/>
      <c r="AE1" s="18"/>
      <c r="AF1" s="18"/>
    </row>
    <row r="2" spans="1:33" ht="23.25">
      <c r="A2" s="287" t="s">
        <v>0</v>
      </c>
      <c r="B2" s="287"/>
      <c r="C2" s="287"/>
      <c r="D2" s="18"/>
      <c r="E2" s="20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3" ht="15" customHeight="1">
      <c r="A3" s="288" t="s">
        <v>1</v>
      </c>
      <c r="B3" s="288"/>
      <c r="C3" s="288"/>
      <c r="D3" s="289"/>
      <c r="E3" s="291" t="s">
        <v>2</v>
      </c>
      <c r="F3" s="291" t="s">
        <v>3</v>
      </c>
      <c r="G3" s="291" t="s">
        <v>4</v>
      </c>
      <c r="H3" s="291" t="s">
        <v>5</v>
      </c>
      <c r="I3" s="298" t="s">
        <v>6</v>
      </c>
      <c r="J3" s="299"/>
      <c r="K3" s="300"/>
      <c r="L3" s="299"/>
      <c r="M3" s="299"/>
      <c r="N3" s="299"/>
      <c r="O3" s="299"/>
      <c r="P3" s="299"/>
      <c r="Q3" s="299"/>
      <c r="R3" s="301"/>
      <c r="S3" s="298" t="s">
        <v>7</v>
      </c>
      <c r="T3" s="301"/>
      <c r="U3" s="288" t="s">
        <v>8</v>
      </c>
      <c r="V3" s="289" t="s">
        <v>9</v>
      </c>
      <c r="W3" s="297" t="s">
        <v>10</v>
      </c>
      <c r="X3" s="297" t="s">
        <v>11</v>
      </c>
      <c r="Y3" s="297" t="s">
        <v>12</v>
      </c>
      <c r="Z3" s="292" t="s">
        <v>13</v>
      </c>
      <c r="AA3" s="292" t="s">
        <v>14</v>
      </c>
      <c r="AB3" s="292" t="s">
        <v>15</v>
      </c>
      <c r="AC3" s="292" t="s">
        <v>16</v>
      </c>
      <c r="AD3" s="292" t="s">
        <v>17</v>
      </c>
      <c r="AE3" s="294" t="s">
        <v>18</v>
      </c>
      <c r="AF3" s="294" t="s">
        <v>19</v>
      </c>
    </row>
    <row r="4" spans="1:33" ht="114.75">
      <c r="A4" s="288"/>
      <c r="B4" s="288"/>
      <c r="C4" s="288"/>
      <c r="D4" s="290"/>
      <c r="E4" s="291"/>
      <c r="F4" s="291"/>
      <c r="G4" s="291"/>
      <c r="H4" s="291"/>
      <c r="I4" s="1" t="s">
        <v>20</v>
      </c>
      <c r="J4" s="2" t="s">
        <v>21</v>
      </c>
      <c r="K4" s="3" t="s">
        <v>22</v>
      </c>
      <c r="L4" s="4" t="s">
        <v>23</v>
      </c>
      <c r="M4" s="5" t="s">
        <v>24</v>
      </c>
      <c r="N4" s="5" t="s">
        <v>25</v>
      </c>
      <c r="O4" s="5" t="s">
        <v>26</v>
      </c>
      <c r="P4" s="5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288"/>
      <c r="V4" s="290"/>
      <c r="W4" s="297"/>
      <c r="X4" s="297"/>
      <c r="Y4" s="297"/>
      <c r="Z4" s="293"/>
      <c r="AA4" s="293"/>
      <c r="AB4" s="293"/>
      <c r="AC4" s="293"/>
      <c r="AD4" s="293"/>
      <c r="AE4" s="294"/>
      <c r="AF4" s="294"/>
    </row>
    <row r="5" spans="1:33" ht="33">
      <c r="A5" s="295" t="s">
        <v>32</v>
      </c>
      <c r="B5" s="21" t="s">
        <v>33</v>
      </c>
      <c r="C5" s="21" t="s">
        <v>34</v>
      </c>
      <c r="D5" s="22" t="s">
        <v>35</v>
      </c>
      <c r="E5" s="23">
        <f>Sheet1!G6</f>
        <v>0</v>
      </c>
      <c r="F5" s="23">
        <f>Sheet1!H6</f>
        <v>0</v>
      </c>
      <c r="G5" s="23">
        <f>Sheet1!I6</f>
        <v>0</v>
      </c>
      <c r="H5" s="23">
        <f>Sheet1!J6</f>
        <v>0</v>
      </c>
      <c r="I5" s="23">
        <f>Sheet1!K6</f>
        <v>0</v>
      </c>
      <c r="J5" s="23">
        <f>Sheet1!L6</f>
        <v>0</v>
      </c>
      <c r="K5" s="23">
        <f>Sheet1!M6</f>
        <v>0</v>
      </c>
      <c r="L5" s="23">
        <f>Sheet1!N6</f>
        <v>0</v>
      </c>
      <c r="M5" s="23">
        <f>Sheet1!O6</f>
        <v>0</v>
      </c>
      <c r="N5" s="23">
        <f>Sheet1!P6</f>
        <v>0</v>
      </c>
      <c r="O5" s="23">
        <f>Sheet1!Q6</f>
        <v>0</v>
      </c>
      <c r="P5" s="23">
        <f>Sheet1!R6</f>
        <v>0</v>
      </c>
      <c r="Q5" s="23">
        <f>Sheet1!S6</f>
        <v>0</v>
      </c>
      <c r="R5" s="23">
        <f>Sheet1!T6</f>
        <v>0</v>
      </c>
      <c r="S5" s="23">
        <f>Sheet1!U6</f>
        <v>0</v>
      </c>
      <c r="T5" s="23">
        <f>Sheet1!V6</f>
        <v>0</v>
      </c>
      <c r="U5" s="23">
        <f>Sheet1!W6</f>
        <v>0</v>
      </c>
      <c r="V5" s="23">
        <f>Sheet1!X6</f>
        <v>0</v>
      </c>
      <c r="W5" s="23">
        <f>Sheet1!Y6</f>
        <v>0</v>
      </c>
      <c r="X5" s="23">
        <f>Sheet1!Z6</f>
        <v>0</v>
      </c>
      <c r="Y5" s="23">
        <f>Sheet1!AA6</f>
        <v>0</v>
      </c>
      <c r="Z5" s="23">
        <f>Sheet1!AB6</f>
        <v>0</v>
      </c>
      <c r="AA5" s="23">
        <f>Sheet1!AC6</f>
        <v>0</v>
      </c>
      <c r="AB5" s="23">
        <f>Sheet1!AD6</f>
        <v>0</v>
      </c>
      <c r="AC5" s="23">
        <f>Sheet1!AE6</f>
        <v>0</v>
      </c>
      <c r="AD5" s="23">
        <f>Sheet1!AF6</f>
        <v>0</v>
      </c>
      <c r="AE5" s="23">
        <f>Sheet1!AG6</f>
        <v>0</v>
      </c>
      <c r="AF5" s="23">
        <f>Sheet1!AH6</f>
        <v>0</v>
      </c>
    </row>
    <row r="6" spans="1:33" ht="33">
      <c r="A6" s="295"/>
      <c r="B6" s="21" t="s">
        <v>36</v>
      </c>
      <c r="C6" s="21" t="s">
        <v>37</v>
      </c>
      <c r="D6" s="22" t="s">
        <v>38</v>
      </c>
      <c r="E6" s="23">
        <f>Sheet1!G7</f>
        <v>0</v>
      </c>
      <c r="F6" s="23">
        <f>Sheet1!H7</f>
        <v>0</v>
      </c>
      <c r="G6" s="23">
        <f>Sheet1!I7</f>
        <v>0</v>
      </c>
      <c r="H6" s="23">
        <f>Sheet1!J7</f>
        <v>0</v>
      </c>
      <c r="I6" s="23">
        <f>Sheet1!K7</f>
        <v>0</v>
      </c>
      <c r="J6" s="23">
        <f>Sheet1!L7</f>
        <v>0</v>
      </c>
      <c r="K6" s="23">
        <f>Sheet1!M7</f>
        <v>0</v>
      </c>
      <c r="L6" s="23">
        <f>Sheet1!N7</f>
        <v>0</v>
      </c>
      <c r="M6" s="23">
        <f>Sheet1!O7</f>
        <v>0</v>
      </c>
      <c r="N6" s="23">
        <f>Sheet1!P7</f>
        <v>0</v>
      </c>
      <c r="O6" s="23">
        <f>Sheet1!Q7</f>
        <v>0</v>
      </c>
      <c r="P6" s="23">
        <f>Sheet1!R7</f>
        <v>0</v>
      </c>
      <c r="Q6" s="23">
        <f>Sheet1!S7</f>
        <v>0</v>
      </c>
      <c r="R6" s="23">
        <f>Sheet1!T7</f>
        <v>0</v>
      </c>
      <c r="S6" s="23">
        <f>Sheet1!U7</f>
        <v>0</v>
      </c>
      <c r="T6" s="23">
        <f>Sheet1!V7</f>
        <v>0</v>
      </c>
      <c r="U6" s="23">
        <f>Sheet1!W7</f>
        <v>0</v>
      </c>
      <c r="V6" s="23">
        <f>Sheet1!X7</f>
        <v>0</v>
      </c>
      <c r="W6" s="23">
        <f>Sheet1!Y7</f>
        <v>0</v>
      </c>
      <c r="X6" s="23">
        <f>Sheet1!Z7</f>
        <v>0</v>
      </c>
      <c r="Y6" s="23">
        <f>Sheet1!AA7</f>
        <v>0</v>
      </c>
      <c r="Z6" s="23">
        <f>Sheet1!AB7</f>
        <v>0</v>
      </c>
      <c r="AA6" s="23">
        <f>Sheet1!AC7</f>
        <v>0</v>
      </c>
      <c r="AB6" s="23">
        <f>Sheet1!AD7</f>
        <v>0</v>
      </c>
      <c r="AC6" s="23">
        <f>Sheet1!AE7</f>
        <v>0</v>
      </c>
      <c r="AD6" s="23">
        <f>Sheet1!AF7</f>
        <v>0</v>
      </c>
      <c r="AE6" s="23">
        <f>Sheet1!AG7</f>
        <v>0</v>
      </c>
      <c r="AF6" s="23">
        <f>Sheet1!AH7</f>
        <v>0</v>
      </c>
    </row>
    <row r="7" spans="1:33" ht="16.5">
      <c r="A7" s="295"/>
      <c r="B7" s="296" t="s">
        <v>39</v>
      </c>
      <c r="C7" s="296"/>
      <c r="D7" s="24"/>
      <c r="E7" s="25">
        <f>SUBTOTAL(9,E5:E6)</f>
        <v>0</v>
      </c>
      <c r="F7" s="25">
        <f t="shared" ref="F7:AE7" si="0">SUBTOTAL(9,F5:F6)</f>
        <v>0</v>
      </c>
      <c r="G7" s="25">
        <f t="shared" si="0"/>
        <v>0</v>
      </c>
      <c r="H7" s="25">
        <f t="shared" si="0"/>
        <v>0</v>
      </c>
      <c r="I7" s="25" t="e">
        <f>U7/R7</f>
        <v>#DIV/0!</v>
      </c>
      <c r="J7" s="25">
        <f t="shared" si="0"/>
        <v>0</v>
      </c>
      <c r="K7" s="25">
        <f t="shared" si="0"/>
        <v>0</v>
      </c>
      <c r="L7" s="25">
        <f t="shared" si="0"/>
        <v>0</v>
      </c>
      <c r="M7" s="25">
        <f t="shared" si="0"/>
        <v>0</v>
      </c>
      <c r="N7" s="25">
        <f t="shared" si="0"/>
        <v>0</v>
      </c>
      <c r="O7" s="25">
        <f t="shared" si="0"/>
        <v>0</v>
      </c>
      <c r="P7" s="25">
        <f t="shared" si="0"/>
        <v>0</v>
      </c>
      <c r="Q7" s="25">
        <f t="shared" si="0"/>
        <v>0</v>
      </c>
      <c r="R7" s="25">
        <f t="shared" si="0"/>
        <v>0</v>
      </c>
      <c r="S7" s="25">
        <f t="shared" si="0"/>
        <v>0</v>
      </c>
      <c r="T7" s="25">
        <f t="shared" si="0"/>
        <v>0</v>
      </c>
      <c r="U7" s="25">
        <f t="shared" si="0"/>
        <v>0</v>
      </c>
      <c r="V7" s="25">
        <f t="shared" si="0"/>
        <v>0</v>
      </c>
      <c r="W7" s="25">
        <f t="shared" si="0"/>
        <v>0</v>
      </c>
      <c r="X7" s="25">
        <f t="shared" si="0"/>
        <v>0</v>
      </c>
      <c r="Y7" s="25">
        <f t="shared" si="0"/>
        <v>0</v>
      </c>
      <c r="Z7" s="25">
        <f t="shared" si="0"/>
        <v>0</v>
      </c>
      <c r="AA7" s="25">
        <f t="shared" si="0"/>
        <v>0</v>
      </c>
      <c r="AB7" s="25">
        <f t="shared" si="0"/>
        <v>0</v>
      </c>
      <c r="AC7" s="25">
        <f t="shared" si="0"/>
        <v>0</v>
      </c>
      <c r="AD7" s="25">
        <f t="shared" si="0"/>
        <v>0</v>
      </c>
      <c r="AE7" s="25">
        <f t="shared" si="0"/>
        <v>0</v>
      </c>
      <c r="AF7" s="23"/>
    </row>
    <row r="8" spans="1:33" ht="16.5">
      <c r="A8" s="295" t="s">
        <v>40</v>
      </c>
      <c r="B8" s="309" t="s">
        <v>41</v>
      </c>
      <c r="C8" s="22" t="s">
        <v>42</v>
      </c>
      <c r="D8" s="22" t="s">
        <v>35</v>
      </c>
      <c r="E8" s="23">
        <f>Sheet1!G8</f>
        <v>0</v>
      </c>
      <c r="F8" s="23">
        <f>Sheet1!H8</f>
        <v>0</v>
      </c>
      <c r="G8" s="23">
        <f>Sheet1!I8</f>
        <v>0</v>
      </c>
      <c r="H8" s="23">
        <f>Sheet1!J8</f>
        <v>0</v>
      </c>
      <c r="I8" s="23">
        <f>Sheet1!K8</f>
        <v>0</v>
      </c>
      <c r="J8" s="23">
        <f>Sheet1!L8</f>
        <v>0</v>
      </c>
      <c r="K8" s="23">
        <f>Sheet1!M8</f>
        <v>0</v>
      </c>
      <c r="L8" s="23">
        <f>Sheet1!N8</f>
        <v>0</v>
      </c>
      <c r="M8" s="23">
        <f>Sheet1!O8</f>
        <v>0</v>
      </c>
      <c r="N8" s="23">
        <f>Sheet1!P8</f>
        <v>0</v>
      </c>
      <c r="O8" s="23">
        <f>Sheet1!Q8</f>
        <v>0</v>
      </c>
      <c r="P8" s="23">
        <f>Sheet1!R8</f>
        <v>0</v>
      </c>
      <c r="Q8" s="23">
        <f>Sheet1!S8</f>
        <v>0</v>
      </c>
      <c r="R8" s="23">
        <f>Sheet1!T8</f>
        <v>0</v>
      </c>
      <c r="S8" s="23">
        <f>Sheet1!U8</f>
        <v>0</v>
      </c>
      <c r="T8" s="23">
        <f>Sheet1!V8</f>
        <v>0</v>
      </c>
      <c r="U8" s="23">
        <f>Sheet1!W8</f>
        <v>0</v>
      </c>
      <c r="V8" s="23">
        <f>Sheet1!X8</f>
        <v>0</v>
      </c>
      <c r="W8" s="23">
        <f>Sheet1!Y8</f>
        <v>0</v>
      </c>
      <c r="X8" s="23">
        <f>Sheet1!Z8</f>
        <v>0</v>
      </c>
      <c r="Y8" s="23">
        <f>Sheet1!AA8</f>
        <v>0</v>
      </c>
      <c r="Z8" s="23">
        <f>Sheet1!AB8</f>
        <v>0</v>
      </c>
      <c r="AA8" s="23">
        <f>Sheet1!AC8</f>
        <v>0</v>
      </c>
      <c r="AB8" s="23">
        <f>Sheet1!AD8</f>
        <v>0</v>
      </c>
      <c r="AC8" s="23">
        <f>Sheet1!AE8</f>
        <v>0</v>
      </c>
      <c r="AD8" s="23">
        <f>Sheet1!AF8</f>
        <v>0</v>
      </c>
      <c r="AE8" s="23">
        <f>Sheet1!AG8</f>
        <v>0</v>
      </c>
      <c r="AF8" s="23">
        <f>Sheet1!AH8</f>
        <v>0</v>
      </c>
    </row>
    <row r="9" spans="1:33" ht="16.5">
      <c r="A9" s="295"/>
      <c r="B9" s="310"/>
      <c r="C9" s="22" t="s">
        <v>43</v>
      </c>
      <c r="D9" s="22" t="s">
        <v>35</v>
      </c>
      <c r="E9" s="23">
        <f>Sheet1!G9</f>
        <v>0</v>
      </c>
      <c r="F9" s="23">
        <f>Sheet1!H9</f>
        <v>0</v>
      </c>
      <c r="G9" s="23">
        <f>Sheet1!I9</f>
        <v>0</v>
      </c>
      <c r="H9" s="23">
        <f>Sheet1!J9</f>
        <v>0</v>
      </c>
      <c r="I9" s="23">
        <f>Sheet1!K9</f>
        <v>0</v>
      </c>
      <c r="J9" s="23">
        <f>Sheet1!L9</f>
        <v>0</v>
      </c>
      <c r="K9" s="23">
        <f>Sheet1!M9</f>
        <v>0</v>
      </c>
      <c r="L9" s="23">
        <f>Sheet1!N9</f>
        <v>0</v>
      </c>
      <c r="M9" s="23">
        <f>Sheet1!O9</f>
        <v>0</v>
      </c>
      <c r="N9" s="23">
        <f>Sheet1!P9</f>
        <v>0</v>
      </c>
      <c r="O9" s="23">
        <f>Sheet1!Q9</f>
        <v>0</v>
      </c>
      <c r="P9" s="23">
        <f>Sheet1!R9</f>
        <v>0</v>
      </c>
      <c r="Q9" s="23">
        <f>Sheet1!S9</f>
        <v>0</v>
      </c>
      <c r="R9" s="23">
        <f>Sheet1!T9</f>
        <v>0</v>
      </c>
      <c r="S9" s="23">
        <f>Sheet1!U9</f>
        <v>0</v>
      </c>
      <c r="T9" s="23">
        <f>Sheet1!V9</f>
        <v>0</v>
      </c>
      <c r="U9" s="23">
        <f>Sheet1!W9</f>
        <v>0</v>
      </c>
      <c r="V9" s="23">
        <f>Sheet1!X9</f>
        <v>0</v>
      </c>
      <c r="W9" s="23">
        <f>Sheet1!Y9</f>
        <v>0</v>
      </c>
      <c r="X9" s="23">
        <f>Sheet1!Z9</f>
        <v>0</v>
      </c>
      <c r="Y9" s="23">
        <f>Sheet1!AA9</f>
        <v>0</v>
      </c>
      <c r="Z9" s="23">
        <f>Sheet1!AB9</f>
        <v>0</v>
      </c>
      <c r="AA9" s="23">
        <f>Sheet1!AC9</f>
        <v>0</v>
      </c>
      <c r="AB9" s="23">
        <f>Sheet1!AD9</f>
        <v>0</v>
      </c>
      <c r="AC9" s="23">
        <f>Sheet1!AE9</f>
        <v>0</v>
      </c>
      <c r="AD9" s="23">
        <f>Sheet1!AF9</f>
        <v>0</v>
      </c>
      <c r="AE9" s="23">
        <f>Sheet1!AG9</f>
        <v>0</v>
      </c>
      <c r="AF9" s="23">
        <f>Sheet1!AH9</f>
        <v>0</v>
      </c>
    </row>
    <row r="10" spans="1:33" ht="16.5">
      <c r="A10" s="295"/>
      <c r="B10" s="311"/>
      <c r="C10" s="24" t="s">
        <v>39</v>
      </c>
      <c r="D10" s="24"/>
      <c r="E10" s="25">
        <f>SUBTOTAL(9,E8:E9)</f>
        <v>0</v>
      </c>
      <c r="F10" s="25">
        <f t="shared" ref="F10:AE10" si="1">SUBTOTAL(9,F8:F9)</f>
        <v>0</v>
      </c>
      <c r="G10" s="25">
        <f t="shared" si="1"/>
        <v>0</v>
      </c>
      <c r="H10" s="25">
        <f t="shared" si="1"/>
        <v>0</v>
      </c>
      <c r="I10" s="25" t="e">
        <f>U10/R10</f>
        <v>#DIV/0!</v>
      </c>
      <c r="J10" s="25">
        <f t="shared" si="1"/>
        <v>0</v>
      </c>
      <c r="K10" s="25">
        <f t="shared" si="1"/>
        <v>0</v>
      </c>
      <c r="L10" s="25">
        <f t="shared" si="1"/>
        <v>0</v>
      </c>
      <c r="M10" s="25">
        <f t="shared" si="1"/>
        <v>0</v>
      </c>
      <c r="N10" s="25">
        <f t="shared" si="1"/>
        <v>0</v>
      </c>
      <c r="O10" s="25">
        <f t="shared" si="1"/>
        <v>0</v>
      </c>
      <c r="P10" s="25">
        <f t="shared" si="1"/>
        <v>0</v>
      </c>
      <c r="Q10" s="25">
        <f t="shared" si="1"/>
        <v>0</v>
      </c>
      <c r="R10" s="25">
        <f t="shared" si="1"/>
        <v>0</v>
      </c>
      <c r="S10" s="25">
        <f t="shared" si="1"/>
        <v>0</v>
      </c>
      <c r="T10" s="25">
        <f t="shared" si="1"/>
        <v>0</v>
      </c>
      <c r="U10" s="25">
        <f t="shared" si="1"/>
        <v>0</v>
      </c>
      <c r="V10" s="25">
        <f t="shared" si="1"/>
        <v>0</v>
      </c>
      <c r="W10" s="25">
        <f t="shared" si="1"/>
        <v>0</v>
      </c>
      <c r="X10" s="25">
        <f t="shared" si="1"/>
        <v>0</v>
      </c>
      <c r="Y10" s="25">
        <f t="shared" si="1"/>
        <v>0</v>
      </c>
      <c r="Z10" s="25">
        <f t="shared" si="1"/>
        <v>0</v>
      </c>
      <c r="AA10" s="25">
        <f t="shared" si="1"/>
        <v>0</v>
      </c>
      <c r="AB10" s="25">
        <f t="shared" si="1"/>
        <v>0</v>
      </c>
      <c r="AC10" s="25">
        <f t="shared" si="1"/>
        <v>0</v>
      </c>
      <c r="AD10" s="25">
        <f t="shared" si="1"/>
        <v>0</v>
      </c>
      <c r="AE10" s="25">
        <f t="shared" si="1"/>
        <v>0</v>
      </c>
      <c r="AF10" s="23"/>
    </row>
    <row r="11" spans="1:33" ht="16.5">
      <c r="A11" s="295"/>
      <c r="B11" s="312" t="s">
        <v>44</v>
      </c>
      <c r="C11" s="22" t="s">
        <v>45</v>
      </c>
      <c r="D11" s="22" t="s">
        <v>46</v>
      </c>
      <c r="E11" s="23">
        <f>Sheet1!G10</f>
        <v>0</v>
      </c>
      <c r="F11" s="23">
        <f>Sheet1!H10</f>
        <v>0</v>
      </c>
      <c r="G11" s="23">
        <f>Sheet1!I10</f>
        <v>0</v>
      </c>
      <c r="H11" s="23">
        <f>Sheet1!J10</f>
        <v>0</v>
      </c>
      <c r="I11" s="23">
        <f>Sheet1!K10</f>
        <v>0</v>
      </c>
      <c r="J11" s="23">
        <f>Sheet1!L10</f>
        <v>0</v>
      </c>
      <c r="K11" s="23">
        <f>Sheet1!M10</f>
        <v>0</v>
      </c>
      <c r="L11" s="23">
        <f>Sheet1!N10</f>
        <v>0</v>
      </c>
      <c r="M11" s="23">
        <f>Sheet1!O10</f>
        <v>0</v>
      </c>
      <c r="N11" s="23">
        <f>Sheet1!P10</f>
        <v>0</v>
      </c>
      <c r="O11" s="23">
        <f>Sheet1!Q10</f>
        <v>0</v>
      </c>
      <c r="P11" s="23">
        <f>Sheet1!R10</f>
        <v>0</v>
      </c>
      <c r="Q11" s="23">
        <f>Sheet1!S10</f>
        <v>0</v>
      </c>
      <c r="R11" s="23">
        <f>Sheet1!T10</f>
        <v>0</v>
      </c>
      <c r="S11" s="23">
        <f>Sheet1!U10</f>
        <v>0</v>
      </c>
      <c r="T11" s="23">
        <f>Sheet1!V10</f>
        <v>0</v>
      </c>
      <c r="U11" s="23">
        <f>Sheet1!W10</f>
        <v>0</v>
      </c>
      <c r="V11" s="23">
        <f>Sheet1!X10</f>
        <v>0</v>
      </c>
      <c r="W11" s="23">
        <f>Sheet1!Y10</f>
        <v>0</v>
      </c>
      <c r="X11" s="23">
        <f>Sheet1!Z10</f>
        <v>0</v>
      </c>
      <c r="Y11" s="23">
        <f>Sheet1!AA10</f>
        <v>0</v>
      </c>
      <c r="Z11" s="23">
        <f>Sheet1!AB10</f>
        <v>0</v>
      </c>
      <c r="AA11" s="23">
        <f>Sheet1!AC10</f>
        <v>0</v>
      </c>
      <c r="AB11" s="23">
        <f>Sheet1!AD10</f>
        <v>0</v>
      </c>
      <c r="AC11" s="23">
        <f>Sheet1!AE10</f>
        <v>0</v>
      </c>
      <c r="AD11" s="23">
        <f>Sheet1!AF10</f>
        <v>0</v>
      </c>
      <c r="AE11" s="23">
        <f>Sheet1!AG10</f>
        <v>0</v>
      </c>
      <c r="AF11" s="23">
        <f>Sheet1!AH10</f>
        <v>0</v>
      </c>
      <c r="AG11" t="e">
        <f t="shared" ref="AG11:AG14" si="2">+((L11+N11)/11.5)/E11</f>
        <v>#DIV/0!</v>
      </c>
    </row>
    <row r="12" spans="1:33" ht="16.5">
      <c r="A12" s="295"/>
      <c r="B12" s="312"/>
      <c r="C12" s="22" t="s">
        <v>47</v>
      </c>
      <c r="D12" s="22" t="s">
        <v>35</v>
      </c>
      <c r="E12" s="23">
        <f>Sheet1!G11</f>
        <v>0</v>
      </c>
      <c r="F12" s="23">
        <f>Sheet1!H11</f>
        <v>0</v>
      </c>
      <c r="G12" s="23">
        <f>Sheet1!I11</f>
        <v>0</v>
      </c>
      <c r="H12" s="23">
        <f>Sheet1!J11</f>
        <v>0</v>
      </c>
      <c r="I12" s="23">
        <f>Sheet1!K11</f>
        <v>0</v>
      </c>
      <c r="J12" s="23">
        <f>Sheet1!L11</f>
        <v>0</v>
      </c>
      <c r="K12" s="23">
        <f>Sheet1!M11</f>
        <v>0</v>
      </c>
      <c r="L12" s="23">
        <f>Sheet1!N11</f>
        <v>0</v>
      </c>
      <c r="M12" s="23">
        <f>Sheet1!O11</f>
        <v>0</v>
      </c>
      <c r="N12" s="23">
        <f>Sheet1!P11</f>
        <v>0</v>
      </c>
      <c r="O12" s="23">
        <f>Sheet1!Q11</f>
        <v>0</v>
      </c>
      <c r="P12" s="23">
        <f>Sheet1!R11</f>
        <v>0</v>
      </c>
      <c r="Q12" s="23">
        <f>Sheet1!S11</f>
        <v>0</v>
      </c>
      <c r="R12" s="23">
        <f>Sheet1!T11</f>
        <v>0</v>
      </c>
      <c r="S12" s="23">
        <f>Sheet1!U11</f>
        <v>0</v>
      </c>
      <c r="T12" s="23">
        <f>Sheet1!V11</f>
        <v>0</v>
      </c>
      <c r="U12" s="23">
        <f>Sheet1!W11</f>
        <v>0</v>
      </c>
      <c r="V12" s="23">
        <f>Sheet1!X11</f>
        <v>0</v>
      </c>
      <c r="W12" s="23">
        <f>Sheet1!Y11</f>
        <v>0</v>
      </c>
      <c r="X12" s="23">
        <f>Sheet1!Z11</f>
        <v>0</v>
      </c>
      <c r="Y12" s="23">
        <f>Sheet1!AA11</f>
        <v>0</v>
      </c>
      <c r="Z12" s="23">
        <f>Sheet1!AB11</f>
        <v>0</v>
      </c>
      <c r="AA12" s="23">
        <f>Sheet1!AC11</f>
        <v>0</v>
      </c>
      <c r="AB12" s="23">
        <f>Sheet1!AD11</f>
        <v>0</v>
      </c>
      <c r="AC12" s="23">
        <f>Sheet1!AE11</f>
        <v>0</v>
      </c>
      <c r="AD12" s="23">
        <f>Sheet1!AF11</f>
        <v>0</v>
      </c>
      <c r="AE12" s="23">
        <f>Sheet1!AG11</f>
        <v>0</v>
      </c>
      <c r="AF12" s="23">
        <f>Sheet1!AH11</f>
        <v>0</v>
      </c>
      <c r="AG12" t="e">
        <f t="shared" si="2"/>
        <v>#DIV/0!</v>
      </c>
    </row>
    <row r="13" spans="1:33" ht="16.5">
      <c r="A13" s="295"/>
      <c r="B13" s="312"/>
      <c r="C13" s="22" t="s">
        <v>48</v>
      </c>
      <c r="D13" s="22" t="s">
        <v>46</v>
      </c>
      <c r="E13" s="23">
        <f>Sheet1!G13</f>
        <v>0</v>
      </c>
      <c r="F13" s="23">
        <f>Sheet1!H13</f>
        <v>0</v>
      </c>
      <c r="G13" s="23">
        <f>Sheet1!I13</f>
        <v>0</v>
      </c>
      <c r="H13" s="23">
        <f>Sheet1!J13</f>
        <v>0</v>
      </c>
      <c r="I13" s="23">
        <f>Sheet1!K13</f>
        <v>0</v>
      </c>
      <c r="J13" s="23">
        <f>Sheet1!L13</f>
        <v>0</v>
      </c>
      <c r="K13" s="23">
        <f>Sheet1!M13</f>
        <v>0</v>
      </c>
      <c r="L13" s="23">
        <f>Sheet1!N13</f>
        <v>0</v>
      </c>
      <c r="M13" s="23">
        <f>Sheet1!O13</f>
        <v>0</v>
      </c>
      <c r="N13" s="23">
        <f>Sheet1!P13</f>
        <v>0</v>
      </c>
      <c r="O13" s="23">
        <f>Sheet1!Q13</f>
        <v>0</v>
      </c>
      <c r="P13" s="23">
        <f>Sheet1!R13</f>
        <v>0</v>
      </c>
      <c r="Q13" s="23">
        <f>Sheet1!S13</f>
        <v>0</v>
      </c>
      <c r="R13" s="23">
        <f>Sheet1!T13</f>
        <v>0</v>
      </c>
      <c r="S13" s="23">
        <f>Sheet1!U13</f>
        <v>0</v>
      </c>
      <c r="T13" s="23">
        <f>Sheet1!V13</f>
        <v>0</v>
      </c>
      <c r="U13" s="23">
        <f>Sheet1!W13</f>
        <v>0</v>
      </c>
      <c r="V13" s="23">
        <f>Sheet1!X13</f>
        <v>0</v>
      </c>
      <c r="W13" s="23">
        <f>Sheet1!Y13</f>
        <v>0</v>
      </c>
      <c r="X13" s="23">
        <f>Sheet1!Z13</f>
        <v>0</v>
      </c>
      <c r="Y13" s="23">
        <f>Sheet1!AA13</f>
        <v>0</v>
      </c>
      <c r="Z13" s="23">
        <f>Sheet1!AB13</f>
        <v>0</v>
      </c>
      <c r="AA13" s="23">
        <f>Sheet1!AC13</f>
        <v>0</v>
      </c>
      <c r="AB13" s="23">
        <f>Sheet1!AD13</f>
        <v>0</v>
      </c>
      <c r="AC13" s="23">
        <f>Sheet1!AE13</f>
        <v>0</v>
      </c>
      <c r="AD13" s="23">
        <f>Sheet1!AF13</f>
        <v>0</v>
      </c>
      <c r="AE13" s="23">
        <f>Sheet1!AG13</f>
        <v>0</v>
      </c>
      <c r="AF13" s="23">
        <f>Sheet1!AH13</f>
        <v>0</v>
      </c>
      <c r="AG13" t="e">
        <f t="shared" si="2"/>
        <v>#DIV/0!</v>
      </c>
    </row>
    <row r="14" spans="1:33" ht="16.5">
      <c r="A14" s="295"/>
      <c r="B14" s="312"/>
      <c r="C14" s="22" t="s">
        <v>49</v>
      </c>
      <c r="D14" s="22" t="s">
        <v>46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t="e">
        <f t="shared" si="2"/>
        <v>#DIV/0!</v>
      </c>
    </row>
    <row r="15" spans="1:33" ht="16.5">
      <c r="A15" s="295"/>
      <c r="B15" s="312"/>
      <c r="C15" s="24" t="s">
        <v>39</v>
      </c>
      <c r="D15" s="24"/>
      <c r="E15" s="25">
        <f>SUBTOTAL(9,E11:E14)</f>
        <v>0</v>
      </c>
      <c r="F15" s="25">
        <f t="shared" ref="F15:AE15" si="3">SUBTOTAL(9,F11:F14)</f>
        <v>0</v>
      </c>
      <c r="G15" s="25">
        <f t="shared" si="3"/>
        <v>0</v>
      </c>
      <c r="H15" s="25">
        <f t="shared" si="3"/>
        <v>0</v>
      </c>
      <c r="I15" s="25" t="e">
        <f>U15/R15</f>
        <v>#DIV/0!</v>
      </c>
      <c r="J15" s="25">
        <f t="shared" si="3"/>
        <v>0</v>
      </c>
      <c r="K15" s="25">
        <f t="shared" si="3"/>
        <v>0</v>
      </c>
      <c r="L15" s="25">
        <f t="shared" si="3"/>
        <v>0</v>
      </c>
      <c r="M15" s="25">
        <f t="shared" si="3"/>
        <v>0</v>
      </c>
      <c r="N15" s="25">
        <f t="shared" si="3"/>
        <v>0</v>
      </c>
      <c r="O15" s="25">
        <f t="shared" si="3"/>
        <v>0</v>
      </c>
      <c r="P15" s="25">
        <f t="shared" si="3"/>
        <v>0</v>
      </c>
      <c r="Q15" s="25">
        <f t="shared" si="3"/>
        <v>0</v>
      </c>
      <c r="R15" s="25">
        <f t="shared" si="3"/>
        <v>0</v>
      </c>
      <c r="S15" s="25">
        <f t="shared" si="3"/>
        <v>0</v>
      </c>
      <c r="T15" s="25">
        <f t="shared" si="3"/>
        <v>0</v>
      </c>
      <c r="U15" s="25">
        <f t="shared" si="3"/>
        <v>0</v>
      </c>
      <c r="V15" s="25">
        <f t="shared" si="3"/>
        <v>0</v>
      </c>
      <c r="W15" s="25">
        <f t="shared" si="3"/>
        <v>0</v>
      </c>
      <c r="X15" s="25">
        <f t="shared" si="3"/>
        <v>0</v>
      </c>
      <c r="Y15" s="25">
        <f t="shared" si="3"/>
        <v>0</v>
      </c>
      <c r="Z15" s="25">
        <f t="shared" si="3"/>
        <v>0</v>
      </c>
      <c r="AA15" s="25">
        <f t="shared" si="3"/>
        <v>0</v>
      </c>
      <c r="AB15" s="25">
        <f t="shared" si="3"/>
        <v>0</v>
      </c>
      <c r="AC15" s="25">
        <f t="shared" si="3"/>
        <v>0</v>
      </c>
      <c r="AD15" s="25">
        <f t="shared" si="3"/>
        <v>0</v>
      </c>
      <c r="AE15" s="25">
        <f t="shared" si="3"/>
        <v>0</v>
      </c>
      <c r="AF15" s="23"/>
      <c r="AG15" t="e">
        <f>+((L15+N15)/11.5)/E15</f>
        <v>#DIV/0!</v>
      </c>
    </row>
    <row r="16" spans="1:33" ht="16.5">
      <c r="A16" s="295"/>
      <c r="B16" s="313" t="s">
        <v>50</v>
      </c>
      <c r="C16" s="22" t="s">
        <v>51</v>
      </c>
      <c r="D16" s="22" t="s">
        <v>46</v>
      </c>
      <c r="E16" s="23">
        <f>Sheet1!G14</f>
        <v>0</v>
      </c>
      <c r="F16" s="23">
        <f>Sheet1!H14</f>
        <v>0</v>
      </c>
      <c r="G16" s="23">
        <f>Sheet1!I14</f>
        <v>0</v>
      </c>
      <c r="H16" s="23">
        <f>Sheet1!J14</f>
        <v>0</v>
      </c>
      <c r="I16" s="23">
        <f>Sheet1!K14</f>
        <v>0</v>
      </c>
      <c r="J16" s="23">
        <f>Sheet1!L14</f>
        <v>0</v>
      </c>
      <c r="K16" s="23">
        <f>Sheet1!M14</f>
        <v>0</v>
      </c>
      <c r="L16" s="23">
        <f>Sheet1!N14</f>
        <v>0</v>
      </c>
      <c r="M16" s="23">
        <f>Sheet1!O14</f>
        <v>0</v>
      </c>
      <c r="N16" s="23">
        <f>Sheet1!P14</f>
        <v>0</v>
      </c>
      <c r="O16" s="23">
        <f>Sheet1!Q14</f>
        <v>0</v>
      </c>
      <c r="P16" s="23">
        <f>Sheet1!R14</f>
        <v>0</v>
      </c>
      <c r="Q16" s="23">
        <f>Sheet1!S14</f>
        <v>0</v>
      </c>
      <c r="R16" s="23">
        <f>Sheet1!T14</f>
        <v>0</v>
      </c>
      <c r="S16" s="23">
        <f>Sheet1!U14</f>
        <v>0</v>
      </c>
      <c r="T16" s="23">
        <f>Sheet1!V14</f>
        <v>0</v>
      </c>
      <c r="U16" s="23">
        <f>Sheet1!W14</f>
        <v>0</v>
      </c>
      <c r="V16" s="23">
        <f>Sheet1!X14</f>
        <v>0</v>
      </c>
      <c r="W16" s="23">
        <f>Sheet1!Y14</f>
        <v>0</v>
      </c>
      <c r="X16" s="23">
        <f>Sheet1!Z14</f>
        <v>0</v>
      </c>
      <c r="Y16" s="23">
        <f>Sheet1!AA14</f>
        <v>0</v>
      </c>
      <c r="Z16" s="23">
        <f>Sheet1!AB14</f>
        <v>0</v>
      </c>
      <c r="AA16" s="23">
        <f>Sheet1!AC14</f>
        <v>0</v>
      </c>
      <c r="AB16" s="23">
        <f>Sheet1!AD14</f>
        <v>0</v>
      </c>
      <c r="AC16" s="23">
        <f>Sheet1!AE14</f>
        <v>0</v>
      </c>
      <c r="AD16" s="23">
        <f>Sheet1!AF14</f>
        <v>0</v>
      </c>
      <c r="AE16" s="23">
        <f>Sheet1!AG14</f>
        <v>0</v>
      </c>
      <c r="AF16" s="23">
        <f>Sheet1!AH14</f>
        <v>0</v>
      </c>
      <c r="AG16" t="e">
        <f>+((L16+N16)/11)/E16</f>
        <v>#DIV/0!</v>
      </c>
    </row>
    <row r="17" spans="1:33" ht="16.5">
      <c r="A17" s="295"/>
      <c r="B17" s="313"/>
      <c r="C17" s="22" t="s">
        <v>52</v>
      </c>
      <c r="D17" s="22" t="s">
        <v>46</v>
      </c>
      <c r="E17" s="23">
        <f>Sheet1!G15</f>
        <v>0</v>
      </c>
      <c r="F17" s="23">
        <f>Sheet1!H15</f>
        <v>0</v>
      </c>
      <c r="G17" s="23">
        <f>Sheet1!I15</f>
        <v>0</v>
      </c>
      <c r="H17" s="23">
        <f>Sheet1!J15</f>
        <v>0</v>
      </c>
      <c r="I17" s="23">
        <f>Sheet1!K15</f>
        <v>0</v>
      </c>
      <c r="J17" s="23">
        <f>Sheet1!L15</f>
        <v>0</v>
      </c>
      <c r="K17" s="23">
        <f>Sheet1!M15</f>
        <v>0</v>
      </c>
      <c r="L17" s="23">
        <f>Sheet1!N15</f>
        <v>0</v>
      </c>
      <c r="M17" s="23">
        <f>Sheet1!O15</f>
        <v>0</v>
      </c>
      <c r="N17" s="23">
        <f>Sheet1!P15</f>
        <v>0</v>
      </c>
      <c r="O17" s="23">
        <f>Sheet1!Q15</f>
        <v>0</v>
      </c>
      <c r="P17" s="23">
        <f>Sheet1!R15</f>
        <v>0</v>
      </c>
      <c r="Q17" s="23">
        <f>Sheet1!S15</f>
        <v>0</v>
      </c>
      <c r="R17" s="23">
        <f>Sheet1!T15</f>
        <v>0</v>
      </c>
      <c r="S17" s="23">
        <f>Sheet1!U15</f>
        <v>0</v>
      </c>
      <c r="T17" s="23">
        <f>Sheet1!V15</f>
        <v>0</v>
      </c>
      <c r="U17" s="23">
        <f>Sheet1!W15</f>
        <v>0</v>
      </c>
      <c r="V17" s="23">
        <f>Sheet1!X15</f>
        <v>0</v>
      </c>
      <c r="W17" s="23">
        <f>Sheet1!Y15</f>
        <v>0</v>
      </c>
      <c r="X17" s="23">
        <f>Sheet1!Z15</f>
        <v>0</v>
      </c>
      <c r="Y17" s="23">
        <f>Sheet1!AA15</f>
        <v>0</v>
      </c>
      <c r="Z17" s="23">
        <f>Sheet1!AB15</f>
        <v>0</v>
      </c>
      <c r="AA17" s="23">
        <f>Sheet1!AC15</f>
        <v>0</v>
      </c>
      <c r="AB17" s="23">
        <f>Sheet1!AD15</f>
        <v>0</v>
      </c>
      <c r="AC17" s="23">
        <f>Sheet1!AE15</f>
        <v>0</v>
      </c>
      <c r="AD17" s="23">
        <f>Sheet1!AF15</f>
        <v>0</v>
      </c>
      <c r="AE17" s="23">
        <f>Sheet1!AG15</f>
        <v>0</v>
      </c>
      <c r="AF17" s="23">
        <f>Sheet1!AH15</f>
        <v>0</v>
      </c>
      <c r="AG17" t="e">
        <f t="shared" ref="AG17:AG22" si="4">+((L17+N17)/11)/E17</f>
        <v>#DIV/0!</v>
      </c>
    </row>
    <row r="18" spans="1:33" ht="16.5">
      <c r="A18" s="295"/>
      <c r="B18" s="313"/>
      <c r="C18" s="22" t="s">
        <v>53</v>
      </c>
      <c r="D18" s="22" t="s">
        <v>46</v>
      </c>
      <c r="E18" s="23">
        <f>Sheet1!G16</f>
        <v>0</v>
      </c>
      <c r="F18" s="23">
        <f>Sheet1!H16</f>
        <v>0</v>
      </c>
      <c r="G18" s="23">
        <f>Sheet1!I16</f>
        <v>0</v>
      </c>
      <c r="H18" s="23">
        <f>Sheet1!J16</f>
        <v>0</v>
      </c>
      <c r="I18" s="23">
        <f>Sheet1!K16</f>
        <v>0</v>
      </c>
      <c r="J18" s="23">
        <f>Sheet1!L16</f>
        <v>0</v>
      </c>
      <c r="K18" s="23">
        <f>Sheet1!M16</f>
        <v>0</v>
      </c>
      <c r="L18" s="23">
        <f>Sheet1!N16</f>
        <v>0</v>
      </c>
      <c r="M18" s="23">
        <f>Sheet1!O16</f>
        <v>0</v>
      </c>
      <c r="N18" s="23">
        <f>Sheet1!P16</f>
        <v>0</v>
      </c>
      <c r="O18" s="23">
        <f>Sheet1!Q16</f>
        <v>0</v>
      </c>
      <c r="P18" s="23">
        <f>Sheet1!R16</f>
        <v>0</v>
      </c>
      <c r="Q18" s="23">
        <f>Sheet1!S16</f>
        <v>0</v>
      </c>
      <c r="R18" s="23">
        <f>Sheet1!T16</f>
        <v>0</v>
      </c>
      <c r="S18" s="23">
        <f>Sheet1!U16</f>
        <v>0</v>
      </c>
      <c r="T18" s="23">
        <f>Sheet1!V16</f>
        <v>0</v>
      </c>
      <c r="U18" s="23">
        <f>Sheet1!W16</f>
        <v>0</v>
      </c>
      <c r="V18" s="23">
        <f>Sheet1!X16</f>
        <v>0</v>
      </c>
      <c r="W18" s="23">
        <f>Sheet1!Y16</f>
        <v>0</v>
      </c>
      <c r="X18" s="23">
        <f>Sheet1!Z16</f>
        <v>0</v>
      </c>
      <c r="Y18" s="23">
        <f>Sheet1!AA16</f>
        <v>0</v>
      </c>
      <c r="Z18" s="23">
        <f>Sheet1!AB16</f>
        <v>0</v>
      </c>
      <c r="AA18" s="23">
        <f>Sheet1!AC16</f>
        <v>0</v>
      </c>
      <c r="AB18" s="23">
        <f>Sheet1!AD16</f>
        <v>0</v>
      </c>
      <c r="AC18" s="23">
        <f>Sheet1!AE16</f>
        <v>0</v>
      </c>
      <c r="AD18" s="23">
        <f>Sheet1!AF16</f>
        <v>0</v>
      </c>
      <c r="AE18" s="23">
        <f>Sheet1!AG16</f>
        <v>0</v>
      </c>
      <c r="AF18" s="23">
        <f>Sheet1!AH16</f>
        <v>0</v>
      </c>
      <c r="AG18" t="e">
        <f t="shared" si="4"/>
        <v>#DIV/0!</v>
      </c>
    </row>
    <row r="19" spans="1:33" ht="16.5">
      <c r="A19" s="295"/>
      <c r="B19" s="313"/>
      <c r="C19" s="22" t="s">
        <v>54</v>
      </c>
      <c r="D19" s="22" t="s">
        <v>35</v>
      </c>
      <c r="E19" s="23">
        <f>Sheet1!G19</f>
        <v>0</v>
      </c>
      <c r="F19" s="23">
        <f>Sheet1!H19</f>
        <v>0</v>
      </c>
      <c r="G19" s="23">
        <f>Sheet1!I19</f>
        <v>0</v>
      </c>
      <c r="H19" s="23">
        <f>Sheet1!J19</f>
        <v>0</v>
      </c>
      <c r="I19" s="23">
        <f>Sheet1!K19</f>
        <v>0</v>
      </c>
      <c r="J19" s="23">
        <f>Sheet1!L19</f>
        <v>0</v>
      </c>
      <c r="K19" s="23">
        <f>Sheet1!M19</f>
        <v>0</v>
      </c>
      <c r="L19" s="23">
        <f>Sheet1!N19</f>
        <v>0</v>
      </c>
      <c r="M19" s="23">
        <f>Sheet1!O19</f>
        <v>0</v>
      </c>
      <c r="N19" s="23">
        <f>Sheet1!P19</f>
        <v>0</v>
      </c>
      <c r="O19" s="23">
        <f>Sheet1!Q19</f>
        <v>0</v>
      </c>
      <c r="P19" s="23">
        <f>Sheet1!R19</f>
        <v>0</v>
      </c>
      <c r="Q19" s="23">
        <f>Sheet1!S19</f>
        <v>0</v>
      </c>
      <c r="R19" s="23">
        <f>Sheet1!T19</f>
        <v>0</v>
      </c>
      <c r="S19" s="23">
        <f>Sheet1!U19</f>
        <v>0</v>
      </c>
      <c r="T19" s="23">
        <f>Sheet1!V19</f>
        <v>0</v>
      </c>
      <c r="U19" s="23">
        <f>Sheet1!W19</f>
        <v>0</v>
      </c>
      <c r="V19" s="23">
        <f>Sheet1!X19</f>
        <v>0</v>
      </c>
      <c r="W19" s="23">
        <f>Sheet1!Y19</f>
        <v>0</v>
      </c>
      <c r="X19" s="23">
        <f>Sheet1!Z19</f>
        <v>0</v>
      </c>
      <c r="Y19" s="23">
        <f>Sheet1!AA19</f>
        <v>0</v>
      </c>
      <c r="Z19" s="23">
        <f>Sheet1!AB19</f>
        <v>0</v>
      </c>
      <c r="AA19" s="23">
        <f>Sheet1!AC19</f>
        <v>0</v>
      </c>
      <c r="AB19" s="23">
        <f>Sheet1!AD19</f>
        <v>0</v>
      </c>
      <c r="AC19" s="23">
        <f>Sheet1!AE19</f>
        <v>0</v>
      </c>
      <c r="AD19" s="23">
        <f>Sheet1!AF19</f>
        <v>0</v>
      </c>
      <c r="AE19" s="23">
        <f>Sheet1!AG19</f>
        <v>0</v>
      </c>
      <c r="AF19" s="23">
        <f>Sheet1!AH19</f>
        <v>0</v>
      </c>
      <c r="AG19" t="e">
        <f t="shared" si="4"/>
        <v>#DIV/0!</v>
      </c>
    </row>
    <row r="20" spans="1:33" ht="16.5">
      <c r="A20" s="295"/>
      <c r="B20" s="313"/>
      <c r="C20" s="22" t="s">
        <v>55</v>
      </c>
      <c r="D20" s="22" t="s">
        <v>35</v>
      </c>
      <c r="E20" s="23">
        <f>Sheet1!G20</f>
        <v>0</v>
      </c>
      <c r="F20" s="23">
        <f>Sheet1!H20</f>
        <v>0</v>
      </c>
      <c r="G20" s="23">
        <f>Sheet1!I20</f>
        <v>0</v>
      </c>
      <c r="H20" s="23">
        <f>Sheet1!J20</f>
        <v>0</v>
      </c>
      <c r="I20" s="23">
        <f>Sheet1!K20</f>
        <v>0</v>
      </c>
      <c r="J20" s="23">
        <f>Sheet1!L20</f>
        <v>0</v>
      </c>
      <c r="K20" s="23">
        <f>Sheet1!M20</f>
        <v>0</v>
      </c>
      <c r="L20" s="23">
        <f>Sheet1!N20</f>
        <v>0</v>
      </c>
      <c r="M20" s="23">
        <f>Sheet1!O20</f>
        <v>0</v>
      </c>
      <c r="N20" s="23">
        <f>Sheet1!P20</f>
        <v>0</v>
      </c>
      <c r="O20" s="23">
        <f>Sheet1!Q20</f>
        <v>0</v>
      </c>
      <c r="P20" s="23">
        <f>Sheet1!R20</f>
        <v>0</v>
      </c>
      <c r="Q20" s="23">
        <f>Sheet1!S20</f>
        <v>0</v>
      </c>
      <c r="R20" s="23">
        <f>Sheet1!T20</f>
        <v>0</v>
      </c>
      <c r="S20" s="23">
        <f>Sheet1!U20</f>
        <v>0</v>
      </c>
      <c r="T20" s="23">
        <f>Sheet1!V20</f>
        <v>0</v>
      </c>
      <c r="U20" s="23">
        <f>Sheet1!W20</f>
        <v>0</v>
      </c>
      <c r="V20" s="23">
        <f>Sheet1!X20</f>
        <v>0</v>
      </c>
      <c r="W20" s="23">
        <f>Sheet1!Y20</f>
        <v>0</v>
      </c>
      <c r="X20" s="23">
        <f>Sheet1!Z20</f>
        <v>0</v>
      </c>
      <c r="Y20" s="23">
        <f>Sheet1!AA20</f>
        <v>0</v>
      </c>
      <c r="Z20" s="23">
        <f>Sheet1!AB20</f>
        <v>0</v>
      </c>
      <c r="AA20" s="23">
        <f>Sheet1!AC20</f>
        <v>0</v>
      </c>
      <c r="AB20" s="23">
        <f>Sheet1!AD20</f>
        <v>0</v>
      </c>
      <c r="AC20" s="23">
        <f>Sheet1!AE20</f>
        <v>0</v>
      </c>
      <c r="AD20" s="23">
        <f>Sheet1!AF20</f>
        <v>0</v>
      </c>
      <c r="AE20" s="23">
        <f>Sheet1!AG20</f>
        <v>0</v>
      </c>
      <c r="AF20" s="23">
        <f>Sheet1!AH20</f>
        <v>0</v>
      </c>
      <c r="AG20" t="e">
        <f t="shared" si="4"/>
        <v>#DIV/0!</v>
      </c>
    </row>
    <row r="21" spans="1:33" ht="16.5">
      <c r="A21" s="295"/>
      <c r="B21" s="313"/>
      <c r="C21" s="22" t="s">
        <v>56</v>
      </c>
      <c r="D21" s="22" t="s">
        <v>46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t="e">
        <f t="shared" si="4"/>
        <v>#DIV/0!</v>
      </c>
    </row>
    <row r="22" spans="1:33" ht="16.5">
      <c r="A22" s="295"/>
      <c r="B22" s="313"/>
      <c r="C22" s="26" t="s">
        <v>39</v>
      </c>
      <c r="D22" s="26"/>
      <c r="E22" s="25">
        <f>SUBTOTAL(9,E16:E21)</f>
        <v>0</v>
      </c>
      <c r="F22" s="25">
        <f t="shared" ref="F22:AE22" si="5">SUBTOTAL(9,F16:F21)</f>
        <v>0</v>
      </c>
      <c r="G22" s="25">
        <f t="shared" si="5"/>
        <v>0</v>
      </c>
      <c r="H22" s="25">
        <f t="shared" si="5"/>
        <v>0</v>
      </c>
      <c r="I22" s="25" t="e">
        <f>U22/R22</f>
        <v>#DIV/0!</v>
      </c>
      <c r="J22" s="25">
        <f t="shared" si="5"/>
        <v>0</v>
      </c>
      <c r="K22" s="25">
        <f t="shared" si="5"/>
        <v>0</v>
      </c>
      <c r="L22" s="25">
        <f t="shared" si="5"/>
        <v>0</v>
      </c>
      <c r="M22" s="25">
        <f t="shared" si="5"/>
        <v>0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3"/>
      <c r="AG22" t="e">
        <f t="shared" si="4"/>
        <v>#DIV/0!</v>
      </c>
    </row>
    <row r="23" spans="1:33" ht="16.5">
      <c r="A23" s="295" t="s">
        <v>57</v>
      </c>
      <c r="B23" s="27" t="s">
        <v>58</v>
      </c>
      <c r="C23" s="27" t="s">
        <v>58</v>
      </c>
      <c r="D23" s="27" t="s">
        <v>35</v>
      </c>
      <c r="E23" s="23">
        <f>Sheet1!G21</f>
        <v>0</v>
      </c>
      <c r="F23" s="23">
        <f>Sheet1!H21</f>
        <v>0</v>
      </c>
      <c r="G23" s="23">
        <f>Sheet1!I21</f>
        <v>0</v>
      </c>
      <c r="H23" s="23">
        <f>Sheet1!J21</f>
        <v>0</v>
      </c>
      <c r="I23" s="23">
        <f>Sheet1!K21</f>
        <v>0</v>
      </c>
      <c r="J23" s="23">
        <f>Sheet1!L21</f>
        <v>0</v>
      </c>
      <c r="K23" s="23">
        <f>Sheet1!M21</f>
        <v>0</v>
      </c>
      <c r="L23" s="23">
        <f>Sheet1!N21</f>
        <v>0</v>
      </c>
      <c r="M23" s="23">
        <f>Sheet1!O21</f>
        <v>0</v>
      </c>
      <c r="N23" s="23">
        <f>Sheet1!P21</f>
        <v>0</v>
      </c>
      <c r="O23" s="23">
        <f>Sheet1!Q21</f>
        <v>0</v>
      </c>
      <c r="P23" s="23">
        <f>Sheet1!R21</f>
        <v>0</v>
      </c>
      <c r="Q23" s="23">
        <f>Sheet1!S21</f>
        <v>0</v>
      </c>
      <c r="R23" s="23">
        <f>Sheet1!T21</f>
        <v>0</v>
      </c>
      <c r="S23" s="23">
        <f>Sheet1!U21</f>
        <v>0</v>
      </c>
      <c r="T23" s="23">
        <f>Sheet1!V21</f>
        <v>0</v>
      </c>
      <c r="U23" s="23">
        <f>Sheet1!W21</f>
        <v>0</v>
      </c>
      <c r="V23" s="23">
        <f>Sheet1!X21</f>
        <v>0</v>
      </c>
      <c r="W23" s="23">
        <f>Sheet1!Y21</f>
        <v>0</v>
      </c>
      <c r="X23" s="23">
        <f>Sheet1!Z21</f>
        <v>0</v>
      </c>
      <c r="Y23" s="23">
        <f>Sheet1!AA21</f>
        <v>0</v>
      </c>
      <c r="Z23" s="23">
        <f>Sheet1!AB21</f>
        <v>0</v>
      </c>
      <c r="AA23" s="23">
        <f>Sheet1!AC21</f>
        <v>0</v>
      </c>
      <c r="AB23" s="23">
        <f>Sheet1!AD21</f>
        <v>0</v>
      </c>
      <c r="AC23" s="23">
        <f>Sheet1!AE21</f>
        <v>0</v>
      </c>
      <c r="AD23" s="23">
        <f>Sheet1!AF21</f>
        <v>0</v>
      </c>
      <c r="AE23" s="23">
        <f>Sheet1!AG21</f>
        <v>0</v>
      </c>
      <c r="AF23" s="23">
        <f>Sheet1!AH21</f>
        <v>0</v>
      </c>
    </row>
    <row r="24" spans="1:33" ht="16.5">
      <c r="A24" s="295"/>
      <c r="B24" s="28" t="s">
        <v>59</v>
      </c>
      <c r="C24" s="28" t="s">
        <v>59</v>
      </c>
      <c r="D24" s="28" t="s">
        <v>35</v>
      </c>
      <c r="E24" s="23">
        <f>Sheet1!G22</f>
        <v>0</v>
      </c>
      <c r="F24" s="23">
        <f>Sheet1!H22</f>
        <v>0</v>
      </c>
      <c r="G24" s="23">
        <f>Sheet1!I22</f>
        <v>0</v>
      </c>
      <c r="H24" s="23">
        <f>Sheet1!J22</f>
        <v>0</v>
      </c>
      <c r="I24" s="23">
        <f>Sheet1!K22</f>
        <v>0</v>
      </c>
      <c r="J24" s="23">
        <f>Sheet1!L22</f>
        <v>0</v>
      </c>
      <c r="K24" s="23">
        <f>Sheet1!M22</f>
        <v>0</v>
      </c>
      <c r="L24" s="23">
        <f>Sheet1!N22</f>
        <v>0</v>
      </c>
      <c r="M24" s="23">
        <f>Sheet1!O22</f>
        <v>0</v>
      </c>
      <c r="N24" s="23">
        <f>Sheet1!P22</f>
        <v>0</v>
      </c>
      <c r="O24" s="23">
        <f>Sheet1!Q22</f>
        <v>0</v>
      </c>
      <c r="P24" s="23">
        <f>Sheet1!R22</f>
        <v>0</v>
      </c>
      <c r="Q24" s="23">
        <f>Sheet1!S22</f>
        <v>0</v>
      </c>
      <c r="R24" s="23">
        <f>Sheet1!T22</f>
        <v>0</v>
      </c>
      <c r="S24" s="23">
        <f>Sheet1!U22</f>
        <v>0</v>
      </c>
      <c r="T24" s="23">
        <f>Sheet1!V22</f>
        <v>0</v>
      </c>
      <c r="U24" s="23">
        <f>Sheet1!W22</f>
        <v>0</v>
      </c>
      <c r="V24" s="23">
        <f>Sheet1!X22</f>
        <v>0</v>
      </c>
      <c r="W24" s="23">
        <f>Sheet1!Y22</f>
        <v>0</v>
      </c>
      <c r="X24" s="23">
        <f>Sheet1!Z22</f>
        <v>0</v>
      </c>
      <c r="Y24" s="23">
        <f>Sheet1!AA22</f>
        <v>0</v>
      </c>
      <c r="Z24" s="23">
        <f>Sheet1!AB22</f>
        <v>0</v>
      </c>
      <c r="AA24" s="23">
        <f>Sheet1!AC22</f>
        <v>0</v>
      </c>
      <c r="AB24" s="23">
        <f>Sheet1!AD22</f>
        <v>0</v>
      </c>
      <c r="AC24" s="23">
        <f>Sheet1!AE22</f>
        <v>0</v>
      </c>
      <c r="AD24" s="23">
        <f>Sheet1!AF22</f>
        <v>0</v>
      </c>
      <c r="AE24" s="23">
        <f>Sheet1!AG22</f>
        <v>0</v>
      </c>
      <c r="AF24" s="23">
        <f>Sheet1!AH22</f>
        <v>0</v>
      </c>
    </row>
    <row r="25" spans="1:33" ht="17.25" thickBot="1">
      <c r="A25" s="295"/>
      <c r="B25" s="296" t="s">
        <v>39</v>
      </c>
      <c r="C25" s="296"/>
      <c r="D25" s="24"/>
      <c r="E25" s="25">
        <f>SUBTOTAL(9,E23:E24)</f>
        <v>0</v>
      </c>
      <c r="F25" s="25">
        <f t="shared" ref="F25:AE25" si="6">SUBTOTAL(9,F23:F24)</f>
        <v>0</v>
      </c>
      <c r="G25" s="25">
        <f t="shared" si="6"/>
        <v>0</v>
      </c>
      <c r="H25" s="25">
        <f t="shared" si="6"/>
        <v>0</v>
      </c>
      <c r="I25" s="25" t="e">
        <f>U25/R25</f>
        <v>#DIV/0!</v>
      </c>
      <c r="J25" s="25">
        <f t="shared" ref="J25" si="7">SUBTOTAL(9,J23:J24)</f>
        <v>0</v>
      </c>
      <c r="K25" s="25">
        <f t="shared" si="6"/>
        <v>0</v>
      </c>
      <c r="L25" s="25">
        <f t="shared" si="6"/>
        <v>0</v>
      </c>
      <c r="M25" s="25">
        <f t="shared" si="6"/>
        <v>0</v>
      </c>
      <c r="N25" s="25">
        <f t="shared" si="6"/>
        <v>0</v>
      </c>
      <c r="O25" s="25">
        <f t="shared" si="6"/>
        <v>0</v>
      </c>
      <c r="P25" s="25">
        <f t="shared" si="6"/>
        <v>0</v>
      </c>
      <c r="Q25" s="25">
        <f t="shared" si="6"/>
        <v>0</v>
      </c>
      <c r="R25" s="25">
        <f t="shared" si="6"/>
        <v>0</v>
      </c>
      <c r="S25" s="25">
        <f t="shared" si="6"/>
        <v>0</v>
      </c>
      <c r="T25" s="25">
        <f t="shared" si="6"/>
        <v>0</v>
      </c>
      <c r="U25" s="25">
        <f t="shared" si="6"/>
        <v>0</v>
      </c>
      <c r="V25" s="25">
        <f t="shared" si="6"/>
        <v>0</v>
      </c>
      <c r="W25" s="25">
        <f t="shared" si="6"/>
        <v>0</v>
      </c>
      <c r="X25" s="25">
        <f t="shared" si="6"/>
        <v>0</v>
      </c>
      <c r="Y25" s="25">
        <f t="shared" si="6"/>
        <v>0</v>
      </c>
      <c r="Z25" s="25">
        <f t="shared" si="6"/>
        <v>0</v>
      </c>
      <c r="AA25" s="25">
        <f t="shared" si="6"/>
        <v>0</v>
      </c>
      <c r="AB25" s="25">
        <f t="shared" si="6"/>
        <v>0</v>
      </c>
      <c r="AC25" s="25">
        <f t="shared" si="6"/>
        <v>0</v>
      </c>
      <c r="AD25" s="25">
        <f t="shared" si="6"/>
        <v>0</v>
      </c>
      <c r="AE25" s="25">
        <f t="shared" si="6"/>
        <v>0</v>
      </c>
      <c r="AF25" s="23"/>
    </row>
    <row r="26" spans="1:33" ht="17.25" thickBot="1">
      <c r="A26" s="302" t="s">
        <v>60</v>
      </c>
      <c r="B26" s="302"/>
      <c r="C26" s="302"/>
      <c r="D26" s="29"/>
      <c r="E26" s="30">
        <f>SUBTOTAL(9,E5:E25)</f>
        <v>0</v>
      </c>
      <c r="F26" s="30">
        <f t="shared" ref="F26:AE26" si="8">SUBTOTAL(9,F5:F25)</f>
        <v>0</v>
      </c>
      <c r="G26" s="30">
        <f t="shared" si="8"/>
        <v>0</v>
      </c>
      <c r="H26" s="30">
        <f t="shared" si="8"/>
        <v>0</v>
      </c>
      <c r="I26" s="30" t="e">
        <f>U26/R26</f>
        <v>#DIV/0!</v>
      </c>
      <c r="J26" s="30">
        <f t="shared" ref="J26" si="9">SUBTOTAL(9,J5:J25)</f>
        <v>0</v>
      </c>
      <c r="K26" s="30">
        <f t="shared" si="8"/>
        <v>0</v>
      </c>
      <c r="L26" s="30">
        <f t="shared" si="8"/>
        <v>0</v>
      </c>
      <c r="M26" s="30">
        <f t="shared" si="8"/>
        <v>0</v>
      </c>
      <c r="N26" s="30">
        <f t="shared" si="8"/>
        <v>0</v>
      </c>
      <c r="O26" s="30">
        <f t="shared" si="8"/>
        <v>0</v>
      </c>
      <c r="P26" s="30">
        <f t="shared" si="8"/>
        <v>0</v>
      </c>
      <c r="Q26" s="30">
        <f t="shared" si="8"/>
        <v>0</v>
      </c>
      <c r="R26" s="30">
        <f t="shared" si="8"/>
        <v>0</v>
      </c>
      <c r="S26" s="30">
        <f t="shared" si="8"/>
        <v>0</v>
      </c>
      <c r="T26" s="30">
        <f t="shared" si="8"/>
        <v>0</v>
      </c>
      <c r="U26" s="30">
        <f t="shared" si="8"/>
        <v>0</v>
      </c>
      <c r="V26" s="30">
        <f t="shared" si="8"/>
        <v>0</v>
      </c>
      <c r="W26" s="30">
        <f t="shared" si="8"/>
        <v>0</v>
      </c>
      <c r="X26" s="30">
        <f>U26+V26+W26</f>
        <v>0</v>
      </c>
      <c r="Y26" s="30">
        <f t="shared" si="8"/>
        <v>0</v>
      </c>
      <c r="Z26" s="30">
        <f t="shared" si="8"/>
        <v>0</v>
      </c>
      <c r="AA26" s="30">
        <f t="shared" si="8"/>
        <v>0</v>
      </c>
      <c r="AB26" s="30">
        <f t="shared" si="8"/>
        <v>0</v>
      </c>
      <c r="AC26" s="30">
        <f t="shared" si="8"/>
        <v>0</v>
      </c>
      <c r="AD26" s="30">
        <f t="shared" si="8"/>
        <v>0</v>
      </c>
      <c r="AE26" s="30">
        <f t="shared" si="8"/>
        <v>0</v>
      </c>
      <c r="AF26" s="23"/>
      <c r="AG26" s="76" t="e">
        <f>+(AG22+AG15)/2</f>
        <v>#DIV/0!</v>
      </c>
    </row>
    <row r="27" spans="1:33" ht="16.5">
      <c r="A27" s="31"/>
      <c r="B27" s="31"/>
      <c r="C27" s="31"/>
      <c r="D27" s="31"/>
      <c r="E27" s="32"/>
      <c r="F27" s="33"/>
      <c r="G27" s="33"/>
      <c r="H27" s="33"/>
      <c r="I27" s="33"/>
      <c r="J27" s="34"/>
      <c r="K27" s="33"/>
      <c r="L27" s="33"/>
      <c r="M27" s="33"/>
      <c r="N27" s="33"/>
      <c r="O27" s="33"/>
      <c r="P27" s="35"/>
      <c r="Q27" s="36"/>
      <c r="R27" s="36"/>
      <c r="S27" s="36"/>
      <c r="T27" s="33"/>
      <c r="U27" s="33"/>
      <c r="V27" s="33"/>
      <c r="W27" s="32"/>
      <c r="X27" s="33"/>
      <c r="Y27" s="32"/>
      <c r="Z27" s="32"/>
      <c r="AA27" s="32"/>
      <c r="AB27" s="32"/>
      <c r="AC27" s="32"/>
      <c r="AD27" s="32"/>
      <c r="AE27" s="32"/>
      <c r="AF27" s="32"/>
    </row>
    <row r="28" spans="1:33">
      <c r="A28" s="303" t="s">
        <v>1</v>
      </c>
      <c r="B28" s="304"/>
      <c r="C28" s="304"/>
      <c r="D28" s="305"/>
      <c r="E28" s="291" t="s">
        <v>61</v>
      </c>
      <c r="F28" s="291" t="s">
        <v>3</v>
      </c>
      <c r="G28" s="291" t="s">
        <v>4</v>
      </c>
      <c r="H28" s="291" t="s">
        <v>5</v>
      </c>
      <c r="I28" s="298" t="s">
        <v>6</v>
      </c>
      <c r="J28" s="299"/>
      <c r="K28" s="299"/>
      <c r="L28" s="299"/>
      <c r="M28" s="299"/>
      <c r="N28" s="299"/>
      <c r="O28" s="299"/>
      <c r="P28" s="299"/>
      <c r="Q28" s="299"/>
      <c r="R28" s="301"/>
      <c r="S28" s="298" t="s">
        <v>7</v>
      </c>
      <c r="T28" s="301"/>
      <c r="U28" s="288" t="s">
        <v>8</v>
      </c>
      <c r="V28" s="289" t="s">
        <v>9</v>
      </c>
      <c r="W28" s="297" t="s">
        <v>10</v>
      </c>
      <c r="X28" s="297" t="s">
        <v>11</v>
      </c>
      <c r="Y28" s="297" t="s">
        <v>12</v>
      </c>
      <c r="Z28" s="292" t="s">
        <v>13</v>
      </c>
      <c r="AA28" s="292" t="s">
        <v>14</v>
      </c>
      <c r="AB28" s="297" t="s">
        <v>62</v>
      </c>
      <c r="AC28" s="297" t="s">
        <v>63</v>
      </c>
      <c r="AD28" s="292" t="s">
        <v>17</v>
      </c>
      <c r="AE28" s="294" t="s">
        <v>18</v>
      </c>
      <c r="AF28" s="294" t="s">
        <v>18</v>
      </c>
    </row>
    <row r="29" spans="1:33" ht="114.75">
      <c r="A29" s="306"/>
      <c r="B29" s="307"/>
      <c r="C29" s="307"/>
      <c r="D29" s="308"/>
      <c r="E29" s="291"/>
      <c r="F29" s="291"/>
      <c r="G29" s="291"/>
      <c r="H29" s="291"/>
      <c r="I29" s="1" t="s">
        <v>20</v>
      </c>
      <c r="J29" s="6" t="s">
        <v>64</v>
      </c>
      <c r="K29" s="3" t="s">
        <v>22</v>
      </c>
      <c r="L29" s="3" t="s">
        <v>23</v>
      </c>
      <c r="M29" s="7" t="s">
        <v>24</v>
      </c>
      <c r="N29" s="7" t="s">
        <v>25</v>
      </c>
      <c r="O29" s="7" t="s">
        <v>26</v>
      </c>
      <c r="P29" s="7" t="s">
        <v>27</v>
      </c>
      <c r="Q29" s="1" t="s">
        <v>28</v>
      </c>
      <c r="R29" s="1" t="s">
        <v>65</v>
      </c>
      <c r="S29" s="1" t="s">
        <v>30</v>
      </c>
      <c r="T29" s="1" t="s">
        <v>31</v>
      </c>
      <c r="U29" s="288"/>
      <c r="V29" s="290"/>
      <c r="W29" s="297"/>
      <c r="X29" s="297"/>
      <c r="Y29" s="297"/>
      <c r="Z29" s="293"/>
      <c r="AA29" s="293"/>
      <c r="AB29" s="297"/>
      <c r="AC29" s="297"/>
      <c r="AD29" s="293"/>
      <c r="AE29" s="294"/>
      <c r="AF29" s="294"/>
    </row>
    <row r="30" spans="1:33" ht="16.5">
      <c r="A30" s="314" t="str">
        <f>+D30</f>
        <v>Direct</v>
      </c>
      <c r="B30" s="314"/>
      <c r="C30" s="314"/>
      <c r="D30" s="37" t="s">
        <v>46</v>
      </c>
      <c r="E30" s="38">
        <f>Sheet1!CS6</f>
        <v>0</v>
      </c>
      <c r="F30" s="38">
        <f>Sheet1!CT6</f>
        <v>0</v>
      </c>
      <c r="G30" s="38">
        <f>Sheet1!CU6</f>
        <v>0</v>
      </c>
      <c r="H30" s="38">
        <f>Sheet1!CV6</f>
        <v>0</v>
      </c>
      <c r="I30" s="38">
        <f>Sheet1!CW6</f>
        <v>0</v>
      </c>
      <c r="J30" s="38">
        <f>Sheet1!CX6</f>
        <v>0</v>
      </c>
      <c r="K30" s="38">
        <f>Sheet1!CY6</f>
        <v>0</v>
      </c>
      <c r="L30" s="38">
        <f>Sheet1!CZ6</f>
        <v>0</v>
      </c>
      <c r="M30" s="38">
        <f>Sheet1!DA6</f>
        <v>0</v>
      </c>
      <c r="N30" s="38">
        <f>Sheet1!DB6</f>
        <v>0</v>
      </c>
      <c r="O30" s="38">
        <f>Sheet1!DC6</f>
        <v>0</v>
      </c>
      <c r="P30" s="38">
        <f>Sheet1!DD6</f>
        <v>0</v>
      </c>
      <c r="Q30" s="38">
        <f>Sheet1!DE6</f>
        <v>0</v>
      </c>
      <c r="R30" s="38">
        <f>Sheet1!DF6</f>
        <v>0</v>
      </c>
      <c r="S30" s="38">
        <f>Sheet1!DG6</f>
        <v>0</v>
      </c>
      <c r="T30" s="38">
        <f>Sheet1!DH6</f>
        <v>0</v>
      </c>
      <c r="U30" s="38">
        <f>Sheet1!DI6</f>
        <v>0</v>
      </c>
      <c r="V30" s="38">
        <f>Sheet1!DJ6</f>
        <v>0</v>
      </c>
      <c r="W30" s="38">
        <f>Sheet1!DK6</f>
        <v>0</v>
      </c>
      <c r="X30" s="38">
        <f>Sheet1!DL6</f>
        <v>0</v>
      </c>
      <c r="Y30" s="38">
        <f>Sheet1!DM6</f>
        <v>0</v>
      </c>
      <c r="Z30" s="38">
        <f>Sheet1!DN6</f>
        <v>0</v>
      </c>
      <c r="AA30" s="38">
        <f>Sheet1!DO6</f>
        <v>0</v>
      </c>
      <c r="AB30" s="38">
        <f>Sheet1!DP6</f>
        <v>0</v>
      </c>
      <c r="AC30" s="38">
        <f>Sheet1!DQ6</f>
        <v>0</v>
      </c>
      <c r="AD30" s="38">
        <f>Sheet1!DR6</f>
        <v>0</v>
      </c>
      <c r="AE30" s="38">
        <f>Sheet1!DS6</f>
        <v>0</v>
      </c>
      <c r="AF30" s="38">
        <f>Sheet1!DT6</f>
        <v>0</v>
      </c>
    </row>
    <row r="31" spans="1:33" ht="16.5">
      <c r="A31" s="314" t="str">
        <f t="shared" ref="A31:A32" si="10">+D31</f>
        <v>Indirect</v>
      </c>
      <c r="B31" s="314"/>
      <c r="C31" s="314"/>
      <c r="D31" s="37" t="s">
        <v>35</v>
      </c>
      <c r="E31" s="38">
        <f>Sheet1!CS7</f>
        <v>0</v>
      </c>
      <c r="F31" s="38">
        <f>Sheet1!CT7</f>
        <v>0</v>
      </c>
      <c r="G31" s="38">
        <f>Sheet1!CU7</f>
        <v>0</v>
      </c>
      <c r="H31" s="38">
        <f>Sheet1!CV7</f>
        <v>0</v>
      </c>
      <c r="I31" s="38">
        <f>Sheet1!CW7</f>
        <v>0</v>
      </c>
      <c r="J31" s="38">
        <f>Sheet1!CX7</f>
        <v>0</v>
      </c>
      <c r="K31" s="38">
        <f>Sheet1!CY7</f>
        <v>0</v>
      </c>
      <c r="L31" s="38">
        <f>Sheet1!CZ7</f>
        <v>0</v>
      </c>
      <c r="M31" s="38">
        <f>Sheet1!DA7</f>
        <v>0</v>
      </c>
      <c r="N31" s="38">
        <f>Sheet1!DB7</f>
        <v>0</v>
      </c>
      <c r="O31" s="38">
        <f>Sheet1!DC7</f>
        <v>0</v>
      </c>
      <c r="P31" s="38">
        <f>Sheet1!DD7</f>
        <v>0</v>
      </c>
      <c r="Q31" s="38">
        <f>Sheet1!DE7</f>
        <v>0</v>
      </c>
      <c r="R31" s="38">
        <f>Sheet1!DF7</f>
        <v>0</v>
      </c>
      <c r="S31" s="38">
        <f>Sheet1!DG7</f>
        <v>0</v>
      </c>
      <c r="T31" s="38">
        <f>Sheet1!DH7</f>
        <v>0</v>
      </c>
      <c r="U31" s="38">
        <f>Sheet1!DI7</f>
        <v>0</v>
      </c>
      <c r="V31" s="38">
        <f>Sheet1!DJ7</f>
        <v>0</v>
      </c>
      <c r="W31" s="38">
        <f>Sheet1!DK7</f>
        <v>0</v>
      </c>
      <c r="X31" s="38">
        <f>Sheet1!DL7</f>
        <v>0</v>
      </c>
      <c r="Y31" s="38">
        <f>Sheet1!DM7</f>
        <v>0</v>
      </c>
      <c r="Z31" s="38">
        <f>Sheet1!DN7</f>
        <v>0</v>
      </c>
      <c r="AA31" s="38">
        <f>Sheet1!DO7</f>
        <v>0</v>
      </c>
      <c r="AB31" s="38">
        <f>Sheet1!DP7</f>
        <v>0</v>
      </c>
      <c r="AC31" s="38">
        <f>Sheet1!DQ7</f>
        <v>0</v>
      </c>
      <c r="AD31" s="38">
        <f>Sheet1!DR7</f>
        <v>0</v>
      </c>
      <c r="AE31" s="38">
        <f>Sheet1!DS7</f>
        <v>0</v>
      </c>
      <c r="AF31" s="38">
        <f>Sheet1!DT7</f>
        <v>0</v>
      </c>
    </row>
    <row r="32" spans="1:33" ht="16.5">
      <c r="A32" s="314" t="str">
        <f t="shared" si="10"/>
        <v>Admin</v>
      </c>
      <c r="B32" s="314"/>
      <c r="C32" s="314"/>
      <c r="D32" s="37" t="s">
        <v>38</v>
      </c>
      <c r="E32" s="38">
        <f>Sheet1!CS8</f>
        <v>0</v>
      </c>
      <c r="F32" s="38">
        <f>Sheet1!CT8</f>
        <v>0</v>
      </c>
      <c r="G32" s="38">
        <f>Sheet1!CU8</f>
        <v>0</v>
      </c>
      <c r="H32" s="38">
        <f>Sheet1!CV8</f>
        <v>0</v>
      </c>
      <c r="I32" s="38">
        <f>Sheet1!CW8</f>
        <v>0</v>
      </c>
      <c r="J32" s="38">
        <f>Sheet1!CX8</f>
        <v>0</v>
      </c>
      <c r="K32" s="38">
        <f>Sheet1!CY8</f>
        <v>0</v>
      </c>
      <c r="L32" s="38">
        <f>Sheet1!CZ8</f>
        <v>0</v>
      </c>
      <c r="M32" s="38">
        <f>Sheet1!DA8</f>
        <v>0</v>
      </c>
      <c r="N32" s="38">
        <f>Sheet1!DB8</f>
        <v>0</v>
      </c>
      <c r="O32" s="38">
        <f>Sheet1!DC8</f>
        <v>0</v>
      </c>
      <c r="P32" s="38">
        <f>Sheet1!DD8</f>
        <v>0</v>
      </c>
      <c r="Q32" s="38">
        <f>Sheet1!DE8</f>
        <v>0</v>
      </c>
      <c r="R32" s="38">
        <f>Sheet1!DF8</f>
        <v>0</v>
      </c>
      <c r="S32" s="38">
        <f>Sheet1!DG8</f>
        <v>0</v>
      </c>
      <c r="T32" s="38">
        <f>Sheet1!DH8</f>
        <v>0</v>
      </c>
      <c r="U32" s="38">
        <f>Sheet1!DI8</f>
        <v>0</v>
      </c>
      <c r="V32" s="38">
        <f>Sheet1!DJ8</f>
        <v>0</v>
      </c>
      <c r="W32" s="38">
        <f>Sheet1!DK8</f>
        <v>0</v>
      </c>
      <c r="X32" s="38">
        <f>Sheet1!DL8</f>
        <v>0</v>
      </c>
      <c r="Y32" s="38">
        <f>Sheet1!DM8</f>
        <v>0</v>
      </c>
      <c r="Z32" s="38">
        <f>Sheet1!DN8</f>
        <v>0</v>
      </c>
      <c r="AA32" s="38">
        <f>Sheet1!DO8</f>
        <v>0</v>
      </c>
      <c r="AB32" s="38">
        <f>Sheet1!DP8</f>
        <v>0</v>
      </c>
      <c r="AC32" s="38">
        <f>Sheet1!DQ8</f>
        <v>0</v>
      </c>
      <c r="AD32" s="38">
        <f>Sheet1!DR8</f>
        <v>0</v>
      </c>
      <c r="AE32" s="38">
        <f>Sheet1!DS8</f>
        <v>0</v>
      </c>
      <c r="AF32" s="38">
        <f>Sheet1!DT8</f>
        <v>0</v>
      </c>
    </row>
    <row r="33" spans="1:32" ht="19.5" customHeight="1">
      <c r="A33" s="314" t="s">
        <v>56</v>
      </c>
      <c r="B33" s="314"/>
      <c r="C33" s="314"/>
      <c r="D33" s="39" t="str">
        <f>+A33</f>
        <v>Seasonal worker</v>
      </c>
      <c r="E33" s="38">
        <f>Sheet1!CS9</f>
        <v>0</v>
      </c>
      <c r="F33" s="38">
        <f>Sheet1!CT9</f>
        <v>0</v>
      </c>
      <c r="G33" s="38">
        <f>Sheet1!CU9</f>
        <v>0</v>
      </c>
      <c r="H33" s="38">
        <f>Sheet1!CV9</f>
        <v>0</v>
      </c>
      <c r="I33" s="38">
        <f>Sheet1!CW9</f>
        <v>0</v>
      </c>
      <c r="J33" s="38">
        <f>Sheet1!CX9</f>
        <v>0</v>
      </c>
      <c r="K33" s="38">
        <f>Sheet1!CY9</f>
        <v>0</v>
      </c>
      <c r="L33" s="38">
        <f>Sheet1!CZ9</f>
        <v>0</v>
      </c>
      <c r="M33" s="38">
        <f>Sheet1!DA9</f>
        <v>0</v>
      </c>
      <c r="N33" s="38">
        <f>Sheet1!DB9</f>
        <v>0</v>
      </c>
      <c r="O33" s="38">
        <f>Sheet1!DC9</f>
        <v>0</v>
      </c>
      <c r="P33" s="38">
        <f>Sheet1!DD9</f>
        <v>0</v>
      </c>
      <c r="Q33" s="38">
        <f>Sheet1!DE9</f>
        <v>0</v>
      </c>
      <c r="R33" s="38">
        <f>Sheet1!DF9</f>
        <v>0</v>
      </c>
      <c r="S33" s="38">
        <f>Sheet1!DG9</f>
        <v>0</v>
      </c>
      <c r="T33" s="38">
        <f>Sheet1!DH9</f>
        <v>0</v>
      </c>
      <c r="U33" s="38">
        <f>Sheet1!DI9</f>
        <v>0</v>
      </c>
      <c r="V33" s="38">
        <f>Sheet1!DJ9</f>
        <v>0</v>
      </c>
      <c r="W33" s="38">
        <f>Sheet1!DK9</f>
        <v>0</v>
      </c>
      <c r="X33" s="38">
        <f>Sheet1!DL9</f>
        <v>0</v>
      </c>
      <c r="Y33" s="38">
        <f>Sheet1!DM9</f>
        <v>0</v>
      </c>
      <c r="Z33" s="38">
        <f>Sheet1!DN9</f>
        <v>0</v>
      </c>
      <c r="AA33" s="38">
        <f>Sheet1!DO9</f>
        <v>0</v>
      </c>
      <c r="AB33" s="38">
        <f>Sheet1!DP9</f>
        <v>0</v>
      </c>
      <c r="AC33" s="38">
        <f>Sheet1!DQ9</f>
        <v>0</v>
      </c>
      <c r="AD33" s="38">
        <f>Sheet1!DR9</f>
        <v>0</v>
      </c>
      <c r="AE33" s="38">
        <f>Sheet1!DS9</f>
        <v>0</v>
      </c>
      <c r="AF33" s="38">
        <f>Sheet1!DT9</f>
        <v>0</v>
      </c>
    </row>
    <row r="34" spans="1:32" ht="16.5">
      <c r="A34" s="315" t="s">
        <v>66</v>
      </c>
      <c r="B34" s="315"/>
      <c r="C34" s="315"/>
      <c r="D34" s="40"/>
      <c r="E34" s="41">
        <f>SUBTOTAL(9,E30:E33)</f>
        <v>0</v>
      </c>
      <c r="F34" s="41">
        <f>SUBTOTAL(9,F30:F33)</f>
        <v>0</v>
      </c>
      <c r="G34" s="41">
        <f t="shared" ref="G34:AF34" si="11">SUBTOTAL(9,G30:G33)</f>
        <v>0</v>
      </c>
      <c r="H34" s="41">
        <f t="shared" si="11"/>
        <v>0</v>
      </c>
      <c r="I34" s="41" t="e">
        <f>U34/R34</f>
        <v>#DIV/0!</v>
      </c>
      <c r="J34" s="41">
        <f t="shared" si="11"/>
        <v>0</v>
      </c>
      <c r="K34" s="41">
        <f t="shared" si="11"/>
        <v>0</v>
      </c>
      <c r="L34" s="41">
        <f t="shared" si="11"/>
        <v>0</v>
      </c>
      <c r="M34" s="41">
        <f t="shared" si="11"/>
        <v>0</v>
      </c>
      <c r="N34" s="41">
        <f t="shared" si="11"/>
        <v>0</v>
      </c>
      <c r="O34" s="41">
        <f t="shared" si="11"/>
        <v>0</v>
      </c>
      <c r="P34" s="41">
        <f t="shared" si="11"/>
        <v>0</v>
      </c>
      <c r="Q34" s="41">
        <f t="shared" si="11"/>
        <v>0</v>
      </c>
      <c r="R34" s="41">
        <f t="shared" si="11"/>
        <v>0</v>
      </c>
      <c r="S34" s="41">
        <f t="shared" si="11"/>
        <v>0</v>
      </c>
      <c r="T34" s="41">
        <f t="shared" si="11"/>
        <v>0</v>
      </c>
      <c r="U34" s="41">
        <f t="shared" si="11"/>
        <v>0</v>
      </c>
      <c r="V34" s="41">
        <f t="shared" si="11"/>
        <v>0</v>
      </c>
      <c r="W34" s="41">
        <f t="shared" si="11"/>
        <v>0</v>
      </c>
      <c r="X34" s="41">
        <f>U34+V34+W34</f>
        <v>0</v>
      </c>
      <c r="Y34" s="41">
        <f t="shared" si="11"/>
        <v>0</v>
      </c>
      <c r="Z34" s="41">
        <f t="shared" si="11"/>
        <v>0</v>
      </c>
      <c r="AA34" s="41">
        <f t="shared" si="11"/>
        <v>0</v>
      </c>
      <c r="AB34" s="41">
        <f t="shared" si="11"/>
        <v>0</v>
      </c>
      <c r="AC34" s="41">
        <f t="shared" si="11"/>
        <v>0</v>
      </c>
      <c r="AD34" s="41">
        <f t="shared" si="11"/>
        <v>0</v>
      </c>
      <c r="AE34" s="41">
        <f t="shared" si="11"/>
        <v>0</v>
      </c>
      <c r="AF34" s="38">
        <f t="shared" si="11"/>
        <v>0</v>
      </c>
    </row>
    <row r="35" spans="1:32" ht="17.25" thickBot="1">
      <c r="A35" s="316"/>
      <c r="B35" s="316"/>
      <c r="C35" s="316"/>
      <c r="D35" s="42"/>
      <c r="E35" s="43">
        <f>+E34-E26</f>
        <v>0</v>
      </c>
      <c r="F35" s="43">
        <f t="shared" ref="F35:AD35" si="12">+F34-F26</f>
        <v>0</v>
      </c>
      <c r="G35" s="43">
        <f t="shared" si="12"/>
        <v>0</v>
      </c>
      <c r="H35" s="43">
        <f t="shared" si="12"/>
        <v>0</v>
      </c>
      <c r="I35" s="43" t="e">
        <f t="shared" si="12"/>
        <v>#DIV/0!</v>
      </c>
      <c r="J35" s="43">
        <f t="shared" si="12"/>
        <v>0</v>
      </c>
      <c r="K35" s="43">
        <f t="shared" si="12"/>
        <v>0</v>
      </c>
      <c r="L35" s="43">
        <f t="shared" si="12"/>
        <v>0</v>
      </c>
      <c r="M35" s="43">
        <f t="shared" si="12"/>
        <v>0</v>
      </c>
      <c r="N35" s="43">
        <f t="shared" si="12"/>
        <v>0</v>
      </c>
      <c r="O35" s="43">
        <f t="shared" si="12"/>
        <v>0</v>
      </c>
      <c r="P35" s="43">
        <f t="shared" si="12"/>
        <v>0</v>
      </c>
      <c r="Q35" s="43">
        <f t="shared" si="12"/>
        <v>0</v>
      </c>
      <c r="R35" s="43">
        <f t="shared" si="12"/>
        <v>0</v>
      </c>
      <c r="S35" s="43">
        <f t="shared" si="12"/>
        <v>0</v>
      </c>
      <c r="T35" s="43">
        <f t="shared" si="12"/>
        <v>0</v>
      </c>
      <c r="U35" s="43">
        <f t="shared" si="12"/>
        <v>0</v>
      </c>
      <c r="V35" s="43">
        <f t="shared" si="12"/>
        <v>0</v>
      </c>
      <c r="W35" s="43">
        <f t="shared" si="12"/>
        <v>0</v>
      </c>
      <c r="X35" s="43">
        <f t="shared" si="12"/>
        <v>0</v>
      </c>
      <c r="Y35" s="43">
        <f t="shared" si="12"/>
        <v>0</v>
      </c>
      <c r="Z35" s="43">
        <f t="shared" si="12"/>
        <v>0</v>
      </c>
      <c r="AA35" s="43">
        <f t="shared" si="12"/>
        <v>0</v>
      </c>
      <c r="AB35" s="43">
        <f t="shared" si="12"/>
        <v>0</v>
      </c>
      <c r="AC35" s="43">
        <f t="shared" si="12"/>
        <v>0</v>
      </c>
      <c r="AD35" s="43">
        <f t="shared" si="12"/>
        <v>0</v>
      </c>
      <c r="AE35" s="43">
        <f>+AE34-AE26</f>
        <v>0</v>
      </c>
      <c r="AF35" s="43">
        <f>+AF34-AF26</f>
        <v>0</v>
      </c>
    </row>
    <row r="36" spans="1:32" ht="60">
      <c r="A36" s="8" t="s">
        <v>67</v>
      </c>
      <c r="B36" s="317" t="s">
        <v>64</v>
      </c>
      <c r="C36" s="317"/>
      <c r="D36" s="317"/>
      <c r="E36" s="317"/>
      <c r="F36" s="317"/>
      <c r="G36" s="317"/>
      <c r="H36" s="317" t="s">
        <v>68</v>
      </c>
      <c r="I36" s="317"/>
      <c r="J36" s="318" t="s">
        <v>69</v>
      </c>
      <c r="K36" s="44"/>
      <c r="L36" s="44"/>
      <c r="M36" s="45">
        <f>+T26+H26</f>
        <v>0</v>
      </c>
      <c r="N36" s="44"/>
      <c r="O36" s="9" t="s">
        <v>70</v>
      </c>
      <c r="P36" s="10" t="s">
        <v>71</v>
      </c>
      <c r="Q36" s="11" t="s">
        <v>72</v>
      </c>
      <c r="R36" s="11" t="s">
        <v>73</v>
      </c>
      <c r="S36" s="11">
        <v>0.3</v>
      </c>
      <c r="T36" s="12" t="s">
        <v>74</v>
      </c>
      <c r="U36" s="13" t="s">
        <v>75</v>
      </c>
      <c r="V36" s="44"/>
      <c r="W36" s="44"/>
      <c r="X36" s="44"/>
      <c r="Y36" s="44"/>
      <c r="Z36" s="44"/>
      <c r="AA36" s="44"/>
      <c r="AB36" s="45"/>
      <c r="AC36" s="45"/>
      <c r="AD36" s="44"/>
      <c r="AE36" s="45"/>
      <c r="AF36" s="45"/>
    </row>
    <row r="37" spans="1:32" ht="47.25">
      <c r="A37" s="14"/>
      <c r="B37" s="15" t="s">
        <v>76</v>
      </c>
      <c r="C37" s="15" t="s">
        <v>77</v>
      </c>
      <c r="D37" s="15" t="s">
        <v>78</v>
      </c>
      <c r="E37" s="15" t="s">
        <v>79</v>
      </c>
      <c r="F37" s="16" t="s">
        <v>80</v>
      </c>
      <c r="G37" s="15" t="s">
        <v>81</v>
      </c>
      <c r="H37" s="17" t="s">
        <v>82</v>
      </c>
      <c r="I37" s="15" t="s">
        <v>83</v>
      </c>
      <c r="J37" s="319"/>
      <c r="K37" s="19"/>
      <c r="L37" s="19"/>
      <c r="M37" s="46"/>
      <c r="N37" s="19"/>
      <c r="O37" s="47" t="s">
        <v>84</v>
      </c>
      <c r="P37" s="48">
        <f>+J15</f>
        <v>0</v>
      </c>
      <c r="Q37" s="48">
        <f>R37-P37</f>
        <v>0</v>
      </c>
      <c r="R37" s="49">
        <f>+R15</f>
        <v>0</v>
      </c>
      <c r="S37" s="49">
        <f>+S15</f>
        <v>0</v>
      </c>
      <c r="T37" s="50">
        <f>+R37+S37</f>
        <v>0</v>
      </c>
      <c r="U37" s="51" t="e">
        <f>+(U34-T34-H34-AB34-AC34-AD34)/(G34+F34)</f>
        <v>#DIV/0!</v>
      </c>
      <c r="V37" s="52"/>
      <c r="W37" s="53"/>
      <c r="X37" s="54"/>
      <c r="Y37" s="54"/>
      <c r="Z37" s="19"/>
      <c r="AA37" s="19"/>
      <c r="AB37" s="19"/>
      <c r="AC37" s="19"/>
      <c r="AD37" s="19"/>
      <c r="AE37" s="46">
        <f>+AE26-AE65-AE99</f>
        <v>0</v>
      </c>
      <c r="AF37" s="46">
        <f>+AF26-AF65-AF99</f>
        <v>0</v>
      </c>
    </row>
    <row r="38" spans="1:32" ht="16.5" thickBot="1">
      <c r="A38" s="55" t="str">
        <f>TEXT(Sheet1!A1*28,"MMM")</f>
        <v>Jan</v>
      </c>
      <c r="B38" s="56">
        <f>Sheet1!GC6</f>
        <v>0</v>
      </c>
      <c r="C38" s="56">
        <f>Sheet1!GD6</f>
        <v>0</v>
      </c>
      <c r="D38" s="56">
        <v>0</v>
      </c>
      <c r="E38" s="56">
        <f>Sheet1!GE6</f>
        <v>0</v>
      </c>
      <c r="F38" s="56">
        <f>B38+E38</f>
        <v>0</v>
      </c>
      <c r="G38" s="75">
        <f>D38+F38+C38</f>
        <v>0</v>
      </c>
      <c r="H38" s="57">
        <f>Sheet1!GF6</f>
        <v>0</v>
      </c>
      <c r="I38" s="57" t="e">
        <f>AG26-H38</f>
        <v>#DIV/0!</v>
      </c>
      <c r="J38" s="58" t="e">
        <f>F38+H38+I38</f>
        <v>#DIV/0!</v>
      </c>
      <c r="K38" s="19"/>
      <c r="L38" s="19"/>
      <c r="M38" s="19"/>
      <c r="N38" s="19"/>
      <c r="O38" s="59" t="s">
        <v>85</v>
      </c>
      <c r="P38" s="60">
        <f>+J22</f>
        <v>0</v>
      </c>
      <c r="Q38" s="60">
        <f>R38-P38</f>
        <v>0</v>
      </c>
      <c r="R38" s="61">
        <f>+R22</f>
        <v>0</v>
      </c>
      <c r="S38" s="61">
        <f>+S22</f>
        <v>0</v>
      </c>
      <c r="T38" s="62">
        <f>+R38+S38</f>
        <v>0</v>
      </c>
      <c r="U38" s="63"/>
      <c r="V38" s="46"/>
      <c r="W38" s="53"/>
      <c r="X38" s="64"/>
      <c r="Y38" s="19"/>
      <c r="Z38" s="19"/>
      <c r="AA38" s="19"/>
      <c r="AB38" s="19"/>
      <c r="AC38" s="19"/>
      <c r="AD38" s="19"/>
      <c r="AE38" s="19"/>
      <c r="AF38" s="19"/>
    </row>
    <row r="39" spans="1:3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46"/>
      <c r="V39" s="19"/>
      <c r="W39" s="19"/>
      <c r="X39" s="19"/>
      <c r="Y39" s="54"/>
      <c r="Z39" s="19"/>
      <c r="AA39" s="19"/>
      <c r="AB39" s="19"/>
      <c r="AC39" s="19"/>
      <c r="AD39" s="19"/>
      <c r="AE39" s="19"/>
      <c r="AF39" s="19"/>
    </row>
    <row r="40" spans="1:3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46"/>
      <c r="U40" s="19"/>
      <c r="V40" s="46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22.5">
      <c r="A41" s="320" t="s">
        <v>86</v>
      </c>
      <c r="B41" s="320"/>
      <c r="C41" s="320"/>
      <c r="D41" s="18"/>
      <c r="E41" s="20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20"/>
      <c r="U41" s="18"/>
      <c r="V41" s="18"/>
      <c r="W41" s="18"/>
      <c r="X41" s="18"/>
      <c r="Y41" s="18"/>
      <c r="Z41" s="18"/>
      <c r="AA41" s="18"/>
      <c r="AB41" s="19"/>
      <c r="AC41" s="19"/>
      <c r="AD41" s="18"/>
      <c r="AE41" s="18"/>
      <c r="AF41" s="18"/>
    </row>
    <row r="42" spans="1:32">
      <c r="A42" s="288" t="s">
        <v>1</v>
      </c>
      <c r="B42" s="288"/>
      <c r="C42" s="288"/>
      <c r="D42" s="289"/>
      <c r="E42" s="291" t="s">
        <v>2</v>
      </c>
      <c r="F42" s="291" t="s">
        <v>3</v>
      </c>
      <c r="G42" s="291" t="s">
        <v>4</v>
      </c>
      <c r="H42" s="291" t="s">
        <v>5</v>
      </c>
      <c r="I42" s="298" t="s">
        <v>6</v>
      </c>
      <c r="J42" s="299"/>
      <c r="K42" s="300"/>
      <c r="L42" s="299"/>
      <c r="M42" s="299"/>
      <c r="N42" s="299"/>
      <c r="O42" s="299"/>
      <c r="P42" s="299"/>
      <c r="Q42" s="299"/>
      <c r="R42" s="301"/>
      <c r="S42" s="298" t="s">
        <v>7</v>
      </c>
      <c r="T42" s="301"/>
      <c r="U42" s="288" t="s">
        <v>8</v>
      </c>
      <c r="V42" s="289" t="s">
        <v>9</v>
      </c>
      <c r="W42" s="297" t="s">
        <v>10</v>
      </c>
      <c r="X42" s="297" t="s">
        <v>11</v>
      </c>
      <c r="Y42" s="297" t="s">
        <v>12</v>
      </c>
      <c r="Z42" s="292" t="s">
        <v>13</v>
      </c>
      <c r="AA42" s="292" t="s">
        <v>14</v>
      </c>
      <c r="AB42" s="292" t="s">
        <v>62</v>
      </c>
      <c r="AC42" s="292" t="s">
        <v>63</v>
      </c>
      <c r="AD42" s="292" t="s">
        <v>17</v>
      </c>
      <c r="AE42" s="294" t="s">
        <v>18</v>
      </c>
      <c r="AF42" s="294" t="s">
        <v>19</v>
      </c>
    </row>
    <row r="43" spans="1:32" ht="114.75">
      <c r="A43" s="288"/>
      <c r="B43" s="288"/>
      <c r="C43" s="288"/>
      <c r="D43" s="290"/>
      <c r="E43" s="291"/>
      <c r="F43" s="291"/>
      <c r="G43" s="291"/>
      <c r="H43" s="291"/>
      <c r="I43" s="1" t="s">
        <v>20</v>
      </c>
      <c r="J43" s="2" t="s">
        <v>21</v>
      </c>
      <c r="K43" s="3" t="s">
        <v>22</v>
      </c>
      <c r="L43" s="4" t="s">
        <v>23</v>
      </c>
      <c r="M43" s="5" t="s">
        <v>24</v>
      </c>
      <c r="N43" s="5" t="s">
        <v>25</v>
      </c>
      <c r="O43" s="5" t="s">
        <v>26</v>
      </c>
      <c r="P43" s="5" t="s">
        <v>27</v>
      </c>
      <c r="Q43" s="1" t="s">
        <v>28</v>
      </c>
      <c r="R43" s="1" t="s">
        <v>29</v>
      </c>
      <c r="S43" s="1" t="s">
        <v>30</v>
      </c>
      <c r="T43" s="1" t="s">
        <v>31</v>
      </c>
      <c r="U43" s="288"/>
      <c r="V43" s="290"/>
      <c r="W43" s="297"/>
      <c r="X43" s="297"/>
      <c r="Y43" s="297"/>
      <c r="Z43" s="293"/>
      <c r="AA43" s="293"/>
      <c r="AB43" s="293"/>
      <c r="AC43" s="293"/>
      <c r="AD43" s="293"/>
      <c r="AE43" s="294"/>
      <c r="AF43" s="294"/>
    </row>
    <row r="44" spans="1:32" ht="33">
      <c r="A44" s="295" t="s">
        <v>32</v>
      </c>
      <c r="B44" s="21" t="s">
        <v>33</v>
      </c>
      <c r="C44" s="21" t="s">
        <v>34</v>
      </c>
      <c r="D44" s="22" t="s">
        <v>35</v>
      </c>
      <c r="E44" s="23">
        <f>Sheet1!AK6</f>
        <v>0</v>
      </c>
      <c r="F44" s="23">
        <f>Sheet1!AL6</f>
        <v>0</v>
      </c>
      <c r="G44" s="23">
        <f>Sheet1!AM6</f>
        <v>0</v>
      </c>
      <c r="H44" s="23">
        <f>Sheet1!AN6</f>
        <v>0</v>
      </c>
      <c r="I44" s="23">
        <f>Sheet1!AO6</f>
        <v>0</v>
      </c>
      <c r="J44" s="23">
        <f>Sheet1!AP6</f>
        <v>0</v>
      </c>
      <c r="K44" s="23">
        <f>Sheet1!AQ6</f>
        <v>0</v>
      </c>
      <c r="L44" s="23">
        <f>Sheet1!AR6</f>
        <v>0</v>
      </c>
      <c r="M44" s="23">
        <f>Sheet1!AS6</f>
        <v>0</v>
      </c>
      <c r="N44" s="23">
        <f>Sheet1!AT6</f>
        <v>0</v>
      </c>
      <c r="O44" s="23">
        <f>Sheet1!AU6</f>
        <v>0</v>
      </c>
      <c r="P44" s="23">
        <f>Sheet1!AV6</f>
        <v>0</v>
      </c>
      <c r="Q44" s="23">
        <f>Sheet1!AW6</f>
        <v>0</v>
      </c>
      <c r="R44" s="23">
        <f>Sheet1!AX6</f>
        <v>0</v>
      </c>
      <c r="S44" s="23">
        <f>Sheet1!AY6</f>
        <v>0</v>
      </c>
      <c r="T44" s="23">
        <f>Sheet1!AZ6</f>
        <v>0</v>
      </c>
      <c r="U44" s="23">
        <f>Sheet1!BA6</f>
        <v>0</v>
      </c>
      <c r="V44" s="23">
        <f>Sheet1!BB6</f>
        <v>0</v>
      </c>
      <c r="W44" s="23">
        <f>Sheet1!BC6</f>
        <v>0</v>
      </c>
      <c r="X44" s="23">
        <f>Sheet1!BD6</f>
        <v>0</v>
      </c>
      <c r="Y44" s="23">
        <f>Sheet1!BE6</f>
        <v>0</v>
      </c>
      <c r="Z44" s="23">
        <f>Sheet1!BF6</f>
        <v>0</v>
      </c>
      <c r="AA44" s="23">
        <f>Sheet1!BG6</f>
        <v>0</v>
      </c>
      <c r="AB44" s="23">
        <f>Sheet1!BH6</f>
        <v>0</v>
      </c>
      <c r="AC44" s="23">
        <f>Sheet1!BI6</f>
        <v>0</v>
      </c>
      <c r="AD44" s="23">
        <f>Sheet1!BJ6</f>
        <v>0</v>
      </c>
      <c r="AE44" s="23">
        <f>Sheet1!BK6</f>
        <v>0</v>
      </c>
      <c r="AF44" s="23">
        <f>Sheet1!BL6</f>
        <v>0</v>
      </c>
    </row>
    <row r="45" spans="1:32" ht="33">
      <c r="A45" s="295"/>
      <c r="B45" s="21" t="s">
        <v>36</v>
      </c>
      <c r="C45" s="21" t="s">
        <v>37</v>
      </c>
      <c r="D45" s="22" t="s">
        <v>38</v>
      </c>
      <c r="E45" s="23">
        <f>Sheet1!AK7</f>
        <v>0</v>
      </c>
      <c r="F45" s="23">
        <f>Sheet1!AL7</f>
        <v>0</v>
      </c>
      <c r="G45" s="23">
        <f>Sheet1!AM7</f>
        <v>0</v>
      </c>
      <c r="H45" s="23">
        <f>Sheet1!AN7</f>
        <v>0</v>
      </c>
      <c r="I45" s="23">
        <f>Sheet1!AO7</f>
        <v>0</v>
      </c>
      <c r="J45" s="23">
        <f>Sheet1!AP7</f>
        <v>0</v>
      </c>
      <c r="K45" s="23">
        <f>Sheet1!AQ7</f>
        <v>0</v>
      </c>
      <c r="L45" s="23">
        <f>Sheet1!AR7</f>
        <v>0</v>
      </c>
      <c r="M45" s="23">
        <f>Sheet1!AS7</f>
        <v>0</v>
      </c>
      <c r="N45" s="23">
        <f>Sheet1!AT7</f>
        <v>0</v>
      </c>
      <c r="O45" s="23">
        <f>Sheet1!AU7</f>
        <v>0</v>
      </c>
      <c r="P45" s="23">
        <f>Sheet1!AV7</f>
        <v>0</v>
      </c>
      <c r="Q45" s="23">
        <f>Sheet1!AW7</f>
        <v>0</v>
      </c>
      <c r="R45" s="23">
        <f>Sheet1!AX7</f>
        <v>0</v>
      </c>
      <c r="S45" s="23">
        <f>Sheet1!AY7</f>
        <v>0</v>
      </c>
      <c r="T45" s="23">
        <f>Sheet1!AZ7</f>
        <v>0</v>
      </c>
      <c r="U45" s="23">
        <f>Sheet1!BA7</f>
        <v>0</v>
      </c>
      <c r="V45" s="23">
        <f>Sheet1!BB7</f>
        <v>0</v>
      </c>
      <c r="W45" s="23">
        <f>Sheet1!BC7</f>
        <v>0</v>
      </c>
      <c r="X45" s="23">
        <f>Sheet1!BD7</f>
        <v>0</v>
      </c>
      <c r="Y45" s="23">
        <f>Sheet1!BE7</f>
        <v>0</v>
      </c>
      <c r="Z45" s="23">
        <f>Sheet1!BF7</f>
        <v>0</v>
      </c>
      <c r="AA45" s="23">
        <f>Sheet1!BG7</f>
        <v>0</v>
      </c>
      <c r="AB45" s="23">
        <f>Sheet1!BH7</f>
        <v>0</v>
      </c>
      <c r="AC45" s="23">
        <f>Sheet1!BI7</f>
        <v>0</v>
      </c>
      <c r="AD45" s="23">
        <f>Sheet1!BJ7</f>
        <v>0</v>
      </c>
      <c r="AE45" s="23">
        <f>Sheet1!BK7</f>
        <v>0</v>
      </c>
      <c r="AF45" s="23">
        <f>Sheet1!BL7</f>
        <v>0</v>
      </c>
    </row>
    <row r="46" spans="1:32" ht="16.5">
      <c r="A46" s="295"/>
      <c r="B46" s="296" t="s">
        <v>39</v>
      </c>
      <c r="C46" s="296"/>
      <c r="D46" s="24"/>
      <c r="E46" s="25">
        <f>SUBTOTAL(9,E44:E45)</f>
        <v>0</v>
      </c>
      <c r="F46" s="25">
        <f t="shared" ref="F46:AF46" si="13">SUBTOTAL(9,F44:F45)</f>
        <v>0</v>
      </c>
      <c r="G46" s="25">
        <f t="shared" si="13"/>
        <v>0</v>
      </c>
      <c r="H46" s="25">
        <f t="shared" si="13"/>
        <v>0</v>
      </c>
      <c r="I46" s="25" t="e">
        <f>U46/R46</f>
        <v>#DIV/0!</v>
      </c>
      <c r="J46" s="25">
        <f t="shared" si="13"/>
        <v>0</v>
      </c>
      <c r="K46" s="25">
        <f t="shared" si="13"/>
        <v>0</v>
      </c>
      <c r="L46" s="25">
        <f t="shared" si="13"/>
        <v>0</v>
      </c>
      <c r="M46" s="25">
        <f t="shared" si="13"/>
        <v>0</v>
      </c>
      <c r="N46" s="25">
        <f t="shared" si="13"/>
        <v>0</v>
      </c>
      <c r="O46" s="25">
        <f t="shared" si="13"/>
        <v>0</v>
      </c>
      <c r="P46" s="25">
        <f t="shared" si="13"/>
        <v>0</v>
      </c>
      <c r="Q46" s="25">
        <f t="shared" si="13"/>
        <v>0</v>
      </c>
      <c r="R46" s="25">
        <f t="shared" si="13"/>
        <v>0</v>
      </c>
      <c r="S46" s="25">
        <f t="shared" si="13"/>
        <v>0</v>
      </c>
      <c r="T46" s="25">
        <f t="shared" si="13"/>
        <v>0</v>
      </c>
      <c r="U46" s="25">
        <f t="shared" si="13"/>
        <v>0</v>
      </c>
      <c r="V46" s="25">
        <f t="shared" si="13"/>
        <v>0</v>
      </c>
      <c r="W46" s="25">
        <f t="shared" si="13"/>
        <v>0</v>
      </c>
      <c r="X46" s="25">
        <f t="shared" si="13"/>
        <v>0</v>
      </c>
      <c r="Y46" s="25">
        <f t="shared" si="13"/>
        <v>0</v>
      </c>
      <c r="Z46" s="25">
        <f t="shared" si="13"/>
        <v>0</v>
      </c>
      <c r="AA46" s="25">
        <f t="shared" si="13"/>
        <v>0</v>
      </c>
      <c r="AB46" s="25">
        <f t="shared" si="13"/>
        <v>0</v>
      </c>
      <c r="AC46" s="25">
        <f t="shared" si="13"/>
        <v>0</v>
      </c>
      <c r="AD46" s="25">
        <f t="shared" si="13"/>
        <v>0</v>
      </c>
      <c r="AE46" s="25">
        <f t="shared" si="13"/>
        <v>0</v>
      </c>
      <c r="AF46" s="23">
        <f t="shared" si="13"/>
        <v>0</v>
      </c>
    </row>
    <row r="47" spans="1:32" ht="16.5">
      <c r="A47" s="295" t="s">
        <v>40</v>
      </c>
      <c r="B47" s="309" t="s">
        <v>41</v>
      </c>
      <c r="C47" s="22" t="s">
        <v>42</v>
      </c>
      <c r="D47" s="22" t="s">
        <v>35</v>
      </c>
      <c r="E47" s="23">
        <f>Sheet1!AK8</f>
        <v>0</v>
      </c>
      <c r="F47" s="23">
        <f>Sheet1!AL8</f>
        <v>0</v>
      </c>
      <c r="G47" s="23">
        <f>Sheet1!AM8</f>
        <v>0</v>
      </c>
      <c r="H47" s="23">
        <f>Sheet1!AN8</f>
        <v>0</v>
      </c>
      <c r="I47" s="23">
        <f>Sheet1!AO8</f>
        <v>0</v>
      </c>
      <c r="J47" s="23">
        <f>Sheet1!AP8</f>
        <v>0</v>
      </c>
      <c r="K47" s="23">
        <f>Sheet1!AQ8</f>
        <v>0</v>
      </c>
      <c r="L47" s="23">
        <f>Sheet1!AR8</f>
        <v>0</v>
      </c>
      <c r="M47" s="23">
        <f>Sheet1!AS8</f>
        <v>0</v>
      </c>
      <c r="N47" s="23">
        <f>Sheet1!AT8</f>
        <v>0</v>
      </c>
      <c r="O47" s="23">
        <f>Sheet1!AU8</f>
        <v>0</v>
      </c>
      <c r="P47" s="23">
        <f>Sheet1!AV8</f>
        <v>0</v>
      </c>
      <c r="Q47" s="23">
        <f>Sheet1!AW8</f>
        <v>0</v>
      </c>
      <c r="R47" s="23">
        <f>Sheet1!AX8</f>
        <v>0</v>
      </c>
      <c r="S47" s="23">
        <f>Sheet1!AY8</f>
        <v>0</v>
      </c>
      <c r="T47" s="23">
        <f>Sheet1!AZ8</f>
        <v>0</v>
      </c>
      <c r="U47" s="23">
        <f>Sheet1!BA8</f>
        <v>0</v>
      </c>
      <c r="V47" s="23">
        <f>Sheet1!BB8</f>
        <v>0</v>
      </c>
      <c r="W47" s="23">
        <f>Sheet1!BC8</f>
        <v>0</v>
      </c>
      <c r="X47" s="23">
        <f>Sheet1!BD8</f>
        <v>0</v>
      </c>
      <c r="Y47" s="23">
        <f>Sheet1!BE8</f>
        <v>0</v>
      </c>
      <c r="Z47" s="23">
        <f>Sheet1!BF8</f>
        <v>0</v>
      </c>
      <c r="AA47" s="23">
        <f>Sheet1!BG8</f>
        <v>0</v>
      </c>
      <c r="AB47" s="23">
        <f>Sheet1!BH8</f>
        <v>0</v>
      </c>
      <c r="AC47" s="23">
        <f>Sheet1!BI8</f>
        <v>0</v>
      </c>
      <c r="AD47" s="23">
        <f>Sheet1!BJ8</f>
        <v>0</v>
      </c>
      <c r="AE47" s="23">
        <f>Sheet1!BK8</f>
        <v>0</v>
      </c>
      <c r="AF47" s="23">
        <f>Sheet1!BL8</f>
        <v>0</v>
      </c>
    </row>
    <row r="48" spans="1:32" ht="16.5">
      <c r="A48" s="295"/>
      <c r="B48" s="310"/>
      <c r="C48" s="22" t="s">
        <v>43</v>
      </c>
      <c r="D48" s="22" t="s">
        <v>35</v>
      </c>
      <c r="E48" s="23">
        <f>Sheet1!AK9</f>
        <v>0</v>
      </c>
      <c r="F48" s="23">
        <f>Sheet1!AL9</f>
        <v>0</v>
      </c>
      <c r="G48" s="23">
        <f>Sheet1!AM9</f>
        <v>0</v>
      </c>
      <c r="H48" s="23">
        <f>Sheet1!AN9</f>
        <v>0</v>
      </c>
      <c r="I48" s="23">
        <f>Sheet1!AO9</f>
        <v>0</v>
      </c>
      <c r="J48" s="23">
        <f>Sheet1!AP9</f>
        <v>0</v>
      </c>
      <c r="K48" s="23">
        <f>Sheet1!AQ9</f>
        <v>0</v>
      </c>
      <c r="L48" s="23">
        <f>Sheet1!AR9</f>
        <v>0</v>
      </c>
      <c r="M48" s="23">
        <f>Sheet1!AS9</f>
        <v>0</v>
      </c>
      <c r="N48" s="23">
        <f>Sheet1!AT9</f>
        <v>0</v>
      </c>
      <c r="O48" s="23">
        <f>Sheet1!AU9</f>
        <v>0</v>
      </c>
      <c r="P48" s="23">
        <f>Sheet1!AV9</f>
        <v>0</v>
      </c>
      <c r="Q48" s="23">
        <f>Sheet1!AW9</f>
        <v>0</v>
      </c>
      <c r="R48" s="23">
        <f>Sheet1!AX9</f>
        <v>0</v>
      </c>
      <c r="S48" s="23">
        <f>Sheet1!AY9</f>
        <v>0</v>
      </c>
      <c r="T48" s="23">
        <f>Sheet1!AZ9</f>
        <v>0</v>
      </c>
      <c r="U48" s="23">
        <f>Sheet1!BA9</f>
        <v>0</v>
      </c>
      <c r="V48" s="23">
        <f>Sheet1!BB9</f>
        <v>0</v>
      </c>
      <c r="W48" s="23">
        <f>Sheet1!BC9</f>
        <v>0</v>
      </c>
      <c r="X48" s="23">
        <f>Sheet1!BD9</f>
        <v>0</v>
      </c>
      <c r="Y48" s="23">
        <f>Sheet1!BE9</f>
        <v>0</v>
      </c>
      <c r="Z48" s="23">
        <f>Sheet1!BF9</f>
        <v>0</v>
      </c>
      <c r="AA48" s="23">
        <f>Sheet1!BG9</f>
        <v>0</v>
      </c>
      <c r="AB48" s="23">
        <f>Sheet1!BH9</f>
        <v>0</v>
      </c>
      <c r="AC48" s="23">
        <f>Sheet1!BI9</f>
        <v>0</v>
      </c>
      <c r="AD48" s="23">
        <f>Sheet1!BJ9</f>
        <v>0</v>
      </c>
      <c r="AE48" s="23">
        <f>Sheet1!BK9</f>
        <v>0</v>
      </c>
      <c r="AF48" s="23">
        <f>Sheet1!BL9</f>
        <v>0</v>
      </c>
    </row>
    <row r="49" spans="1:32" ht="16.5">
      <c r="A49" s="295"/>
      <c r="B49" s="311"/>
      <c r="C49" s="24" t="s">
        <v>39</v>
      </c>
      <c r="D49" s="24"/>
      <c r="E49" s="25">
        <f>SUBTOTAL(9,E47:E48)</f>
        <v>0</v>
      </c>
      <c r="F49" s="25">
        <f t="shared" ref="F49:AF49" si="14">SUBTOTAL(9,F47:F48)</f>
        <v>0</v>
      </c>
      <c r="G49" s="25">
        <f t="shared" si="14"/>
        <v>0</v>
      </c>
      <c r="H49" s="25">
        <f t="shared" si="14"/>
        <v>0</v>
      </c>
      <c r="I49" s="25" t="e">
        <f>U49/R49</f>
        <v>#DIV/0!</v>
      </c>
      <c r="J49" s="25">
        <f t="shared" si="14"/>
        <v>0</v>
      </c>
      <c r="K49" s="25">
        <f t="shared" si="14"/>
        <v>0</v>
      </c>
      <c r="L49" s="25">
        <f t="shared" si="14"/>
        <v>0</v>
      </c>
      <c r="M49" s="25">
        <f t="shared" si="14"/>
        <v>0</v>
      </c>
      <c r="N49" s="25">
        <f t="shared" si="14"/>
        <v>0</v>
      </c>
      <c r="O49" s="25">
        <f t="shared" si="14"/>
        <v>0</v>
      </c>
      <c r="P49" s="25">
        <f t="shared" si="14"/>
        <v>0</v>
      </c>
      <c r="Q49" s="25">
        <f t="shared" si="14"/>
        <v>0</v>
      </c>
      <c r="R49" s="25">
        <f t="shared" si="14"/>
        <v>0</v>
      </c>
      <c r="S49" s="25">
        <f t="shared" si="14"/>
        <v>0</v>
      </c>
      <c r="T49" s="25">
        <f t="shared" si="14"/>
        <v>0</v>
      </c>
      <c r="U49" s="25">
        <f t="shared" si="14"/>
        <v>0</v>
      </c>
      <c r="V49" s="25">
        <f t="shared" si="14"/>
        <v>0</v>
      </c>
      <c r="W49" s="25">
        <f t="shared" si="14"/>
        <v>0</v>
      </c>
      <c r="X49" s="25">
        <f t="shared" si="14"/>
        <v>0</v>
      </c>
      <c r="Y49" s="25">
        <f t="shared" si="14"/>
        <v>0</v>
      </c>
      <c r="Z49" s="25">
        <f t="shared" si="14"/>
        <v>0</v>
      </c>
      <c r="AA49" s="25">
        <f t="shared" si="14"/>
        <v>0</v>
      </c>
      <c r="AB49" s="25">
        <f t="shared" si="14"/>
        <v>0</v>
      </c>
      <c r="AC49" s="25">
        <f t="shared" si="14"/>
        <v>0</v>
      </c>
      <c r="AD49" s="25">
        <f t="shared" si="14"/>
        <v>0</v>
      </c>
      <c r="AE49" s="25">
        <f t="shared" si="14"/>
        <v>0</v>
      </c>
      <c r="AF49" s="23">
        <f t="shared" si="14"/>
        <v>0</v>
      </c>
    </row>
    <row r="50" spans="1:32" ht="16.5">
      <c r="A50" s="295"/>
      <c r="B50" s="312" t="s">
        <v>44</v>
      </c>
      <c r="C50" s="22" t="s">
        <v>45</v>
      </c>
      <c r="D50" s="22" t="s">
        <v>46</v>
      </c>
      <c r="E50" s="23">
        <f>Sheet1!AK10</f>
        <v>0</v>
      </c>
      <c r="F50" s="23">
        <f>Sheet1!AL10</f>
        <v>0</v>
      </c>
      <c r="G50" s="23">
        <f>Sheet1!AM10</f>
        <v>0</v>
      </c>
      <c r="H50" s="23">
        <f>Sheet1!AN10</f>
        <v>0</v>
      </c>
      <c r="I50" s="23">
        <f>Sheet1!AO10</f>
        <v>0</v>
      </c>
      <c r="J50" s="23">
        <f>Sheet1!AP10</f>
        <v>0</v>
      </c>
      <c r="K50" s="23">
        <f>Sheet1!AQ10</f>
        <v>0</v>
      </c>
      <c r="L50" s="23">
        <f>Sheet1!AR10</f>
        <v>0</v>
      </c>
      <c r="M50" s="23">
        <f>Sheet1!AS10</f>
        <v>0</v>
      </c>
      <c r="N50" s="23">
        <f>Sheet1!AT10</f>
        <v>0</v>
      </c>
      <c r="O50" s="23">
        <f>Sheet1!AU10</f>
        <v>0</v>
      </c>
      <c r="P50" s="23">
        <f>Sheet1!AV10</f>
        <v>0</v>
      </c>
      <c r="Q50" s="23">
        <f>Sheet1!AW10</f>
        <v>0</v>
      </c>
      <c r="R50" s="23">
        <f>Sheet1!AX10</f>
        <v>0</v>
      </c>
      <c r="S50" s="23">
        <f>Sheet1!AY10</f>
        <v>0</v>
      </c>
      <c r="T50" s="23">
        <f>Sheet1!AZ10</f>
        <v>0</v>
      </c>
      <c r="U50" s="23">
        <f>Sheet1!BA10</f>
        <v>0</v>
      </c>
      <c r="V50" s="23">
        <f>Sheet1!BB10</f>
        <v>0</v>
      </c>
      <c r="W50" s="23">
        <f>Sheet1!BC10</f>
        <v>0</v>
      </c>
      <c r="X50" s="23">
        <f>Sheet1!BD10</f>
        <v>0</v>
      </c>
      <c r="Y50" s="23">
        <f>Sheet1!BE10</f>
        <v>0</v>
      </c>
      <c r="Z50" s="23">
        <f>Sheet1!BF10</f>
        <v>0</v>
      </c>
      <c r="AA50" s="23">
        <f>Sheet1!BG10</f>
        <v>0</v>
      </c>
      <c r="AB50" s="23">
        <f>Sheet1!BH10</f>
        <v>0</v>
      </c>
      <c r="AC50" s="23">
        <f>Sheet1!BI10</f>
        <v>0</v>
      </c>
      <c r="AD50" s="23">
        <f>Sheet1!BJ10</f>
        <v>0</v>
      </c>
      <c r="AE50" s="23">
        <f>Sheet1!BK10</f>
        <v>0</v>
      </c>
      <c r="AF50" s="23">
        <f>Sheet1!BL10</f>
        <v>0</v>
      </c>
    </row>
    <row r="51" spans="1:32" ht="16.5">
      <c r="A51" s="295"/>
      <c r="B51" s="312"/>
      <c r="C51" s="22" t="s">
        <v>47</v>
      </c>
      <c r="D51" s="22" t="s">
        <v>35</v>
      </c>
      <c r="E51" s="23">
        <f>Sheet1!AK11</f>
        <v>0</v>
      </c>
      <c r="F51" s="23">
        <f>Sheet1!AL11</f>
        <v>0</v>
      </c>
      <c r="G51" s="23">
        <f>Sheet1!AM11</f>
        <v>0</v>
      </c>
      <c r="H51" s="23">
        <f>Sheet1!AN11</f>
        <v>0</v>
      </c>
      <c r="I51" s="23">
        <f>Sheet1!AO11</f>
        <v>0</v>
      </c>
      <c r="J51" s="23">
        <f>Sheet1!AP11</f>
        <v>0</v>
      </c>
      <c r="K51" s="23">
        <f>Sheet1!AQ11</f>
        <v>0</v>
      </c>
      <c r="L51" s="23">
        <f>Sheet1!AR11</f>
        <v>0</v>
      </c>
      <c r="M51" s="23">
        <f>Sheet1!AS11</f>
        <v>0</v>
      </c>
      <c r="N51" s="23">
        <f>Sheet1!AT11</f>
        <v>0</v>
      </c>
      <c r="O51" s="23">
        <f>Sheet1!AU11</f>
        <v>0</v>
      </c>
      <c r="P51" s="23">
        <f>Sheet1!AV11</f>
        <v>0</v>
      </c>
      <c r="Q51" s="23">
        <f>Sheet1!AW11</f>
        <v>0</v>
      </c>
      <c r="R51" s="23">
        <f>Sheet1!AX11</f>
        <v>0</v>
      </c>
      <c r="S51" s="23">
        <f>Sheet1!AY11</f>
        <v>0</v>
      </c>
      <c r="T51" s="23">
        <f>Sheet1!AZ11</f>
        <v>0</v>
      </c>
      <c r="U51" s="23">
        <f>Sheet1!BA11</f>
        <v>0</v>
      </c>
      <c r="V51" s="23">
        <f>Sheet1!BB11</f>
        <v>0</v>
      </c>
      <c r="W51" s="23">
        <f>Sheet1!BC11</f>
        <v>0</v>
      </c>
      <c r="X51" s="23">
        <f>Sheet1!BD11</f>
        <v>0</v>
      </c>
      <c r="Y51" s="23">
        <f>Sheet1!BE11</f>
        <v>0</v>
      </c>
      <c r="Z51" s="23">
        <f>Sheet1!BF11</f>
        <v>0</v>
      </c>
      <c r="AA51" s="23">
        <f>Sheet1!BG11</f>
        <v>0</v>
      </c>
      <c r="AB51" s="23">
        <f>Sheet1!BH11</f>
        <v>0</v>
      </c>
      <c r="AC51" s="23">
        <f>Sheet1!BI11</f>
        <v>0</v>
      </c>
      <c r="AD51" s="23">
        <f>Sheet1!BJ11</f>
        <v>0</v>
      </c>
      <c r="AE51" s="23">
        <f>Sheet1!BK11</f>
        <v>0</v>
      </c>
      <c r="AF51" s="23">
        <f>Sheet1!BL11</f>
        <v>0</v>
      </c>
    </row>
    <row r="52" spans="1:32" ht="16.5">
      <c r="A52" s="295"/>
      <c r="B52" s="312"/>
      <c r="C52" s="22" t="s">
        <v>48</v>
      </c>
      <c r="D52" s="22" t="s">
        <v>46</v>
      </c>
      <c r="E52" s="23">
        <f>Sheet1!AK13</f>
        <v>0</v>
      </c>
      <c r="F52" s="23">
        <f>Sheet1!AL13</f>
        <v>0</v>
      </c>
      <c r="G52" s="23">
        <f>Sheet1!AM13</f>
        <v>0</v>
      </c>
      <c r="H52" s="23">
        <f>Sheet1!AN13</f>
        <v>0</v>
      </c>
      <c r="I52" s="23">
        <f>Sheet1!AO13</f>
        <v>0</v>
      </c>
      <c r="J52" s="23">
        <f>Sheet1!AP13</f>
        <v>0</v>
      </c>
      <c r="K52" s="23">
        <f>Sheet1!AQ13</f>
        <v>0</v>
      </c>
      <c r="L52" s="23">
        <f>Sheet1!AR13</f>
        <v>0</v>
      </c>
      <c r="M52" s="23">
        <f>Sheet1!AS13</f>
        <v>0</v>
      </c>
      <c r="N52" s="23">
        <f>Sheet1!AT13</f>
        <v>0</v>
      </c>
      <c r="O52" s="23">
        <f>Sheet1!AU13</f>
        <v>0</v>
      </c>
      <c r="P52" s="23">
        <f>Sheet1!AV13</f>
        <v>0</v>
      </c>
      <c r="Q52" s="23">
        <f>Sheet1!AW13</f>
        <v>0</v>
      </c>
      <c r="R52" s="23">
        <f>Sheet1!AX13</f>
        <v>0</v>
      </c>
      <c r="S52" s="23">
        <f>Sheet1!AY13</f>
        <v>0</v>
      </c>
      <c r="T52" s="23">
        <f>Sheet1!AZ13</f>
        <v>0</v>
      </c>
      <c r="U52" s="23">
        <f>Sheet1!BA13</f>
        <v>0</v>
      </c>
      <c r="V52" s="23">
        <f>Sheet1!BB13</f>
        <v>0</v>
      </c>
      <c r="W52" s="23">
        <f>Sheet1!BC13</f>
        <v>0</v>
      </c>
      <c r="X52" s="23">
        <f>Sheet1!BD13</f>
        <v>0</v>
      </c>
      <c r="Y52" s="23">
        <f>Sheet1!BE13</f>
        <v>0</v>
      </c>
      <c r="Z52" s="23">
        <f>Sheet1!BF13</f>
        <v>0</v>
      </c>
      <c r="AA52" s="23">
        <f>Sheet1!BG13</f>
        <v>0</v>
      </c>
      <c r="AB52" s="23">
        <f>Sheet1!BH13</f>
        <v>0</v>
      </c>
      <c r="AC52" s="23">
        <f>Sheet1!BI13</f>
        <v>0</v>
      </c>
      <c r="AD52" s="23">
        <f>Sheet1!BJ13</f>
        <v>0</v>
      </c>
      <c r="AE52" s="23">
        <f>Sheet1!BK13</f>
        <v>0</v>
      </c>
      <c r="AF52" s="23">
        <f>Sheet1!BL13</f>
        <v>0</v>
      </c>
    </row>
    <row r="53" spans="1:32" ht="16.5">
      <c r="A53" s="295"/>
      <c r="B53" s="312"/>
      <c r="C53" s="22" t="s">
        <v>49</v>
      </c>
      <c r="D53" s="22" t="s">
        <v>46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 spans="1:32" ht="16.5">
      <c r="A54" s="295"/>
      <c r="B54" s="312"/>
      <c r="C54" s="24" t="s">
        <v>39</v>
      </c>
      <c r="D54" s="24"/>
      <c r="E54" s="25">
        <f>SUBTOTAL(9,E50:E53)</f>
        <v>0</v>
      </c>
      <c r="F54" s="25">
        <f>SUBTOTAL(9,F50:F53)</f>
        <v>0</v>
      </c>
      <c r="G54" s="25">
        <f t="shared" ref="G54:AF54" si="15">SUBTOTAL(9,G50:G53)</f>
        <v>0</v>
      </c>
      <c r="H54" s="25">
        <f t="shared" si="15"/>
        <v>0</v>
      </c>
      <c r="I54" s="25" t="e">
        <f>U54/R54</f>
        <v>#DIV/0!</v>
      </c>
      <c r="J54" s="25">
        <f t="shared" si="15"/>
        <v>0</v>
      </c>
      <c r="K54" s="25">
        <f t="shared" si="15"/>
        <v>0</v>
      </c>
      <c r="L54" s="25">
        <f t="shared" si="15"/>
        <v>0</v>
      </c>
      <c r="M54" s="25">
        <f t="shared" si="15"/>
        <v>0</v>
      </c>
      <c r="N54" s="25">
        <f t="shared" si="15"/>
        <v>0</v>
      </c>
      <c r="O54" s="25">
        <f t="shared" si="15"/>
        <v>0</v>
      </c>
      <c r="P54" s="25">
        <f t="shared" si="15"/>
        <v>0</v>
      </c>
      <c r="Q54" s="25">
        <f t="shared" si="15"/>
        <v>0</v>
      </c>
      <c r="R54" s="25">
        <f t="shared" si="15"/>
        <v>0</v>
      </c>
      <c r="S54" s="25">
        <f t="shared" si="15"/>
        <v>0</v>
      </c>
      <c r="T54" s="25">
        <f t="shared" si="15"/>
        <v>0</v>
      </c>
      <c r="U54" s="25">
        <f t="shared" si="15"/>
        <v>0</v>
      </c>
      <c r="V54" s="25">
        <f t="shared" si="15"/>
        <v>0</v>
      </c>
      <c r="W54" s="25">
        <f t="shared" si="15"/>
        <v>0</v>
      </c>
      <c r="X54" s="25">
        <f t="shared" si="15"/>
        <v>0</v>
      </c>
      <c r="Y54" s="25">
        <f t="shared" si="15"/>
        <v>0</v>
      </c>
      <c r="Z54" s="25">
        <f t="shared" si="15"/>
        <v>0</v>
      </c>
      <c r="AA54" s="25">
        <f t="shared" si="15"/>
        <v>0</v>
      </c>
      <c r="AB54" s="25">
        <f t="shared" si="15"/>
        <v>0</v>
      </c>
      <c r="AC54" s="25">
        <f t="shared" si="15"/>
        <v>0</v>
      </c>
      <c r="AD54" s="25">
        <f t="shared" si="15"/>
        <v>0</v>
      </c>
      <c r="AE54" s="25">
        <f t="shared" si="15"/>
        <v>0</v>
      </c>
      <c r="AF54" s="23">
        <f t="shared" si="15"/>
        <v>0</v>
      </c>
    </row>
    <row r="55" spans="1:32" ht="16.5">
      <c r="A55" s="295"/>
      <c r="B55" s="313" t="s">
        <v>50</v>
      </c>
      <c r="C55" s="22" t="s">
        <v>51</v>
      </c>
      <c r="D55" s="22" t="s">
        <v>46</v>
      </c>
      <c r="E55" s="23">
        <f>Sheet1!AK14</f>
        <v>0</v>
      </c>
      <c r="F55" s="23">
        <f>Sheet1!AL14</f>
        <v>0</v>
      </c>
      <c r="G55" s="23">
        <f>Sheet1!AM14</f>
        <v>0</v>
      </c>
      <c r="H55" s="23">
        <f>Sheet1!AN14</f>
        <v>0</v>
      </c>
      <c r="I55" s="23">
        <f>Sheet1!AO14</f>
        <v>0</v>
      </c>
      <c r="J55" s="23">
        <f>Sheet1!AP14</f>
        <v>0</v>
      </c>
      <c r="K55" s="23">
        <f>Sheet1!AQ14</f>
        <v>0</v>
      </c>
      <c r="L55" s="23">
        <f>Sheet1!AR14</f>
        <v>0</v>
      </c>
      <c r="M55" s="23">
        <f>Sheet1!AS14</f>
        <v>0</v>
      </c>
      <c r="N55" s="23">
        <f>Sheet1!AT14</f>
        <v>0</v>
      </c>
      <c r="O55" s="23">
        <f>Sheet1!AU14</f>
        <v>0</v>
      </c>
      <c r="P55" s="23">
        <f>Sheet1!AV14</f>
        <v>0</v>
      </c>
      <c r="Q55" s="23">
        <f>Sheet1!AW14</f>
        <v>0</v>
      </c>
      <c r="R55" s="23">
        <f>Sheet1!AX14</f>
        <v>0</v>
      </c>
      <c r="S55" s="23">
        <f>Sheet1!AY14</f>
        <v>0</v>
      </c>
      <c r="T55" s="23">
        <f>Sheet1!AZ14</f>
        <v>0</v>
      </c>
      <c r="U55" s="23">
        <f>Sheet1!BA14</f>
        <v>0</v>
      </c>
      <c r="V55" s="23">
        <f>Sheet1!BB14</f>
        <v>0</v>
      </c>
      <c r="W55" s="23">
        <f>Sheet1!BC14</f>
        <v>0</v>
      </c>
      <c r="X55" s="23">
        <f>Sheet1!BD14</f>
        <v>0</v>
      </c>
      <c r="Y55" s="23">
        <f>Sheet1!BE14</f>
        <v>0</v>
      </c>
      <c r="Z55" s="23">
        <f>Sheet1!BF14</f>
        <v>0</v>
      </c>
      <c r="AA55" s="23">
        <f>Sheet1!BG14</f>
        <v>0</v>
      </c>
      <c r="AB55" s="23">
        <f>Sheet1!BH14</f>
        <v>0</v>
      </c>
      <c r="AC55" s="23">
        <f>Sheet1!BI14</f>
        <v>0</v>
      </c>
      <c r="AD55" s="23">
        <f>Sheet1!BJ14</f>
        <v>0</v>
      </c>
      <c r="AE55" s="23">
        <f>Sheet1!BK14</f>
        <v>0</v>
      </c>
      <c r="AF55" s="23">
        <f>Sheet1!BL14</f>
        <v>0</v>
      </c>
    </row>
    <row r="56" spans="1:32" ht="16.5">
      <c r="A56" s="295"/>
      <c r="B56" s="313"/>
      <c r="C56" s="22" t="s">
        <v>52</v>
      </c>
      <c r="D56" s="22" t="s">
        <v>46</v>
      </c>
      <c r="E56" s="23">
        <f>Sheet1!AK15</f>
        <v>0</v>
      </c>
      <c r="F56" s="23">
        <f>Sheet1!AL15</f>
        <v>0</v>
      </c>
      <c r="G56" s="23">
        <f>Sheet1!AM15</f>
        <v>0</v>
      </c>
      <c r="H56" s="23">
        <f>Sheet1!AN15</f>
        <v>0</v>
      </c>
      <c r="I56" s="23">
        <f>Sheet1!AO15</f>
        <v>0</v>
      </c>
      <c r="J56" s="23">
        <f>Sheet1!AP15</f>
        <v>0</v>
      </c>
      <c r="K56" s="23">
        <f>Sheet1!AQ15</f>
        <v>0</v>
      </c>
      <c r="L56" s="23">
        <f>Sheet1!AR15</f>
        <v>0</v>
      </c>
      <c r="M56" s="23">
        <f>Sheet1!AS15</f>
        <v>0</v>
      </c>
      <c r="N56" s="23">
        <f>Sheet1!AT15</f>
        <v>0</v>
      </c>
      <c r="O56" s="23">
        <f>Sheet1!AU15</f>
        <v>0</v>
      </c>
      <c r="P56" s="23">
        <f>Sheet1!AV15</f>
        <v>0</v>
      </c>
      <c r="Q56" s="23">
        <f>Sheet1!AW15</f>
        <v>0</v>
      </c>
      <c r="R56" s="23">
        <f>Sheet1!AX15</f>
        <v>0</v>
      </c>
      <c r="S56" s="23">
        <f>Sheet1!AY15</f>
        <v>0</v>
      </c>
      <c r="T56" s="23">
        <f>Sheet1!AZ15</f>
        <v>0</v>
      </c>
      <c r="U56" s="23">
        <f>Sheet1!BA15</f>
        <v>0</v>
      </c>
      <c r="V56" s="23">
        <f>Sheet1!BB15</f>
        <v>0</v>
      </c>
      <c r="W56" s="23">
        <f>Sheet1!BC15</f>
        <v>0</v>
      </c>
      <c r="X56" s="23">
        <f>Sheet1!BD15</f>
        <v>0</v>
      </c>
      <c r="Y56" s="23">
        <f>Sheet1!BE15</f>
        <v>0</v>
      </c>
      <c r="Z56" s="23">
        <f>Sheet1!BF15</f>
        <v>0</v>
      </c>
      <c r="AA56" s="23">
        <f>Sheet1!BG15</f>
        <v>0</v>
      </c>
      <c r="AB56" s="23">
        <f>Sheet1!BH15</f>
        <v>0</v>
      </c>
      <c r="AC56" s="23">
        <f>Sheet1!BI15</f>
        <v>0</v>
      </c>
      <c r="AD56" s="23">
        <f>Sheet1!BJ15</f>
        <v>0</v>
      </c>
      <c r="AE56" s="23">
        <f>Sheet1!BK15</f>
        <v>0</v>
      </c>
      <c r="AF56" s="23">
        <f>Sheet1!BL15</f>
        <v>0</v>
      </c>
    </row>
    <row r="57" spans="1:32" ht="16.5">
      <c r="A57" s="295"/>
      <c r="B57" s="313"/>
      <c r="C57" s="22" t="s">
        <v>53</v>
      </c>
      <c r="D57" s="22" t="s">
        <v>46</v>
      </c>
      <c r="E57" s="23">
        <f>Sheet1!AK16</f>
        <v>0</v>
      </c>
      <c r="F57" s="23">
        <f>Sheet1!AL16</f>
        <v>0</v>
      </c>
      <c r="G57" s="23">
        <f>Sheet1!AM16</f>
        <v>0</v>
      </c>
      <c r="H57" s="23">
        <f>Sheet1!AN16</f>
        <v>0</v>
      </c>
      <c r="I57" s="23">
        <f>Sheet1!AO16</f>
        <v>0</v>
      </c>
      <c r="J57" s="23">
        <f>Sheet1!AP16</f>
        <v>0</v>
      </c>
      <c r="K57" s="23">
        <f>Sheet1!AQ16</f>
        <v>0</v>
      </c>
      <c r="L57" s="23">
        <f>Sheet1!AR16</f>
        <v>0</v>
      </c>
      <c r="M57" s="23">
        <f>Sheet1!AS16</f>
        <v>0</v>
      </c>
      <c r="N57" s="23">
        <f>Sheet1!AT16</f>
        <v>0</v>
      </c>
      <c r="O57" s="23">
        <f>Sheet1!AU16</f>
        <v>0</v>
      </c>
      <c r="P57" s="23">
        <f>Sheet1!AV16</f>
        <v>0</v>
      </c>
      <c r="Q57" s="23">
        <f>Sheet1!AW16</f>
        <v>0</v>
      </c>
      <c r="R57" s="23">
        <f>Sheet1!AX16</f>
        <v>0</v>
      </c>
      <c r="S57" s="23">
        <f>Sheet1!AY16</f>
        <v>0</v>
      </c>
      <c r="T57" s="23">
        <f>Sheet1!AZ16</f>
        <v>0</v>
      </c>
      <c r="U57" s="23">
        <f>Sheet1!BA16</f>
        <v>0</v>
      </c>
      <c r="V57" s="23">
        <f>Sheet1!BB16</f>
        <v>0</v>
      </c>
      <c r="W57" s="23">
        <f>Sheet1!BC16</f>
        <v>0</v>
      </c>
      <c r="X57" s="23">
        <f>Sheet1!BD16</f>
        <v>0</v>
      </c>
      <c r="Y57" s="23">
        <f>Sheet1!BE16</f>
        <v>0</v>
      </c>
      <c r="Z57" s="23">
        <f>Sheet1!BF16</f>
        <v>0</v>
      </c>
      <c r="AA57" s="23">
        <f>Sheet1!BG16</f>
        <v>0</v>
      </c>
      <c r="AB57" s="23">
        <f>Sheet1!BH16</f>
        <v>0</v>
      </c>
      <c r="AC57" s="23">
        <f>Sheet1!BI16</f>
        <v>0</v>
      </c>
      <c r="AD57" s="23">
        <f>Sheet1!BJ16</f>
        <v>0</v>
      </c>
      <c r="AE57" s="23">
        <f>Sheet1!BK16</f>
        <v>0</v>
      </c>
      <c r="AF57" s="23">
        <f>Sheet1!BL16</f>
        <v>0</v>
      </c>
    </row>
    <row r="58" spans="1:32" ht="16.5">
      <c r="A58" s="295"/>
      <c r="B58" s="313"/>
      <c r="C58" s="22" t="s">
        <v>54</v>
      </c>
      <c r="D58" s="22" t="s">
        <v>35</v>
      </c>
      <c r="E58" s="23">
        <f>Sheet1!AK19</f>
        <v>0</v>
      </c>
      <c r="F58" s="23">
        <f>Sheet1!AL19</f>
        <v>0</v>
      </c>
      <c r="G58" s="23">
        <f>Sheet1!AM19</f>
        <v>0</v>
      </c>
      <c r="H58" s="23">
        <f>Sheet1!AN19</f>
        <v>0</v>
      </c>
      <c r="I58" s="23">
        <f>Sheet1!AO19</f>
        <v>0</v>
      </c>
      <c r="J58" s="23">
        <f>Sheet1!AP19</f>
        <v>0</v>
      </c>
      <c r="K58" s="23">
        <f>Sheet1!AQ19</f>
        <v>0</v>
      </c>
      <c r="L58" s="23">
        <f>Sheet1!AR19</f>
        <v>0</v>
      </c>
      <c r="M58" s="23">
        <f>Sheet1!AS19</f>
        <v>0</v>
      </c>
      <c r="N58" s="23">
        <f>Sheet1!AT19</f>
        <v>0</v>
      </c>
      <c r="O58" s="23">
        <f>Sheet1!AU19</f>
        <v>0</v>
      </c>
      <c r="P58" s="23">
        <f>Sheet1!AV19</f>
        <v>0</v>
      </c>
      <c r="Q58" s="23">
        <f>Sheet1!AW19</f>
        <v>0</v>
      </c>
      <c r="R58" s="23">
        <f>Sheet1!AX19</f>
        <v>0</v>
      </c>
      <c r="S58" s="23">
        <f>Sheet1!AY19</f>
        <v>0</v>
      </c>
      <c r="T58" s="23">
        <f>Sheet1!AZ19</f>
        <v>0</v>
      </c>
      <c r="U58" s="23">
        <f>Sheet1!BA19</f>
        <v>0</v>
      </c>
      <c r="V58" s="23">
        <f>Sheet1!BB19</f>
        <v>0</v>
      </c>
      <c r="W58" s="23">
        <f>Sheet1!BC19</f>
        <v>0</v>
      </c>
      <c r="X58" s="23">
        <f>Sheet1!BD19</f>
        <v>0</v>
      </c>
      <c r="Y58" s="23">
        <f>Sheet1!BE19</f>
        <v>0</v>
      </c>
      <c r="Z58" s="23">
        <f>Sheet1!BF19</f>
        <v>0</v>
      </c>
      <c r="AA58" s="23">
        <f>Sheet1!BG19</f>
        <v>0</v>
      </c>
      <c r="AB58" s="23">
        <f>Sheet1!BH19</f>
        <v>0</v>
      </c>
      <c r="AC58" s="23">
        <f>Sheet1!BI19</f>
        <v>0</v>
      </c>
      <c r="AD58" s="23">
        <f>Sheet1!BJ19</f>
        <v>0</v>
      </c>
      <c r="AE58" s="23">
        <f>Sheet1!BK19</f>
        <v>0</v>
      </c>
      <c r="AF58" s="23">
        <f>Sheet1!BL19</f>
        <v>0</v>
      </c>
    </row>
    <row r="59" spans="1:32" ht="16.5">
      <c r="A59" s="295"/>
      <c r="B59" s="313"/>
      <c r="C59" s="22" t="s">
        <v>55</v>
      </c>
      <c r="D59" s="22" t="s">
        <v>35</v>
      </c>
      <c r="E59" s="23">
        <f>Sheet1!AK20</f>
        <v>0</v>
      </c>
      <c r="F59" s="23">
        <f>Sheet1!AL20</f>
        <v>0</v>
      </c>
      <c r="G59" s="23">
        <f>Sheet1!AM20</f>
        <v>0</v>
      </c>
      <c r="H59" s="23">
        <f>Sheet1!AN20</f>
        <v>0</v>
      </c>
      <c r="I59" s="23">
        <f>Sheet1!AO20</f>
        <v>0</v>
      </c>
      <c r="J59" s="23">
        <f>Sheet1!AP20</f>
        <v>0</v>
      </c>
      <c r="K59" s="23">
        <f>Sheet1!AQ20</f>
        <v>0</v>
      </c>
      <c r="L59" s="23">
        <f>Sheet1!AR20</f>
        <v>0</v>
      </c>
      <c r="M59" s="23">
        <f>Sheet1!AS20</f>
        <v>0</v>
      </c>
      <c r="N59" s="23">
        <f>Sheet1!AT20</f>
        <v>0</v>
      </c>
      <c r="O59" s="23">
        <f>Sheet1!AU20</f>
        <v>0</v>
      </c>
      <c r="P59" s="23">
        <f>Sheet1!AV20</f>
        <v>0</v>
      </c>
      <c r="Q59" s="23">
        <f>Sheet1!AW20</f>
        <v>0</v>
      </c>
      <c r="R59" s="23">
        <f>Sheet1!AX20</f>
        <v>0</v>
      </c>
      <c r="S59" s="23">
        <f>Sheet1!AY20</f>
        <v>0</v>
      </c>
      <c r="T59" s="23">
        <f>Sheet1!AZ20</f>
        <v>0</v>
      </c>
      <c r="U59" s="23">
        <f>Sheet1!BA20</f>
        <v>0</v>
      </c>
      <c r="V59" s="23">
        <f>Sheet1!BB20</f>
        <v>0</v>
      </c>
      <c r="W59" s="23">
        <f>Sheet1!BC20</f>
        <v>0</v>
      </c>
      <c r="X59" s="23">
        <f>Sheet1!BD20</f>
        <v>0</v>
      </c>
      <c r="Y59" s="23">
        <f>Sheet1!BE20</f>
        <v>0</v>
      </c>
      <c r="Z59" s="23">
        <f>Sheet1!BF20</f>
        <v>0</v>
      </c>
      <c r="AA59" s="23">
        <f>Sheet1!BG20</f>
        <v>0</v>
      </c>
      <c r="AB59" s="23">
        <f>Sheet1!BH20</f>
        <v>0</v>
      </c>
      <c r="AC59" s="23">
        <f>Sheet1!BI20</f>
        <v>0</v>
      </c>
      <c r="AD59" s="23">
        <f>Sheet1!BJ20</f>
        <v>0</v>
      </c>
      <c r="AE59" s="23">
        <f>Sheet1!BK20</f>
        <v>0</v>
      </c>
      <c r="AF59" s="23">
        <f>Sheet1!BL20</f>
        <v>0</v>
      </c>
    </row>
    <row r="60" spans="1:32" ht="16.5">
      <c r="A60" s="295"/>
      <c r="B60" s="313"/>
      <c r="C60" s="22" t="s">
        <v>56</v>
      </c>
      <c r="D60" s="22" t="s">
        <v>46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 spans="1:32" ht="16.5">
      <c r="A61" s="295"/>
      <c r="B61" s="313"/>
      <c r="C61" s="26" t="s">
        <v>39</v>
      </c>
      <c r="D61" s="26"/>
      <c r="E61" s="25">
        <f>SUBTOTAL(9,E55:E60)</f>
        <v>0</v>
      </c>
      <c r="F61" s="25">
        <f>SUBTOTAL(9,F55:F60)</f>
        <v>0</v>
      </c>
      <c r="G61" s="25">
        <f t="shared" ref="G61:AF61" si="16">SUBTOTAL(9,G55:G60)</f>
        <v>0</v>
      </c>
      <c r="H61" s="25">
        <f t="shared" si="16"/>
        <v>0</v>
      </c>
      <c r="I61" s="25" t="e">
        <f>U61/R61</f>
        <v>#DIV/0!</v>
      </c>
      <c r="J61" s="25">
        <f t="shared" si="16"/>
        <v>0</v>
      </c>
      <c r="K61" s="25">
        <f t="shared" si="16"/>
        <v>0</v>
      </c>
      <c r="L61" s="25">
        <f t="shared" si="16"/>
        <v>0</v>
      </c>
      <c r="M61" s="25">
        <f t="shared" si="16"/>
        <v>0</v>
      </c>
      <c r="N61" s="25">
        <f t="shared" si="16"/>
        <v>0</v>
      </c>
      <c r="O61" s="25">
        <f t="shared" si="16"/>
        <v>0</v>
      </c>
      <c r="P61" s="25">
        <f t="shared" si="16"/>
        <v>0</v>
      </c>
      <c r="Q61" s="25">
        <f t="shared" si="16"/>
        <v>0</v>
      </c>
      <c r="R61" s="25">
        <f t="shared" si="16"/>
        <v>0</v>
      </c>
      <c r="S61" s="25">
        <f t="shared" si="16"/>
        <v>0</v>
      </c>
      <c r="T61" s="25">
        <f t="shared" si="16"/>
        <v>0</v>
      </c>
      <c r="U61" s="25">
        <f t="shared" si="16"/>
        <v>0</v>
      </c>
      <c r="V61" s="25">
        <f t="shared" si="16"/>
        <v>0</v>
      </c>
      <c r="W61" s="25">
        <f t="shared" si="16"/>
        <v>0</v>
      </c>
      <c r="X61" s="25">
        <f t="shared" si="16"/>
        <v>0</v>
      </c>
      <c r="Y61" s="25">
        <f t="shared" si="16"/>
        <v>0</v>
      </c>
      <c r="Z61" s="25">
        <f t="shared" si="16"/>
        <v>0</v>
      </c>
      <c r="AA61" s="25">
        <f t="shared" si="16"/>
        <v>0</v>
      </c>
      <c r="AB61" s="25">
        <f t="shared" si="16"/>
        <v>0</v>
      </c>
      <c r="AC61" s="25">
        <f t="shared" si="16"/>
        <v>0</v>
      </c>
      <c r="AD61" s="25">
        <f t="shared" si="16"/>
        <v>0</v>
      </c>
      <c r="AE61" s="25">
        <f t="shared" si="16"/>
        <v>0</v>
      </c>
      <c r="AF61" s="23">
        <f t="shared" si="16"/>
        <v>0</v>
      </c>
    </row>
    <row r="62" spans="1:32" ht="16.5">
      <c r="A62" s="295" t="s">
        <v>57</v>
      </c>
      <c r="B62" s="27" t="s">
        <v>58</v>
      </c>
      <c r="C62" s="27" t="s">
        <v>58</v>
      </c>
      <c r="D62" s="27" t="s">
        <v>35</v>
      </c>
      <c r="E62" s="23">
        <f>Sheet1!AK21</f>
        <v>0</v>
      </c>
      <c r="F62" s="23">
        <f>Sheet1!AL21</f>
        <v>0</v>
      </c>
      <c r="G62" s="23">
        <f>Sheet1!AM21</f>
        <v>0</v>
      </c>
      <c r="H62" s="23">
        <f>Sheet1!AN21</f>
        <v>0</v>
      </c>
      <c r="I62" s="23">
        <f>Sheet1!AO21</f>
        <v>0</v>
      </c>
      <c r="J62" s="23">
        <f>Sheet1!AP21</f>
        <v>0</v>
      </c>
      <c r="K62" s="23">
        <f>Sheet1!AQ21</f>
        <v>0</v>
      </c>
      <c r="L62" s="23">
        <f>Sheet1!AR21</f>
        <v>0</v>
      </c>
      <c r="M62" s="23">
        <f>Sheet1!AS21</f>
        <v>0</v>
      </c>
      <c r="N62" s="23">
        <f>Sheet1!AT21</f>
        <v>0</v>
      </c>
      <c r="O62" s="23">
        <f>Sheet1!AU21</f>
        <v>0</v>
      </c>
      <c r="P62" s="23">
        <f>Sheet1!AV21</f>
        <v>0</v>
      </c>
      <c r="Q62" s="23">
        <f>Sheet1!AW21</f>
        <v>0</v>
      </c>
      <c r="R62" s="23">
        <f>Sheet1!AX21</f>
        <v>0</v>
      </c>
      <c r="S62" s="23">
        <f>Sheet1!AY21</f>
        <v>0</v>
      </c>
      <c r="T62" s="23">
        <f>Sheet1!AZ21</f>
        <v>0</v>
      </c>
      <c r="U62" s="23">
        <f>Sheet1!BA21</f>
        <v>0</v>
      </c>
      <c r="V62" s="23">
        <f>Sheet1!BB21</f>
        <v>0</v>
      </c>
      <c r="W62" s="23">
        <f>Sheet1!BC21</f>
        <v>0</v>
      </c>
      <c r="X62" s="23">
        <f>Sheet1!BD21</f>
        <v>0</v>
      </c>
      <c r="Y62" s="23">
        <f>Sheet1!BE21</f>
        <v>0</v>
      </c>
      <c r="Z62" s="23">
        <f>Sheet1!BF21</f>
        <v>0</v>
      </c>
      <c r="AA62" s="23">
        <f>Sheet1!BG21</f>
        <v>0</v>
      </c>
      <c r="AB62" s="23">
        <f>Sheet1!BH21</f>
        <v>0</v>
      </c>
      <c r="AC62" s="23">
        <f>Sheet1!BI21</f>
        <v>0</v>
      </c>
      <c r="AD62" s="23">
        <f>Sheet1!BJ21</f>
        <v>0</v>
      </c>
      <c r="AE62" s="23">
        <f>Sheet1!BK21</f>
        <v>0</v>
      </c>
      <c r="AF62" s="23">
        <f>Sheet1!BL21</f>
        <v>0</v>
      </c>
    </row>
    <row r="63" spans="1:32" ht="16.5">
      <c r="A63" s="295"/>
      <c r="B63" s="28" t="s">
        <v>59</v>
      </c>
      <c r="C63" s="28" t="s">
        <v>59</v>
      </c>
      <c r="D63" s="28" t="s">
        <v>35</v>
      </c>
      <c r="E63" s="23">
        <f>Sheet1!AK22</f>
        <v>0</v>
      </c>
      <c r="F63" s="23">
        <f>Sheet1!AL22</f>
        <v>0</v>
      </c>
      <c r="G63" s="23">
        <f>Sheet1!AM22</f>
        <v>0</v>
      </c>
      <c r="H63" s="23">
        <f>Sheet1!AN22</f>
        <v>0</v>
      </c>
      <c r="I63" s="23">
        <f>Sheet1!AO22</f>
        <v>0</v>
      </c>
      <c r="J63" s="23">
        <f>Sheet1!AP22</f>
        <v>0</v>
      </c>
      <c r="K63" s="23">
        <f>Sheet1!AQ22</f>
        <v>0</v>
      </c>
      <c r="L63" s="23">
        <f>Sheet1!AR22</f>
        <v>0</v>
      </c>
      <c r="M63" s="23">
        <f>Sheet1!AS22</f>
        <v>0</v>
      </c>
      <c r="N63" s="23">
        <f>Sheet1!AT22</f>
        <v>0</v>
      </c>
      <c r="O63" s="23">
        <f>Sheet1!AU22</f>
        <v>0</v>
      </c>
      <c r="P63" s="23">
        <f>Sheet1!AV22</f>
        <v>0</v>
      </c>
      <c r="Q63" s="23">
        <f>Sheet1!AW22</f>
        <v>0</v>
      </c>
      <c r="R63" s="23">
        <f>Sheet1!AX22</f>
        <v>0</v>
      </c>
      <c r="S63" s="23">
        <f>Sheet1!AY22</f>
        <v>0</v>
      </c>
      <c r="T63" s="23">
        <f>Sheet1!AZ22</f>
        <v>0</v>
      </c>
      <c r="U63" s="23">
        <f>Sheet1!BA22</f>
        <v>0</v>
      </c>
      <c r="V63" s="23">
        <f>Sheet1!BB22</f>
        <v>0</v>
      </c>
      <c r="W63" s="23">
        <f>Sheet1!BC22</f>
        <v>0</v>
      </c>
      <c r="X63" s="23">
        <f>Sheet1!BD22</f>
        <v>0</v>
      </c>
      <c r="Y63" s="23">
        <f>Sheet1!BE22</f>
        <v>0</v>
      </c>
      <c r="Z63" s="23">
        <f>Sheet1!BF22</f>
        <v>0</v>
      </c>
      <c r="AA63" s="23">
        <f>Sheet1!BG22</f>
        <v>0</v>
      </c>
      <c r="AB63" s="23">
        <f>Sheet1!BH22</f>
        <v>0</v>
      </c>
      <c r="AC63" s="23">
        <f>Sheet1!BI22</f>
        <v>0</v>
      </c>
      <c r="AD63" s="23">
        <f>Sheet1!BJ22</f>
        <v>0</v>
      </c>
      <c r="AE63" s="23">
        <f>Sheet1!BK22</f>
        <v>0</v>
      </c>
      <c r="AF63" s="23">
        <f>Sheet1!BL22</f>
        <v>0</v>
      </c>
    </row>
    <row r="64" spans="1:32" ht="16.5">
      <c r="A64" s="295"/>
      <c r="B64" s="296" t="s">
        <v>39</v>
      </c>
      <c r="C64" s="296"/>
      <c r="D64" s="24"/>
      <c r="E64" s="25">
        <f>SUBTOTAL(9,E62:E63)</f>
        <v>0</v>
      </c>
      <c r="F64" s="25">
        <f>SUBTOTAL(9,F62:F63)</f>
        <v>0</v>
      </c>
      <c r="G64" s="25">
        <f t="shared" ref="G64:AF64" si="17">SUBTOTAL(9,G62:G63)</f>
        <v>0</v>
      </c>
      <c r="H64" s="25">
        <f t="shared" si="17"/>
        <v>0</v>
      </c>
      <c r="I64" s="25" t="e">
        <f>U64/R64</f>
        <v>#DIV/0!</v>
      </c>
      <c r="J64" s="25">
        <f t="shared" si="17"/>
        <v>0</v>
      </c>
      <c r="K64" s="25">
        <f t="shared" si="17"/>
        <v>0</v>
      </c>
      <c r="L64" s="25">
        <f t="shared" si="17"/>
        <v>0</v>
      </c>
      <c r="M64" s="25">
        <f t="shared" si="17"/>
        <v>0</v>
      </c>
      <c r="N64" s="25">
        <f t="shared" si="17"/>
        <v>0</v>
      </c>
      <c r="O64" s="25">
        <f t="shared" si="17"/>
        <v>0</v>
      </c>
      <c r="P64" s="25">
        <f t="shared" si="17"/>
        <v>0</v>
      </c>
      <c r="Q64" s="25">
        <f t="shared" si="17"/>
        <v>0</v>
      </c>
      <c r="R64" s="25">
        <f t="shared" si="17"/>
        <v>0</v>
      </c>
      <c r="S64" s="25">
        <f t="shared" si="17"/>
        <v>0</v>
      </c>
      <c r="T64" s="25">
        <f t="shared" si="17"/>
        <v>0</v>
      </c>
      <c r="U64" s="25">
        <f t="shared" si="17"/>
        <v>0</v>
      </c>
      <c r="V64" s="25">
        <f t="shared" si="17"/>
        <v>0</v>
      </c>
      <c r="W64" s="25">
        <f t="shared" si="17"/>
        <v>0</v>
      </c>
      <c r="X64" s="25">
        <f t="shared" si="17"/>
        <v>0</v>
      </c>
      <c r="Y64" s="25">
        <f t="shared" si="17"/>
        <v>0</v>
      </c>
      <c r="Z64" s="25">
        <f t="shared" si="17"/>
        <v>0</v>
      </c>
      <c r="AA64" s="25">
        <f t="shared" si="17"/>
        <v>0</v>
      </c>
      <c r="AB64" s="25">
        <f t="shared" si="17"/>
        <v>0</v>
      </c>
      <c r="AC64" s="25">
        <f t="shared" si="17"/>
        <v>0</v>
      </c>
      <c r="AD64" s="25">
        <f t="shared" si="17"/>
        <v>0</v>
      </c>
      <c r="AE64" s="25">
        <f t="shared" si="17"/>
        <v>0</v>
      </c>
      <c r="AF64" s="23">
        <f t="shared" si="17"/>
        <v>0</v>
      </c>
    </row>
    <row r="65" spans="1:32" ht="16.5">
      <c r="A65" s="302" t="s">
        <v>60</v>
      </c>
      <c r="B65" s="302"/>
      <c r="C65" s="302"/>
      <c r="D65" s="29"/>
      <c r="E65" s="30">
        <f>SUBTOTAL(9,E44:E64)</f>
        <v>0</v>
      </c>
      <c r="F65" s="30">
        <f>SUBTOTAL(9,F44:F64)</f>
        <v>0</v>
      </c>
      <c r="G65" s="30">
        <f t="shared" ref="G65:AF65" si="18">SUBTOTAL(9,G44:G64)</f>
        <v>0</v>
      </c>
      <c r="H65" s="30">
        <f t="shared" si="18"/>
        <v>0</v>
      </c>
      <c r="I65" s="30" t="e">
        <f>U65/R65</f>
        <v>#DIV/0!</v>
      </c>
      <c r="J65" s="30">
        <f t="shared" si="18"/>
        <v>0</v>
      </c>
      <c r="K65" s="30">
        <f t="shared" si="18"/>
        <v>0</v>
      </c>
      <c r="L65" s="30">
        <f t="shared" si="18"/>
        <v>0</v>
      </c>
      <c r="M65" s="30">
        <f t="shared" si="18"/>
        <v>0</v>
      </c>
      <c r="N65" s="30">
        <f t="shared" si="18"/>
        <v>0</v>
      </c>
      <c r="O65" s="30">
        <f t="shared" si="18"/>
        <v>0</v>
      </c>
      <c r="P65" s="30">
        <f t="shared" si="18"/>
        <v>0</v>
      </c>
      <c r="Q65" s="30">
        <f t="shared" si="18"/>
        <v>0</v>
      </c>
      <c r="R65" s="30">
        <f t="shared" si="18"/>
        <v>0</v>
      </c>
      <c r="S65" s="30">
        <f t="shared" si="18"/>
        <v>0</v>
      </c>
      <c r="T65" s="30">
        <f t="shared" si="18"/>
        <v>0</v>
      </c>
      <c r="U65" s="30">
        <f t="shared" si="18"/>
        <v>0</v>
      </c>
      <c r="V65" s="30">
        <f t="shared" si="18"/>
        <v>0</v>
      </c>
      <c r="W65" s="30">
        <f t="shared" si="18"/>
        <v>0</v>
      </c>
      <c r="X65" s="30">
        <f>U65+V65+W65</f>
        <v>0</v>
      </c>
      <c r="Y65" s="30">
        <f t="shared" si="18"/>
        <v>0</v>
      </c>
      <c r="Z65" s="30">
        <f t="shared" si="18"/>
        <v>0</v>
      </c>
      <c r="AA65" s="30">
        <f t="shared" si="18"/>
        <v>0</v>
      </c>
      <c r="AB65" s="30">
        <f t="shared" si="18"/>
        <v>0</v>
      </c>
      <c r="AC65" s="30">
        <f t="shared" si="18"/>
        <v>0</v>
      </c>
      <c r="AD65" s="30">
        <f t="shared" si="18"/>
        <v>0</v>
      </c>
      <c r="AE65" s="30">
        <f t="shared" si="18"/>
        <v>0</v>
      </c>
      <c r="AF65" s="23">
        <f t="shared" si="18"/>
        <v>0</v>
      </c>
    </row>
    <row r="66" spans="1:32" ht="16.5">
      <c r="A66" s="65"/>
      <c r="B66" s="65"/>
      <c r="C66" s="65"/>
      <c r="D66" s="65"/>
      <c r="E66" s="66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8"/>
      <c r="Q66" s="69"/>
      <c r="R66" s="69"/>
      <c r="S66" s="69"/>
      <c r="T66" s="70"/>
      <c r="U66" s="67"/>
      <c r="V66" s="67"/>
      <c r="W66" s="66"/>
      <c r="X66" s="67"/>
      <c r="Y66" s="66"/>
      <c r="Z66" s="66"/>
      <c r="AA66" s="66"/>
      <c r="AB66" s="66"/>
      <c r="AC66" s="66"/>
      <c r="AD66" s="66"/>
      <c r="AE66" s="66"/>
      <c r="AF66" s="66"/>
    </row>
    <row r="67" spans="1:32">
      <c r="A67" s="303" t="s">
        <v>1</v>
      </c>
      <c r="B67" s="304"/>
      <c r="C67" s="304"/>
      <c r="D67" s="305"/>
      <c r="E67" s="291" t="s">
        <v>61</v>
      </c>
      <c r="F67" s="291" t="s">
        <v>3</v>
      </c>
      <c r="G67" s="291" t="s">
        <v>4</v>
      </c>
      <c r="H67" s="291" t="s">
        <v>5</v>
      </c>
      <c r="I67" s="298" t="s">
        <v>6</v>
      </c>
      <c r="J67" s="299"/>
      <c r="K67" s="299"/>
      <c r="L67" s="299"/>
      <c r="M67" s="299"/>
      <c r="N67" s="299"/>
      <c r="O67" s="299"/>
      <c r="P67" s="299"/>
      <c r="Q67" s="299"/>
      <c r="R67" s="301"/>
      <c r="S67" s="298" t="s">
        <v>7</v>
      </c>
      <c r="T67" s="301"/>
      <c r="U67" s="288" t="s">
        <v>8</v>
      </c>
      <c r="V67" s="289" t="s">
        <v>9</v>
      </c>
      <c r="W67" s="297" t="s">
        <v>10</v>
      </c>
      <c r="X67" s="297" t="s">
        <v>11</v>
      </c>
      <c r="Y67" s="297" t="s">
        <v>12</v>
      </c>
      <c r="Z67" s="292" t="s">
        <v>13</v>
      </c>
      <c r="AA67" s="292" t="s">
        <v>14</v>
      </c>
      <c r="AB67" s="297" t="s">
        <v>62</v>
      </c>
      <c r="AC67" s="297" t="s">
        <v>63</v>
      </c>
      <c r="AD67" s="292" t="s">
        <v>17</v>
      </c>
      <c r="AE67" s="294" t="s">
        <v>18</v>
      </c>
      <c r="AF67" s="294" t="s">
        <v>18</v>
      </c>
    </row>
    <row r="68" spans="1:32" ht="114.75">
      <c r="A68" s="306"/>
      <c r="B68" s="307"/>
      <c r="C68" s="307"/>
      <c r="D68" s="308"/>
      <c r="E68" s="291"/>
      <c r="F68" s="291"/>
      <c r="G68" s="291"/>
      <c r="H68" s="291"/>
      <c r="I68" s="1" t="s">
        <v>20</v>
      </c>
      <c r="J68" s="2" t="s">
        <v>21</v>
      </c>
      <c r="K68" s="3" t="s">
        <v>22</v>
      </c>
      <c r="L68" s="3" t="s">
        <v>23</v>
      </c>
      <c r="M68" s="7" t="s">
        <v>24</v>
      </c>
      <c r="N68" s="7" t="s">
        <v>25</v>
      </c>
      <c r="O68" s="7" t="s">
        <v>26</v>
      </c>
      <c r="P68" s="7" t="s">
        <v>27</v>
      </c>
      <c r="Q68" s="1" t="s">
        <v>28</v>
      </c>
      <c r="R68" s="1" t="s">
        <v>65</v>
      </c>
      <c r="S68" s="1" t="s">
        <v>30</v>
      </c>
      <c r="T68" s="1" t="s">
        <v>31</v>
      </c>
      <c r="U68" s="288"/>
      <c r="V68" s="290"/>
      <c r="W68" s="297"/>
      <c r="X68" s="297"/>
      <c r="Y68" s="297"/>
      <c r="Z68" s="293"/>
      <c r="AA68" s="293"/>
      <c r="AB68" s="297"/>
      <c r="AC68" s="297"/>
      <c r="AD68" s="293"/>
      <c r="AE68" s="294"/>
      <c r="AF68" s="294"/>
    </row>
    <row r="69" spans="1:32" ht="16.5">
      <c r="A69" s="314" t="str">
        <f>+D69</f>
        <v>Direct</v>
      </c>
      <c r="B69" s="314"/>
      <c r="C69" s="314"/>
      <c r="D69" s="37" t="s">
        <v>46</v>
      </c>
      <c r="E69" s="38">
        <f>Sheet1!DW6</f>
        <v>0</v>
      </c>
      <c r="F69" s="38">
        <f>Sheet1!DX6</f>
        <v>0</v>
      </c>
      <c r="G69" s="38">
        <f>Sheet1!DY6</f>
        <v>0</v>
      </c>
      <c r="H69" s="38">
        <f>Sheet1!DZ6</f>
        <v>0</v>
      </c>
      <c r="I69" s="38">
        <f>Sheet1!EA6</f>
        <v>0</v>
      </c>
      <c r="J69" s="38">
        <f>Sheet1!EB6</f>
        <v>0</v>
      </c>
      <c r="K69" s="38">
        <f>Sheet1!EC6</f>
        <v>0</v>
      </c>
      <c r="L69" s="38">
        <f>Sheet1!ED6</f>
        <v>0</v>
      </c>
      <c r="M69" s="38">
        <f>Sheet1!EE6</f>
        <v>0</v>
      </c>
      <c r="N69" s="38">
        <f>Sheet1!EF6</f>
        <v>0</v>
      </c>
      <c r="O69" s="38">
        <f>Sheet1!EG6</f>
        <v>0</v>
      </c>
      <c r="P69" s="38">
        <f>Sheet1!EH6</f>
        <v>0</v>
      </c>
      <c r="Q69" s="38">
        <f>Sheet1!EI6</f>
        <v>0</v>
      </c>
      <c r="R69" s="38">
        <f>Sheet1!EJ6</f>
        <v>0</v>
      </c>
      <c r="S69" s="38">
        <f>Sheet1!EK6</f>
        <v>0</v>
      </c>
      <c r="T69" s="38">
        <f>Sheet1!EL6</f>
        <v>0</v>
      </c>
      <c r="U69" s="38">
        <f>Sheet1!EM6</f>
        <v>0</v>
      </c>
      <c r="V69" s="38">
        <f>Sheet1!EN6</f>
        <v>0</v>
      </c>
      <c r="W69" s="38">
        <f>Sheet1!EO6</f>
        <v>0</v>
      </c>
      <c r="X69" s="38">
        <f>Sheet1!EP6</f>
        <v>0</v>
      </c>
      <c r="Y69" s="38">
        <f>Sheet1!EQ6</f>
        <v>0</v>
      </c>
      <c r="Z69" s="38">
        <f>Sheet1!ER6</f>
        <v>0</v>
      </c>
      <c r="AA69" s="38">
        <f>Sheet1!ES6</f>
        <v>0</v>
      </c>
      <c r="AB69" s="38">
        <f>Sheet1!ET6</f>
        <v>0</v>
      </c>
      <c r="AC69" s="38">
        <f>Sheet1!EU6</f>
        <v>0</v>
      </c>
      <c r="AD69" s="38">
        <f>Sheet1!EV6</f>
        <v>0</v>
      </c>
      <c r="AE69" s="38">
        <f>Sheet1!EW6</f>
        <v>0</v>
      </c>
      <c r="AF69" s="38">
        <f>Sheet1!EX6</f>
        <v>0</v>
      </c>
    </row>
    <row r="70" spans="1:32" ht="16.5">
      <c r="A70" s="314" t="str">
        <f t="shared" ref="A70:A71" si="19">+D70</f>
        <v>Indirect</v>
      </c>
      <c r="B70" s="314"/>
      <c r="C70" s="314"/>
      <c r="D70" s="37" t="s">
        <v>35</v>
      </c>
      <c r="E70" s="38">
        <f>Sheet1!DW7</f>
        <v>0</v>
      </c>
      <c r="F70" s="38">
        <f>Sheet1!DX7</f>
        <v>0</v>
      </c>
      <c r="G70" s="38">
        <f>Sheet1!DY7</f>
        <v>0</v>
      </c>
      <c r="H70" s="38">
        <f>Sheet1!DZ7</f>
        <v>0</v>
      </c>
      <c r="I70" s="38">
        <f>Sheet1!EA7</f>
        <v>0</v>
      </c>
      <c r="J70" s="38">
        <f>Sheet1!EB7</f>
        <v>0</v>
      </c>
      <c r="K70" s="38">
        <f>Sheet1!EC7</f>
        <v>0</v>
      </c>
      <c r="L70" s="38">
        <f>Sheet1!ED7</f>
        <v>0</v>
      </c>
      <c r="M70" s="38">
        <f>Sheet1!EE7</f>
        <v>0</v>
      </c>
      <c r="N70" s="38">
        <f>Sheet1!EF7</f>
        <v>0</v>
      </c>
      <c r="O70" s="38">
        <f>Sheet1!EG7</f>
        <v>0</v>
      </c>
      <c r="P70" s="38">
        <f>Sheet1!EH7</f>
        <v>0</v>
      </c>
      <c r="Q70" s="38">
        <f>Sheet1!EI7</f>
        <v>0</v>
      </c>
      <c r="R70" s="38">
        <f>Sheet1!EJ7</f>
        <v>0</v>
      </c>
      <c r="S70" s="38">
        <f>Sheet1!EK7</f>
        <v>0</v>
      </c>
      <c r="T70" s="38">
        <f>Sheet1!EL7</f>
        <v>0</v>
      </c>
      <c r="U70" s="38">
        <f>Sheet1!EM7</f>
        <v>0</v>
      </c>
      <c r="V70" s="38">
        <f>Sheet1!EN7</f>
        <v>0</v>
      </c>
      <c r="W70" s="38">
        <f>Sheet1!EO7</f>
        <v>0</v>
      </c>
      <c r="X70" s="38">
        <f>Sheet1!EP7</f>
        <v>0</v>
      </c>
      <c r="Y70" s="38">
        <f>Sheet1!EQ7</f>
        <v>0</v>
      </c>
      <c r="Z70" s="38">
        <f>Sheet1!ER7</f>
        <v>0</v>
      </c>
      <c r="AA70" s="38">
        <f>Sheet1!ES7</f>
        <v>0</v>
      </c>
      <c r="AB70" s="38">
        <f>Sheet1!ET7</f>
        <v>0</v>
      </c>
      <c r="AC70" s="38">
        <f>Sheet1!EU7</f>
        <v>0</v>
      </c>
      <c r="AD70" s="38">
        <f>Sheet1!EV7</f>
        <v>0</v>
      </c>
      <c r="AE70" s="38">
        <f>Sheet1!EW7</f>
        <v>0</v>
      </c>
      <c r="AF70" s="38">
        <f>Sheet1!EX7</f>
        <v>0</v>
      </c>
    </row>
    <row r="71" spans="1:32" ht="16.5">
      <c r="A71" s="314" t="str">
        <f t="shared" si="19"/>
        <v>Admin</v>
      </c>
      <c r="B71" s="314"/>
      <c r="C71" s="314"/>
      <c r="D71" s="37" t="s">
        <v>38</v>
      </c>
      <c r="E71" s="38">
        <f>Sheet1!DW8</f>
        <v>0</v>
      </c>
      <c r="F71" s="38">
        <f>Sheet1!DX8</f>
        <v>0</v>
      </c>
      <c r="G71" s="38">
        <f>Sheet1!DY8</f>
        <v>0</v>
      </c>
      <c r="H71" s="38">
        <f>Sheet1!DZ8</f>
        <v>0</v>
      </c>
      <c r="I71" s="38">
        <f>Sheet1!EA8</f>
        <v>0</v>
      </c>
      <c r="J71" s="38">
        <f>Sheet1!EB8</f>
        <v>0</v>
      </c>
      <c r="K71" s="38">
        <f>Sheet1!EC8</f>
        <v>0</v>
      </c>
      <c r="L71" s="38">
        <f>Sheet1!ED8</f>
        <v>0</v>
      </c>
      <c r="M71" s="38">
        <f>Sheet1!EE8</f>
        <v>0</v>
      </c>
      <c r="N71" s="38">
        <f>Sheet1!EF8</f>
        <v>0</v>
      </c>
      <c r="O71" s="38">
        <f>Sheet1!EG8</f>
        <v>0</v>
      </c>
      <c r="P71" s="38">
        <f>Sheet1!EH8</f>
        <v>0</v>
      </c>
      <c r="Q71" s="38">
        <f>Sheet1!EI8</f>
        <v>0</v>
      </c>
      <c r="R71" s="38">
        <f>Sheet1!EJ8</f>
        <v>0</v>
      </c>
      <c r="S71" s="38">
        <f>Sheet1!EK8</f>
        <v>0</v>
      </c>
      <c r="T71" s="38">
        <f>Sheet1!EL8</f>
        <v>0</v>
      </c>
      <c r="U71" s="38">
        <f>Sheet1!EM8</f>
        <v>0</v>
      </c>
      <c r="V71" s="38">
        <f>Sheet1!EN8</f>
        <v>0</v>
      </c>
      <c r="W71" s="38">
        <f>Sheet1!EO8</f>
        <v>0</v>
      </c>
      <c r="X71" s="38">
        <f>Sheet1!EP8</f>
        <v>0</v>
      </c>
      <c r="Y71" s="38">
        <f>Sheet1!EQ8</f>
        <v>0</v>
      </c>
      <c r="Z71" s="38">
        <f>Sheet1!ER8</f>
        <v>0</v>
      </c>
      <c r="AA71" s="38">
        <f>Sheet1!ES8</f>
        <v>0</v>
      </c>
      <c r="AB71" s="38">
        <f>Sheet1!ET8</f>
        <v>0</v>
      </c>
      <c r="AC71" s="38">
        <f>Sheet1!EU8</f>
        <v>0</v>
      </c>
      <c r="AD71" s="38">
        <f>Sheet1!EV8</f>
        <v>0</v>
      </c>
      <c r="AE71" s="38">
        <f>Sheet1!EW8</f>
        <v>0</v>
      </c>
      <c r="AF71" s="38">
        <f>Sheet1!EX8</f>
        <v>0</v>
      </c>
    </row>
    <row r="72" spans="1:32" ht="22.5" customHeight="1">
      <c r="A72" s="314" t="s">
        <v>56</v>
      </c>
      <c r="B72" s="314"/>
      <c r="C72" s="314"/>
      <c r="D72" s="39" t="str">
        <f>+A72</f>
        <v>Seasonal worker</v>
      </c>
      <c r="E72" s="38">
        <f>Sheet1!DW9</f>
        <v>0</v>
      </c>
      <c r="F72" s="38">
        <f>Sheet1!DX9</f>
        <v>0</v>
      </c>
      <c r="G72" s="38">
        <f>Sheet1!DY9</f>
        <v>0</v>
      </c>
      <c r="H72" s="38">
        <f>Sheet1!DZ9</f>
        <v>0</v>
      </c>
      <c r="I72" s="38">
        <f>Sheet1!EA9</f>
        <v>0</v>
      </c>
      <c r="J72" s="38">
        <f>Sheet1!EB9</f>
        <v>0</v>
      </c>
      <c r="K72" s="38">
        <f>Sheet1!EC9</f>
        <v>0</v>
      </c>
      <c r="L72" s="38">
        <f>Sheet1!ED9</f>
        <v>0</v>
      </c>
      <c r="M72" s="38">
        <f>Sheet1!EE9</f>
        <v>0</v>
      </c>
      <c r="N72" s="38">
        <f>Sheet1!EF9</f>
        <v>0</v>
      </c>
      <c r="O72" s="38">
        <f>Sheet1!EG9</f>
        <v>0</v>
      </c>
      <c r="P72" s="38">
        <f>Sheet1!EH9</f>
        <v>0</v>
      </c>
      <c r="Q72" s="38">
        <f>Sheet1!EI9</f>
        <v>0</v>
      </c>
      <c r="R72" s="38">
        <f>Sheet1!EJ9</f>
        <v>0</v>
      </c>
      <c r="S72" s="38">
        <f>Sheet1!EK9</f>
        <v>0</v>
      </c>
      <c r="T72" s="38">
        <f>Sheet1!EL9</f>
        <v>0</v>
      </c>
      <c r="U72" s="38">
        <f>Sheet1!EM9</f>
        <v>0</v>
      </c>
      <c r="V72" s="38">
        <f>Sheet1!EN9</f>
        <v>0</v>
      </c>
      <c r="W72" s="38">
        <f>Sheet1!EO9</f>
        <v>0</v>
      </c>
      <c r="X72" s="38">
        <f>Sheet1!EP9</f>
        <v>0</v>
      </c>
      <c r="Y72" s="38">
        <f>Sheet1!EQ9</f>
        <v>0</v>
      </c>
      <c r="Z72" s="38">
        <f>Sheet1!ER9</f>
        <v>0</v>
      </c>
      <c r="AA72" s="38">
        <f>Sheet1!ES9</f>
        <v>0</v>
      </c>
      <c r="AB72" s="38">
        <f>Sheet1!ET9</f>
        <v>0</v>
      </c>
      <c r="AC72" s="38">
        <f>Sheet1!EU9</f>
        <v>0</v>
      </c>
      <c r="AD72" s="38">
        <f>Sheet1!EV9</f>
        <v>0</v>
      </c>
      <c r="AE72" s="38">
        <f>Sheet1!EW9</f>
        <v>0</v>
      </c>
      <c r="AF72" s="38">
        <f>Sheet1!EX9</f>
        <v>0</v>
      </c>
    </row>
    <row r="73" spans="1:32" ht="16.5">
      <c r="A73" s="315" t="s">
        <v>66</v>
      </c>
      <c r="B73" s="315"/>
      <c r="C73" s="315"/>
      <c r="D73" s="40"/>
      <c r="E73" s="41">
        <f>SUBTOTAL(9,E69:E72)</f>
        <v>0</v>
      </c>
      <c r="F73" s="41">
        <f t="shared" ref="F73:AF73" si="20">SUBTOTAL(9,F69:F72)</f>
        <v>0</v>
      </c>
      <c r="G73" s="41">
        <f t="shared" si="20"/>
        <v>0</v>
      </c>
      <c r="H73" s="41">
        <f t="shared" si="20"/>
        <v>0</v>
      </c>
      <c r="I73" s="41" t="e">
        <f>U73/R73</f>
        <v>#DIV/0!</v>
      </c>
      <c r="J73" s="41">
        <f t="shared" si="20"/>
        <v>0</v>
      </c>
      <c r="K73" s="41">
        <f t="shared" si="20"/>
        <v>0</v>
      </c>
      <c r="L73" s="41">
        <f t="shared" si="20"/>
        <v>0</v>
      </c>
      <c r="M73" s="41">
        <f t="shared" si="20"/>
        <v>0</v>
      </c>
      <c r="N73" s="41">
        <f t="shared" si="20"/>
        <v>0</v>
      </c>
      <c r="O73" s="41">
        <f t="shared" si="20"/>
        <v>0</v>
      </c>
      <c r="P73" s="41">
        <f t="shared" si="20"/>
        <v>0</v>
      </c>
      <c r="Q73" s="41">
        <f t="shared" si="20"/>
        <v>0</v>
      </c>
      <c r="R73" s="41">
        <f t="shared" si="20"/>
        <v>0</v>
      </c>
      <c r="S73" s="41">
        <f t="shared" si="20"/>
        <v>0</v>
      </c>
      <c r="T73" s="41">
        <f t="shared" si="20"/>
        <v>0</v>
      </c>
      <c r="U73" s="41">
        <f t="shared" si="20"/>
        <v>0</v>
      </c>
      <c r="V73" s="41">
        <f t="shared" si="20"/>
        <v>0</v>
      </c>
      <c r="W73" s="41">
        <f t="shared" si="20"/>
        <v>0</v>
      </c>
      <c r="X73" s="41">
        <f>U73+V73+W73</f>
        <v>0</v>
      </c>
      <c r="Y73" s="41">
        <f t="shared" si="20"/>
        <v>0</v>
      </c>
      <c r="Z73" s="41">
        <f t="shared" si="20"/>
        <v>0</v>
      </c>
      <c r="AA73" s="41">
        <f t="shared" si="20"/>
        <v>0</v>
      </c>
      <c r="AB73" s="41">
        <f t="shared" si="20"/>
        <v>0</v>
      </c>
      <c r="AC73" s="41">
        <f t="shared" si="20"/>
        <v>0</v>
      </c>
      <c r="AD73" s="41">
        <f t="shared" si="20"/>
        <v>0</v>
      </c>
      <c r="AE73" s="41">
        <f t="shared" si="20"/>
        <v>0</v>
      </c>
      <c r="AF73" s="41">
        <f t="shared" si="20"/>
        <v>0</v>
      </c>
    </row>
    <row r="74" spans="1:32">
      <c r="A74" s="19"/>
      <c r="B74" s="19"/>
      <c r="C74" s="19"/>
      <c r="D74" s="19"/>
      <c r="E74" s="46">
        <f>+E73-E65</f>
        <v>0</v>
      </c>
      <c r="F74" s="46">
        <f t="shared" ref="F74:AF74" si="21">+F73-F65</f>
        <v>0</v>
      </c>
      <c r="G74" s="46">
        <f t="shared" si="21"/>
        <v>0</v>
      </c>
      <c r="H74" s="46">
        <f t="shared" si="21"/>
        <v>0</v>
      </c>
      <c r="I74" s="46" t="e">
        <f t="shared" si="21"/>
        <v>#DIV/0!</v>
      </c>
      <c r="J74" s="46">
        <f t="shared" si="21"/>
        <v>0</v>
      </c>
      <c r="K74" s="46">
        <f t="shared" si="21"/>
        <v>0</v>
      </c>
      <c r="L74" s="46">
        <f t="shared" si="21"/>
        <v>0</v>
      </c>
      <c r="M74" s="46">
        <f t="shared" si="21"/>
        <v>0</v>
      </c>
      <c r="N74" s="46">
        <f t="shared" si="21"/>
        <v>0</v>
      </c>
      <c r="O74" s="46">
        <f t="shared" si="21"/>
        <v>0</v>
      </c>
      <c r="P74" s="46">
        <f t="shared" si="21"/>
        <v>0</v>
      </c>
      <c r="Q74" s="46">
        <f t="shared" si="21"/>
        <v>0</v>
      </c>
      <c r="R74" s="46">
        <f t="shared" si="21"/>
        <v>0</v>
      </c>
      <c r="S74" s="46">
        <f t="shared" si="21"/>
        <v>0</v>
      </c>
      <c r="T74" s="46">
        <f t="shared" si="21"/>
        <v>0</v>
      </c>
      <c r="U74" s="46">
        <f t="shared" si="21"/>
        <v>0</v>
      </c>
      <c r="V74" s="46">
        <f t="shared" si="21"/>
        <v>0</v>
      </c>
      <c r="W74" s="46">
        <f t="shared" si="21"/>
        <v>0</v>
      </c>
      <c r="X74" s="46">
        <f t="shared" si="21"/>
        <v>0</v>
      </c>
      <c r="Y74" s="46">
        <f t="shared" si="21"/>
        <v>0</v>
      </c>
      <c r="Z74" s="46">
        <f t="shared" si="21"/>
        <v>0</v>
      </c>
      <c r="AA74" s="46">
        <f t="shared" si="21"/>
        <v>0</v>
      </c>
      <c r="AB74" s="46">
        <f t="shared" si="21"/>
        <v>0</v>
      </c>
      <c r="AC74" s="46">
        <f t="shared" si="21"/>
        <v>0</v>
      </c>
      <c r="AD74" s="46">
        <f t="shared" si="21"/>
        <v>0</v>
      </c>
      <c r="AE74" s="46">
        <f t="shared" si="21"/>
        <v>0</v>
      </c>
      <c r="AF74" s="46">
        <f t="shared" si="21"/>
        <v>0</v>
      </c>
    </row>
    <row r="75" spans="1:32" ht="22.5">
      <c r="A75" s="320" t="s">
        <v>87</v>
      </c>
      <c r="B75" s="320"/>
      <c r="C75" s="320"/>
      <c r="D75" s="18"/>
      <c r="E75" s="20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9"/>
      <c r="AC75" s="19"/>
      <c r="AD75" s="18"/>
      <c r="AE75" s="18"/>
      <c r="AF75" s="18"/>
    </row>
    <row r="76" spans="1:32">
      <c r="A76" s="288" t="s">
        <v>1</v>
      </c>
      <c r="B76" s="288"/>
      <c r="C76" s="288"/>
      <c r="D76" s="289"/>
      <c r="E76" s="291" t="s">
        <v>2</v>
      </c>
      <c r="F76" s="291" t="s">
        <v>3</v>
      </c>
      <c r="G76" s="291" t="s">
        <v>4</v>
      </c>
      <c r="H76" s="291" t="s">
        <v>5</v>
      </c>
      <c r="I76" s="298" t="s">
        <v>6</v>
      </c>
      <c r="J76" s="299"/>
      <c r="K76" s="300"/>
      <c r="L76" s="299"/>
      <c r="M76" s="299"/>
      <c r="N76" s="299"/>
      <c r="O76" s="299"/>
      <c r="P76" s="299"/>
      <c r="Q76" s="299"/>
      <c r="R76" s="301"/>
      <c r="S76" s="298" t="s">
        <v>7</v>
      </c>
      <c r="T76" s="301"/>
      <c r="U76" s="288" t="s">
        <v>8</v>
      </c>
      <c r="V76" s="289" t="s">
        <v>9</v>
      </c>
      <c r="W76" s="297" t="s">
        <v>10</v>
      </c>
      <c r="X76" s="297" t="s">
        <v>11</v>
      </c>
      <c r="Y76" s="297" t="s">
        <v>12</v>
      </c>
      <c r="Z76" s="292" t="s">
        <v>13</v>
      </c>
      <c r="AA76" s="292" t="s">
        <v>14</v>
      </c>
      <c r="AB76" s="292" t="s">
        <v>62</v>
      </c>
      <c r="AC76" s="292" t="s">
        <v>63</v>
      </c>
      <c r="AD76" s="292" t="s">
        <v>17</v>
      </c>
      <c r="AE76" s="294" t="s">
        <v>18</v>
      </c>
      <c r="AF76" s="294" t="s">
        <v>18</v>
      </c>
    </row>
    <row r="77" spans="1:32" ht="114.75">
      <c r="A77" s="288"/>
      <c r="B77" s="288"/>
      <c r="C77" s="288"/>
      <c r="D77" s="290"/>
      <c r="E77" s="291"/>
      <c r="F77" s="291"/>
      <c r="G77" s="291"/>
      <c r="H77" s="291"/>
      <c r="I77" s="1" t="s">
        <v>20</v>
      </c>
      <c r="J77" s="6" t="s">
        <v>21</v>
      </c>
      <c r="K77" s="3" t="s">
        <v>22</v>
      </c>
      <c r="L77" s="4" t="s">
        <v>23</v>
      </c>
      <c r="M77" s="5" t="s">
        <v>24</v>
      </c>
      <c r="N77" s="5" t="s">
        <v>25</v>
      </c>
      <c r="O77" s="5" t="s">
        <v>26</v>
      </c>
      <c r="P77" s="5" t="s">
        <v>27</v>
      </c>
      <c r="Q77" s="1" t="s">
        <v>28</v>
      </c>
      <c r="R77" s="1" t="s">
        <v>29</v>
      </c>
      <c r="S77" s="1" t="s">
        <v>30</v>
      </c>
      <c r="T77" s="1" t="s">
        <v>31</v>
      </c>
      <c r="U77" s="288"/>
      <c r="V77" s="290"/>
      <c r="W77" s="297"/>
      <c r="X77" s="297"/>
      <c r="Y77" s="297"/>
      <c r="Z77" s="293"/>
      <c r="AA77" s="293"/>
      <c r="AB77" s="293"/>
      <c r="AC77" s="293"/>
      <c r="AD77" s="293"/>
      <c r="AE77" s="294"/>
      <c r="AF77" s="294"/>
    </row>
    <row r="78" spans="1:32" ht="33">
      <c r="A78" s="295" t="s">
        <v>32</v>
      </c>
      <c r="B78" s="21" t="s">
        <v>33</v>
      </c>
      <c r="C78" s="21" t="s">
        <v>34</v>
      </c>
      <c r="D78" s="22" t="s">
        <v>35</v>
      </c>
      <c r="E78" s="23">
        <f>Sheet1!BO6</f>
        <v>0</v>
      </c>
      <c r="F78" s="23">
        <f>Sheet1!BP6</f>
        <v>0</v>
      </c>
      <c r="G78" s="23">
        <f>Sheet1!BQ6</f>
        <v>0</v>
      </c>
      <c r="H78" s="23">
        <f>Sheet1!BR6</f>
        <v>0</v>
      </c>
      <c r="I78" s="23">
        <f>Sheet1!BS6</f>
        <v>0</v>
      </c>
      <c r="J78" s="23">
        <f>Sheet1!BT6</f>
        <v>0</v>
      </c>
      <c r="K78" s="23">
        <f>Sheet1!BU6</f>
        <v>0</v>
      </c>
      <c r="L78" s="23">
        <f>Sheet1!BV6</f>
        <v>0</v>
      </c>
      <c r="M78" s="23">
        <f>Sheet1!BW6</f>
        <v>0</v>
      </c>
      <c r="N78" s="23">
        <f>Sheet1!BX6</f>
        <v>0</v>
      </c>
      <c r="O78" s="23">
        <f>Sheet1!BY6</f>
        <v>0</v>
      </c>
      <c r="P78" s="23">
        <f>Sheet1!BZ6</f>
        <v>0</v>
      </c>
      <c r="Q78" s="23">
        <f>Sheet1!CA6</f>
        <v>0</v>
      </c>
      <c r="R78" s="23">
        <f>Sheet1!CB6</f>
        <v>0</v>
      </c>
      <c r="S78" s="23">
        <f>Sheet1!CC6</f>
        <v>0</v>
      </c>
      <c r="T78" s="23">
        <f>Sheet1!CD6</f>
        <v>0</v>
      </c>
      <c r="U78" s="23">
        <f>Sheet1!CE6</f>
        <v>0</v>
      </c>
      <c r="V78" s="23">
        <f>Sheet1!CF6</f>
        <v>0</v>
      </c>
      <c r="W78" s="23">
        <f>Sheet1!CG6</f>
        <v>0</v>
      </c>
      <c r="X78" s="23">
        <f>Sheet1!CH6</f>
        <v>0</v>
      </c>
      <c r="Y78" s="23">
        <f>Sheet1!CI6</f>
        <v>0</v>
      </c>
      <c r="Z78" s="23">
        <f>Sheet1!CJ6</f>
        <v>0</v>
      </c>
      <c r="AA78" s="23">
        <f>Sheet1!CK6</f>
        <v>0</v>
      </c>
      <c r="AB78" s="23">
        <f>Sheet1!CL6</f>
        <v>0</v>
      </c>
      <c r="AC78" s="23">
        <f>Sheet1!CM6</f>
        <v>0</v>
      </c>
      <c r="AD78" s="23">
        <f>Sheet1!CN6</f>
        <v>0</v>
      </c>
      <c r="AE78" s="23">
        <f>Sheet1!CO6</f>
        <v>0</v>
      </c>
      <c r="AF78" s="23"/>
    </row>
    <row r="79" spans="1:32" ht="33">
      <c r="A79" s="295"/>
      <c r="B79" s="21" t="s">
        <v>36</v>
      </c>
      <c r="C79" s="21" t="s">
        <v>37</v>
      </c>
      <c r="D79" s="22" t="s">
        <v>38</v>
      </c>
      <c r="E79" s="23">
        <f>Sheet1!BO7</f>
        <v>0</v>
      </c>
      <c r="F79" s="23">
        <f>Sheet1!BP7</f>
        <v>0</v>
      </c>
      <c r="G79" s="23">
        <f>Sheet1!BQ7</f>
        <v>0</v>
      </c>
      <c r="H79" s="23">
        <f>Sheet1!BR7</f>
        <v>0</v>
      </c>
      <c r="I79" s="23">
        <f>Sheet1!BS7</f>
        <v>0</v>
      </c>
      <c r="J79" s="23">
        <f>Sheet1!BT7</f>
        <v>0</v>
      </c>
      <c r="K79" s="23">
        <f>Sheet1!BU7</f>
        <v>0</v>
      </c>
      <c r="L79" s="23">
        <f>Sheet1!BV7</f>
        <v>0</v>
      </c>
      <c r="M79" s="23">
        <f>Sheet1!BW7</f>
        <v>0</v>
      </c>
      <c r="N79" s="23">
        <f>Sheet1!BX7</f>
        <v>0</v>
      </c>
      <c r="O79" s="23">
        <f>Sheet1!BY7</f>
        <v>0</v>
      </c>
      <c r="P79" s="23">
        <f>Sheet1!BZ7</f>
        <v>0</v>
      </c>
      <c r="Q79" s="23">
        <f>Sheet1!CA7</f>
        <v>0</v>
      </c>
      <c r="R79" s="23">
        <f>Sheet1!CB7</f>
        <v>0</v>
      </c>
      <c r="S79" s="23">
        <f>Sheet1!CC7</f>
        <v>0</v>
      </c>
      <c r="T79" s="23">
        <f>Sheet1!CD7</f>
        <v>0</v>
      </c>
      <c r="U79" s="23">
        <f>Sheet1!CE7</f>
        <v>0</v>
      </c>
      <c r="V79" s="23">
        <f>Sheet1!CF7</f>
        <v>0</v>
      </c>
      <c r="W79" s="23">
        <f>Sheet1!CG7</f>
        <v>0</v>
      </c>
      <c r="X79" s="23">
        <f>Sheet1!CH7</f>
        <v>0</v>
      </c>
      <c r="Y79" s="23">
        <f>Sheet1!CI7</f>
        <v>0</v>
      </c>
      <c r="Z79" s="23">
        <f>Sheet1!CJ7</f>
        <v>0</v>
      </c>
      <c r="AA79" s="23">
        <f>Sheet1!CK7</f>
        <v>0</v>
      </c>
      <c r="AB79" s="23">
        <f>Sheet1!CL7</f>
        <v>0</v>
      </c>
      <c r="AC79" s="23">
        <f>Sheet1!CM7</f>
        <v>0</v>
      </c>
      <c r="AD79" s="23">
        <f>Sheet1!CN7</f>
        <v>0</v>
      </c>
      <c r="AE79" s="23">
        <f>Sheet1!CO7</f>
        <v>0</v>
      </c>
      <c r="AF79" s="23"/>
    </row>
    <row r="80" spans="1:32" ht="16.5">
      <c r="A80" s="295"/>
      <c r="B80" s="296" t="s">
        <v>39</v>
      </c>
      <c r="C80" s="296"/>
      <c r="D80" s="24"/>
      <c r="E80" s="25">
        <f>SUBTOTAL(9,E78:E79)</f>
        <v>0</v>
      </c>
      <c r="F80" s="25">
        <f>SUBTOTAL(9,F78:F79)</f>
        <v>0</v>
      </c>
      <c r="G80" s="25">
        <f t="shared" ref="G80:AE80" si="22">SUBTOTAL(9,G78:G79)</f>
        <v>0</v>
      </c>
      <c r="H80" s="25">
        <f t="shared" si="22"/>
        <v>0</v>
      </c>
      <c r="I80" s="25" t="e">
        <f>U80/R80</f>
        <v>#DIV/0!</v>
      </c>
      <c r="J80" s="25">
        <f t="shared" si="22"/>
        <v>0</v>
      </c>
      <c r="K80" s="25">
        <f t="shared" si="22"/>
        <v>0</v>
      </c>
      <c r="L80" s="25">
        <f t="shared" si="22"/>
        <v>0</v>
      </c>
      <c r="M80" s="25">
        <f t="shared" si="22"/>
        <v>0</v>
      </c>
      <c r="N80" s="25">
        <f t="shared" si="22"/>
        <v>0</v>
      </c>
      <c r="O80" s="25">
        <f t="shared" si="22"/>
        <v>0</v>
      </c>
      <c r="P80" s="25">
        <f t="shared" si="22"/>
        <v>0</v>
      </c>
      <c r="Q80" s="25">
        <f t="shared" si="22"/>
        <v>0</v>
      </c>
      <c r="R80" s="25">
        <f t="shared" si="22"/>
        <v>0</v>
      </c>
      <c r="S80" s="25">
        <f t="shared" si="22"/>
        <v>0</v>
      </c>
      <c r="T80" s="25">
        <f t="shared" si="22"/>
        <v>0</v>
      </c>
      <c r="U80" s="25">
        <f t="shared" si="22"/>
        <v>0</v>
      </c>
      <c r="V80" s="25">
        <f t="shared" si="22"/>
        <v>0</v>
      </c>
      <c r="W80" s="25">
        <f t="shared" si="22"/>
        <v>0</v>
      </c>
      <c r="X80" s="25">
        <f t="shared" si="22"/>
        <v>0</v>
      </c>
      <c r="Y80" s="25">
        <f t="shared" si="22"/>
        <v>0</v>
      </c>
      <c r="Z80" s="25">
        <f t="shared" si="22"/>
        <v>0</v>
      </c>
      <c r="AA80" s="25">
        <f t="shared" si="22"/>
        <v>0</v>
      </c>
      <c r="AB80" s="25">
        <f t="shared" si="22"/>
        <v>0</v>
      </c>
      <c r="AC80" s="25">
        <f t="shared" si="22"/>
        <v>0</v>
      </c>
      <c r="AD80" s="25">
        <f t="shared" si="22"/>
        <v>0</v>
      </c>
      <c r="AE80" s="25">
        <f t="shared" si="22"/>
        <v>0</v>
      </c>
      <c r="AF80" s="23"/>
    </row>
    <row r="81" spans="1:32" ht="16.5">
      <c r="A81" s="295" t="s">
        <v>40</v>
      </c>
      <c r="B81" s="309" t="s">
        <v>41</v>
      </c>
      <c r="C81" s="22" t="s">
        <v>42</v>
      </c>
      <c r="D81" s="22" t="s">
        <v>35</v>
      </c>
      <c r="E81" s="23">
        <f>Sheet1!BO8</f>
        <v>0</v>
      </c>
      <c r="F81" s="23">
        <f>Sheet1!BP8</f>
        <v>0</v>
      </c>
      <c r="G81" s="23">
        <f>Sheet1!BQ8</f>
        <v>0</v>
      </c>
      <c r="H81" s="23">
        <f>Sheet1!BR8</f>
        <v>0</v>
      </c>
      <c r="I81" s="23">
        <f>Sheet1!BS8</f>
        <v>0</v>
      </c>
      <c r="J81" s="23">
        <f>Sheet1!BT8</f>
        <v>0</v>
      </c>
      <c r="K81" s="23">
        <f>Sheet1!BU8</f>
        <v>0</v>
      </c>
      <c r="L81" s="23">
        <f>Sheet1!BV8</f>
        <v>0</v>
      </c>
      <c r="M81" s="23">
        <f>Sheet1!BW8</f>
        <v>0</v>
      </c>
      <c r="N81" s="23">
        <f>Sheet1!BX8</f>
        <v>0</v>
      </c>
      <c r="O81" s="23">
        <f>Sheet1!BY8</f>
        <v>0</v>
      </c>
      <c r="P81" s="23">
        <f>Sheet1!BZ8</f>
        <v>0</v>
      </c>
      <c r="Q81" s="23">
        <f>Sheet1!CA8</f>
        <v>0</v>
      </c>
      <c r="R81" s="23">
        <f>Sheet1!CB8</f>
        <v>0</v>
      </c>
      <c r="S81" s="23">
        <f>Sheet1!CC8</f>
        <v>0</v>
      </c>
      <c r="T81" s="23">
        <f>Sheet1!CD8</f>
        <v>0</v>
      </c>
      <c r="U81" s="23">
        <f>Sheet1!CE8</f>
        <v>0</v>
      </c>
      <c r="V81" s="23">
        <f>Sheet1!CF8</f>
        <v>0</v>
      </c>
      <c r="W81" s="23">
        <f>Sheet1!CG8</f>
        <v>0</v>
      </c>
      <c r="X81" s="23">
        <f>Sheet1!CH8</f>
        <v>0</v>
      </c>
      <c r="Y81" s="23">
        <f>Sheet1!CI8</f>
        <v>0</v>
      </c>
      <c r="Z81" s="23">
        <f>Sheet1!CJ8</f>
        <v>0</v>
      </c>
      <c r="AA81" s="23">
        <f>Sheet1!CK8</f>
        <v>0</v>
      </c>
      <c r="AB81" s="23">
        <f>Sheet1!CL8</f>
        <v>0</v>
      </c>
      <c r="AC81" s="23">
        <f>Sheet1!CM8</f>
        <v>0</v>
      </c>
      <c r="AD81" s="23">
        <f>Sheet1!CN8</f>
        <v>0</v>
      </c>
      <c r="AE81" s="23">
        <f>Sheet1!CO8</f>
        <v>0</v>
      </c>
      <c r="AF81" s="23"/>
    </row>
    <row r="82" spans="1:32" ht="16.5">
      <c r="A82" s="295"/>
      <c r="B82" s="310"/>
      <c r="C82" s="22" t="s">
        <v>43</v>
      </c>
      <c r="D82" s="22" t="s">
        <v>35</v>
      </c>
      <c r="E82" s="23">
        <f>Sheet1!BO9</f>
        <v>0</v>
      </c>
      <c r="F82" s="23">
        <f>Sheet1!BP9</f>
        <v>0</v>
      </c>
      <c r="G82" s="23">
        <f>Sheet1!BQ9</f>
        <v>0</v>
      </c>
      <c r="H82" s="23">
        <f>Sheet1!BR9</f>
        <v>0</v>
      </c>
      <c r="I82" s="23">
        <f>Sheet1!BS9</f>
        <v>0</v>
      </c>
      <c r="J82" s="23">
        <f>Sheet1!BT9</f>
        <v>0</v>
      </c>
      <c r="K82" s="23">
        <f>Sheet1!BU9</f>
        <v>0</v>
      </c>
      <c r="L82" s="23">
        <f>Sheet1!BV9</f>
        <v>0</v>
      </c>
      <c r="M82" s="23">
        <f>Sheet1!BW9</f>
        <v>0</v>
      </c>
      <c r="N82" s="23">
        <f>Sheet1!BX9</f>
        <v>0</v>
      </c>
      <c r="O82" s="23">
        <f>Sheet1!BY9</f>
        <v>0</v>
      </c>
      <c r="P82" s="23">
        <f>Sheet1!BZ9</f>
        <v>0</v>
      </c>
      <c r="Q82" s="23">
        <f>Sheet1!CA9</f>
        <v>0</v>
      </c>
      <c r="R82" s="23">
        <f>Sheet1!CB9</f>
        <v>0</v>
      </c>
      <c r="S82" s="23">
        <f>Sheet1!CC9</f>
        <v>0</v>
      </c>
      <c r="T82" s="23">
        <f>Sheet1!CD9</f>
        <v>0</v>
      </c>
      <c r="U82" s="23">
        <f>Sheet1!CE9</f>
        <v>0</v>
      </c>
      <c r="V82" s="23">
        <f>Sheet1!CF9</f>
        <v>0</v>
      </c>
      <c r="W82" s="23">
        <f>Sheet1!CG9</f>
        <v>0</v>
      </c>
      <c r="X82" s="23">
        <f>Sheet1!CH9</f>
        <v>0</v>
      </c>
      <c r="Y82" s="23">
        <f>Sheet1!CI9</f>
        <v>0</v>
      </c>
      <c r="Z82" s="23">
        <f>Sheet1!CJ9</f>
        <v>0</v>
      </c>
      <c r="AA82" s="23">
        <f>Sheet1!CK9</f>
        <v>0</v>
      </c>
      <c r="AB82" s="23">
        <f>Sheet1!CL9</f>
        <v>0</v>
      </c>
      <c r="AC82" s="23">
        <f>Sheet1!CM9</f>
        <v>0</v>
      </c>
      <c r="AD82" s="23">
        <f>Sheet1!CN9</f>
        <v>0</v>
      </c>
      <c r="AE82" s="23">
        <f>Sheet1!CO9</f>
        <v>0</v>
      </c>
      <c r="AF82" s="23"/>
    </row>
    <row r="83" spans="1:32" ht="16.5">
      <c r="A83" s="295"/>
      <c r="B83" s="311"/>
      <c r="C83" s="24" t="s">
        <v>39</v>
      </c>
      <c r="D83" s="24"/>
      <c r="E83" s="25">
        <f>SUBTOTAL(9,E81:E82)</f>
        <v>0</v>
      </c>
      <c r="F83" s="25">
        <f>SUBTOTAL(9,F81:F82)</f>
        <v>0</v>
      </c>
      <c r="G83" s="25">
        <f t="shared" ref="G83:AE83" si="23">SUBTOTAL(9,G81:G82)</f>
        <v>0</v>
      </c>
      <c r="H83" s="25">
        <f t="shared" si="23"/>
        <v>0</v>
      </c>
      <c r="I83" s="25" t="e">
        <f>U83/R83</f>
        <v>#DIV/0!</v>
      </c>
      <c r="J83" s="25">
        <f t="shared" si="23"/>
        <v>0</v>
      </c>
      <c r="K83" s="25">
        <f t="shared" si="23"/>
        <v>0</v>
      </c>
      <c r="L83" s="25">
        <f t="shared" si="23"/>
        <v>0</v>
      </c>
      <c r="M83" s="25">
        <f t="shared" si="23"/>
        <v>0</v>
      </c>
      <c r="N83" s="25">
        <f t="shared" si="23"/>
        <v>0</v>
      </c>
      <c r="O83" s="25">
        <f t="shared" si="23"/>
        <v>0</v>
      </c>
      <c r="P83" s="25">
        <f t="shared" si="23"/>
        <v>0</v>
      </c>
      <c r="Q83" s="25">
        <f t="shared" si="23"/>
        <v>0</v>
      </c>
      <c r="R83" s="25">
        <f t="shared" si="23"/>
        <v>0</v>
      </c>
      <c r="S83" s="25">
        <f t="shared" si="23"/>
        <v>0</v>
      </c>
      <c r="T83" s="25">
        <f t="shared" si="23"/>
        <v>0</v>
      </c>
      <c r="U83" s="25">
        <f t="shared" si="23"/>
        <v>0</v>
      </c>
      <c r="V83" s="25">
        <f t="shared" si="23"/>
        <v>0</v>
      </c>
      <c r="W83" s="25">
        <f t="shared" si="23"/>
        <v>0</v>
      </c>
      <c r="X83" s="25">
        <f t="shared" si="23"/>
        <v>0</v>
      </c>
      <c r="Y83" s="25">
        <f t="shared" si="23"/>
        <v>0</v>
      </c>
      <c r="Z83" s="25">
        <f t="shared" si="23"/>
        <v>0</v>
      </c>
      <c r="AA83" s="25">
        <f t="shared" si="23"/>
        <v>0</v>
      </c>
      <c r="AB83" s="25">
        <f t="shared" si="23"/>
        <v>0</v>
      </c>
      <c r="AC83" s="25">
        <f t="shared" si="23"/>
        <v>0</v>
      </c>
      <c r="AD83" s="25">
        <f t="shared" si="23"/>
        <v>0</v>
      </c>
      <c r="AE83" s="25">
        <f t="shared" si="23"/>
        <v>0</v>
      </c>
      <c r="AF83" s="23"/>
    </row>
    <row r="84" spans="1:32" ht="16.5">
      <c r="A84" s="295"/>
      <c r="B84" s="312" t="s">
        <v>44</v>
      </c>
      <c r="C84" s="22" t="s">
        <v>45</v>
      </c>
      <c r="D84" s="22" t="s">
        <v>46</v>
      </c>
      <c r="E84" s="23">
        <f>Sheet1!BO10</f>
        <v>0</v>
      </c>
      <c r="F84" s="23">
        <f>Sheet1!BP10</f>
        <v>0</v>
      </c>
      <c r="G84" s="23">
        <f>Sheet1!BQ10</f>
        <v>0</v>
      </c>
      <c r="H84" s="23">
        <f>Sheet1!BR10</f>
        <v>0</v>
      </c>
      <c r="I84" s="23">
        <f>Sheet1!BS10</f>
        <v>0</v>
      </c>
      <c r="J84" s="23">
        <f>Sheet1!BT10</f>
        <v>0</v>
      </c>
      <c r="K84" s="23">
        <f>Sheet1!BU10</f>
        <v>0</v>
      </c>
      <c r="L84" s="23">
        <f>Sheet1!BV10</f>
        <v>0</v>
      </c>
      <c r="M84" s="23">
        <f>Sheet1!BW10</f>
        <v>0</v>
      </c>
      <c r="N84" s="23">
        <f>Sheet1!BX10</f>
        <v>0</v>
      </c>
      <c r="O84" s="23">
        <f>Sheet1!BY10</f>
        <v>0</v>
      </c>
      <c r="P84" s="23">
        <f>Sheet1!BZ10</f>
        <v>0</v>
      </c>
      <c r="Q84" s="23">
        <f>Sheet1!CA10</f>
        <v>0</v>
      </c>
      <c r="R84" s="23">
        <f>Sheet1!CB10</f>
        <v>0</v>
      </c>
      <c r="S84" s="23">
        <f>Sheet1!CC10</f>
        <v>0</v>
      </c>
      <c r="T84" s="23">
        <f>Sheet1!CD10</f>
        <v>0</v>
      </c>
      <c r="U84" s="23">
        <f>Sheet1!CE10</f>
        <v>0</v>
      </c>
      <c r="V84" s="23">
        <f>Sheet1!CF10</f>
        <v>0</v>
      </c>
      <c r="W84" s="23">
        <f>Sheet1!CG10</f>
        <v>0</v>
      </c>
      <c r="X84" s="23">
        <f>Sheet1!CH10</f>
        <v>0</v>
      </c>
      <c r="Y84" s="23">
        <f>Sheet1!CI10</f>
        <v>0</v>
      </c>
      <c r="Z84" s="23">
        <f>Sheet1!CJ10</f>
        <v>0</v>
      </c>
      <c r="AA84" s="23">
        <f>Sheet1!CK10</f>
        <v>0</v>
      </c>
      <c r="AB84" s="23">
        <f>Sheet1!CL10</f>
        <v>0</v>
      </c>
      <c r="AC84" s="23">
        <f>Sheet1!CM10</f>
        <v>0</v>
      </c>
      <c r="AD84" s="23">
        <f>Sheet1!CN10</f>
        <v>0</v>
      </c>
      <c r="AE84" s="23">
        <f>Sheet1!CO10</f>
        <v>0</v>
      </c>
      <c r="AF84" s="23"/>
    </row>
    <row r="85" spans="1:32" ht="16.5">
      <c r="A85" s="295"/>
      <c r="B85" s="312"/>
      <c r="C85" s="22" t="s">
        <v>47</v>
      </c>
      <c r="D85" s="22" t="s">
        <v>35</v>
      </c>
      <c r="E85" s="23">
        <f>Sheet1!BO11</f>
        <v>0</v>
      </c>
      <c r="F85" s="23">
        <f>Sheet1!BP11</f>
        <v>0</v>
      </c>
      <c r="G85" s="23">
        <f>Sheet1!BQ11</f>
        <v>0</v>
      </c>
      <c r="H85" s="23">
        <f>Sheet1!BR11</f>
        <v>0</v>
      </c>
      <c r="I85" s="23">
        <f>Sheet1!BS11</f>
        <v>0</v>
      </c>
      <c r="J85" s="23">
        <f>Sheet1!BT11</f>
        <v>0</v>
      </c>
      <c r="K85" s="23">
        <f>Sheet1!BU11</f>
        <v>0</v>
      </c>
      <c r="L85" s="23">
        <f>Sheet1!BV11</f>
        <v>0</v>
      </c>
      <c r="M85" s="23">
        <f>Sheet1!BW11</f>
        <v>0</v>
      </c>
      <c r="N85" s="23">
        <f>Sheet1!BX11</f>
        <v>0</v>
      </c>
      <c r="O85" s="23">
        <f>Sheet1!BY11</f>
        <v>0</v>
      </c>
      <c r="P85" s="23">
        <f>Sheet1!BZ11</f>
        <v>0</v>
      </c>
      <c r="Q85" s="23">
        <f>Sheet1!CA11</f>
        <v>0</v>
      </c>
      <c r="R85" s="23">
        <f>Sheet1!CB11</f>
        <v>0</v>
      </c>
      <c r="S85" s="23">
        <f>Sheet1!CC11</f>
        <v>0</v>
      </c>
      <c r="T85" s="23">
        <f>Sheet1!CD11</f>
        <v>0</v>
      </c>
      <c r="U85" s="23">
        <f>Sheet1!CE11</f>
        <v>0</v>
      </c>
      <c r="V85" s="23">
        <f>Sheet1!CF11</f>
        <v>0</v>
      </c>
      <c r="W85" s="23">
        <f>Sheet1!CG11</f>
        <v>0</v>
      </c>
      <c r="X85" s="23">
        <f>Sheet1!CH11</f>
        <v>0</v>
      </c>
      <c r="Y85" s="23">
        <f>Sheet1!CI11</f>
        <v>0</v>
      </c>
      <c r="Z85" s="23">
        <f>Sheet1!CJ11</f>
        <v>0</v>
      </c>
      <c r="AA85" s="23">
        <f>Sheet1!CK11</f>
        <v>0</v>
      </c>
      <c r="AB85" s="23">
        <f>Sheet1!CL11</f>
        <v>0</v>
      </c>
      <c r="AC85" s="23">
        <f>Sheet1!CM11</f>
        <v>0</v>
      </c>
      <c r="AD85" s="23">
        <f>Sheet1!CN11</f>
        <v>0</v>
      </c>
      <c r="AE85" s="23">
        <f>Sheet1!CO11</f>
        <v>0</v>
      </c>
      <c r="AF85" s="23"/>
    </row>
    <row r="86" spans="1:32" ht="16.5">
      <c r="A86" s="295"/>
      <c r="B86" s="312"/>
      <c r="C86" s="22" t="s">
        <v>48</v>
      </c>
      <c r="D86" s="22" t="s">
        <v>46</v>
      </c>
      <c r="E86" s="23">
        <f>Sheet1!BO13</f>
        <v>0</v>
      </c>
      <c r="F86" s="23">
        <f>Sheet1!BP13</f>
        <v>0</v>
      </c>
      <c r="G86" s="23">
        <f>Sheet1!BQ13</f>
        <v>0</v>
      </c>
      <c r="H86" s="23">
        <f>Sheet1!BR13</f>
        <v>0</v>
      </c>
      <c r="I86" s="23">
        <f>Sheet1!BS13</f>
        <v>0</v>
      </c>
      <c r="J86" s="23">
        <f>Sheet1!BT13</f>
        <v>0</v>
      </c>
      <c r="K86" s="23">
        <f>Sheet1!BU13</f>
        <v>0</v>
      </c>
      <c r="L86" s="23">
        <f>Sheet1!BV13</f>
        <v>0</v>
      </c>
      <c r="M86" s="23">
        <f>Sheet1!BW13</f>
        <v>0</v>
      </c>
      <c r="N86" s="23">
        <f>Sheet1!BX13</f>
        <v>0</v>
      </c>
      <c r="O86" s="23">
        <f>Sheet1!BY13</f>
        <v>0</v>
      </c>
      <c r="P86" s="23">
        <f>Sheet1!BZ13</f>
        <v>0</v>
      </c>
      <c r="Q86" s="23">
        <f>Sheet1!CA13</f>
        <v>0</v>
      </c>
      <c r="R86" s="23">
        <f>Sheet1!CB13</f>
        <v>0</v>
      </c>
      <c r="S86" s="23">
        <f>Sheet1!CC13</f>
        <v>0</v>
      </c>
      <c r="T86" s="23">
        <f>Sheet1!CD13</f>
        <v>0</v>
      </c>
      <c r="U86" s="23">
        <f>Sheet1!CE13</f>
        <v>0</v>
      </c>
      <c r="V86" s="23">
        <f>Sheet1!CF13</f>
        <v>0</v>
      </c>
      <c r="W86" s="23">
        <f>Sheet1!CG13</f>
        <v>0</v>
      </c>
      <c r="X86" s="23">
        <f>Sheet1!CH13</f>
        <v>0</v>
      </c>
      <c r="Y86" s="23">
        <f>Sheet1!CI13</f>
        <v>0</v>
      </c>
      <c r="Z86" s="23">
        <f>Sheet1!CJ13</f>
        <v>0</v>
      </c>
      <c r="AA86" s="23">
        <f>Sheet1!CK13</f>
        <v>0</v>
      </c>
      <c r="AB86" s="23">
        <f>Sheet1!CL13</f>
        <v>0</v>
      </c>
      <c r="AC86" s="23">
        <f>Sheet1!CM13</f>
        <v>0</v>
      </c>
      <c r="AD86" s="23">
        <f>Sheet1!CN13</f>
        <v>0</v>
      </c>
      <c r="AE86" s="23">
        <f>Sheet1!CO13</f>
        <v>0</v>
      </c>
      <c r="AF86" s="23"/>
    </row>
    <row r="87" spans="1:32" ht="16.5">
      <c r="A87" s="295"/>
      <c r="B87" s="312"/>
      <c r="C87" s="22" t="s">
        <v>49</v>
      </c>
      <c r="D87" s="22" t="s">
        <v>46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</row>
    <row r="88" spans="1:32" ht="16.5">
      <c r="A88" s="295"/>
      <c r="B88" s="312"/>
      <c r="C88" s="24" t="s">
        <v>39</v>
      </c>
      <c r="D88" s="24"/>
      <c r="E88" s="25">
        <f>SUBTOTAL(9,E84:E87)</f>
        <v>0</v>
      </c>
      <c r="F88" s="25">
        <f>SUBTOTAL(9,F84:F87)</f>
        <v>0</v>
      </c>
      <c r="G88" s="25">
        <f t="shared" ref="G88:AE88" si="24">SUBTOTAL(9,G84:G87)</f>
        <v>0</v>
      </c>
      <c r="H88" s="25">
        <f t="shared" si="24"/>
        <v>0</v>
      </c>
      <c r="I88" s="25" t="e">
        <f>U88/R88</f>
        <v>#DIV/0!</v>
      </c>
      <c r="J88" s="25">
        <f t="shared" si="24"/>
        <v>0</v>
      </c>
      <c r="K88" s="25">
        <f t="shared" si="24"/>
        <v>0</v>
      </c>
      <c r="L88" s="25">
        <f t="shared" si="24"/>
        <v>0</v>
      </c>
      <c r="M88" s="25">
        <f t="shared" si="24"/>
        <v>0</v>
      </c>
      <c r="N88" s="25">
        <f t="shared" si="24"/>
        <v>0</v>
      </c>
      <c r="O88" s="25">
        <f t="shared" si="24"/>
        <v>0</v>
      </c>
      <c r="P88" s="25">
        <f t="shared" si="24"/>
        <v>0</v>
      </c>
      <c r="Q88" s="25">
        <f t="shared" si="24"/>
        <v>0</v>
      </c>
      <c r="R88" s="25">
        <f t="shared" si="24"/>
        <v>0</v>
      </c>
      <c r="S88" s="25">
        <f t="shared" si="24"/>
        <v>0</v>
      </c>
      <c r="T88" s="25">
        <f t="shared" si="24"/>
        <v>0</v>
      </c>
      <c r="U88" s="25">
        <f t="shared" si="24"/>
        <v>0</v>
      </c>
      <c r="V88" s="25">
        <f t="shared" si="24"/>
        <v>0</v>
      </c>
      <c r="W88" s="25">
        <f t="shared" si="24"/>
        <v>0</v>
      </c>
      <c r="X88" s="25">
        <f t="shared" si="24"/>
        <v>0</v>
      </c>
      <c r="Y88" s="25">
        <f t="shared" si="24"/>
        <v>0</v>
      </c>
      <c r="Z88" s="25">
        <f t="shared" si="24"/>
        <v>0</v>
      </c>
      <c r="AA88" s="25">
        <f t="shared" si="24"/>
        <v>0</v>
      </c>
      <c r="AB88" s="25">
        <f t="shared" si="24"/>
        <v>0</v>
      </c>
      <c r="AC88" s="25">
        <f t="shared" si="24"/>
        <v>0</v>
      </c>
      <c r="AD88" s="25">
        <f t="shared" si="24"/>
        <v>0</v>
      </c>
      <c r="AE88" s="25">
        <f t="shared" si="24"/>
        <v>0</v>
      </c>
      <c r="AF88" s="23"/>
    </row>
    <row r="89" spans="1:32" ht="16.5">
      <c r="A89" s="295"/>
      <c r="B89" s="313" t="s">
        <v>50</v>
      </c>
      <c r="C89" s="22" t="s">
        <v>51</v>
      </c>
      <c r="D89" s="22" t="s">
        <v>46</v>
      </c>
      <c r="E89" s="23">
        <f>Sheet1!BO14</f>
        <v>0</v>
      </c>
      <c r="F89" s="23">
        <f>Sheet1!BP14</f>
        <v>0</v>
      </c>
      <c r="G89" s="23">
        <f>Sheet1!BQ14</f>
        <v>0</v>
      </c>
      <c r="H89" s="23">
        <f>Sheet1!BR14</f>
        <v>0</v>
      </c>
      <c r="I89" s="23">
        <f>Sheet1!BS14</f>
        <v>0</v>
      </c>
      <c r="J89" s="23">
        <f>Sheet1!BT14</f>
        <v>0</v>
      </c>
      <c r="K89" s="23">
        <f>Sheet1!BU14</f>
        <v>0</v>
      </c>
      <c r="L89" s="23">
        <f>Sheet1!BV14</f>
        <v>0</v>
      </c>
      <c r="M89" s="23">
        <f>Sheet1!BW14</f>
        <v>0</v>
      </c>
      <c r="N89" s="23">
        <f>Sheet1!BX14</f>
        <v>0</v>
      </c>
      <c r="O89" s="23">
        <f>Sheet1!BY14</f>
        <v>0</v>
      </c>
      <c r="P89" s="23">
        <f>Sheet1!BZ14</f>
        <v>0</v>
      </c>
      <c r="Q89" s="23">
        <f>Sheet1!CA14</f>
        <v>0</v>
      </c>
      <c r="R89" s="23">
        <f>Sheet1!CB14</f>
        <v>0</v>
      </c>
      <c r="S89" s="23">
        <f>Sheet1!CC14</f>
        <v>0</v>
      </c>
      <c r="T89" s="23">
        <f>Sheet1!CD14</f>
        <v>0</v>
      </c>
      <c r="U89" s="23">
        <f>Sheet1!CE14</f>
        <v>0</v>
      </c>
      <c r="V89" s="23">
        <f>Sheet1!CF14</f>
        <v>0</v>
      </c>
      <c r="W89" s="23">
        <f>Sheet1!CG14</f>
        <v>0</v>
      </c>
      <c r="X89" s="23">
        <f>Sheet1!CH14</f>
        <v>0</v>
      </c>
      <c r="Y89" s="23">
        <f>Sheet1!CI14</f>
        <v>0</v>
      </c>
      <c r="Z89" s="23">
        <f>Sheet1!CJ14</f>
        <v>0</v>
      </c>
      <c r="AA89" s="23">
        <f>Sheet1!CK14</f>
        <v>0</v>
      </c>
      <c r="AB89" s="23">
        <f>Sheet1!CL14</f>
        <v>0</v>
      </c>
      <c r="AC89" s="23">
        <f>Sheet1!CM14</f>
        <v>0</v>
      </c>
      <c r="AD89" s="23">
        <f>Sheet1!CN14</f>
        <v>0</v>
      </c>
      <c r="AE89" s="23">
        <f>Sheet1!CO14</f>
        <v>0</v>
      </c>
      <c r="AF89" s="23"/>
    </row>
    <row r="90" spans="1:32" ht="16.5">
      <c r="A90" s="295"/>
      <c r="B90" s="313"/>
      <c r="C90" s="22" t="s">
        <v>52</v>
      </c>
      <c r="D90" s="22" t="s">
        <v>46</v>
      </c>
      <c r="E90" s="23">
        <f>Sheet1!BO15</f>
        <v>0</v>
      </c>
      <c r="F90" s="23">
        <f>Sheet1!BP15</f>
        <v>0</v>
      </c>
      <c r="G90" s="23">
        <f>Sheet1!BQ15</f>
        <v>0</v>
      </c>
      <c r="H90" s="23">
        <f>Sheet1!BR15</f>
        <v>0</v>
      </c>
      <c r="I90" s="23">
        <f>Sheet1!BS15</f>
        <v>0</v>
      </c>
      <c r="J90" s="23">
        <f>Sheet1!BT15</f>
        <v>0</v>
      </c>
      <c r="K90" s="23">
        <f>Sheet1!BU15</f>
        <v>0</v>
      </c>
      <c r="L90" s="23">
        <f>Sheet1!BV15</f>
        <v>0</v>
      </c>
      <c r="M90" s="23">
        <f>Sheet1!BW15</f>
        <v>0</v>
      </c>
      <c r="N90" s="23">
        <f>Sheet1!BX15</f>
        <v>0</v>
      </c>
      <c r="O90" s="23">
        <f>Sheet1!BY15</f>
        <v>0</v>
      </c>
      <c r="P90" s="23">
        <f>Sheet1!BZ15</f>
        <v>0</v>
      </c>
      <c r="Q90" s="23">
        <f>Sheet1!CA15</f>
        <v>0</v>
      </c>
      <c r="R90" s="23">
        <f>Sheet1!CB15</f>
        <v>0</v>
      </c>
      <c r="S90" s="23">
        <f>Sheet1!CC15</f>
        <v>0</v>
      </c>
      <c r="T90" s="23">
        <f>Sheet1!CD15</f>
        <v>0</v>
      </c>
      <c r="U90" s="23">
        <f>Sheet1!CE15</f>
        <v>0</v>
      </c>
      <c r="V90" s="23">
        <f>Sheet1!CF15</f>
        <v>0</v>
      </c>
      <c r="W90" s="23">
        <f>Sheet1!CG15</f>
        <v>0</v>
      </c>
      <c r="X90" s="23">
        <f>Sheet1!CH15</f>
        <v>0</v>
      </c>
      <c r="Y90" s="23">
        <f>Sheet1!CI15</f>
        <v>0</v>
      </c>
      <c r="Z90" s="23">
        <f>Sheet1!CJ15</f>
        <v>0</v>
      </c>
      <c r="AA90" s="23">
        <f>Sheet1!CK15</f>
        <v>0</v>
      </c>
      <c r="AB90" s="23">
        <f>Sheet1!CL15</f>
        <v>0</v>
      </c>
      <c r="AC90" s="23">
        <f>Sheet1!CM15</f>
        <v>0</v>
      </c>
      <c r="AD90" s="23">
        <f>Sheet1!CN15</f>
        <v>0</v>
      </c>
      <c r="AE90" s="23">
        <f>Sheet1!CO15</f>
        <v>0</v>
      </c>
      <c r="AF90" s="23"/>
    </row>
    <row r="91" spans="1:32" ht="16.5">
      <c r="A91" s="295"/>
      <c r="B91" s="313"/>
      <c r="C91" s="22" t="s">
        <v>53</v>
      </c>
      <c r="D91" s="22" t="s">
        <v>46</v>
      </c>
      <c r="E91" s="23">
        <f>Sheet1!BO16</f>
        <v>0</v>
      </c>
      <c r="F91" s="23">
        <f>Sheet1!BP16</f>
        <v>0</v>
      </c>
      <c r="G91" s="23">
        <f>Sheet1!BQ16</f>
        <v>0</v>
      </c>
      <c r="H91" s="23">
        <f>Sheet1!BR16</f>
        <v>0</v>
      </c>
      <c r="I91" s="23">
        <f>Sheet1!BS16</f>
        <v>0</v>
      </c>
      <c r="J91" s="23">
        <f>Sheet1!BT16</f>
        <v>0</v>
      </c>
      <c r="K91" s="23">
        <f>Sheet1!BU16</f>
        <v>0</v>
      </c>
      <c r="L91" s="23">
        <f>Sheet1!BV16</f>
        <v>0</v>
      </c>
      <c r="M91" s="23">
        <f>Sheet1!BW16</f>
        <v>0</v>
      </c>
      <c r="N91" s="23">
        <f>Sheet1!BX16</f>
        <v>0</v>
      </c>
      <c r="O91" s="23">
        <f>Sheet1!BY16</f>
        <v>0</v>
      </c>
      <c r="P91" s="23">
        <f>Sheet1!BZ16</f>
        <v>0</v>
      </c>
      <c r="Q91" s="23">
        <f>Sheet1!CA16</f>
        <v>0</v>
      </c>
      <c r="R91" s="23">
        <f>Sheet1!CB16</f>
        <v>0</v>
      </c>
      <c r="S91" s="23">
        <f>Sheet1!CC16</f>
        <v>0</v>
      </c>
      <c r="T91" s="23">
        <f>Sheet1!CD16</f>
        <v>0</v>
      </c>
      <c r="U91" s="23">
        <f>Sheet1!CE16</f>
        <v>0</v>
      </c>
      <c r="V91" s="23">
        <f>Sheet1!CF16</f>
        <v>0</v>
      </c>
      <c r="W91" s="23">
        <f>Sheet1!CG16</f>
        <v>0</v>
      </c>
      <c r="X91" s="23">
        <f>Sheet1!CH16</f>
        <v>0</v>
      </c>
      <c r="Y91" s="23">
        <f>Sheet1!CI16</f>
        <v>0</v>
      </c>
      <c r="Z91" s="23">
        <f>Sheet1!CJ16</f>
        <v>0</v>
      </c>
      <c r="AA91" s="23">
        <f>Sheet1!CK16</f>
        <v>0</v>
      </c>
      <c r="AB91" s="23">
        <f>Sheet1!CL16</f>
        <v>0</v>
      </c>
      <c r="AC91" s="23">
        <f>Sheet1!CM16</f>
        <v>0</v>
      </c>
      <c r="AD91" s="23">
        <f>Sheet1!CN16</f>
        <v>0</v>
      </c>
      <c r="AE91" s="23">
        <f>Sheet1!CO16</f>
        <v>0</v>
      </c>
      <c r="AF91" s="23"/>
    </row>
    <row r="92" spans="1:32" ht="16.5">
      <c r="A92" s="295"/>
      <c r="B92" s="313"/>
      <c r="C92" s="22" t="s">
        <v>54</v>
      </c>
      <c r="D92" s="22" t="s">
        <v>35</v>
      </c>
      <c r="E92" s="23">
        <f>Sheet1!BO19</f>
        <v>0</v>
      </c>
      <c r="F92" s="23">
        <f>Sheet1!BP19</f>
        <v>0</v>
      </c>
      <c r="G92" s="23">
        <f>Sheet1!BQ19</f>
        <v>0</v>
      </c>
      <c r="H92" s="23">
        <f>Sheet1!BR19</f>
        <v>0</v>
      </c>
      <c r="I92" s="23">
        <f>Sheet1!BS19</f>
        <v>0</v>
      </c>
      <c r="J92" s="23">
        <f>Sheet1!BT19</f>
        <v>0</v>
      </c>
      <c r="K92" s="23">
        <f>Sheet1!BU19</f>
        <v>0</v>
      </c>
      <c r="L92" s="23">
        <f>Sheet1!BV19</f>
        <v>0</v>
      </c>
      <c r="M92" s="23">
        <f>Sheet1!BW19</f>
        <v>0</v>
      </c>
      <c r="N92" s="23">
        <f>Sheet1!BX19</f>
        <v>0</v>
      </c>
      <c r="O92" s="23">
        <f>Sheet1!BY19</f>
        <v>0</v>
      </c>
      <c r="P92" s="23">
        <f>Sheet1!BZ19</f>
        <v>0</v>
      </c>
      <c r="Q92" s="23">
        <f>Sheet1!CA19</f>
        <v>0</v>
      </c>
      <c r="R92" s="23">
        <f>Sheet1!CB19</f>
        <v>0</v>
      </c>
      <c r="S92" s="23">
        <f>Sheet1!CC19</f>
        <v>0</v>
      </c>
      <c r="T92" s="23">
        <f>Sheet1!CD19</f>
        <v>0</v>
      </c>
      <c r="U92" s="23">
        <f>Sheet1!CE19</f>
        <v>0</v>
      </c>
      <c r="V92" s="23">
        <f>Sheet1!CF19</f>
        <v>0</v>
      </c>
      <c r="W92" s="23">
        <f>Sheet1!CG19</f>
        <v>0</v>
      </c>
      <c r="X92" s="23">
        <f>Sheet1!CH19</f>
        <v>0</v>
      </c>
      <c r="Y92" s="23">
        <f>Sheet1!CI19</f>
        <v>0</v>
      </c>
      <c r="Z92" s="23">
        <f>Sheet1!CJ19</f>
        <v>0</v>
      </c>
      <c r="AA92" s="23">
        <f>Sheet1!CK19</f>
        <v>0</v>
      </c>
      <c r="AB92" s="23">
        <f>Sheet1!CL19</f>
        <v>0</v>
      </c>
      <c r="AC92" s="23">
        <f>Sheet1!CM19</f>
        <v>0</v>
      </c>
      <c r="AD92" s="23">
        <f>Sheet1!CN19</f>
        <v>0</v>
      </c>
      <c r="AE92" s="23">
        <f>Sheet1!CO19</f>
        <v>0</v>
      </c>
      <c r="AF92" s="23"/>
    </row>
    <row r="93" spans="1:32" ht="16.5">
      <c r="A93" s="295"/>
      <c r="B93" s="313"/>
      <c r="C93" s="22" t="s">
        <v>55</v>
      </c>
      <c r="D93" s="22" t="s">
        <v>35</v>
      </c>
      <c r="E93" s="23">
        <f>Sheet1!BO20</f>
        <v>0</v>
      </c>
      <c r="F93" s="23">
        <f>Sheet1!BP20</f>
        <v>0</v>
      </c>
      <c r="G93" s="23">
        <f>Sheet1!BQ20</f>
        <v>0</v>
      </c>
      <c r="H93" s="23">
        <f>Sheet1!BR20</f>
        <v>0</v>
      </c>
      <c r="I93" s="23">
        <f>Sheet1!BS20</f>
        <v>0</v>
      </c>
      <c r="J93" s="23">
        <f>Sheet1!BT20</f>
        <v>0</v>
      </c>
      <c r="K93" s="23">
        <f>Sheet1!BU20</f>
        <v>0</v>
      </c>
      <c r="L93" s="23">
        <f>Sheet1!BV20</f>
        <v>0</v>
      </c>
      <c r="M93" s="23">
        <f>Sheet1!BW20</f>
        <v>0</v>
      </c>
      <c r="N93" s="23">
        <f>Sheet1!BX20</f>
        <v>0</v>
      </c>
      <c r="O93" s="23">
        <f>Sheet1!BY20</f>
        <v>0</v>
      </c>
      <c r="P93" s="23">
        <f>Sheet1!BZ20</f>
        <v>0</v>
      </c>
      <c r="Q93" s="23">
        <f>Sheet1!CA20</f>
        <v>0</v>
      </c>
      <c r="R93" s="23">
        <f>Sheet1!CB20</f>
        <v>0</v>
      </c>
      <c r="S93" s="23">
        <f>Sheet1!CC20</f>
        <v>0</v>
      </c>
      <c r="T93" s="23">
        <f>Sheet1!CD20</f>
        <v>0</v>
      </c>
      <c r="U93" s="23">
        <f>Sheet1!CE20</f>
        <v>0</v>
      </c>
      <c r="V93" s="23">
        <f>Sheet1!CF20</f>
        <v>0</v>
      </c>
      <c r="W93" s="23">
        <f>Sheet1!CG20</f>
        <v>0</v>
      </c>
      <c r="X93" s="23">
        <f>Sheet1!CH20</f>
        <v>0</v>
      </c>
      <c r="Y93" s="23">
        <f>Sheet1!CI20</f>
        <v>0</v>
      </c>
      <c r="Z93" s="23">
        <f>Sheet1!CJ20</f>
        <v>0</v>
      </c>
      <c r="AA93" s="23">
        <f>Sheet1!CK20</f>
        <v>0</v>
      </c>
      <c r="AB93" s="23">
        <f>Sheet1!CL20</f>
        <v>0</v>
      </c>
      <c r="AC93" s="23">
        <f>Sheet1!CM20</f>
        <v>0</v>
      </c>
      <c r="AD93" s="23">
        <f>Sheet1!CN20</f>
        <v>0</v>
      </c>
      <c r="AE93" s="23">
        <f>Sheet1!CO20</f>
        <v>0</v>
      </c>
      <c r="AF93" s="23"/>
    </row>
    <row r="94" spans="1:32" ht="16.5">
      <c r="A94" s="295"/>
      <c r="B94" s="313"/>
      <c r="C94" s="22" t="s">
        <v>56</v>
      </c>
      <c r="D94" s="22" t="s">
        <v>46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</row>
    <row r="95" spans="1:32" ht="16.5">
      <c r="A95" s="295"/>
      <c r="B95" s="313"/>
      <c r="C95" s="26" t="s">
        <v>39</v>
      </c>
      <c r="D95" s="26"/>
      <c r="E95" s="25">
        <f>SUBTOTAL(9,E89:E94)</f>
        <v>0</v>
      </c>
      <c r="F95" s="25">
        <f>SUBTOTAL(9,F89:F94)</f>
        <v>0</v>
      </c>
      <c r="G95" s="25">
        <f t="shared" ref="G95:AE95" si="25">SUBTOTAL(9,G89:G94)</f>
        <v>0</v>
      </c>
      <c r="H95" s="25">
        <f t="shared" si="25"/>
        <v>0</v>
      </c>
      <c r="I95" s="25" t="e">
        <f>U95/R95</f>
        <v>#DIV/0!</v>
      </c>
      <c r="J95" s="25">
        <f t="shared" si="25"/>
        <v>0</v>
      </c>
      <c r="K95" s="25">
        <f t="shared" si="25"/>
        <v>0</v>
      </c>
      <c r="L95" s="25">
        <f t="shared" si="25"/>
        <v>0</v>
      </c>
      <c r="M95" s="25">
        <f t="shared" si="25"/>
        <v>0</v>
      </c>
      <c r="N95" s="25">
        <f t="shared" si="25"/>
        <v>0</v>
      </c>
      <c r="O95" s="25">
        <f t="shared" si="25"/>
        <v>0</v>
      </c>
      <c r="P95" s="25">
        <f t="shared" si="25"/>
        <v>0</v>
      </c>
      <c r="Q95" s="25">
        <f t="shared" si="25"/>
        <v>0</v>
      </c>
      <c r="R95" s="25">
        <f t="shared" si="25"/>
        <v>0</v>
      </c>
      <c r="S95" s="25">
        <f t="shared" si="25"/>
        <v>0</v>
      </c>
      <c r="T95" s="25">
        <f t="shared" si="25"/>
        <v>0</v>
      </c>
      <c r="U95" s="25">
        <f t="shared" si="25"/>
        <v>0</v>
      </c>
      <c r="V95" s="25">
        <f t="shared" si="25"/>
        <v>0</v>
      </c>
      <c r="W95" s="25">
        <f t="shared" si="25"/>
        <v>0</v>
      </c>
      <c r="X95" s="25">
        <f t="shared" si="25"/>
        <v>0</v>
      </c>
      <c r="Y95" s="25">
        <f t="shared" si="25"/>
        <v>0</v>
      </c>
      <c r="Z95" s="25">
        <f t="shared" si="25"/>
        <v>0</v>
      </c>
      <c r="AA95" s="25">
        <f t="shared" si="25"/>
        <v>0</v>
      </c>
      <c r="AB95" s="25">
        <f t="shared" si="25"/>
        <v>0</v>
      </c>
      <c r="AC95" s="25">
        <f t="shared" si="25"/>
        <v>0</v>
      </c>
      <c r="AD95" s="25">
        <f t="shared" si="25"/>
        <v>0</v>
      </c>
      <c r="AE95" s="25">
        <f t="shared" si="25"/>
        <v>0</v>
      </c>
      <c r="AF95" s="23"/>
    </row>
    <row r="96" spans="1:32" ht="16.5">
      <c r="A96" s="295" t="s">
        <v>57</v>
      </c>
      <c r="B96" s="27" t="s">
        <v>58</v>
      </c>
      <c r="C96" s="27" t="s">
        <v>58</v>
      </c>
      <c r="D96" s="27" t="s">
        <v>35</v>
      </c>
      <c r="E96" s="23">
        <f>Sheet1!BO21</f>
        <v>0</v>
      </c>
      <c r="F96" s="23">
        <f>Sheet1!BP21</f>
        <v>0</v>
      </c>
      <c r="G96" s="23">
        <f>Sheet1!BQ21</f>
        <v>0</v>
      </c>
      <c r="H96" s="23">
        <f>Sheet1!BR21</f>
        <v>0</v>
      </c>
      <c r="I96" s="23">
        <f>Sheet1!BS21</f>
        <v>0</v>
      </c>
      <c r="J96" s="23">
        <f>Sheet1!BT21</f>
        <v>0</v>
      </c>
      <c r="K96" s="23">
        <f>Sheet1!BU21</f>
        <v>0</v>
      </c>
      <c r="L96" s="23">
        <f>Sheet1!BV21</f>
        <v>0</v>
      </c>
      <c r="M96" s="23">
        <f>Sheet1!BW21</f>
        <v>0</v>
      </c>
      <c r="N96" s="23">
        <f>Sheet1!BX21</f>
        <v>0</v>
      </c>
      <c r="O96" s="23">
        <f>Sheet1!BY21</f>
        <v>0</v>
      </c>
      <c r="P96" s="23">
        <f>Sheet1!BZ21</f>
        <v>0</v>
      </c>
      <c r="Q96" s="23">
        <f>Sheet1!CA21</f>
        <v>0</v>
      </c>
      <c r="R96" s="23">
        <f>Sheet1!CB21</f>
        <v>0</v>
      </c>
      <c r="S96" s="23">
        <f>Sheet1!CC21</f>
        <v>0</v>
      </c>
      <c r="T96" s="23">
        <f>Sheet1!CD21</f>
        <v>0</v>
      </c>
      <c r="U96" s="23">
        <f>Sheet1!CE21</f>
        <v>0</v>
      </c>
      <c r="V96" s="23">
        <f>Sheet1!CF21</f>
        <v>0</v>
      </c>
      <c r="W96" s="23">
        <f>Sheet1!CG21</f>
        <v>0</v>
      </c>
      <c r="X96" s="23">
        <f>Sheet1!CH21</f>
        <v>0</v>
      </c>
      <c r="Y96" s="23">
        <f>Sheet1!CI21</f>
        <v>0</v>
      </c>
      <c r="Z96" s="23">
        <f>Sheet1!CJ21</f>
        <v>0</v>
      </c>
      <c r="AA96" s="23">
        <f>Sheet1!CK21</f>
        <v>0</v>
      </c>
      <c r="AB96" s="23">
        <f>Sheet1!CL21</f>
        <v>0</v>
      </c>
      <c r="AC96" s="23">
        <f>Sheet1!CM21</f>
        <v>0</v>
      </c>
      <c r="AD96" s="23">
        <f>Sheet1!CN21</f>
        <v>0</v>
      </c>
      <c r="AE96" s="23">
        <f>Sheet1!CO21</f>
        <v>0</v>
      </c>
      <c r="AF96" s="23"/>
    </row>
    <row r="97" spans="1:32" ht="16.5">
      <c r="A97" s="295"/>
      <c r="B97" s="28" t="s">
        <v>59</v>
      </c>
      <c r="C97" s="28" t="s">
        <v>59</v>
      </c>
      <c r="D97" s="28" t="s">
        <v>35</v>
      </c>
      <c r="E97" s="23">
        <f>Sheet1!BO22</f>
        <v>0</v>
      </c>
      <c r="F97" s="23">
        <f>Sheet1!BP22</f>
        <v>0</v>
      </c>
      <c r="G97" s="23">
        <f>Sheet1!BQ22</f>
        <v>0</v>
      </c>
      <c r="H97" s="23">
        <f>Sheet1!BR22</f>
        <v>0</v>
      </c>
      <c r="I97" s="23">
        <f>Sheet1!BS22</f>
        <v>0</v>
      </c>
      <c r="J97" s="23">
        <f>Sheet1!BT22</f>
        <v>0</v>
      </c>
      <c r="K97" s="23">
        <f>Sheet1!BU22</f>
        <v>0</v>
      </c>
      <c r="L97" s="23">
        <f>Sheet1!BV22</f>
        <v>0</v>
      </c>
      <c r="M97" s="23">
        <f>Sheet1!BW22</f>
        <v>0</v>
      </c>
      <c r="N97" s="23">
        <f>Sheet1!BX22</f>
        <v>0</v>
      </c>
      <c r="O97" s="23">
        <f>Sheet1!BY22</f>
        <v>0</v>
      </c>
      <c r="P97" s="23">
        <f>Sheet1!BZ22</f>
        <v>0</v>
      </c>
      <c r="Q97" s="23">
        <f>Sheet1!CA22</f>
        <v>0</v>
      </c>
      <c r="R97" s="23">
        <f>Sheet1!CB22</f>
        <v>0</v>
      </c>
      <c r="S97" s="23">
        <f>Sheet1!CC22</f>
        <v>0</v>
      </c>
      <c r="T97" s="23">
        <f>Sheet1!CD22</f>
        <v>0</v>
      </c>
      <c r="U97" s="23">
        <f>Sheet1!CE22</f>
        <v>0</v>
      </c>
      <c r="V97" s="23">
        <f>Sheet1!CF22</f>
        <v>0</v>
      </c>
      <c r="W97" s="23">
        <f>Sheet1!CG22</f>
        <v>0</v>
      </c>
      <c r="X97" s="23">
        <f>Sheet1!CH22</f>
        <v>0</v>
      </c>
      <c r="Y97" s="23">
        <f>Sheet1!CI22</f>
        <v>0</v>
      </c>
      <c r="Z97" s="23">
        <f>Sheet1!CJ22</f>
        <v>0</v>
      </c>
      <c r="AA97" s="23">
        <f>Sheet1!CK22</f>
        <v>0</v>
      </c>
      <c r="AB97" s="23">
        <f>Sheet1!CL22</f>
        <v>0</v>
      </c>
      <c r="AC97" s="23">
        <f>Sheet1!CM22</f>
        <v>0</v>
      </c>
      <c r="AD97" s="23">
        <f>Sheet1!CN22</f>
        <v>0</v>
      </c>
      <c r="AE97" s="23">
        <f>Sheet1!CO22</f>
        <v>0</v>
      </c>
      <c r="AF97" s="23"/>
    </row>
    <row r="98" spans="1:32" ht="16.5">
      <c r="A98" s="295"/>
      <c r="B98" s="296" t="s">
        <v>39</v>
      </c>
      <c r="C98" s="296"/>
      <c r="D98" s="24"/>
      <c r="E98" s="25">
        <f>SUBTOTAL(9,E96:E97)</f>
        <v>0</v>
      </c>
      <c r="F98" s="25">
        <f>SUBTOTAL(9,F96:F97)</f>
        <v>0</v>
      </c>
      <c r="G98" s="25">
        <f t="shared" ref="G98:AE98" si="26">SUBTOTAL(9,G96:G97)</f>
        <v>0</v>
      </c>
      <c r="H98" s="25">
        <f t="shared" si="26"/>
        <v>0</v>
      </c>
      <c r="I98" s="25" t="e">
        <f>U98/R98</f>
        <v>#DIV/0!</v>
      </c>
      <c r="J98" s="25">
        <f t="shared" si="26"/>
        <v>0</v>
      </c>
      <c r="K98" s="25">
        <f t="shared" si="26"/>
        <v>0</v>
      </c>
      <c r="L98" s="25">
        <f t="shared" si="26"/>
        <v>0</v>
      </c>
      <c r="M98" s="25">
        <f t="shared" si="26"/>
        <v>0</v>
      </c>
      <c r="N98" s="25">
        <f t="shared" si="26"/>
        <v>0</v>
      </c>
      <c r="O98" s="25">
        <f t="shared" si="26"/>
        <v>0</v>
      </c>
      <c r="P98" s="25">
        <f t="shared" si="26"/>
        <v>0</v>
      </c>
      <c r="Q98" s="25">
        <f t="shared" si="26"/>
        <v>0</v>
      </c>
      <c r="R98" s="25">
        <f t="shared" si="26"/>
        <v>0</v>
      </c>
      <c r="S98" s="25">
        <f t="shared" si="26"/>
        <v>0</v>
      </c>
      <c r="T98" s="25">
        <f t="shared" si="26"/>
        <v>0</v>
      </c>
      <c r="U98" s="25">
        <f t="shared" si="26"/>
        <v>0</v>
      </c>
      <c r="V98" s="25">
        <f t="shared" si="26"/>
        <v>0</v>
      </c>
      <c r="W98" s="25">
        <f t="shared" si="26"/>
        <v>0</v>
      </c>
      <c r="X98" s="25">
        <f t="shared" si="26"/>
        <v>0</v>
      </c>
      <c r="Y98" s="25">
        <f t="shared" si="26"/>
        <v>0</v>
      </c>
      <c r="Z98" s="25">
        <f t="shared" si="26"/>
        <v>0</v>
      </c>
      <c r="AA98" s="25">
        <f t="shared" si="26"/>
        <v>0</v>
      </c>
      <c r="AB98" s="25">
        <f t="shared" si="26"/>
        <v>0</v>
      </c>
      <c r="AC98" s="25">
        <f t="shared" si="26"/>
        <v>0</v>
      </c>
      <c r="AD98" s="25">
        <f t="shared" si="26"/>
        <v>0</v>
      </c>
      <c r="AE98" s="25">
        <f t="shared" si="26"/>
        <v>0</v>
      </c>
      <c r="AF98" s="23"/>
    </row>
    <row r="99" spans="1:32" ht="16.5">
      <c r="A99" s="302" t="s">
        <v>60</v>
      </c>
      <c r="B99" s="302"/>
      <c r="C99" s="302"/>
      <c r="D99" s="29"/>
      <c r="E99" s="30">
        <f>SUBTOTAL(9,E78:E98)</f>
        <v>0</v>
      </c>
      <c r="F99" s="30">
        <f>SUBTOTAL(9,F78:F98)</f>
        <v>0</v>
      </c>
      <c r="G99" s="30">
        <f t="shared" ref="G99:AE99" si="27">SUBTOTAL(9,G78:G98)</f>
        <v>0</v>
      </c>
      <c r="H99" s="30">
        <f t="shared" si="27"/>
        <v>0</v>
      </c>
      <c r="I99" s="30" t="e">
        <f>U99/R99</f>
        <v>#DIV/0!</v>
      </c>
      <c r="J99" s="30">
        <f t="shared" si="27"/>
        <v>0</v>
      </c>
      <c r="K99" s="30">
        <f t="shared" si="27"/>
        <v>0</v>
      </c>
      <c r="L99" s="30">
        <f t="shared" si="27"/>
        <v>0</v>
      </c>
      <c r="M99" s="30">
        <f t="shared" si="27"/>
        <v>0</v>
      </c>
      <c r="N99" s="30">
        <f t="shared" si="27"/>
        <v>0</v>
      </c>
      <c r="O99" s="30">
        <f t="shared" si="27"/>
        <v>0</v>
      </c>
      <c r="P99" s="30">
        <f t="shared" si="27"/>
        <v>0</v>
      </c>
      <c r="Q99" s="30">
        <f t="shared" si="27"/>
        <v>0</v>
      </c>
      <c r="R99" s="30">
        <f t="shared" si="27"/>
        <v>0</v>
      </c>
      <c r="S99" s="30">
        <f t="shared" si="27"/>
        <v>0</v>
      </c>
      <c r="T99" s="30">
        <f t="shared" si="27"/>
        <v>0</v>
      </c>
      <c r="U99" s="30">
        <f t="shared" si="27"/>
        <v>0</v>
      </c>
      <c r="V99" s="30">
        <f t="shared" si="27"/>
        <v>0</v>
      </c>
      <c r="W99" s="30">
        <f t="shared" si="27"/>
        <v>0</v>
      </c>
      <c r="X99" s="30">
        <f>U99+V99+W99</f>
        <v>0</v>
      </c>
      <c r="Y99" s="30">
        <f t="shared" si="27"/>
        <v>0</v>
      </c>
      <c r="Z99" s="30">
        <f t="shared" si="27"/>
        <v>0</v>
      </c>
      <c r="AA99" s="30">
        <f t="shared" si="27"/>
        <v>0</v>
      </c>
      <c r="AB99" s="30">
        <f t="shared" si="27"/>
        <v>0</v>
      </c>
      <c r="AC99" s="30">
        <f t="shared" si="27"/>
        <v>0</v>
      </c>
      <c r="AD99" s="30">
        <f t="shared" si="27"/>
        <v>0</v>
      </c>
      <c r="AE99" s="30">
        <f t="shared" si="27"/>
        <v>0</v>
      </c>
      <c r="AF99" s="23"/>
    </row>
    <row r="100" spans="1:32" ht="16.5">
      <c r="A100" s="65"/>
      <c r="B100" s="65"/>
      <c r="C100" s="65"/>
      <c r="D100" s="65"/>
      <c r="E100" s="66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8"/>
      <c r="Q100" s="69"/>
      <c r="R100" s="69"/>
      <c r="S100" s="69"/>
      <c r="T100" s="70"/>
      <c r="U100" s="67"/>
      <c r="V100" s="67"/>
      <c r="W100" s="66"/>
      <c r="X100" s="67"/>
      <c r="Y100" s="66"/>
      <c r="Z100" s="66"/>
      <c r="AA100" s="66"/>
      <c r="AB100" s="66"/>
      <c r="AC100" s="66"/>
      <c r="AD100" s="66"/>
      <c r="AE100" s="66"/>
      <c r="AF100" s="66"/>
    </row>
    <row r="101" spans="1:32">
      <c r="A101" s="303" t="s">
        <v>1</v>
      </c>
      <c r="B101" s="304"/>
      <c r="C101" s="304"/>
      <c r="D101" s="305"/>
      <c r="E101" s="291" t="s">
        <v>61</v>
      </c>
      <c r="F101" s="291" t="s">
        <v>3</v>
      </c>
      <c r="G101" s="291" t="s">
        <v>4</v>
      </c>
      <c r="H101" s="291" t="s">
        <v>5</v>
      </c>
      <c r="I101" s="298" t="s">
        <v>6</v>
      </c>
      <c r="J101" s="299"/>
      <c r="K101" s="299"/>
      <c r="L101" s="299"/>
      <c r="M101" s="299"/>
      <c r="N101" s="299"/>
      <c r="O101" s="299"/>
      <c r="P101" s="299"/>
      <c r="Q101" s="299"/>
      <c r="R101" s="301"/>
      <c r="S101" s="298" t="s">
        <v>7</v>
      </c>
      <c r="T101" s="301"/>
      <c r="U101" s="288" t="s">
        <v>8</v>
      </c>
      <c r="V101" s="289" t="s">
        <v>9</v>
      </c>
      <c r="W101" s="297" t="s">
        <v>10</v>
      </c>
      <c r="X101" s="297" t="s">
        <v>11</v>
      </c>
      <c r="Y101" s="297" t="s">
        <v>12</v>
      </c>
      <c r="Z101" s="292" t="s">
        <v>13</v>
      </c>
      <c r="AA101" s="292" t="s">
        <v>14</v>
      </c>
      <c r="AB101" s="297" t="s">
        <v>62</v>
      </c>
      <c r="AC101" s="297" t="s">
        <v>63</v>
      </c>
      <c r="AD101" s="297" t="s">
        <v>17</v>
      </c>
      <c r="AE101" s="294" t="s">
        <v>18</v>
      </c>
      <c r="AF101" s="294" t="s">
        <v>18</v>
      </c>
    </row>
    <row r="102" spans="1:32" ht="114.75">
      <c r="A102" s="306"/>
      <c r="B102" s="307"/>
      <c r="C102" s="307"/>
      <c r="D102" s="308"/>
      <c r="E102" s="291"/>
      <c r="F102" s="291"/>
      <c r="G102" s="291"/>
      <c r="H102" s="291"/>
      <c r="I102" s="1" t="s">
        <v>20</v>
      </c>
      <c r="J102" s="6" t="s">
        <v>64</v>
      </c>
      <c r="K102" s="3" t="s">
        <v>22</v>
      </c>
      <c r="L102" s="3" t="s">
        <v>23</v>
      </c>
      <c r="M102" s="7" t="s">
        <v>24</v>
      </c>
      <c r="N102" s="7" t="s">
        <v>25</v>
      </c>
      <c r="O102" s="7" t="s">
        <v>26</v>
      </c>
      <c r="P102" s="7" t="s">
        <v>27</v>
      </c>
      <c r="Q102" s="1" t="s">
        <v>28</v>
      </c>
      <c r="R102" s="1" t="s">
        <v>65</v>
      </c>
      <c r="S102" s="1" t="s">
        <v>30</v>
      </c>
      <c r="T102" s="1" t="s">
        <v>31</v>
      </c>
      <c r="U102" s="288"/>
      <c r="V102" s="290"/>
      <c r="W102" s="297"/>
      <c r="X102" s="297"/>
      <c r="Y102" s="297"/>
      <c r="Z102" s="293"/>
      <c r="AA102" s="293"/>
      <c r="AB102" s="297"/>
      <c r="AC102" s="297"/>
      <c r="AD102" s="297"/>
      <c r="AE102" s="294"/>
      <c r="AF102" s="294"/>
    </row>
    <row r="103" spans="1:32" ht="16.5">
      <c r="A103" s="314" t="str">
        <f>+D103</f>
        <v>Direct</v>
      </c>
      <c r="B103" s="314"/>
      <c r="C103" s="314"/>
      <c r="D103" s="37" t="s">
        <v>46</v>
      </c>
      <c r="E103" s="38">
        <f>Sheet1!FA6</f>
        <v>0</v>
      </c>
      <c r="F103" s="38">
        <f>Sheet1!FB6</f>
        <v>0</v>
      </c>
      <c r="G103" s="38">
        <f>Sheet1!FC6</f>
        <v>0</v>
      </c>
      <c r="H103" s="38">
        <f>Sheet1!FD6</f>
        <v>0</v>
      </c>
      <c r="I103" s="38">
        <f>Sheet1!FE6</f>
        <v>0</v>
      </c>
      <c r="J103" s="38">
        <f>Sheet1!FF6</f>
        <v>0</v>
      </c>
      <c r="K103" s="38">
        <f>Sheet1!FG6</f>
        <v>0</v>
      </c>
      <c r="L103" s="38">
        <f>Sheet1!FH6</f>
        <v>0</v>
      </c>
      <c r="M103" s="38">
        <f>Sheet1!FI6</f>
        <v>0</v>
      </c>
      <c r="N103" s="38">
        <f>Sheet1!FJ6</f>
        <v>0</v>
      </c>
      <c r="O103" s="38">
        <f>Sheet1!FK6</f>
        <v>0</v>
      </c>
      <c r="P103" s="38">
        <f>Sheet1!FL6</f>
        <v>0</v>
      </c>
      <c r="Q103" s="38">
        <f>Sheet1!FM6</f>
        <v>0</v>
      </c>
      <c r="R103" s="38">
        <f>Sheet1!FN6</f>
        <v>0</v>
      </c>
      <c r="S103" s="38">
        <f>Sheet1!FO6</f>
        <v>0</v>
      </c>
      <c r="T103" s="38">
        <f>Sheet1!FP6</f>
        <v>0</v>
      </c>
      <c r="U103" s="38">
        <f>Sheet1!FQ6</f>
        <v>0</v>
      </c>
      <c r="V103" s="38">
        <f>Sheet1!FR6</f>
        <v>0</v>
      </c>
      <c r="W103" s="38">
        <f>Sheet1!FS6</f>
        <v>0</v>
      </c>
      <c r="X103" s="38">
        <f>Sheet1!FT6</f>
        <v>0</v>
      </c>
      <c r="Y103" s="38">
        <f>Sheet1!FU6</f>
        <v>0</v>
      </c>
      <c r="Z103" s="38">
        <f>Sheet1!FV6</f>
        <v>0</v>
      </c>
      <c r="AA103" s="38">
        <f>Sheet1!FW6</f>
        <v>0</v>
      </c>
      <c r="AB103" s="38">
        <f>Sheet1!FX6</f>
        <v>0</v>
      </c>
      <c r="AC103" s="38">
        <f>Sheet1!FY6</f>
        <v>0</v>
      </c>
      <c r="AD103" s="38">
        <f>Sheet1!FZ6</f>
        <v>0</v>
      </c>
      <c r="AE103" s="38">
        <f>Sheet1!GA6</f>
        <v>0</v>
      </c>
      <c r="AF103" s="38">
        <f>Sheet1!GB6</f>
        <v>0</v>
      </c>
    </row>
    <row r="104" spans="1:32" ht="16.5">
      <c r="A104" s="314" t="str">
        <f t="shared" ref="A104:A105" si="28">+D104</f>
        <v>Indirect</v>
      </c>
      <c r="B104" s="314"/>
      <c r="C104" s="314"/>
      <c r="D104" s="37" t="s">
        <v>35</v>
      </c>
      <c r="E104" s="38">
        <f>Sheet1!FA7</f>
        <v>0</v>
      </c>
      <c r="F104" s="38">
        <f>Sheet1!FB7</f>
        <v>0</v>
      </c>
      <c r="G104" s="38">
        <f>Sheet1!FC7</f>
        <v>0</v>
      </c>
      <c r="H104" s="38">
        <f>Sheet1!FD7</f>
        <v>0</v>
      </c>
      <c r="I104" s="38">
        <f>Sheet1!FE7</f>
        <v>0</v>
      </c>
      <c r="J104" s="38">
        <f>Sheet1!FF7</f>
        <v>0</v>
      </c>
      <c r="K104" s="38">
        <f>Sheet1!FG7</f>
        <v>0</v>
      </c>
      <c r="L104" s="38">
        <f>Sheet1!FH7</f>
        <v>0</v>
      </c>
      <c r="M104" s="38">
        <f>Sheet1!FI7</f>
        <v>0</v>
      </c>
      <c r="N104" s="38">
        <f>Sheet1!FJ7</f>
        <v>0</v>
      </c>
      <c r="O104" s="38">
        <f>Sheet1!FK7</f>
        <v>0</v>
      </c>
      <c r="P104" s="38">
        <f>Sheet1!FL7</f>
        <v>0</v>
      </c>
      <c r="Q104" s="38">
        <f>Sheet1!FM7</f>
        <v>0</v>
      </c>
      <c r="R104" s="38">
        <f>Sheet1!FN7</f>
        <v>0</v>
      </c>
      <c r="S104" s="38">
        <f>Sheet1!FO7</f>
        <v>0</v>
      </c>
      <c r="T104" s="38">
        <f>Sheet1!FP7</f>
        <v>0</v>
      </c>
      <c r="U104" s="38">
        <f>Sheet1!FQ7</f>
        <v>0</v>
      </c>
      <c r="V104" s="38">
        <f>Sheet1!FR7</f>
        <v>0</v>
      </c>
      <c r="W104" s="38">
        <f>Sheet1!FS7</f>
        <v>0</v>
      </c>
      <c r="X104" s="38">
        <f>Sheet1!FT7</f>
        <v>0</v>
      </c>
      <c r="Y104" s="38">
        <f>Sheet1!FU7</f>
        <v>0</v>
      </c>
      <c r="Z104" s="38">
        <f>Sheet1!FV7</f>
        <v>0</v>
      </c>
      <c r="AA104" s="38">
        <f>Sheet1!FW7</f>
        <v>0</v>
      </c>
      <c r="AB104" s="38">
        <f>Sheet1!FX7</f>
        <v>0</v>
      </c>
      <c r="AC104" s="38">
        <f>Sheet1!FY7</f>
        <v>0</v>
      </c>
      <c r="AD104" s="38">
        <f>Sheet1!FZ7</f>
        <v>0</v>
      </c>
      <c r="AE104" s="38">
        <f>Sheet1!GA7</f>
        <v>0</v>
      </c>
      <c r="AF104" s="38">
        <f>Sheet1!GB7</f>
        <v>0</v>
      </c>
    </row>
    <row r="105" spans="1:32" ht="16.5">
      <c r="A105" s="314" t="str">
        <f t="shared" si="28"/>
        <v>Admin</v>
      </c>
      <c r="B105" s="314"/>
      <c r="C105" s="314"/>
      <c r="D105" s="37" t="s">
        <v>38</v>
      </c>
      <c r="E105" s="38">
        <f>Sheet1!FA8</f>
        <v>0</v>
      </c>
      <c r="F105" s="38">
        <f>Sheet1!FB8</f>
        <v>0</v>
      </c>
      <c r="G105" s="38">
        <f>Sheet1!FC8</f>
        <v>0</v>
      </c>
      <c r="H105" s="38">
        <f>Sheet1!FD8</f>
        <v>0</v>
      </c>
      <c r="I105" s="38">
        <f>Sheet1!FE8</f>
        <v>0</v>
      </c>
      <c r="J105" s="38">
        <f>Sheet1!FF8</f>
        <v>0</v>
      </c>
      <c r="K105" s="38">
        <f>Sheet1!FG8</f>
        <v>0</v>
      </c>
      <c r="L105" s="38">
        <f>Sheet1!FH8</f>
        <v>0</v>
      </c>
      <c r="M105" s="38">
        <f>Sheet1!FI8</f>
        <v>0</v>
      </c>
      <c r="N105" s="38">
        <f>Sheet1!FJ8</f>
        <v>0</v>
      </c>
      <c r="O105" s="38">
        <f>Sheet1!FK8</f>
        <v>0</v>
      </c>
      <c r="P105" s="38">
        <f>Sheet1!FL8</f>
        <v>0</v>
      </c>
      <c r="Q105" s="38">
        <f>Sheet1!FM8</f>
        <v>0</v>
      </c>
      <c r="R105" s="38">
        <f>Sheet1!FN8</f>
        <v>0</v>
      </c>
      <c r="S105" s="38">
        <f>Sheet1!FO8</f>
        <v>0</v>
      </c>
      <c r="T105" s="38">
        <f>Sheet1!FP8</f>
        <v>0</v>
      </c>
      <c r="U105" s="38">
        <f>Sheet1!FQ8</f>
        <v>0</v>
      </c>
      <c r="V105" s="38">
        <f>Sheet1!FR8</f>
        <v>0</v>
      </c>
      <c r="W105" s="38">
        <f>Sheet1!FS8</f>
        <v>0</v>
      </c>
      <c r="X105" s="38">
        <f>Sheet1!FT8</f>
        <v>0</v>
      </c>
      <c r="Y105" s="38">
        <f>Sheet1!FU8</f>
        <v>0</v>
      </c>
      <c r="Z105" s="38">
        <f>Sheet1!FV8</f>
        <v>0</v>
      </c>
      <c r="AA105" s="38">
        <f>Sheet1!FW8</f>
        <v>0</v>
      </c>
      <c r="AB105" s="38">
        <f>Sheet1!FX8</f>
        <v>0</v>
      </c>
      <c r="AC105" s="38">
        <f>Sheet1!FY8</f>
        <v>0</v>
      </c>
      <c r="AD105" s="38">
        <f>Sheet1!FZ8</f>
        <v>0</v>
      </c>
      <c r="AE105" s="38">
        <f>Sheet1!GA8</f>
        <v>0</v>
      </c>
      <c r="AF105" s="38">
        <f>Sheet1!GB8</f>
        <v>0</v>
      </c>
    </row>
    <row r="106" spans="1:32" ht="19.5" customHeight="1">
      <c r="A106" s="314" t="s">
        <v>56</v>
      </c>
      <c r="B106" s="314"/>
      <c r="C106" s="314"/>
      <c r="D106" s="39" t="str">
        <f>+A106</f>
        <v>Seasonal worker</v>
      </c>
      <c r="E106" s="38">
        <f>Sheet1!FA9</f>
        <v>0</v>
      </c>
      <c r="F106" s="38">
        <f>Sheet1!FB9</f>
        <v>0</v>
      </c>
      <c r="G106" s="38">
        <f>Sheet1!FC9</f>
        <v>0</v>
      </c>
      <c r="H106" s="38">
        <f>Sheet1!FD9</f>
        <v>0</v>
      </c>
      <c r="I106" s="38">
        <f>Sheet1!FE9</f>
        <v>0</v>
      </c>
      <c r="J106" s="38">
        <f>Sheet1!FF9</f>
        <v>0</v>
      </c>
      <c r="K106" s="38">
        <f>Sheet1!FG9</f>
        <v>0</v>
      </c>
      <c r="L106" s="38">
        <f>Sheet1!FH9</f>
        <v>0</v>
      </c>
      <c r="M106" s="38">
        <f>Sheet1!FI9</f>
        <v>0</v>
      </c>
      <c r="N106" s="38">
        <f>Sheet1!FJ9</f>
        <v>0</v>
      </c>
      <c r="O106" s="38">
        <f>Sheet1!FK9</f>
        <v>0</v>
      </c>
      <c r="P106" s="38">
        <f>Sheet1!FL9</f>
        <v>0</v>
      </c>
      <c r="Q106" s="38">
        <f>Sheet1!FM9</f>
        <v>0</v>
      </c>
      <c r="R106" s="38">
        <f>Sheet1!FN9</f>
        <v>0</v>
      </c>
      <c r="S106" s="38">
        <f>Sheet1!FO9</f>
        <v>0</v>
      </c>
      <c r="T106" s="38">
        <f>Sheet1!FP9</f>
        <v>0</v>
      </c>
      <c r="U106" s="38">
        <f>Sheet1!FQ9</f>
        <v>0</v>
      </c>
      <c r="V106" s="38">
        <f>Sheet1!FR9</f>
        <v>0</v>
      </c>
      <c r="W106" s="38">
        <f>Sheet1!FS9</f>
        <v>0</v>
      </c>
      <c r="X106" s="38">
        <f>Sheet1!FT9</f>
        <v>0</v>
      </c>
      <c r="Y106" s="38">
        <f>Sheet1!FU9</f>
        <v>0</v>
      </c>
      <c r="Z106" s="38">
        <f>Sheet1!FV9</f>
        <v>0</v>
      </c>
      <c r="AA106" s="38">
        <f>Sheet1!FW9</f>
        <v>0</v>
      </c>
      <c r="AB106" s="38">
        <f>Sheet1!FX9</f>
        <v>0</v>
      </c>
      <c r="AC106" s="38">
        <f>Sheet1!FY9</f>
        <v>0</v>
      </c>
      <c r="AD106" s="38">
        <f>Sheet1!FZ9</f>
        <v>0</v>
      </c>
      <c r="AE106" s="38">
        <f>Sheet1!GA9</f>
        <v>0</v>
      </c>
      <c r="AF106" s="38">
        <f>Sheet1!GB9</f>
        <v>0</v>
      </c>
    </row>
    <row r="107" spans="1:32" ht="16.5">
      <c r="A107" s="315" t="s">
        <v>66</v>
      </c>
      <c r="B107" s="315"/>
      <c r="C107" s="315"/>
      <c r="D107" s="40"/>
      <c r="E107" s="41">
        <f>SUBTOTAL(9,E103:E106)</f>
        <v>0</v>
      </c>
      <c r="F107" s="41">
        <f t="shared" ref="F107:AF107" si="29">SUBTOTAL(9,F103:F106)</f>
        <v>0</v>
      </c>
      <c r="G107" s="41">
        <f t="shared" si="29"/>
        <v>0</v>
      </c>
      <c r="H107" s="41">
        <f t="shared" si="29"/>
        <v>0</v>
      </c>
      <c r="I107" s="41" t="e">
        <f>U107/R107</f>
        <v>#DIV/0!</v>
      </c>
      <c r="J107" s="41">
        <f t="shared" si="29"/>
        <v>0</v>
      </c>
      <c r="K107" s="41">
        <f t="shared" si="29"/>
        <v>0</v>
      </c>
      <c r="L107" s="41">
        <f t="shared" si="29"/>
        <v>0</v>
      </c>
      <c r="M107" s="41">
        <f t="shared" si="29"/>
        <v>0</v>
      </c>
      <c r="N107" s="41">
        <f t="shared" si="29"/>
        <v>0</v>
      </c>
      <c r="O107" s="41">
        <f t="shared" si="29"/>
        <v>0</v>
      </c>
      <c r="P107" s="41">
        <f t="shared" si="29"/>
        <v>0</v>
      </c>
      <c r="Q107" s="41">
        <f t="shared" si="29"/>
        <v>0</v>
      </c>
      <c r="R107" s="41">
        <f t="shared" si="29"/>
        <v>0</v>
      </c>
      <c r="S107" s="41">
        <f t="shared" si="29"/>
        <v>0</v>
      </c>
      <c r="T107" s="41">
        <f t="shared" si="29"/>
        <v>0</v>
      </c>
      <c r="U107" s="41">
        <f t="shared" si="29"/>
        <v>0</v>
      </c>
      <c r="V107" s="41">
        <f t="shared" si="29"/>
        <v>0</v>
      </c>
      <c r="W107" s="41">
        <f t="shared" si="29"/>
        <v>0</v>
      </c>
      <c r="X107" s="41">
        <f>U107+V107+W107</f>
        <v>0</v>
      </c>
      <c r="Y107" s="41">
        <f t="shared" si="29"/>
        <v>0</v>
      </c>
      <c r="Z107" s="41">
        <f t="shared" si="29"/>
        <v>0</v>
      </c>
      <c r="AA107" s="41">
        <f t="shared" si="29"/>
        <v>0</v>
      </c>
      <c r="AB107" s="41">
        <f t="shared" si="29"/>
        <v>0</v>
      </c>
      <c r="AC107" s="41">
        <f t="shared" si="29"/>
        <v>0</v>
      </c>
      <c r="AD107" s="41">
        <f t="shared" si="29"/>
        <v>0</v>
      </c>
      <c r="AE107" s="41">
        <f t="shared" si="29"/>
        <v>0</v>
      </c>
      <c r="AF107" s="41">
        <f t="shared" si="29"/>
        <v>0</v>
      </c>
    </row>
    <row r="108" spans="1:32">
      <c r="A108" s="19"/>
      <c r="B108" s="19"/>
      <c r="C108" s="19"/>
      <c r="D108" s="19"/>
      <c r="E108" s="46">
        <f>+E107-E99</f>
        <v>0</v>
      </c>
      <c r="F108" s="46">
        <f t="shared" ref="F108:AF108" si="30">+F107-F99</f>
        <v>0</v>
      </c>
      <c r="G108" s="46">
        <f t="shared" si="30"/>
        <v>0</v>
      </c>
      <c r="H108" s="46">
        <f t="shared" si="30"/>
        <v>0</v>
      </c>
      <c r="I108" s="46" t="e">
        <f t="shared" si="30"/>
        <v>#DIV/0!</v>
      </c>
      <c r="J108" s="46">
        <f t="shared" si="30"/>
        <v>0</v>
      </c>
      <c r="K108" s="46">
        <f t="shared" si="30"/>
        <v>0</v>
      </c>
      <c r="L108" s="46">
        <f t="shared" si="30"/>
        <v>0</v>
      </c>
      <c r="M108" s="46">
        <f t="shared" si="30"/>
        <v>0</v>
      </c>
      <c r="N108" s="46">
        <f t="shared" si="30"/>
        <v>0</v>
      </c>
      <c r="O108" s="46">
        <f t="shared" si="30"/>
        <v>0</v>
      </c>
      <c r="P108" s="46">
        <f t="shared" si="30"/>
        <v>0</v>
      </c>
      <c r="Q108" s="46">
        <f t="shared" si="30"/>
        <v>0</v>
      </c>
      <c r="R108" s="46">
        <f t="shared" si="30"/>
        <v>0</v>
      </c>
      <c r="S108" s="46">
        <f t="shared" si="30"/>
        <v>0</v>
      </c>
      <c r="T108" s="46">
        <f t="shared" si="30"/>
        <v>0</v>
      </c>
      <c r="U108" s="46">
        <f t="shared" si="30"/>
        <v>0</v>
      </c>
      <c r="V108" s="46">
        <f t="shared" si="30"/>
        <v>0</v>
      </c>
      <c r="W108" s="46">
        <f t="shared" si="30"/>
        <v>0</v>
      </c>
      <c r="X108" s="46">
        <f t="shared" si="30"/>
        <v>0</v>
      </c>
      <c r="Y108" s="46">
        <f t="shared" si="30"/>
        <v>0</v>
      </c>
      <c r="Z108" s="46">
        <f t="shared" si="30"/>
        <v>0</v>
      </c>
      <c r="AA108" s="46">
        <f t="shared" si="30"/>
        <v>0</v>
      </c>
      <c r="AB108" s="46">
        <f t="shared" si="30"/>
        <v>0</v>
      </c>
      <c r="AC108" s="46">
        <f t="shared" si="30"/>
        <v>0</v>
      </c>
      <c r="AD108" s="46">
        <f t="shared" si="30"/>
        <v>0</v>
      </c>
      <c r="AE108" s="46">
        <f t="shared" si="30"/>
        <v>0</v>
      </c>
      <c r="AF108" s="46">
        <f t="shared" si="30"/>
        <v>0</v>
      </c>
    </row>
  </sheetData>
  <mergeCells count="167">
    <mergeCell ref="A105:C105"/>
    <mergeCell ref="A106:C106"/>
    <mergeCell ref="A107:C107"/>
    <mergeCell ref="AC101:AC102"/>
    <mergeCell ref="AD101:AD102"/>
    <mergeCell ref="AE101:AE102"/>
    <mergeCell ref="AF101:AF102"/>
    <mergeCell ref="A103:C103"/>
    <mergeCell ref="A104:C104"/>
    <mergeCell ref="W101:W102"/>
    <mergeCell ref="X101:X102"/>
    <mergeCell ref="Y101:Y102"/>
    <mergeCell ref="Z101:Z102"/>
    <mergeCell ref="AA101:AA102"/>
    <mergeCell ref="AB101:AB102"/>
    <mergeCell ref="G101:G102"/>
    <mergeCell ref="H101:H102"/>
    <mergeCell ref="I101:R101"/>
    <mergeCell ref="S101:T101"/>
    <mergeCell ref="U101:U102"/>
    <mergeCell ref="V101:V102"/>
    <mergeCell ref="A96:A98"/>
    <mergeCell ref="B98:C98"/>
    <mergeCell ref="A99:C99"/>
    <mergeCell ref="A101:D102"/>
    <mergeCell ref="E101:E102"/>
    <mergeCell ref="F101:F102"/>
    <mergeCell ref="A78:A80"/>
    <mergeCell ref="B80:C80"/>
    <mergeCell ref="A81:A95"/>
    <mergeCell ref="B81:B83"/>
    <mergeCell ref="B84:B88"/>
    <mergeCell ref="B89:B95"/>
    <mergeCell ref="AA76:AA77"/>
    <mergeCell ref="AB76:AB77"/>
    <mergeCell ref="AC76:AC77"/>
    <mergeCell ref="AD76:AD77"/>
    <mergeCell ref="AE76:AE77"/>
    <mergeCell ref="AF76:AF77"/>
    <mergeCell ref="U76:U77"/>
    <mergeCell ref="V76:V77"/>
    <mergeCell ref="W76:W77"/>
    <mergeCell ref="X76:X77"/>
    <mergeCell ref="Y76:Y77"/>
    <mergeCell ref="Z76:Z77"/>
    <mergeCell ref="E76:E77"/>
    <mergeCell ref="F76:F77"/>
    <mergeCell ref="G76:G77"/>
    <mergeCell ref="H76:H77"/>
    <mergeCell ref="I76:R76"/>
    <mergeCell ref="S76:T76"/>
    <mergeCell ref="A71:C71"/>
    <mergeCell ref="A72:C72"/>
    <mergeCell ref="A73:C73"/>
    <mergeCell ref="A75:C75"/>
    <mergeCell ref="A76:C77"/>
    <mergeCell ref="D76:D77"/>
    <mergeCell ref="AC67:AC68"/>
    <mergeCell ref="AD67:AD68"/>
    <mergeCell ref="AE67:AE68"/>
    <mergeCell ref="AF67:AF68"/>
    <mergeCell ref="A69:C69"/>
    <mergeCell ref="A70:C70"/>
    <mergeCell ref="W67:W68"/>
    <mergeCell ref="X67:X68"/>
    <mergeCell ref="Y67:Y68"/>
    <mergeCell ref="Z67:Z68"/>
    <mergeCell ref="AA67:AA68"/>
    <mergeCell ref="AB67:AB68"/>
    <mergeCell ref="G67:G68"/>
    <mergeCell ref="H67:H68"/>
    <mergeCell ref="I67:R67"/>
    <mergeCell ref="S67:T67"/>
    <mergeCell ref="U67:U68"/>
    <mergeCell ref="V67:V68"/>
    <mergeCell ref="A62:A64"/>
    <mergeCell ref="B64:C64"/>
    <mergeCell ref="A65:C65"/>
    <mergeCell ref="A67:D68"/>
    <mergeCell ref="E67:E68"/>
    <mergeCell ref="F67:F68"/>
    <mergeCell ref="AE42:AE43"/>
    <mergeCell ref="AF42:AF43"/>
    <mergeCell ref="A44:A46"/>
    <mergeCell ref="B46:C46"/>
    <mergeCell ref="A47:A61"/>
    <mergeCell ref="B47:B49"/>
    <mergeCell ref="B50:B54"/>
    <mergeCell ref="B55:B61"/>
    <mergeCell ref="Y42:Y43"/>
    <mergeCell ref="Z42:Z43"/>
    <mergeCell ref="AA42:AA43"/>
    <mergeCell ref="AB42:AB43"/>
    <mergeCell ref="AC42:AC43"/>
    <mergeCell ref="AD42:AD43"/>
    <mergeCell ref="I42:R42"/>
    <mergeCell ref="S42:T42"/>
    <mergeCell ref="U42:U43"/>
    <mergeCell ref="V42:V43"/>
    <mergeCell ref="W42:W43"/>
    <mergeCell ref="X42:X43"/>
    <mergeCell ref="A42:C43"/>
    <mergeCell ref="D42:D43"/>
    <mergeCell ref="E42:E43"/>
    <mergeCell ref="F42:F43"/>
    <mergeCell ref="G42:G43"/>
    <mergeCell ref="H42:H43"/>
    <mergeCell ref="A34:C34"/>
    <mergeCell ref="A35:C35"/>
    <mergeCell ref="B36:G36"/>
    <mergeCell ref="H36:I36"/>
    <mergeCell ref="J36:J37"/>
    <mergeCell ref="A41:C41"/>
    <mergeCell ref="AE28:AE29"/>
    <mergeCell ref="AF28:AF29"/>
    <mergeCell ref="A30:C30"/>
    <mergeCell ref="A31:C31"/>
    <mergeCell ref="A32:C32"/>
    <mergeCell ref="A33:C33"/>
    <mergeCell ref="Y28:Y29"/>
    <mergeCell ref="Z28:Z29"/>
    <mergeCell ref="AA28:AA29"/>
    <mergeCell ref="AB28:AB29"/>
    <mergeCell ref="AC28:AC29"/>
    <mergeCell ref="AD28:AD29"/>
    <mergeCell ref="I28:R28"/>
    <mergeCell ref="S28:T28"/>
    <mergeCell ref="U28:U29"/>
    <mergeCell ref="V28:V29"/>
    <mergeCell ref="W28:W29"/>
    <mergeCell ref="X28:X29"/>
    <mergeCell ref="A26:C26"/>
    <mergeCell ref="A28:D29"/>
    <mergeCell ref="E28:E29"/>
    <mergeCell ref="F28:F29"/>
    <mergeCell ref="G28:G29"/>
    <mergeCell ref="H28:H29"/>
    <mergeCell ref="A8:A22"/>
    <mergeCell ref="B8:B10"/>
    <mergeCell ref="B11:B15"/>
    <mergeCell ref="B16:B22"/>
    <mergeCell ref="A23:A25"/>
    <mergeCell ref="B25:C25"/>
    <mergeCell ref="AF3:AF4"/>
    <mergeCell ref="A5:A7"/>
    <mergeCell ref="B7:C7"/>
    <mergeCell ref="W3:W4"/>
    <mergeCell ref="X3:X4"/>
    <mergeCell ref="Y3:Y4"/>
    <mergeCell ref="Z3:Z4"/>
    <mergeCell ref="AA3:AA4"/>
    <mergeCell ref="AB3:AB4"/>
    <mergeCell ref="G3:G4"/>
    <mergeCell ref="H3:H4"/>
    <mergeCell ref="I3:R3"/>
    <mergeCell ref="S3:T3"/>
    <mergeCell ref="U3:U4"/>
    <mergeCell ref="V3:V4"/>
    <mergeCell ref="A1:C1"/>
    <mergeCell ref="A2:C2"/>
    <mergeCell ref="A3:C4"/>
    <mergeCell ref="D3:D4"/>
    <mergeCell ref="E3:E4"/>
    <mergeCell ref="F3:F4"/>
    <mergeCell ref="AC3:AC4"/>
    <mergeCell ref="AD3:AD4"/>
    <mergeCell ref="AE3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topLeftCell="A22" workbookViewId="0">
      <selection activeCell="A2" sqref="A2"/>
    </sheetView>
  </sheetViews>
  <sheetFormatPr defaultRowHeight="15"/>
  <cols>
    <col min="4" max="12" width="15.28515625" customWidth="1"/>
  </cols>
  <sheetData>
    <row r="1" spans="1:13" ht="25.5">
      <c r="A1" s="77" t="s">
        <v>275</v>
      </c>
      <c r="B1" s="77"/>
      <c r="C1" s="77"/>
      <c r="D1" s="78"/>
      <c r="E1" s="78"/>
      <c r="F1" s="78"/>
      <c r="G1" s="78"/>
      <c r="H1" s="78"/>
      <c r="I1" s="78"/>
      <c r="J1" s="78"/>
      <c r="K1" s="78"/>
      <c r="L1" s="78"/>
      <c r="M1" s="77"/>
    </row>
    <row r="2" spans="1:13" ht="25.5">
      <c r="A2" s="77"/>
      <c r="B2" s="77"/>
      <c r="C2" s="77"/>
      <c r="D2" s="78"/>
      <c r="E2" s="78"/>
      <c r="F2" s="78"/>
      <c r="G2" s="78"/>
      <c r="H2" s="78"/>
      <c r="I2" s="78"/>
      <c r="J2" s="78"/>
      <c r="K2" s="78"/>
      <c r="L2" s="78"/>
      <c r="M2" s="77"/>
    </row>
    <row r="3" spans="1:13" ht="16.5" thickBot="1">
      <c r="A3" s="79" t="s">
        <v>276</v>
      </c>
      <c r="B3" s="80"/>
      <c r="C3" s="80"/>
      <c r="D3" s="81"/>
      <c r="E3" s="81"/>
      <c r="F3" s="81"/>
      <c r="G3" s="81"/>
      <c r="H3" s="81"/>
      <c r="I3" s="81"/>
      <c r="J3" s="81"/>
      <c r="K3" s="81"/>
      <c r="L3" s="81"/>
      <c r="M3" s="82" t="s">
        <v>277</v>
      </c>
    </row>
    <row r="4" spans="1:13">
      <c r="A4" s="338" t="s">
        <v>278</v>
      </c>
      <c r="B4" s="339"/>
      <c r="C4" s="340"/>
      <c r="D4" s="344" t="s">
        <v>279</v>
      </c>
      <c r="E4" s="345"/>
      <c r="F4" s="345"/>
      <c r="G4" s="344" t="s">
        <v>280</v>
      </c>
      <c r="H4" s="345"/>
      <c r="I4" s="345"/>
      <c r="J4" s="346" t="s">
        <v>281</v>
      </c>
      <c r="K4" s="345"/>
      <c r="L4" s="345"/>
      <c r="M4" s="347" t="s">
        <v>282</v>
      </c>
    </row>
    <row r="5" spans="1:13" ht="15.75" thickBot="1">
      <c r="A5" s="341"/>
      <c r="B5" s="342"/>
      <c r="C5" s="343"/>
      <c r="D5" s="83" t="s">
        <v>66</v>
      </c>
      <c r="E5" s="84" t="s">
        <v>86</v>
      </c>
      <c r="F5" s="85" t="s">
        <v>87</v>
      </c>
      <c r="G5" s="86" t="s">
        <v>66</v>
      </c>
      <c r="H5" s="84" t="s">
        <v>86</v>
      </c>
      <c r="I5" s="85" t="s">
        <v>87</v>
      </c>
      <c r="J5" s="87" t="s">
        <v>66</v>
      </c>
      <c r="K5" s="84" t="s">
        <v>86</v>
      </c>
      <c r="L5" s="85" t="s">
        <v>87</v>
      </c>
      <c r="M5" s="348"/>
    </row>
    <row r="6" spans="1:13" ht="15.75" thickTop="1">
      <c r="A6" s="349" t="s">
        <v>283</v>
      </c>
      <c r="B6" s="350"/>
      <c r="C6" s="88" t="s">
        <v>284</v>
      </c>
      <c r="D6" s="89"/>
      <c r="E6" s="90"/>
      <c r="F6" s="91"/>
      <c r="G6" s="92"/>
      <c r="H6" s="93"/>
      <c r="I6" s="91"/>
      <c r="J6" s="94">
        <f>G6-D6</f>
        <v>0</v>
      </c>
      <c r="K6" s="90">
        <f>H6-E6</f>
        <v>0</v>
      </c>
      <c r="L6" s="95">
        <f>I6-F6</f>
        <v>0</v>
      </c>
      <c r="M6" s="96"/>
    </row>
    <row r="7" spans="1:13">
      <c r="A7" s="324"/>
      <c r="B7" s="351"/>
      <c r="C7" s="88" t="s">
        <v>285</v>
      </c>
      <c r="D7" s="97"/>
      <c r="E7" s="98"/>
      <c r="F7" s="99"/>
      <c r="G7" s="100"/>
      <c r="H7" s="101"/>
      <c r="I7" s="102"/>
      <c r="J7" s="103">
        <f t="shared" ref="J7:K8" si="0">G7-D7</f>
        <v>0</v>
      </c>
      <c r="K7" s="104">
        <f>H7-E7</f>
        <v>0</v>
      </c>
      <c r="L7" s="105">
        <f t="shared" ref="L7:L9" si="1">I7-F7</f>
        <v>0</v>
      </c>
      <c r="M7" s="96"/>
    </row>
    <row r="8" spans="1:13">
      <c r="A8" s="324"/>
      <c r="B8" s="351"/>
      <c r="C8" s="106" t="s">
        <v>286</v>
      </c>
      <c r="D8" s="107"/>
      <c r="E8" s="108"/>
      <c r="F8" s="109"/>
      <c r="G8" s="110"/>
      <c r="H8" s="111"/>
      <c r="I8" s="112"/>
      <c r="J8" s="113">
        <f t="shared" si="0"/>
        <v>0</v>
      </c>
      <c r="K8" s="114">
        <f t="shared" si="0"/>
        <v>0</v>
      </c>
      <c r="L8" s="115">
        <f t="shared" si="1"/>
        <v>0</v>
      </c>
      <c r="M8" s="116"/>
    </row>
    <row r="9" spans="1:13">
      <c r="A9" s="324"/>
      <c r="B9" s="351"/>
      <c r="C9" s="117" t="s">
        <v>287</v>
      </c>
      <c r="D9" s="118"/>
      <c r="E9" s="119"/>
      <c r="F9" s="120"/>
      <c r="G9" s="121"/>
      <c r="H9" s="119"/>
      <c r="I9" s="120"/>
      <c r="J9" s="122">
        <f t="shared" ref="J9" si="2">J8+J7+J6</f>
        <v>0</v>
      </c>
      <c r="K9" s="123">
        <f>K8+K7+K6</f>
        <v>0</v>
      </c>
      <c r="L9" s="120">
        <f t="shared" si="1"/>
        <v>0</v>
      </c>
      <c r="M9" s="124"/>
    </row>
    <row r="10" spans="1:13">
      <c r="A10" s="352"/>
      <c r="B10" s="353"/>
      <c r="C10" s="125" t="s">
        <v>288</v>
      </c>
      <c r="D10" s="126"/>
      <c r="E10" s="127"/>
      <c r="F10" s="128"/>
      <c r="G10" s="129"/>
      <c r="H10" s="127"/>
      <c r="I10" s="128"/>
      <c r="J10" s="130" t="e">
        <f>J9/D9</f>
        <v>#DIV/0!</v>
      </c>
      <c r="K10" s="131" t="e">
        <f>K9/E9</f>
        <v>#DIV/0!</v>
      </c>
      <c r="L10" s="132" t="e">
        <f t="shared" ref="L10" si="3">L9/F9</f>
        <v>#DIV/0!</v>
      </c>
      <c r="M10" s="133"/>
    </row>
    <row r="11" spans="1:13">
      <c r="A11" s="354" t="s">
        <v>289</v>
      </c>
      <c r="B11" s="355"/>
      <c r="C11" s="134" t="s">
        <v>290</v>
      </c>
      <c r="D11" s="135">
        <v>18</v>
      </c>
      <c r="E11" s="136">
        <f>+D11</f>
        <v>18</v>
      </c>
      <c r="F11" s="137">
        <f>+E11</f>
        <v>18</v>
      </c>
      <c r="G11" s="135">
        <f>Sum!F38</f>
        <v>0</v>
      </c>
      <c r="H11" s="136">
        <f>+G11</f>
        <v>0</v>
      </c>
      <c r="I11" s="137">
        <f>+H11</f>
        <v>0</v>
      </c>
      <c r="J11" s="138">
        <f>+G11-D11</f>
        <v>-18</v>
      </c>
      <c r="K11" s="136">
        <f t="shared" ref="K11:L26" si="4">+H11-E11</f>
        <v>-18</v>
      </c>
      <c r="L11" s="137">
        <f t="shared" si="4"/>
        <v>-18</v>
      </c>
      <c r="M11" s="139"/>
    </row>
    <row r="12" spans="1:13">
      <c r="A12" s="324"/>
      <c r="B12" s="351"/>
      <c r="C12" s="140" t="s">
        <v>291</v>
      </c>
      <c r="D12" s="141">
        <f>+'[1]Compare  D1'!$I$30+'[1]Compare  D1'!$J$30</f>
        <v>4.9484177215189877</v>
      </c>
      <c r="E12" s="142">
        <f t="shared" ref="E12:F13" si="5">+D12</f>
        <v>4.9484177215189877</v>
      </c>
      <c r="F12" s="143">
        <f t="shared" si="5"/>
        <v>4.9484177215189877</v>
      </c>
      <c r="G12" s="144" t="e">
        <f>Sum!H38+Sum!I38</f>
        <v>#DIV/0!</v>
      </c>
      <c r="H12" s="145" t="e">
        <f>+G12</f>
        <v>#DIV/0!</v>
      </c>
      <c r="I12" s="146" t="e">
        <f t="shared" ref="I12" si="6">+H12</f>
        <v>#DIV/0!</v>
      </c>
      <c r="J12" s="147" t="e">
        <f t="shared" ref="J12:J13" si="7">+G12-D12</f>
        <v>#DIV/0!</v>
      </c>
      <c r="K12" s="148" t="e">
        <f t="shared" si="4"/>
        <v>#DIV/0!</v>
      </c>
      <c r="L12" s="149" t="e">
        <f t="shared" si="4"/>
        <v>#DIV/0!</v>
      </c>
      <c r="M12" s="150"/>
    </row>
    <row r="13" spans="1:13">
      <c r="A13" s="352"/>
      <c r="B13" s="353"/>
      <c r="C13" s="151" t="s">
        <v>287</v>
      </c>
      <c r="D13" s="152">
        <f>+D12+D11</f>
        <v>22.948417721518986</v>
      </c>
      <c r="E13" s="153">
        <f t="shared" si="5"/>
        <v>22.948417721518986</v>
      </c>
      <c r="F13" s="154">
        <f t="shared" si="5"/>
        <v>22.948417721518986</v>
      </c>
      <c r="G13" s="152" t="e">
        <f>+G12+G11</f>
        <v>#DIV/0!</v>
      </c>
      <c r="H13" s="153" t="e">
        <f t="shared" ref="H13:I13" si="8">+G13</f>
        <v>#DIV/0!</v>
      </c>
      <c r="I13" s="154" t="e">
        <f t="shared" si="8"/>
        <v>#DIV/0!</v>
      </c>
      <c r="J13" s="155" t="e">
        <f t="shared" si="7"/>
        <v>#DIV/0!</v>
      </c>
      <c r="K13" s="156" t="e">
        <f t="shared" si="4"/>
        <v>#DIV/0!</v>
      </c>
      <c r="L13" s="157" t="e">
        <f t="shared" si="4"/>
        <v>#DIV/0!</v>
      </c>
      <c r="M13" s="158"/>
    </row>
    <row r="14" spans="1:13">
      <c r="A14" s="354" t="s">
        <v>292</v>
      </c>
      <c r="B14" s="356" t="s">
        <v>293</v>
      </c>
      <c r="C14" s="134" t="s">
        <v>294</v>
      </c>
      <c r="D14" s="159"/>
      <c r="E14" s="160"/>
      <c r="F14" s="161">
        <f>+D14-E14</f>
        <v>0</v>
      </c>
      <c r="G14" s="159"/>
      <c r="H14" s="160"/>
      <c r="I14" s="161">
        <f>+G14-H14</f>
        <v>0</v>
      </c>
      <c r="J14" s="162">
        <f>+G14-D14</f>
        <v>0</v>
      </c>
      <c r="K14" s="163">
        <f t="shared" si="4"/>
        <v>0</v>
      </c>
      <c r="L14" s="164">
        <f t="shared" si="4"/>
        <v>0</v>
      </c>
      <c r="M14" s="165"/>
    </row>
    <row r="15" spans="1:13">
      <c r="A15" s="324"/>
      <c r="B15" s="326"/>
      <c r="C15" s="140" t="s">
        <v>295</v>
      </c>
      <c r="D15" s="166">
        <f>+'[2]OP 01.2023 Total'!E10</f>
        <v>7</v>
      </c>
      <c r="E15" s="167">
        <f>+[2]D1_B1!E10</f>
        <v>7</v>
      </c>
      <c r="F15" s="168">
        <f t="shared" ref="F15:F59" si="9">+D15-E15</f>
        <v>0</v>
      </c>
      <c r="G15" s="166">
        <f>Sum!E10</f>
        <v>0</v>
      </c>
      <c r="H15" s="167">
        <f>Sum!E10</f>
        <v>0</v>
      </c>
      <c r="I15" s="169">
        <f>+G15-H15</f>
        <v>0</v>
      </c>
      <c r="J15" s="170">
        <f t="shared" ref="J15:L30" si="10">+G15-D15</f>
        <v>-7</v>
      </c>
      <c r="K15" s="171">
        <f t="shared" si="4"/>
        <v>-7</v>
      </c>
      <c r="L15" s="172">
        <f t="shared" si="4"/>
        <v>0</v>
      </c>
      <c r="M15" s="173"/>
    </row>
    <row r="16" spans="1:13">
      <c r="A16" s="324"/>
      <c r="B16" s="330"/>
      <c r="C16" s="174" t="s">
        <v>287</v>
      </c>
      <c r="D16" s="166">
        <f>+D15</f>
        <v>7</v>
      </c>
      <c r="E16" s="167">
        <f>+E15</f>
        <v>7</v>
      </c>
      <c r="F16" s="168">
        <f t="shared" si="9"/>
        <v>0</v>
      </c>
      <c r="G16" s="166">
        <f>+G15</f>
        <v>0</v>
      </c>
      <c r="H16" s="167">
        <f t="shared" ref="H16" si="11">+H15</f>
        <v>0</v>
      </c>
      <c r="I16" s="169">
        <f>+G16-H16</f>
        <v>0</v>
      </c>
      <c r="J16" s="170">
        <f t="shared" si="10"/>
        <v>-7</v>
      </c>
      <c r="K16" s="171">
        <f t="shared" si="4"/>
        <v>-7</v>
      </c>
      <c r="L16" s="172">
        <f t="shared" si="4"/>
        <v>0</v>
      </c>
      <c r="M16" s="173"/>
    </row>
    <row r="17" spans="1:13">
      <c r="A17" s="324"/>
      <c r="B17" s="331" t="s">
        <v>296</v>
      </c>
      <c r="C17" s="140" t="s">
        <v>297</v>
      </c>
      <c r="D17" s="166">
        <f>+'[2]OP 01.2023 Total'!E11+'[2]OP 01.2023 Total'!E13+'[2]OP 01.2023 Total'!E14</f>
        <v>148</v>
      </c>
      <c r="E17" s="167">
        <f>+[2]D1_B1!E11+[2]D1_B1!E13+[2]D1_B1!E14</f>
        <v>124</v>
      </c>
      <c r="F17" s="168">
        <f t="shared" si="9"/>
        <v>24</v>
      </c>
      <c r="G17" s="166">
        <f>Sum!E11+Sum!E13+Sum!E14</f>
        <v>0</v>
      </c>
      <c r="H17" s="167">
        <f>Sum!E11+Sum!E13+Sum!E14</f>
        <v>0</v>
      </c>
      <c r="I17" s="169">
        <f t="shared" ref="I17:I32" si="12">+G17-H17</f>
        <v>0</v>
      </c>
      <c r="J17" s="170">
        <f t="shared" si="10"/>
        <v>-148</v>
      </c>
      <c r="K17" s="171">
        <f t="shared" si="4"/>
        <v>-124</v>
      </c>
      <c r="L17" s="172">
        <f t="shared" si="4"/>
        <v>-24</v>
      </c>
      <c r="M17" s="173"/>
    </row>
    <row r="18" spans="1:13">
      <c r="A18" s="324"/>
      <c r="B18" s="326"/>
      <c r="C18" s="140" t="s">
        <v>298</v>
      </c>
      <c r="D18" s="166">
        <f>+'[2]OP 01.2023 Total'!E12</f>
        <v>10</v>
      </c>
      <c r="E18" s="167">
        <f>+[2]D1_B1!E12</f>
        <v>10</v>
      </c>
      <c r="F18" s="168">
        <f t="shared" si="9"/>
        <v>0</v>
      </c>
      <c r="G18" s="166">
        <f>Sum!E12</f>
        <v>0</v>
      </c>
      <c r="H18" s="167">
        <f>Sum!E12</f>
        <v>0</v>
      </c>
      <c r="I18" s="169">
        <f t="shared" si="12"/>
        <v>0</v>
      </c>
      <c r="J18" s="170">
        <f t="shared" si="10"/>
        <v>-10</v>
      </c>
      <c r="K18" s="171">
        <f t="shared" si="4"/>
        <v>-10</v>
      </c>
      <c r="L18" s="172">
        <f t="shared" si="4"/>
        <v>0</v>
      </c>
      <c r="M18" s="173"/>
    </row>
    <row r="19" spans="1:13">
      <c r="A19" s="324"/>
      <c r="B19" s="330"/>
      <c r="C19" s="174" t="s">
        <v>299</v>
      </c>
      <c r="D19" s="175">
        <f>+D17+D18</f>
        <v>158</v>
      </c>
      <c r="E19" s="167">
        <f t="shared" ref="E19" si="13">+E17+E18</f>
        <v>134</v>
      </c>
      <c r="F19" s="168">
        <f t="shared" si="9"/>
        <v>24</v>
      </c>
      <c r="G19" s="176">
        <f>+G18+G17</f>
        <v>0</v>
      </c>
      <c r="H19" s="167">
        <f>+H18+H17</f>
        <v>0</v>
      </c>
      <c r="I19" s="169">
        <f t="shared" si="12"/>
        <v>0</v>
      </c>
      <c r="J19" s="170">
        <f t="shared" si="10"/>
        <v>-158</v>
      </c>
      <c r="K19" s="171">
        <f t="shared" si="4"/>
        <v>-134</v>
      </c>
      <c r="L19" s="177">
        <f t="shared" si="4"/>
        <v>-24</v>
      </c>
      <c r="M19" s="178"/>
    </row>
    <row r="20" spans="1:13">
      <c r="A20" s="324"/>
      <c r="B20" s="331" t="s">
        <v>85</v>
      </c>
      <c r="C20" s="140" t="s">
        <v>297</v>
      </c>
      <c r="D20" s="175">
        <f>+'[2]OP 01.2023 Total'!E16+'[2]OP 01.2023 Total'!E17+'[2]OP 01.2023 Total'!E18+'[2]OP 01.2023 Total'!E21</f>
        <v>153</v>
      </c>
      <c r="E20" s="167">
        <f>+[2]D1_B1!E16+[2]D1_B1!E17+[2]D1_B1!E18+[2]D1_B1!E21</f>
        <v>135</v>
      </c>
      <c r="F20" s="168">
        <f t="shared" si="9"/>
        <v>18</v>
      </c>
      <c r="G20" s="176">
        <f>Sum!E16+Sum!E17+Sum!E18</f>
        <v>0</v>
      </c>
      <c r="H20" s="167">
        <f>Sum!E17+Sum!E17+Sum!E21</f>
        <v>0</v>
      </c>
      <c r="I20" s="169">
        <f t="shared" si="12"/>
        <v>0</v>
      </c>
      <c r="J20" s="170">
        <f t="shared" si="10"/>
        <v>-153</v>
      </c>
      <c r="K20" s="171">
        <f t="shared" si="4"/>
        <v>-135</v>
      </c>
      <c r="L20" s="177">
        <f t="shared" si="4"/>
        <v>-18</v>
      </c>
      <c r="M20" s="179"/>
    </row>
    <row r="21" spans="1:13">
      <c r="A21" s="324"/>
      <c r="B21" s="326"/>
      <c r="C21" s="140" t="s">
        <v>298</v>
      </c>
      <c r="D21" s="175">
        <f>+'[2]OP 01.2023 Total'!E19+'[2]OP 01.2023 Total'!E20</f>
        <v>24</v>
      </c>
      <c r="E21" s="167">
        <f>+[2]D1_B1!E19+[2]D1_B1!E20</f>
        <v>16</v>
      </c>
      <c r="F21" s="168">
        <f t="shared" si="9"/>
        <v>8</v>
      </c>
      <c r="G21" s="176">
        <f>Sum!E19+Sum!E20</f>
        <v>0</v>
      </c>
      <c r="H21" s="167">
        <f>Sum!E19+Sum!E20</f>
        <v>0</v>
      </c>
      <c r="I21" s="169">
        <f t="shared" si="12"/>
        <v>0</v>
      </c>
      <c r="J21" s="170">
        <f t="shared" si="10"/>
        <v>-24</v>
      </c>
      <c r="K21" s="171">
        <f t="shared" si="4"/>
        <v>-16</v>
      </c>
      <c r="L21" s="177">
        <f t="shared" si="4"/>
        <v>-8</v>
      </c>
      <c r="M21" s="337"/>
    </row>
    <row r="22" spans="1:13">
      <c r="A22" s="324"/>
      <c r="B22" s="330"/>
      <c r="C22" s="174" t="s">
        <v>299</v>
      </c>
      <c r="D22" s="175">
        <f>+D21+D20</f>
        <v>177</v>
      </c>
      <c r="E22" s="167">
        <f>+E21+E20</f>
        <v>151</v>
      </c>
      <c r="F22" s="168">
        <f t="shared" si="9"/>
        <v>26</v>
      </c>
      <c r="G22" s="176">
        <f>+G21+G20</f>
        <v>0</v>
      </c>
      <c r="H22" s="167">
        <f>+H21+H20</f>
        <v>0</v>
      </c>
      <c r="I22" s="169">
        <f t="shared" si="12"/>
        <v>0</v>
      </c>
      <c r="J22" s="170">
        <f t="shared" si="10"/>
        <v>-177</v>
      </c>
      <c r="K22" s="171">
        <f t="shared" si="4"/>
        <v>-151</v>
      </c>
      <c r="L22" s="177">
        <f t="shared" si="4"/>
        <v>-26</v>
      </c>
      <c r="M22" s="337"/>
    </row>
    <row r="23" spans="1:13">
      <c r="A23" s="324"/>
      <c r="B23" s="331" t="s">
        <v>38</v>
      </c>
      <c r="C23" s="140" t="s">
        <v>300</v>
      </c>
      <c r="D23" s="175">
        <f>+'[2]OP 01.2023 Total'!E6</f>
        <v>11</v>
      </c>
      <c r="E23" s="167">
        <f>+[2]D1_B1!E6</f>
        <v>10</v>
      </c>
      <c r="F23" s="168">
        <f t="shared" si="9"/>
        <v>1</v>
      </c>
      <c r="G23" s="176">
        <f>Sum!E6</f>
        <v>0</v>
      </c>
      <c r="H23" s="167">
        <f>Sum!E6</f>
        <v>0</v>
      </c>
      <c r="I23" s="169">
        <f t="shared" si="12"/>
        <v>0</v>
      </c>
      <c r="J23" s="170">
        <f t="shared" si="10"/>
        <v>-11</v>
      </c>
      <c r="K23" s="171">
        <f t="shared" si="4"/>
        <v>-10</v>
      </c>
      <c r="L23" s="177">
        <f t="shared" si="4"/>
        <v>-1</v>
      </c>
      <c r="M23" s="178"/>
    </row>
    <row r="24" spans="1:13">
      <c r="A24" s="324"/>
      <c r="B24" s="326"/>
      <c r="C24" s="140" t="s">
        <v>295</v>
      </c>
      <c r="D24" s="175">
        <f>+'[2]OP 01.2023 Total'!E5</f>
        <v>17</v>
      </c>
      <c r="E24" s="167">
        <f>+[2]D1_B1!E5</f>
        <v>16</v>
      </c>
      <c r="F24" s="168">
        <f t="shared" si="9"/>
        <v>1</v>
      </c>
      <c r="G24" s="176">
        <f>Sum!E5</f>
        <v>0</v>
      </c>
      <c r="H24" s="167">
        <f>Sum!E5</f>
        <v>0</v>
      </c>
      <c r="I24" s="169">
        <f t="shared" si="12"/>
        <v>0</v>
      </c>
      <c r="J24" s="170">
        <f t="shared" si="10"/>
        <v>-17</v>
      </c>
      <c r="K24" s="171">
        <f t="shared" si="4"/>
        <v>-16</v>
      </c>
      <c r="L24" s="177">
        <f t="shared" si="4"/>
        <v>-1</v>
      </c>
      <c r="M24" s="178"/>
    </row>
    <row r="25" spans="1:13">
      <c r="A25" s="324"/>
      <c r="B25" s="330"/>
      <c r="C25" s="174" t="s">
        <v>287</v>
      </c>
      <c r="D25" s="175">
        <f>+D24+D23</f>
        <v>28</v>
      </c>
      <c r="E25" s="167">
        <f>+E24+E23</f>
        <v>26</v>
      </c>
      <c r="F25" s="168">
        <f t="shared" si="9"/>
        <v>2</v>
      </c>
      <c r="G25" s="176">
        <f>+G24+G23</f>
        <v>0</v>
      </c>
      <c r="H25" s="167">
        <f>+H24+H23</f>
        <v>0</v>
      </c>
      <c r="I25" s="169">
        <f t="shared" si="12"/>
        <v>0</v>
      </c>
      <c r="J25" s="170">
        <f t="shared" si="10"/>
        <v>-28</v>
      </c>
      <c r="K25" s="171">
        <f t="shared" si="4"/>
        <v>-26</v>
      </c>
      <c r="L25" s="177">
        <f t="shared" si="4"/>
        <v>-2</v>
      </c>
      <c r="M25" s="178"/>
    </row>
    <row r="26" spans="1:13">
      <c r="A26" s="324"/>
      <c r="B26" s="331" t="s">
        <v>57</v>
      </c>
      <c r="C26" s="140" t="s">
        <v>297</v>
      </c>
      <c r="D26" s="175"/>
      <c r="E26" s="167"/>
      <c r="F26" s="168">
        <f t="shared" si="9"/>
        <v>0</v>
      </c>
      <c r="G26" s="176"/>
      <c r="H26" s="167"/>
      <c r="I26" s="168">
        <f t="shared" si="12"/>
        <v>0</v>
      </c>
      <c r="J26" s="180">
        <f t="shared" si="10"/>
        <v>0</v>
      </c>
      <c r="K26" s="181">
        <f t="shared" si="4"/>
        <v>0</v>
      </c>
      <c r="L26" s="182">
        <f t="shared" si="4"/>
        <v>0</v>
      </c>
      <c r="M26" s="178"/>
    </row>
    <row r="27" spans="1:13">
      <c r="A27" s="324"/>
      <c r="B27" s="326"/>
      <c r="C27" s="140" t="s">
        <v>298</v>
      </c>
      <c r="D27" s="175">
        <f>+'[2]OP 01.2023 Total'!E25</f>
        <v>3</v>
      </c>
      <c r="E27" s="167">
        <f>+[2]D1_B1!E25</f>
        <v>3</v>
      </c>
      <c r="F27" s="168">
        <f t="shared" si="9"/>
        <v>0</v>
      </c>
      <c r="G27" s="176">
        <f>Sum!E25</f>
        <v>0</v>
      </c>
      <c r="H27" s="167">
        <f>Sum!E25</f>
        <v>0</v>
      </c>
      <c r="I27" s="169">
        <f t="shared" si="12"/>
        <v>0</v>
      </c>
      <c r="J27" s="170">
        <f t="shared" si="10"/>
        <v>-3</v>
      </c>
      <c r="K27" s="171">
        <f t="shared" si="10"/>
        <v>-3</v>
      </c>
      <c r="L27" s="177">
        <f t="shared" si="10"/>
        <v>0</v>
      </c>
      <c r="M27" s="178"/>
    </row>
    <row r="28" spans="1:13">
      <c r="A28" s="324"/>
      <c r="B28" s="332"/>
      <c r="C28" s="183" t="s">
        <v>299</v>
      </c>
      <c r="D28" s="184">
        <f>+D27</f>
        <v>3</v>
      </c>
      <c r="E28" s="185">
        <f>+E27</f>
        <v>3</v>
      </c>
      <c r="F28" s="186">
        <f t="shared" si="9"/>
        <v>0</v>
      </c>
      <c r="G28" s="187">
        <f>+G27+G26</f>
        <v>0</v>
      </c>
      <c r="H28" s="185">
        <f>+H27+H26</f>
        <v>0</v>
      </c>
      <c r="I28" s="188">
        <f t="shared" si="12"/>
        <v>0</v>
      </c>
      <c r="J28" s="189">
        <f t="shared" si="10"/>
        <v>-3</v>
      </c>
      <c r="K28" s="190">
        <f t="shared" si="10"/>
        <v>-3</v>
      </c>
      <c r="L28" s="191">
        <f t="shared" si="10"/>
        <v>0</v>
      </c>
      <c r="M28" s="178"/>
    </row>
    <row r="29" spans="1:13">
      <c r="A29" s="324"/>
      <c r="B29" s="321" t="s">
        <v>66</v>
      </c>
      <c r="C29" s="192" t="s">
        <v>300</v>
      </c>
      <c r="D29" s="193">
        <f>+D23</f>
        <v>11</v>
      </c>
      <c r="E29" s="194">
        <f>+E23</f>
        <v>10</v>
      </c>
      <c r="F29" s="169">
        <f t="shared" si="9"/>
        <v>1</v>
      </c>
      <c r="G29" s="195">
        <f>+G23</f>
        <v>0</v>
      </c>
      <c r="H29" s="194">
        <f>+H23</f>
        <v>0</v>
      </c>
      <c r="I29" s="169">
        <f t="shared" si="12"/>
        <v>0</v>
      </c>
      <c r="J29" s="170">
        <f t="shared" si="10"/>
        <v>-11</v>
      </c>
      <c r="K29" s="171">
        <f t="shared" si="10"/>
        <v>-10</v>
      </c>
      <c r="L29" s="177">
        <f t="shared" si="10"/>
        <v>-1</v>
      </c>
      <c r="M29" s="178"/>
    </row>
    <row r="30" spans="1:13">
      <c r="A30" s="324"/>
      <c r="B30" s="321"/>
      <c r="C30" s="174" t="s">
        <v>297</v>
      </c>
      <c r="D30" s="175">
        <f>+D14+D17+D20+D26</f>
        <v>301</v>
      </c>
      <c r="E30" s="167">
        <f t="shared" ref="E30" si="14">+E14+E17+E20+E26</f>
        <v>259</v>
      </c>
      <c r="F30" s="168">
        <f t="shared" si="9"/>
        <v>42</v>
      </c>
      <c r="G30" s="176">
        <f t="shared" ref="G30:H30" si="15">+G14+G17+G20+G26</f>
        <v>0</v>
      </c>
      <c r="H30" s="167">
        <f t="shared" si="15"/>
        <v>0</v>
      </c>
      <c r="I30" s="169">
        <f t="shared" si="12"/>
        <v>0</v>
      </c>
      <c r="J30" s="170">
        <f t="shared" si="10"/>
        <v>-301</v>
      </c>
      <c r="K30" s="171">
        <f t="shared" si="10"/>
        <v>-259</v>
      </c>
      <c r="L30" s="177">
        <f t="shared" si="10"/>
        <v>-42</v>
      </c>
      <c r="M30" s="178"/>
    </row>
    <row r="31" spans="1:13">
      <c r="A31" s="324"/>
      <c r="B31" s="321"/>
      <c r="C31" s="174" t="s">
        <v>298</v>
      </c>
      <c r="D31" s="175">
        <f>+D15+D18+D21+D24+D27</f>
        <v>61</v>
      </c>
      <c r="E31" s="167">
        <f t="shared" ref="E31" si="16">+E15+E18+E21+E24+E27</f>
        <v>52</v>
      </c>
      <c r="F31" s="168">
        <f t="shared" si="9"/>
        <v>9</v>
      </c>
      <c r="G31" s="176">
        <f t="shared" ref="G31:H31" si="17">+G15+G18+G21+G24+G27</f>
        <v>0</v>
      </c>
      <c r="H31" s="167">
        <f t="shared" si="17"/>
        <v>0</v>
      </c>
      <c r="I31" s="169">
        <f t="shared" si="12"/>
        <v>0</v>
      </c>
      <c r="J31" s="170">
        <f t="shared" ref="J31:L32" si="18">+G31-D31</f>
        <v>-61</v>
      </c>
      <c r="K31" s="171">
        <f t="shared" si="18"/>
        <v>-52</v>
      </c>
      <c r="L31" s="177">
        <f t="shared" si="18"/>
        <v>-9</v>
      </c>
      <c r="M31" s="178"/>
    </row>
    <row r="32" spans="1:13" ht="15.75" thickBot="1">
      <c r="A32" s="333"/>
      <c r="B32" s="322"/>
      <c r="C32" s="196" t="s">
        <v>299</v>
      </c>
      <c r="D32" s="197">
        <f>+D29+D30+D31</f>
        <v>373</v>
      </c>
      <c r="E32" s="198">
        <f t="shared" ref="E32:H32" si="19">+E29+E30+E31</f>
        <v>321</v>
      </c>
      <c r="F32" s="199">
        <f t="shared" si="9"/>
        <v>52</v>
      </c>
      <c r="G32" s="200">
        <f t="shared" si="19"/>
        <v>0</v>
      </c>
      <c r="H32" s="198">
        <f t="shared" si="19"/>
        <v>0</v>
      </c>
      <c r="I32" s="201">
        <f t="shared" si="12"/>
        <v>0</v>
      </c>
      <c r="J32" s="202">
        <f t="shared" si="18"/>
        <v>-373</v>
      </c>
      <c r="K32" s="203">
        <f t="shared" si="18"/>
        <v>-321</v>
      </c>
      <c r="L32" s="204">
        <f t="shared" si="18"/>
        <v>-52</v>
      </c>
      <c r="M32" s="178"/>
    </row>
    <row r="33" spans="1:13">
      <c r="A33" s="323" t="s">
        <v>301</v>
      </c>
      <c r="B33" s="325" t="s">
        <v>293</v>
      </c>
      <c r="C33" s="205" t="s">
        <v>297</v>
      </c>
      <c r="D33" s="206"/>
      <c r="E33" s="207"/>
      <c r="F33" s="208">
        <f t="shared" si="9"/>
        <v>0</v>
      </c>
      <c r="G33" s="209"/>
      <c r="H33" s="207"/>
      <c r="I33" s="208"/>
      <c r="J33" s="210">
        <f t="shared" ref="J33:L48" si="20">+G33-D33</f>
        <v>0</v>
      </c>
      <c r="K33" s="211">
        <f t="shared" si="20"/>
        <v>0</v>
      </c>
      <c r="L33" s="212">
        <f t="shared" si="20"/>
        <v>0</v>
      </c>
      <c r="M33" s="178"/>
    </row>
    <row r="34" spans="1:13">
      <c r="A34" s="324"/>
      <c r="B34" s="326"/>
      <c r="C34" s="140" t="s">
        <v>298</v>
      </c>
      <c r="D34" s="175">
        <f>+'[2]OP 01.2023 Total'!R10+'[2]OP 01.2023 Total'!S10</f>
        <v>2367.1149999999998</v>
      </c>
      <c r="E34" s="167">
        <f>+[2]D1_B1!R10+[2]D1_B1!S10</f>
        <v>2367.1149999999998</v>
      </c>
      <c r="F34" s="168">
        <f t="shared" si="9"/>
        <v>0</v>
      </c>
      <c r="G34" s="176">
        <f>Sum!R10+Sum!S10</f>
        <v>0</v>
      </c>
      <c r="H34" s="167">
        <f>Sum!R10+Sum!S10</f>
        <v>0</v>
      </c>
      <c r="I34" s="168">
        <f>+G34-H34</f>
        <v>0</v>
      </c>
      <c r="J34" s="170">
        <f t="shared" si="20"/>
        <v>-2367.1149999999998</v>
      </c>
      <c r="K34" s="171">
        <f t="shared" si="20"/>
        <v>-2367.1149999999998</v>
      </c>
      <c r="L34" s="177">
        <f t="shared" si="20"/>
        <v>0</v>
      </c>
      <c r="M34" s="178"/>
    </row>
    <row r="35" spans="1:13">
      <c r="A35" s="324"/>
      <c r="B35" s="326"/>
      <c r="C35" s="213" t="s">
        <v>299</v>
      </c>
      <c r="D35" s="214">
        <f>+D34</f>
        <v>2367.1149999999998</v>
      </c>
      <c r="E35" s="215">
        <f>+E34</f>
        <v>2367.1149999999998</v>
      </c>
      <c r="F35" s="216">
        <f t="shared" si="9"/>
        <v>0</v>
      </c>
      <c r="G35" s="217">
        <f>+G34</f>
        <v>0</v>
      </c>
      <c r="H35" s="215">
        <f>+H34</f>
        <v>0</v>
      </c>
      <c r="I35" s="216">
        <f t="shared" ref="I35:I70" si="21">+G35-H35</f>
        <v>0</v>
      </c>
      <c r="J35" s="218">
        <f>+G35-D35</f>
        <v>-2367.1149999999998</v>
      </c>
      <c r="K35" s="219">
        <f t="shared" si="20"/>
        <v>-2367.1149999999998</v>
      </c>
      <c r="L35" s="220">
        <f t="shared" si="20"/>
        <v>0</v>
      </c>
      <c r="M35" s="178"/>
    </row>
    <row r="36" spans="1:13">
      <c r="A36" s="324"/>
      <c r="B36" s="334" t="s">
        <v>296</v>
      </c>
      <c r="C36" s="221" t="s">
        <v>297</v>
      </c>
      <c r="D36" s="222">
        <f>+'[2]OP 01.2023 Total'!R11+'[2]OP 01.2023 Total'!S11+'[2]OP 01.2023 Total'!R13+'[2]OP 01.2023 Total'!S13+'[2]OP 01.2023 Total'!R14+'[2]OP 01.2023 Total'!S14</f>
        <v>57022.039999999943</v>
      </c>
      <c r="E36" s="223">
        <f>+[2]D1_B1!R11+[2]D1_B1!S11+[2]D1_B1!R13+[2]D1_B1!S13</f>
        <v>47150.304999999957</v>
      </c>
      <c r="F36" s="224">
        <f t="shared" si="9"/>
        <v>9871.734999999986</v>
      </c>
      <c r="G36" s="225">
        <f>Sum!R11+Sum!S10+Sum!R12+Sum!S12+Sum!R13+Sum!S13</f>
        <v>0</v>
      </c>
      <c r="H36" s="223">
        <f>Sum!R11+Sum!S10+Sum!R12+Sum!S12+Sum!R13+Sum!S13</f>
        <v>0</v>
      </c>
      <c r="I36" s="224">
        <f t="shared" si="21"/>
        <v>0</v>
      </c>
      <c r="J36" s="226">
        <f t="shared" si="20"/>
        <v>-57022.039999999943</v>
      </c>
      <c r="K36" s="227">
        <f t="shared" si="20"/>
        <v>-47150.304999999957</v>
      </c>
      <c r="L36" s="227">
        <f t="shared" si="20"/>
        <v>-9871.734999999986</v>
      </c>
      <c r="M36" s="178"/>
    </row>
    <row r="37" spans="1:13">
      <c r="A37" s="324"/>
      <c r="B37" s="335"/>
      <c r="C37" s="140" t="s">
        <v>298</v>
      </c>
      <c r="D37" s="175">
        <f>+'[2]OP 01.2023 Total'!R12+'[2]OP 01.2023 Total'!S12</f>
        <v>3900.3199999999997</v>
      </c>
      <c r="E37" s="167">
        <f>+[2]D1_B1!R12+[2]D1_B1!S12</f>
        <v>3900.3199999999997</v>
      </c>
      <c r="F37" s="168">
        <f t="shared" si="9"/>
        <v>0</v>
      </c>
      <c r="G37" s="176">
        <f>Sum!R12+Sum!S12</f>
        <v>0</v>
      </c>
      <c r="H37" s="167">
        <f>Sum!R12+Sum!S12</f>
        <v>0</v>
      </c>
      <c r="I37" s="168">
        <f t="shared" si="21"/>
        <v>0</v>
      </c>
      <c r="J37" s="170">
        <f t="shared" si="20"/>
        <v>-3900.3199999999997</v>
      </c>
      <c r="K37" s="171">
        <f t="shared" si="20"/>
        <v>-3900.3199999999997</v>
      </c>
      <c r="L37" s="171">
        <f t="shared" si="20"/>
        <v>0</v>
      </c>
      <c r="M37" s="178"/>
    </row>
    <row r="38" spans="1:13">
      <c r="A38" s="324"/>
      <c r="B38" s="336"/>
      <c r="C38" s="228" t="s">
        <v>299</v>
      </c>
      <c r="D38" s="229">
        <f>+D37+D36</f>
        <v>60922.359999999942</v>
      </c>
      <c r="E38" s="230">
        <f>+E37+E36</f>
        <v>51050.624999999956</v>
      </c>
      <c r="F38" s="231">
        <f t="shared" si="9"/>
        <v>9871.734999999986</v>
      </c>
      <c r="G38" s="232">
        <f>+G37+G36</f>
        <v>0</v>
      </c>
      <c r="H38" s="230">
        <f>+H37+H36</f>
        <v>0</v>
      </c>
      <c r="I38" s="231">
        <f t="shared" si="21"/>
        <v>0</v>
      </c>
      <c r="J38" s="233">
        <f>+G38-D38</f>
        <v>-60922.359999999942</v>
      </c>
      <c r="K38" s="234">
        <f t="shared" si="20"/>
        <v>-51050.624999999956</v>
      </c>
      <c r="L38" s="234">
        <f t="shared" si="20"/>
        <v>-9871.734999999986</v>
      </c>
      <c r="M38" s="235">
        <f>J38/D38</f>
        <v>-1</v>
      </c>
    </row>
    <row r="39" spans="1:13">
      <c r="A39" s="324"/>
      <c r="B39" s="326" t="s">
        <v>85</v>
      </c>
      <c r="C39" s="236" t="s">
        <v>297</v>
      </c>
      <c r="D39" s="193">
        <f>+'[2]OP 01.2023 Total'!R16+'[2]OP 01.2023 Total'!S16+'[2]OP 01.2023 Total'!R17+'[2]OP 01.2023 Total'!S17+'[2]OP 01.2023 Total'!R18+'[2]OP 01.2023 Total'!S18</f>
        <v>51004.074999999975</v>
      </c>
      <c r="E39" s="194">
        <f>+[2]D1_B1!R16+[2]D1_B1!S16+[2]D1_B1!R17+[2]D1_B1!S17+[2]D1_B1!R18+[2]D1_B1!S18+[2]D1_B1!R21+[2]D1_B1!S21</f>
        <v>44156.949999999983</v>
      </c>
      <c r="F39" s="169">
        <f t="shared" si="9"/>
        <v>6847.1249999999927</v>
      </c>
      <c r="G39" s="195">
        <f>Sum!R16+Sum!S16+Sum!R17+Sum!S17+Sum!R18+Sum!S18+Sum!R21+Sum!S21</f>
        <v>0</v>
      </c>
      <c r="H39" s="194">
        <f>Sum!R16+Sum!S16+Sum!R17+Sum!S17+Sum!R18+Sum!S18+Sum!R21+Sum!S21</f>
        <v>0</v>
      </c>
      <c r="I39" s="169">
        <f t="shared" si="21"/>
        <v>0</v>
      </c>
      <c r="J39" s="170">
        <f t="shared" si="20"/>
        <v>-51004.074999999975</v>
      </c>
      <c r="K39" s="171">
        <f t="shared" si="20"/>
        <v>-44156.949999999983</v>
      </c>
      <c r="L39" s="177">
        <f t="shared" si="20"/>
        <v>-6847.1249999999927</v>
      </c>
      <c r="M39" s="237"/>
    </row>
    <row r="40" spans="1:13">
      <c r="A40" s="324"/>
      <c r="B40" s="326"/>
      <c r="C40" s="140" t="s">
        <v>298</v>
      </c>
      <c r="D40" s="175">
        <f>+'[2]OP 01.2023 Total'!R19+'[2]OP 01.2023 Total'!S19+'[2]OP 01.2023 Total'!R20+'[2]OP 01.2023 Total'!S20</f>
        <v>8085.45</v>
      </c>
      <c r="E40" s="167">
        <f>+[2]D1_B1!R19+[2]D1_B1!S19+[2]D1_B1!R20+[2]D1_B1!S20</f>
        <v>5241.1499999999987</v>
      </c>
      <c r="F40" s="168">
        <f t="shared" si="9"/>
        <v>2844.3000000000011</v>
      </c>
      <c r="G40" s="176">
        <f>Sum!R19+Sum!S19+Sum!R20+Sum!S20</f>
        <v>0</v>
      </c>
      <c r="H40" s="167">
        <f>Sum!R19+Sum!S19+Sum!R20+Sum!S20</f>
        <v>0</v>
      </c>
      <c r="I40" s="168">
        <f t="shared" si="21"/>
        <v>0</v>
      </c>
      <c r="J40" s="170">
        <f t="shared" si="20"/>
        <v>-8085.45</v>
      </c>
      <c r="K40" s="171">
        <f t="shared" si="20"/>
        <v>-5241.1499999999987</v>
      </c>
      <c r="L40" s="177">
        <f t="shared" si="20"/>
        <v>-2844.3000000000011</v>
      </c>
      <c r="M40" s="237"/>
    </row>
    <row r="41" spans="1:13">
      <c r="A41" s="324"/>
      <c r="B41" s="330"/>
      <c r="C41" s="174" t="s">
        <v>299</v>
      </c>
      <c r="D41" s="175">
        <f>+D40+D39</f>
        <v>59089.524999999972</v>
      </c>
      <c r="E41" s="167">
        <f>+E40+E39</f>
        <v>49398.099999999984</v>
      </c>
      <c r="F41" s="168">
        <f t="shared" si="9"/>
        <v>9691.4249999999884</v>
      </c>
      <c r="G41" s="176">
        <f>+G40+G39</f>
        <v>0</v>
      </c>
      <c r="H41" s="167">
        <f>+H40+H39</f>
        <v>0</v>
      </c>
      <c r="I41" s="168">
        <f t="shared" si="21"/>
        <v>0</v>
      </c>
      <c r="J41" s="238">
        <f t="shared" si="20"/>
        <v>-59089.524999999972</v>
      </c>
      <c r="K41" s="239">
        <f t="shared" si="20"/>
        <v>-49398.099999999984</v>
      </c>
      <c r="L41" s="240">
        <f t="shared" si="20"/>
        <v>-9691.4249999999884</v>
      </c>
      <c r="M41" s="235">
        <f>J41/D41</f>
        <v>-1</v>
      </c>
    </row>
    <row r="42" spans="1:13">
      <c r="A42" s="324"/>
      <c r="B42" s="331" t="s">
        <v>38</v>
      </c>
      <c r="C42" s="140" t="s">
        <v>300</v>
      </c>
      <c r="D42" s="175">
        <f>+'[2]OP 01.2023 Total'!R6</f>
        <v>2121.35</v>
      </c>
      <c r="E42" s="167">
        <f>+[2]D1_B1!R6</f>
        <v>1928.4999999999998</v>
      </c>
      <c r="F42" s="168">
        <f t="shared" si="9"/>
        <v>192.85000000000014</v>
      </c>
      <c r="G42" s="176">
        <f>Sum!R6</f>
        <v>0</v>
      </c>
      <c r="H42" s="167">
        <f>Sum!R6</f>
        <v>0</v>
      </c>
      <c r="I42" s="168">
        <f t="shared" si="21"/>
        <v>0</v>
      </c>
      <c r="J42" s="170" t="s">
        <v>311</v>
      </c>
      <c r="K42" s="171">
        <f t="shared" si="20"/>
        <v>-1928.4999999999998</v>
      </c>
      <c r="L42" s="177">
        <f t="shared" si="20"/>
        <v>-192.85000000000014</v>
      </c>
      <c r="M42" s="178"/>
    </row>
    <row r="43" spans="1:13">
      <c r="A43" s="324"/>
      <c r="B43" s="326"/>
      <c r="C43" s="140" t="s">
        <v>298</v>
      </c>
      <c r="D43" s="175">
        <f>+'[2]OP 01.2023 Total'!R5</f>
        <v>3972.9</v>
      </c>
      <c r="E43" s="167">
        <f>+[2]D1_B1!R5</f>
        <v>3739.2</v>
      </c>
      <c r="F43" s="168">
        <f t="shared" si="9"/>
        <v>233.70000000000027</v>
      </c>
      <c r="G43" s="176">
        <f>Sum!R5</f>
        <v>0</v>
      </c>
      <c r="H43" s="167">
        <f>Sum!R5</f>
        <v>0</v>
      </c>
      <c r="I43" s="168">
        <f t="shared" si="21"/>
        <v>0</v>
      </c>
      <c r="J43" s="170">
        <f t="shared" si="20"/>
        <v>-3972.9</v>
      </c>
      <c r="K43" s="171">
        <f t="shared" si="20"/>
        <v>-3739.2</v>
      </c>
      <c r="L43" s="177">
        <f t="shared" si="20"/>
        <v>-233.70000000000027</v>
      </c>
      <c r="M43" s="178"/>
    </row>
    <row r="44" spans="1:13">
      <c r="A44" s="324"/>
      <c r="B44" s="330"/>
      <c r="C44" s="174" t="s">
        <v>299</v>
      </c>
      <c r="D44" s="175">
        <f>+D43+D42</f>
        <v>6094.25</v>
      </c>
      <c r="E44" s="167">
        <f>+E43+E42</f>
        <v>5667.7</v>
      </c>
      <c r="F44" s="168">
        <f t="shared" si="9"/>
        <v>426.55000000000018</v>
      </c>
      <c r="G44" s="176">
        <f>++G42</f>
        <v>0</v>
      </c>
      <c r="H44" s="167">
        <f>++H42</f>
        <v>0</v>
      </c>
      <c r="I44" s="168">
        <f t="shared" si="21"/>
        <v>0</v>
      </c>
      <c r="J44" s="170">
        <f t="shared" si="20"/>
        <v>-6094.25</v>
      </c>
      <c r="K44" s="171">
        <f t="shared" si="20"/>
        <v>-5667.7</v>
      </c>
      <c r="L44" s="177">
        <f t="shared" si="20"/>
        <v>-426.55000000000018</v>
      </c>
      <c r="M44" s="178"/>
    </row>
    <row r="45" spans="1:13">
      <c r="A45" s="324"/>
      <c r="B45" s="331" t="s">
        <v>57</v>
      </c>
      <c r="C45" s="140" t="s">
        <v>297</v>
      </c>
      <c r="D45" s="175"/>
      <c r="E45" s="167"/>
      <c r="F45" s="168">
        <f t="shared" si="9"/>
        <v>0</v>
      </c>
      <c r="G45" s="176"/>
      <c r="H45" s="167"/>
      <c r="I45" s="168">
        <f t="shared" si="21"/>
        <v>0</v>
      </c>
      <c r="J45" s="180">
        <f t="shared" si="20"/>
        <v>0</v>
      </c>
      <c r="K45" s="181">
        <f t="shared" si="20"/>
        <v>0</v>
      </c>
      <c r="L45" s="182">
        <f t="shared" si="20"/>
        <v>0</v>
      </c>
      <c r="M45" s="178"/>
    </row>
    <row r="46" spans="1:13">
      <c r="A46" s="324"/>
      <c r="B46" s="326"/>
      <c r="C46" s="140" t="s">
        <v>298</v>
      </c>
      <c r="D46" s="175">
        <f>+'[2]OP 01.2023 Total'!R25</f>
        <v>706.94999999999993</v>
      </c>
      <c r="E46" s="167">
        <f>+[2]D1_B1!R25</f>
        <v>706.94999999999993</v>
      </c>
      <c r="F46" s="168">
        <f t="shared" si="9"/>
        <v>0</v>
      </c>
      <c r="G46" s="176">
        <f>Sum!R25</f>
        <v>0</v>
      </c>
      <c r="H46" s="167">
        <f>Sum!R25</f>
        <v>0</v>
      </c>
      <c r="I46" s="168">
        <f t="shared" si="21"/>
        <v>0</v>
      </c>
      <c r="J46" s="170">
        <f t="shared" si="20"/>
        <v>-706.94999999999993</v>
      </c>
      <c r="K46" s="171">
        <f t="shared" si="20"/>
        <v>-706.94999999999993</v>
      </c>
      <c r="L46" s="177">
        <f t="shared" si="20"/>
        <v>0</v>
      </c>
      <c r="M46" s="178"/>
    </row>
    <row r="47" spans="1:13">
      <c r="A47" s="324"/>
      <c r="B47" s="332"/>
      <c r="C47" s="183" t="s">
        <v>299</v>
      </c>
      <c r="D47" s="184">
        <f>+D46</f>
        <v>706.94999999999993</v>
      </c>
      <c r="E47" s="185">
        <f>+E46</f>
        <v>706.94999999999993</v>
      </c>
      <c r="F47" s="186">
        <f t="shared" si="9"/>
        <v>0</v>
      </c>
      <c r="G47" s="187">
        <f>+G46</f>
        <v>0</v>
      </c>
      <c r="H47" s="185">
        <f>+H46</f>
        <v>0</v>
      </c>
      <c r="I47" s="186">
        <f t="shared" si="21"/>
        <v>0</v>
      </c>
      <c r="J47" s="189">
        <f t="shared" si="20"/>
        <v>-706.94999999999993</v>
      </c>
      <c r="K47" s="190">
        <f t="shared" si="20"/>
        <v>-706.94999999999993</v>
      </c>
      <c r="L47" s="191">
        <f t="shared" si="20"/>
        <v>0</v>
      </c>
      <c r="M47" s="178"/>
    </row>
    <row r="48" spans="1:13">
      <c r="A48" s="324"/>
      <c r="B48" s="321" t="s">
        <v>66</v>
      </c>
      <c r="C48" s="192" t="s">
        <v>300</v>
      </c>
      <c r="D48" s="193">
        <f>+D42</f>
        <v>2121.35</v>
      </c>
      <c r="E48" s="194">
        <f>+E42</f>
        <v>1928.4999999999998</v>
      </c>
      <c r="F48" s="169">
        <f t="shared" si="9"/>
        <v>192.85000000000014</v>
      </c>
      <c r="G48" s="195">
        <f>+G42</f>
        <v>0</v>
      </c>
      <c r="H48" s="194">
        <f>+H42</f>
        <v>0</v>
      </c>
      <c r="I48" s="169">
        <f t="shared" si="21"/>
        <v>0</v>
      </c>
      <c r="J48" s="170">
        <f t="shared" si="20"/>
        <v>-2121.35</v>
      </c>
      <c r="K48" s="171">
        <f t="shared" si="20"/>
        <v>-1928.4999999999998</v>
      </c>
      <c r="L48" s="177">
        <f t="shared" si="20"/>
        <v>-192.85000000000014</v>
      </c>
      <c r="M48" s="178"/>
    </row>
    <row r="49" spans="1:13">
      <c r="A49" s="324"/>
      <c r="B49" s="321"/>
      <c r="C49" s="174" t="s">
        <v>297</v>
      </c>
      <c r="D49" s="175">
        <f>+D33+D36+D39+D45</f>
        <v>108026.11499999992</v>
      </c>
      <c r="E49" s="167">
        <f t="shared" ref="E49" si="22">+E33+E36+E39+E45</f>
        <v>91307.254999999946</v>
      </c>
      <c r="F49" s="168">
        <f t="shared" si="9"/>
        <v>16718.859999999971</v>
      </c>
      <c r="G49" s="176">
        <f t="shared" ref="G49:H49" si="23">+G33+G36+G39+G45</f>
        <v>0</v>
      </c>
      <c r="H49" s="167">
        <f t="shared" si="23"/>
        <v>0</v>
      </c>
      <c r="I49" s="169">
        <f t="shared" si="21"/>
        <v>0</v>
      </c>
      <c r="J49" s="170">
        <f t="shared" ref="J49:L64" si="24">+G49-D49</f>
        <v>-108026.11499999992</v>
      </c>
      <c r="K49" s="171">
        <f t="shared" si="24"/>
        <v>-91307.254999999946</v>
      </c>
      <c r="L49" s="177">
        <f t="shared" si="24"/>
        <v>-16718.859999999971</v>
      </c>
      <c r="M49" s="235"/>
    </row>
    <row r="50" spans="1:13">
      <c r="A50" s="324"/>
      <c r="B50" s="321"/>
      <c r="C50" s="174" t="s">
        <v>298</v>
      </c>
      <c r="D50" s="175">
        <f>+D34+D37+D40+D43+D46</f>
        <v>19032.735000000001</v>
      </c>
      <c r="E50" s="167">
        <f t="shared" ref="E50" si="25">+E34+E37+E40+E43+E46</f>
        <v>15954.735000000001</v>
      </c>
      <c r="F50" s="168">
        <f t="shared" si="9"/>
        <v>3078</v>
      </c>
      <c r="G50" s="176">
        <f t="shared" ref="G50:H50" si="26">+G34+G37+G40+G43+G46</f>
        <v>0</v>
      </c>
      <c r="H50" s="167">
        <f t="shared" si="26"/>
        <v>0</v>
      </c>
      <c r="I50" s="169">
        <f t="shared" si="21"/>
        <v>0</v>
      </c>
      <c r="J50" s="170">
        <f t="shared" si="24"/>
        <v>-19032.735000000001</v>
      </c>
      <c r="K50" s="171">
        <f t="shared" si="24"/>
        <v>-15954.735000000001</v>
      </c>
      <c r="L50" s="177">
        <f t="shared" si="24"/>
        <v>-3078</v>
      </c>
      <c r="M50" s="235"/>
    </row>
    <row r="51" spans="1:13" ht="15.75" thickBot="1">
      <c r="A51" s="333"/>
      <c r="B51" s="322"/>
      <c r="C51" s="241" t="s">
        <v>299</v>
      </c>
      <c r="D51" s="197">
        <f>+D48+D49+D50</f>
        <v>129180.19999999992</v>
      </c>
      <c r="E51" s="198">
        <f t="shared" ref="E51" si="27">+E48+E49+E50</f>
        <v>109190.48999999995</v>
      </c>
      <c r="F51" s="199">
        <f t="shared" si="9"/>
        <v>19989.709999999977</v>
      </c>
      <c r="G51" s="200">
        <f t="shared" ref="G51:H51" si="28">+G48+G49+G50</f>
        <v>0</v>
      </c>
      <c r="H51" s="198">
        <f t="shared" si="28"/>
        <v>0</v>
      </c>
      <c r="I51" s="201">
        <f t="shared" si="21"/>
        <v>0</v>
      </c>
      <c r="J51" s="242">
        <f t="shared" si="24"/>
        <v>-129180.19999999992</v>
      </c>
      <c r="K51" s="243">
        <f t="shared" si="24"/>
        <v>-109190.48999999995</v>
      </c>
      <c r="L51" s="244">
        <f t="shared" si="24"/>
        <v>-19989.709999999977</v>
      </c>
      <c r="M51" s="235">
        <f>J51/D51</f>
        <v>-1</v>
      </c>
    </row>
    <row r="52" spans="1:13">
      <c r="A52" s="323" t="s">
        <v>302</v>
      </c>
      <c r="B52" s="325" t="s">
        <v>293</v>
      </c>
      <c r="C52" s="205" t="s">
        <v>297</v>
      </c>
      <c r="D52" s="206"/>
      <c r="E52" s="207"/>
      <c r="F52" s="208">
        <f t="shared" si="9"/>
        <v>0</v>
      </c>
      <c r="G52" s="209"/>
      <c r="H52" s="207"/>
      <c r="I52" s="208">
        <f t="shared" si="21"/>
        <v>0</v>
      </c>
      <c r="J52" s="210">
        <f t="shared" si="24"/>
        <v>0</v>
      </c>
      <c r="K52" s="211">
        <f t="shared" si="24"/>
        <v>0</v>
      </c>
      <c r="L52" s="212">
        <f t="shared" si="24"/>
        <v>0</v>
      </c>
      <c r="M52" s="235"/>
    </row>
    <row r="53" spans="1:13">
      <c r="A53" s="324"/>
      <c r="B53" s="326"/>
      <c r="C53" s="140" t="s">
        <v>298</v>
      </c>
      <c r="D53" s="175">
        <f>+'[2]OP 01.2023 Total'!U10/23200</f>
        <v>3587.6829310344829</v>
      </c>
      <c r="E53" s="167">
        <f>+[2]D1_B1!U10/23200</f>
        <v>3587.6829310344829</v>
      </c>
      <c r="F53" s="168">
        <f t="shared" si="9"/>
        <v>0</v>
      </c>
      <c r="G53" s="176">
        <f>Sum!U10/23200</f>
        <v>0</v>
      </c>
      <c r="H53" s="167">
        <f>Sum!U10/2320</f>
        <v>0</v>
      </c>
      <c r="I53" s="169">
        <f t="shared" si="21"/>
        <v>0</v>
      </c>
      <c r="J53" s="170">
        <f t="shared" si="24"/>
        <v>-3587.6829310344829</v>
      </c>
      <c r="K53" s="171">
        <f t="shared" si="24"/>
        <v>-3587.6829310344829</v>
      </c>
      <c r="L53" s="177">
        <f t="shared" si="24"/>
        <v>0</v>
      </c>
      <c r="M53" s="235"/>
    </row>
    <row r="54" spans="1:13" ht="15.75" thickBot="1">
      <c r="A54" s="324"/>
      <c r="B54" s="326"/>
      <c r="C54" s="213" t="s">
        <v>299</v>
      </c>
      <c r="D54" s="214">
        <f>+D53</f>
        <v>3587.6829310344829</v>
      </c>
      <c r="E54" s="215">
        <f>+E53</f>
        <v>3587.6829310344829</v>
      </c>
      <c r="F54" s="216">
        <f t="shared" si="9"/>
        <v>0</v>
      </c>
      <c r="G54" s="217">
        <f>+G53</f>
        <v>0</v>
      </c>
      <c r="H54" s="215">
        <f>+H53</f>
        <v>0</v>
      </c>
      <c r="I54" s="245">
        <f t="shared" si="21"/>
        <v>0</v>
      </c>
      <c r="J54" s="218">
        <f t="shared" si="24"/>
        <v>-3587.6829310344829</v>
      </c>
      <c r="K54" s="219">
        <f t="shared" si="24"/>
        <v>-3587.6829310344829</v>
      </c>
      <c r="L54" s="220">
        <f t="shared" si="24"/>
        <v>0</v>
      </c>
      <c r="M54" s="235"/>
    </row>
    <row r="55" spans="1:13">
      <c r="A55" s="324"/>
      <c r="B55" s="327" t="s">
        <v>296</v>
      </c>
      <c r="C55" s="246" t="s">
        <v>297</v>
      </c>
      <c r="D55" s="247">
        <f>+('[2]OP 01.2023 Total'!U15-'[2]OP 01.2023 Total'!U12)/23200</f>
        <v>76088.408917025867</v>
      </c>
      <c r="E55" s="248">
        <f>+([2]D1_B1!U15-[2]D1_B1!U12)/23200</f>
        <v>63905.725457974135</v>
      </c>
      <c r="F55" s="249">
        <f t="shared" si="9"/>
        <v>12182.683459051732</v>
      </c>
      <c r="G55" s="250">
        <f>(Sum!U15-Sum!U12)/23200</f>
        <v>0</v>
      </c>
      <c r="H55" s="248">
        <f>(Sum!U11+Sum!U13+Sum!U14)/23200</f>
        <v>0</v>
      </c>
      <c r="I55" s="249">
        <f t="shared" si="21"/>
        <v>0</v>
      </c>
      <c r="J55" s="251">
        <f t="shared" si="24"/>
        <v>-76088.408917025867</v>
      </c>
      <c r="K55" s="252">
        <f t="shared" si="24"/>
        <v>-63905.725457974135</v>
      </c>
      <c r="L55" s="253">
        <f t="shared" si="24"/>
        <v>-12182.683459051732</v>
      </c>
      <c r="M55" s="254"/>
    </row>
    <row r="56" spans="1:13">
      <c r="A56" s="324"/>
      <c r="B56" s="328"/>
      <c r="C56" s="140" t="s">
        <v>298</v>
      </c>
      <c r="D56" s="175">
        <f>+'[2]OP 01.2023 Total'!U12/23200</f>
        <v>5926.7588092672413</v>
      </c>
      <c r="E56" s="167">
        <f>+[2]D1_B1!U12/23200</f>
        <v>5926.7588092672413</v>
      </c>
      <c r="F56" s="168">
        <f t="shared" si="9"/>
        <v>0</v>
      </c>
      <c r="G56" s="176">
        <f>Sum!U12/23200</f>
        <v>0</v>
      </c>
      <c r="H56" s="167">
        <f>Sum!U12/23200</f>
        <v>0</v>
      </c>
      <c r="I56" s="169">
        <f t="shared" si="21"/>
        <v>0</v>
      </c>
      <c r="J56" s="170">
        <f t="shared" si="24"/>
        <v>-5926.7588092672413</v>
      </c>
      <c r="K56" s="171">
        <f t="shared" si="24"/>
        <v>-5926.7588092672413</v>
      </c>
      <c r="L56" s="177">
        <f t="shared" si="24"/>
        <v>0</v>
      </c>
      <c r="M56" s="254"/>
    </row>
    <row r="57" spans="1:13" ht="15.75" thickBot="1">
      <c r="A57" s="324"/>
      <c r="B57" s="329"/>
      <c r="C57" s="255" t="s">
        <v>299</v>
      </c>
      <c r="D57" s="256">
        <f>+D56+D55</f>
        <v>82015.167726293104</v>
      </c>
      <c r="E57" s="257">
        <f>+E56+E55</f>
        <v>69832.48426724138</v>
      </c>
      <c r="F57" s="258">
        <f t="shared" si="9"/>
        <v>12182.683459051725</v>
      </c>
      <c r="G57" s="259">
        <f>+G56+G55</f>
        <v>0</v>
      </c>
      <c r="H57" s="257">
        <f>+H56+H55</f>
        <v>0</v>
      </c>
      <c r="I57" s="260">
        <f t="shared" si="21"/>
        <v>0</v>
      </c>
      <c r="J57" s="261">
        <f t="shared" si="24"/>
        <v>-82015.167726293104</v>
      </c>
      <c r="K57" s="262">
        <f t="shared" si="24"/>
        <v>-69832.48426724138</v>
      </c>
      <c r="L57" s="263">
        <f t="shared" si="24"/>
        <v>-12182.683459051725</v>
      </c>
      <c r="M57" s="235">
        <f>J57/D57</f>
        <v>-1</v>
      </c>
    </row>
    <row r="58" spans="1:13">
      <c r="A58" s="324"/>
      <c r="B58" s="326" t="s">
        <v>85</v>
      </c>
      <c r="C58" s="236" t="s">
        <v>297</v>
      </c>
      <c r="D58" s="193">
        <f>+('[2]OP 01.2023 Total'!U16+'[2]OP 01.2023 Total'!U17+'[2]OP 01.2023 Total'!U18)/23200</f>
        <v>67603.442672413788</v>
      </c>
      <c r="E58" s="194">
        <f>+([2]D1_B1!U16+[2]D1_B1!U17+[2]D1_B1!U18)/23200</f>
        <v>58795.995625000003</v>
      </c>
      <c r="F58" s="169">
        <f t="shared" si="9"/>
        <v>8807.4470474137852</v>
      </c>
      <c r="G58" s="195">
        <f>(Sum!U16+Sum!U17+Sum!U18+Sum!U21)/23200</f>
        <v>0</v>
      </c>
      <c r="H58" s="194">
        <f>(Sum!U23-Sum!U22-Sum!U19)/23200</f>
        <v>0</v>
      </c>
      <c r="I58" s="169">
        <f t="shared" si="21"/>
        <v>0</v>
      </c>
      <c r="J58" s="170">
        <f t="shared" si="24"/>
        <v>-67603.442672413788</v>
      </c>
      <c r="K58" s="171">
        <f t="shared" si="24"/>
        <v>-58795.995625000003</v>
      </c>
      <c r="L58" s="177">
        <f t="shared" si="24"/>
        <v>-8807.4470474137852</v>
      </c>
      <c r="M58" s="254"/>
    </row>
    <row r="59" spans="1:13">
      <c r="A59" s="324"/>
      <c r="B59" s="326"/>
      <c r="C59" s="140" t="s">
        <v>298</v>
      </c>
      <c r="D59" s="175">
        <f>+('[2]OP 01.2023 Total'!U19+'[2]OP 01.2023 Total'!U20)/23200</f>
        <v>10670.762941810344</v>
      </c>
      <c r="E59" s="167">
        <f>+([2]D1_B1!U19+[2]D1_B1!U20)/23200</f>
        <v>7014.7350161637933</v>
      </c>
      <c r="F59" s="168">
        <f t="shared" si="9"/>
        <v>3656.027925646551</v>
      </c>
      <c r="G59" s="176">
        <f>(Sum!U19+Sum!U20)/23200</f>
        <v>0</v>
      </c>
      <c r="H59" s="167">
        <f>(Sum!U19+Sum!U20)/23200</f>
        <v>0</v>
      </c>
      <c r="I59" s="169">
        <v>0</v>
      </c>
      <c r="J59" s="170">
        <f t="shared" si="24"/>
        <v>-10670.762941810344</v>
      </c>
      <c r="K59" s="171">
        <f t="shared" si="24"/>
        <v>-7014.7350161637933</v>
      </c>
      <c r="L59" s="177">
        <f t="shared" si="24"/>
        <v>-3656.027925646551</v>
      </c>
      <c r="M59" s="254"/>
    </row>
    <row r="60" spans="1:13">
      <c r="A60" s="324"/>
      <c r="B60" s="330"/>
      <c r="C60" s="174" t="s">
        <v>299</v>
      </c>
      <c r="D60" s="175">
        <f>+D59+D58</f>
        <v>78274.205614224134</v>
      </c>
      <c r="E60" s="167">
        <f>+E59+E58</f>
        <v>65810.730641163798</v>
      </c>
      <c r="F60" s="168">
        <f t="shared" ref="F60:F70" si="29">+D60-E60</f>
        <v>12463.474973060336</v>
      </c>
      <c r="G60" s="176">
        <f>+G59+G58</f>
        <v>0</v>
      </c>
      <c r="H60" s="167">
        <f>+H59+H58</f>
        <v>0</v>
      </c>
      <c r="I60" s="169">
        <f t="shared" si="21"/>
        <v>0</v>
      </c>
      <c r="J60" s="238">
        <f t="shared" si="24"/>
        <v>-78274.205614224134</v>
      </c>
      <c r="K60" s="239">
        <f t="shared" si="24"/>
        <v>-65810.730641163798</v>
      </c>
      <c r="L60" s="240">
        <f t="shared" si="24"/>
        <v>-12463.474973060336</v>
      </c>
      <c r="M60" s="235">
        <f>J60/D60</f>
        <v>-1</v>
      </c>
    </row>
    <row r="61" spans="1:13">
      <c r="A61" s="324"/>
      <c r="B61" s="331" t="s">
        <v>38</v>
      </c>
      <c r="C61" s="140" t="s">
        <v>300</v>
      </c>
      <c r="D61" s="175">
        <f>+'[2]OP 01.2023 Total'!U6/23200</f>
        <v>8074.2504283405169</v>
      </c>
      <c r="E61" s="167">
        <f>+[2]D1_B1!U6/23200</f>
        <v>7472.4310425646554</v>
      </c>
      <c r="F61" s="168">
        <f t="shared" si="29"/>
        <v>601.81938577586152</v>
      </c>
      <c r="G61" s="176">
        <f>Sum!U6/23200</f>
        <v>0</v>
      </c>
      <c r="H61" s="167">
        <f>Sum!U6/23200</f>
        <v>0</v>
      </c>
      <c r="I61" s="169">
        <f t="shared" si="21"/>
        <v>0</v>
      </c>
      <c r="J61" s="170">
        <f t="shared" si="24"/>
        <v>-8074.2504283405169</v>
      </c>
      <c r="K61" s="171">
        <f t="shared" si="24"/>
        <v>-7472.4310425646554</v>
      </c>
      <c r="L61" s="177">
        <f t="shared" si="24"/>
        <v>-601.81938577586152</v>
      </c>
      <c r="M61" s="254"/>
    </row>
    <row r="62" spans="1:13">
      <c r="A62" s="324"/>
      <c r="B62" s="326"/>
      <c r="C62" s="140" t="s">
        <v>295</v>
      </c>
      <c r="D62" s="175">
        <f>+'[2]OP 01.2023 Total'!U5/23200</f>
        <v>12908.430689655172</v>
      </c>
      <c r="E62" s="167">
        <f>+[2]D1_B1!U5/23200</f>
        <v>12262.086403556035</v>
      </c>
      <c r="F62" s="168">
        <f t="shared" si="29"/>
        <v>646.3442860991363</v>
      </c>
      <c r="G62" s="176">
        <f>Sum!U5/23200</f>
        <v>0</v>
      </c>
      <c r="H62" s="167">
        <f>Sum!U5/23200</f>
        <v>0</v>
      </c>
      <c r="I62" s="169">
        <f t="shared" si="21"/>
        <v>0</v>
      </c>
      <c r="J62" s="170">
        <f t="shared" si="24"/>
        <v>-12908.430689655172</v>
      </c>
      <c r="K62" s="171">
        <f t="shared" si="24"/>
        <v>-12262.086403556035</v>
      </c>
      <c r="L62" s="177">
        <f t="shared" si="24"/>
        <v>-646.3442860991363</v>
      </c>
      <c r="M62" s="254"/>
    </row>
    <row r="63" spans="1:13">
      <c r="A63" s="324"/>
      <c r="B63" s="330"/>
      <c r="C63" s="174" t="s">
        <v>287</v>
      </c>
      <c r="D63" s="175">
        <f>+D61+D62</f>
        <v>20982.681117995689</v>
      </c>
      <c r="E63" s="167">
        <f>+E61+E62</f>
        <v>19734.517446120692</v>
      </c>
      <c r="F63" s="168">
        <f t="shared" si="29"/>
        <v>1248.1636718749978</v>
      </c>
      <c r="G63" s="176">
        <f>+G61+G62</f>
        <v>0</v>
      </c>
      <c r="H63" s="167">
        <f>+H61+H62</f>
        <v>0</v>
      </c>
      <c r="I63" s="169">
        <f t="shared" si="21"/>
        <v>0</v>
      </c>
      <c r="J63" s="170">
        <f t="shared" si="24"/>
        <v>-20982.681117995689</v>
      </c>
      <c r="K63" s="171">
        <f t="shared" si="24"/>
        <v>-19734.517446120692</v>
      </c>
      <c r="L63" s="177">
        <f t="shared" si="24"/>
        <v>-1248.1636718749978</v>
      </c>
      <c r="M63" s="254"/>
    </row>
    <row r="64" spans="1:13">
      <c r="A64" s="324"/>
      <c r="B64" s="331" t="s">
        <v>57</v>
      </c>
      <c r="C64" s="140" t="s">
        <v>297</v>
      </c>
      <c r="D64" s="175"/>
      <c r="E64" s="167"/>
      <c r="F64" s="168">
        <f t="shared" si="29"/>
        <v>0</v>
      </c>
      <c r="G64" s="176"/>
      <c r="H64" s="167"/>
      <c r="I64" s="168">
        <f t="shared" si="21"/>
        <v>0</v>
      </c>
      <c r="J64" s="180">
        <f t="shared" si="24"/>
        <v>0</v>
      </c>
      <c r="K64" s="181">
        <f t="shared" si="24"/>
        <v>0</v>
      </c>
      <c r="L64" s="182">
        <f t="shared" si="24"/>
        <v>0</v>
      </c>
      <c r="M64" s="254"/>
    </row>
    <row r="65" spans="1:13">
      <c r="A65" s="324"/>
      <c r="B65" s="326"/>
      <c r="C65" s="140" t="s">
        <v>298</v>
      </c>
      <c r="D65" s="175">
        <f>+'[2]OP 01.2023 Total'!U25/23200</f>
        <v>1187.0033189655173</v>
      </c>
      <c r="E65" s="167">
        <f>+[2]D1_B1!U25/23200</f>
        <v>1187.0033189655173</v>
      </c>
      <c r="F65" s="168">
        <f t="shared" si="29"/>
        <v>0</v>
      </c>
      <c r="G65" s="176">
        <f>Sum!U25/23200</f>
        <v>0</v>
      </c>
      <c r="H65" s="167">
        <f>Sum!U25/23200</f>
        <v>0</v>
      </c>
      <c r="I65" s="169">
        <f t="shared" si="21"/>
        <v>0</v>
      </c>
      <c r="J65" s="170">
        <f t="shared" ref="J65:L70" si="30">+G65-D65</f>
        <v>-1187.0033189655173</v>
      </c>
      <c r="K65" s="171">
        <f t="shared" si="30"/>
        <v>-1187.0033189655173</v>
      </c>
      <c r="L65" s="177">
        <f t="shared" si="30"/>
        <v>0</v>
      </c>
      <c r="M65" s="254"/>
    </row>
    <row r="66" spans="1:13">
      <c r="A66" s="324"/>
      <c r="B66" s="332"/>
      <c r="C66" s="183" t="s">
        <v>299</v>
      </c>
      <c r="D66" s="184">
        <f>+D65+D64</f>
        <v>1187.0033189655173</v>
      </c>
      <c r="E66" s="185">
        <f>+E65+E64</f>
        <v>1187.0033189655173</v>
      </c>
      <c r="F66" s="186">
        <f t="shared" si="29"/>
        <v>0</v>
      </c>
      <c r="G66" s="187">
        <f>+G65+G64</f>
        <v>0</v>
      </c>
      <c r="H66" s="185">
        <f>+H65+H64</f>
        <v>0</v>
      </c>
      <c r="I66" s="188">
        <f t="shared" si="21"/>
        <v>0</v>
      </c>
      <c r="J66" s="189">
        <f t="shared" si="30"/>
        <v>-1187.0033189655173</v>
      </c>
      <c r="K66" s="190">
        <f t="shared" si="30"/>
        <v>-1187.0033189655173</v>
      </c>
      <c r="L66" s="191">
        <f t="shared" si="30"/>
        <v>0</v>
      </c>
      <c r="M66" s="254"/>
    </row>
    <row r="67" spans="1:13">
      <c r="A67" s="264"/>
      <c r="B67" s="321" t="s">
        <v>303</v>
      </c>
      <c r="C67" s="192" t="s">
        <v>300</v>
      </c>
      <c r="D67" s="193">
        <f>+D61</f>
        <v>8074.2504283405169</v>
      </c>
      <c r="E67" s="194">
        <f>+E61</f>
        <v>7472.4310425646554</v>
      </c>
      <c r="F67" s="169">
        <f t="shared" si="29"/>
        <v>601.81938577586152</v>
      </c>
      <c r="G67" s="195">
        <f>+G61</f>
        <v>0</v>
      </c>
      <c r="H67" s="194">
        <f>+H61</f>
        <v>0</v>
      </c>
      <c r="I67" s="169">
        <f t="shared" si="21"/>
        <v>0</v>
      </c>
      <c r="J67" s="170">
        <f t="shared" si="30"/>
        <v>-8074.2504283405169</v>
      </c>
      <c r="K67" s="171">
        <f t="shared" si="30"/>
        <v>-7472.4310425646554</v>
      </c>
      <c r="L67" s="177">
        <f t="shared" si="30"/>
        <v>-601.81938577586152</v>
      </c>
      <c r="M67" s="254"/>
    </row>
    <row r="68" spans="1:13">
      <c r="A68" s="264"/>
      <c r="B68" s="321"/>
      <c r="C68" s="174" t="s">
        <v>294</v>
      </c>
      <c r="D68" s="175">
        <f>+D52+D55+D58+D64</f>
        <v>143691.85158943967</v>
      </c>
      <c r="E68" s="167">
        <f t="shared" ref="E68" si="31">+E52+E55+E58+E64</f>
        <v>122701.72108297414</v>
      </c>
      <c r="F68" s="168">
        <f t="shared" si="29"/>
        <v>20990.130506465532</v>
      </c>
      <c r="G68" s="176">
        <f>+G52+G55+G58+G64</f>
        <v>0</v>
      </c>
      <c r="H68" s="167">
        <f t="shared" ref="H68" si="32">+H52+H55+H58+H64</f>
        <v>0</v>
      </c>
      <c r="I68" s="169">
        <f t="shared" si="21"/>
        <v>0</v>
      </c>
      <c r="J68" s="170">
        <f t="shared" si="30"/>
        <v>-143691.85158943967</v>
      </c>
      <c r="K68" s="171">
        <f t="shared" si="30"/>
        <v>-122701.72108297414</v>
      </c>
      <c r="L68" s="177">
        <f t="shared" si="30"/>
        <v>-20990.130506465532</v>
      </c>
      <c r="M68" s="254"/>
    </row>
    <row r="69" spans="1:13">
      <c r="A69" s="264"/>
      <c r="B69" s="321"/>
      <c r="C69" s="174" t="s">
        <v>295</v>
      </c>
      <c r="D69" s="175">
        <f>+D53+D56+D59+D62+D65</f>
        <v>34280.638690732754</v>
      </c>
      <c r="E69" s="167">
        <f t="shared" ref="E69" si="33">+E53+E56+E59+E62+E65</f>
        <v>29978.266478987072</v>
      </c>
      <c r="F69" s="168">
        <f t="shared" si="29"/>
        <v>4302.3722117456819</v>
      </c>
      <c r="G69" s="176">
        <f>+G53+G56+G59+G62+G65</f>
        <v>0</v>
      </c>
      <c r="H69" s="167">
        <f t="shared" ref="H69" si="34">+H53+H56+H59+H62+H65</f>
        <v>0</v>
      </c>
      <c r="I69" s="169">
        <f t="shared" si="21"/>
        <v>0</v>
      </c>
      <c r="J69" s="170">
        <f t="shared" si="30"/>
        <v>-34280.638690732754</v>
      </c>
      <c r="K69" s="171">
        <f t="shared" si="30"/>
        <v>-29978.266478987072</v>
      </c>
      <c r="L69" s="177">
        <f t="shared" si="30"/>
        <v>-4302.3722117456819</v>
      </c>
      <c r="M69" s="254"/>
    </row>
    <row r="70" spans="1:13" ht="15.75" thickBot="1">
      <c r="A70" s="265"/>
      <c r="B70" s="322"/>
      <c r="C70" s="241" t="s">
        <v>287</v>
      </c>
      <c r="D70" s="266">
        <f>+D67+D68+D69</f>
        <v>186046.74070851295</v>
      </c>
      <c r="E70" s="267">
        <f>+E67+E68+E69</f>
        <v>160152.41860452585</v>
      </c>
      <c r="F70" s="268">
        <f t="shared" si="29"/>
        <v>25894.322103987099</v>
      </c>
      <c r="G70" s="269">
        <f>+G67+G68+G69</f>
        <v>0</v>
      </c>
      <c r="H70" s="267">
        <f t="shared" ref="H70" si="35">+H67+H68+H69</f>
        <v>0</v>
      </c>
      <c r="I70" s="270">
        <f t="shared" si="21"/>
        <v>0</v>
      </c>
      <c r="J70" s="271">
        <f t="shared" si="30"/>
        <v>-186046.74070851295</v>
      </c>
      <c r="K70" s="272">
        <f t="shared" si="30"/>
        <v>-160152.41860452585</v>
      </c>
      <c r="L70" s="273">
        <f t="shared" si="30"/>
        <v>-25894.322103987099</v>
      </c>
      <c r="M70" s="274">
        <f>J70/D70</f>
        <v>-1</v>
      </c>
    </row>
    <row r="71" spans="1:13">
      <c r="A71" s="275"/>
      <c r="B71" s="275"/>
      <c r="C71" s="275"/>
      <c r="D71" s="276"/>
      <c r="E71" s="276"/>
      <c r="F71" s="276"/>
      <c r="G71" s="276"/>
      <c r="H71" s="276"/>
      <c r="I71" s="276"/>
      <c r="J71" s="277"/>
      <c r="K71" s="277"/>
      <c r="L71" s="277"/>
      <c r="M71" s="275"/>
    </row>
    <row r="72" spans="1:13">
      <c r="A72" s="275"/>
      <c r="B72" s="275"/>
      <c r="C72" s="275"/>
      <c r="D72" s="276"/>
      <c r="E72" s="278" t="s">
        <v>304</v>
      </c>
      <c r="F72" s="276"/>
      <c r="G72" s="279" t="s">
        <v>305</v>
      </c>
      <c r="H72" s="280"/>
      <c r="I72" s="281" t="s">
        <v>306</v>
      </c>
      <c r="J72" s="280"/>
      <c r="K72" s="280"/>
      <c r="L72" s="280"/>
      <c r="M72" s="282"/>
    </row>
    <row r="73" spans="1:13">
      <c r="A73" s="275"/>
      <c r="B73" s="275"/>
      <c r="C73" s="275"/>
      <c r="D73" s="276"/>
      <c r="E73" s="278"/>
      <c r="F73" s="276"/>
      <c r="G73" s="281" t="s">
        <v>307</v>
      </c>
      <c r="H73" s="280"/>
      <c r="I73" s="280"/>
      <c r="J73" s="280"/>
      <c r="K73" s="280"/>
      <c r="L73" s="280"/>
      <c r="M73" s="282"/>
    </row>
    <row r="74" spans="1:13">
      <c r="A74" s="275"/>
      <c r="B74" s="275"/>
      <c r="C74" s="275"/>
      <c r="D74" s="276"/>
      <c r="E74" s="278"/>
      <c r="F74" s="276"/>
      <c r="G74" s="281" t="s">
        <v>308</v>
      </c>
      <c r="H74" s="280"/>
      <c r="I74" s="280"/>
      <c r="J74" s="280"/>
      <c r="K74" s="280"/>
      <c r="L74" s="280"/>
      <c r="M74" s="282"/>
    </row>
    <row r="75" spans="1:13">
      <c r="A75" s="275"/>
      <c r="B75" s="275"/>
      <c r="C75" s="275"/>
      <c r="D75" s="276"/>
      <c r="E75" s="278" t="s">
        <v>309</v>
      </c>
      <c r="F75" s="276"/>
      <c r="G75" s="279" t="s">
        <v>310</v>
      </c>
      <c r="H75" s="281"/>
      <c r="I75" s="281"/>
      <c r="J75" s="281"/>
      <c r="K75" s="281"/>
      <c r="L75" s="281"/>
      <c r="M75" s="282"/>
    </row>
    <row r="76" spans="1:13">
      <c r="A76" s="275"/>
      <c r="B76" s="275"/>
      <c r="C76" s="275"/>
      <c r="D76" s="283">
        <f>+D70*23200</f>
        <v>4316284384.437501</v>
      </c>
      <c r="E76" s="283">
        <f t="shared" ref="E76:H76" si="36">+E70*23200</f>
        <v>3715536111.625</v>
      </c>
      <c r="F76" s="283"/>
      <c r="G76" s="283">
        <f>+G70*23200</f>
        <v>0</v>
      </c>
      <c r="H76" s="283">
        <f t="shared" si="36"/>
        <v>0</v>
      </c>
      <c r="I76" s="284"/>
      <c r="J76" s="280"/>
      <c r="K76" s="280"/>
      <c r="L76" s="280"/>
      <c r="M76" s="282"/>
    </row>
    <row r="77" spans="1:13">
      <c r="A77" s="275"/>
      <c r="B77" s="275"/>
      <c r="C77" s="275"/>
      <c r="D77" s="283">
        <f>+'[3]OP 01.2023 Total'!U26</f>
        <v>4316284384.4375</v>
      </c>
      <c r="E77" s="283">
        <f>+[3]D1_B1!U26</f>
        <v>3715536111.625</v>
      </c>
      <c r="F77" s="283"/>
      <c r="G77" s="283">
        <f>+'[3]ACtual 01.2023 Total'!U26</f>
        <v>3955012739</v>
      </c>
      <c r="H77" s="283">
        <f>+'[3]Actual D1_01.2023'!U26</f>
        <v>3416428568</v>
      </c>
      <c r="I77" s="284"/>
      <c r="J77" s="280"/>
      <c r="K77" s="280"/>
      <c r="L77" s="280"/>
      <c r="M77" s="282"/>
    </row>
    <row r="78" spans="1:13">
      <c r="A78" s="275"/>
      <c r="B78" s="275"/>
      <c r="C78" s="275"/>
      <c r="D78" s="284">
        <f>+D76-D77</f>
        <v>0</v>
      </c>
      <c r="E78" s="284">
        <f t="shared" ref="E78:I78" si="37">+E76-E77</f>
        <v>0</v>
      </c>
      <c r="F78" s="284">
        <f t="shared" si="37"/>
        <v>0</v>
      </c>
      <c r="G78" s="285">
        <f>+G76-G77</f>
        <v>-3955012739</v>
      </c>
      <c r="H78" s="285">
        <f t="shared" si="37"/>
        <v>-3416428568</v>
      </c>
      <c r="I78" s="284">
        <f t="shared" si="37"/>
        <v>0</v>
      </c>
      <c r="J78" s="276"/>
      <c r="K78" s="276"/>
      <c r="L78" s="276"/>
      <c r="M78" s="275"/>
    </row>
  </sheetData>
  <mergeCells count="29">
    <mergeCell ref="M21:M22"/>
    <mergeCell ref="B23:B25"/>
    <mergeCell ref="B26:B28"/>
    <mergeCell ref="B29:B32"/>
    <mergeCell ref="A4:C5"/>
    <mergeCell ref="D4:F4"/>
    <mergeCell ref="G4:I4"/>
    <mergeCell ref="J4:L4"/>
    <mergeCell ref="M4:M5"/>
    <mergeCell ref="A6:B10"/>
    <mergeCell ref="A11:B13"/>
    <mergeCell ref="A14:A32"/>
    <mergeCell ref="B14:B16"/>
    <mergeCell ref="B17:B19"/>
    <mergeCell ref="B20:B22"/>
    <mergeCell ref="A33:A51"/>
    <mergeCell ref="B33:B35"/>
    <mergeCell ref="B36:B38"/>
    <mergeCell ref="B39:B41"/>
    <mergeCell ref="B42:B44"/>
    <mergeCell ref="B45:B47"/>
    <mergeCell ref="B48:B51"/>
    <mergeCell ref="B67:B70"/>
    <mergeCell ref="A52:A66"/>
    <mergeCell ref="B52:B54"/>
    <mergeCell ref="B55:B57"/>
    <mergeCell ref="B58:B60"/>
    <mergeCell ref="B61:B63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</vt:lpstr>
      <vt:lpstr>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2023-03-15T04:03:30Z</dcterms:modified>
</cp:coreProperties>
</file>