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SAUDIT\GitHub\ISVietNam\SmartBooks.HumanResource\bin\x86\Debug\Teamleate\"/>
    </mc:Choice>
  </mc:AlternateContent>
  <bookViews>
    <workbookView xWindow="0" yWindow="0" windowWidth="20490" windowHeight="7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" i="1" l="1"/>
  <c r="N11" i="1"/>
  <c r="Q11" i="1"/>
  <c r="O11" i="1" l="1"/>
  <c r="B3" i="1" l="1"/>
  <c r="R11" i="1"/>
  <c r="T11" i="1" l="1"/>
</calcChain>
</file>

<file path=xl/sharedStrings.xml><?xml version="1.0" encoding="utf-8"?>
<sst xmlns="http://schemas.openxmlformats.org/spreadsheetml/2006/main" count="41" uniqueCount="40">
  <si>
    <t>No</t>
  </si>
  <si>
    <t>Employee_ID</t>
  </si>
  <si>
    <t>FullName</t>
  </si>
  <si>
    <t>Lô số A2-6 KCN Tây Bắc Củ Chi, huyện Củ Chi, TP.HCM</t>
  </si>
  <si>
    <t>CÔNG TY TNHH I.S Việt Nam</t>
  </si>
  <si>
    <t>ID_Number</t>
  </si>
  <si>
    <t>sectionname</t>
  </si>
  <si>
    <t>REPORT OF PERSONAL INCOME TAX</t>
  </si>
  <si>
    <t>STT
(No)</t>
  </si>
  <si>
    <t>Mã số lao động
(Code)</t>
  </si>
  <si>
    <t>Họ và tên
Full name</t>
  </si>
  <si>
    <t>ID</t>
  </si>
  <si>
    <t>Số chứng minh thư / Hộ chiếu
ID/ Pass port</t>
  </si>
  <si>
    <t>Mã số thuế
Tax code</t>
  </si>
  <si>
    <t>Tổng thu nhập chịu thuế
Taxable Income</t>
  </si>
  <si>
    <t>Các khoản giám trừ 
(Deduction AMT. for family circumstances)</t>
  </si>
  <si>
    <t>Thu nhập tính thuế
(Income for tax calculation)</t>
  </si>
  <si>
    <t>Thuế suất (%)
Rate (%)</t>
  </si>
  <si>
    <t>ĐIỀU CHỈNH</t>
  </si>
  <si>
    <t>THUẾ</t>
  </si>
  <si>
    <t>Thuế TNCN phải khấu trừ
PIT payable</t>
  </si>
  <si>
    <t>KHẤU TRỪ TRÊN BẢNG LƯƠNG</t>
  </si>
  <si>
    <t>DIFF</t>
  </si>
  <si>
    <t>Bản thân
Individual</t>
  </si>
  <si>
    <t>Người phụ thuộc
(Dependents)</t>
  </si>
  <si>
    <t>BH bắt buộc
(Insurance)</t>
  </si>
  <si>
    <t>Tổng cộng
(Total)</t>
  </si>
  <si>
    <t>NAME</t>
  </si>
  <si>
    <t>ID / Pasport</t>
  </si>
  <si>
    <t>Tax code</t>
  </si>
  <si>
    <t>Taxable Income</t>
  </si>
  <si>
    <t xml:space="preserve">Số người </t>
  </si>
  <si>
    <t>Số giám</t>
  </si>
  <si>
    <t>MaSoThue</t>
  </si>
  <si>
    <t>GiamTruCaNhan</t>
  </si>
  <si>
    <t>DependentPerson</t>
  </si>
  <si>
    <t>BHBatBuoc</t>
  </si>
  <si>
    <t>TongTNChiuThue</t>
  </si>
  <si>
    <t>PITDaKhauTru</t>
  </si>
  <si>
    <t>GiamGiaCanh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</si>
</sst>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VNI-Times"/>
    </font>
    <font>
      <sz val="10"/>
      <name val="Arial"/>
      <family val="2"/>
    </font>
    <font>
      <b/>
      <sz val="14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4" fillId="0" borderId="0"/>
    <xf numFmtId="165" fontId="4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7" fillId="0" borderId="0" xfId="0" applyFont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center" vertical="center" wrapText="1"/>
    </xf>
    <xf numFmtId="0" fontId="5" fillId="0" borderId="0" xfId="3" applyFont="1" applyAlignment="1">
      <alignment horizontal="center"/>
    </xf>
    <xf numFmtId="0" fontId="5" fillId="0" borderId="0" xfId="3" applyFont="1" applyAlignment="1">
      <alignment horizontal="center" vertical="top"/>
    </xf>
    <xf numFmtId="164" fontId="6" fillId="2" borderId="1" xfId="1" applyNumberFormat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center" wrapText="1"/>
    </xf>
    <xf numFmtId="164" fontId="6" fillId="2" borderId="3" xfId="1" applyNumberFormat="1" applyFont="1" applyFill="1" applyBorder="1" applyAlignment="1">
      <alignment horizontal="center" vertical="center" wrapText="1"/>
    </xf>
    <xf numFmtId="164" fontId="6" fillId="2" borderId="4" xfId="1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164" fontId="6" fillId="2" borderId="5" xfId="1" applyNumberFormat="1" applyFont="1" applyFill="1" applyBorder="1" applyAlignment="1">
      <alignment horizontal="center" vertical="center" wrapText="1"/>
    </xf>
    <xf numFmtId="164" fontId="6" fillId="2" borderId="6" xfId="1" applyNumberFormat="1" applyFont="1" applyFill="1" applyBorder="1" applyAlignment="1">
      <alignment horizontal="center" vertical="center" wrapText="1"/>
    </xf>
    <xf numFmtId="164" fontId="6" fillId="2" borderId="7" xfId="1" applyNumberFormat="1" applyFont="1" applyFill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</cellXfs>
  <cellStyles count="9">
    <cellStyle name="Comma" xfId="1" builtinId="3"/>
    <cellStyle name="Comma 2 2" xfId="8"/>
    <cellStyle name="Normal" xfId="0" builtinId="0"/>
    <cellStyle name="Normal 10" xfId="5"/>
    <cellStyle name="Normal 19 6 2" xfId="6"/>
    <cellStyle name="Normal 2 3" xfId="2"/>
    <cellStyle name="Normal 3" xfId="4"/>
    <cellStyle name="Normal 3 2 3" xfId="7"/>
    <cellStyle name="Normal_THANH TOAN CAC CHE DO LUONG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tabSelected="1" topLeftCell="B1" workbookViewId="0">
      <selection activeCell="B11" sqref="B11"/>
    </sheetView>
  </sheetViews>
  <sheetFormatPr defaultRowHeight="15" x14ac:dyDescent="0.25"/>
  <cols>
    <col min="1" max="1" width="0" hidden="1" customWidth="1"/>
    <col min="2" max="2" width="9.140625" customWidth="1"/>
    <col min="3" max="3" width="12.140625" customWidth="1"/>
    <col min="4" max="4" width="18.140625" customWidth="1"/>
    <col min="5" max="5" width="12.28515625" customWidth="1"/>
    <col min="6" max="6" width="15.28515625" customWidth="1"/>
    <col min="8" max="8" width="14" style="2" customWidth="1"/>
    <col min="9" max="15" width="12.5703125" style="2" customWidth="1"/>
    <col min="16" max="16" width="9.140625" style="2" customWidth="1"/>
    <col min="17" max="17" width="12.5703125" style="2" customWidth="1"/>
    <col min="18" max="19" width="12.85546875" style="2" customWidth="1"/>
    <col min="20" max="20" width="12.28515625" style="2" customWidth="1"/>
  </cols>
  <sheetData>
    <row r="1" spans="1:20" x14ac:dyDescent="0.25">
      <c r="A1">
        <v>1</v>
      </c>
      <c r="B1" s="1" t="s">
        <v>4</v>
      </c>
    </row>
    <row r="2" spans="1:20" x14ac:dyDescent="0.25">
      <c r="A2">
        <v>2</v>
      </c>
      <c r="B2" s="1" t="s">
        <v>3</v>
      </c>
    </row>
    <row r="3" spans="1:20" ht="18.75" x14ac:dyDescent="0.3">
      <c r="B3" s="5" t="str">
        <f>"BẢNG TÍNH THUẾ THU NHẬP CÁ NHÂN CHO NGƯỜI LAO ĐỘNG THÁNG "&amp;MONTH(A1)&amp;"/"&amp;YEAR(A2)</f>
        <v>BẢNG TÍNH THUẾ THU NHẬP CÁ NHÂN CHO NGƯỜI LAO ĐỘNG THÁNG 1/1900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20" ht="18.75" x14ac:dyDescent="0.25">
      <c r="B4" s="6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20" ht="30.75" customHeight="1" x14ac:dyDescent="0.25"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20" hidden="1" x14ac:dyDescent="0.25"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</row>
    <row r="7" spans="1:20" hidden="1" x14ac:dyDescent="0.25">
      <c r="B7" t="s">
        <v>0</v>
      </c>
      <c r="C7" t="s">
        <v>1</v>
      </c>
      <c r="D7" t="s">
        <v>2</v>
      </c>
      <c r="E7" t="s">
        <v>6</v>
      </c>
      <c r="F7" t="s">
        <v>5</v>
      </c>
      <c r="G7" t="s">
        <v>33</v>
      </c>
      <c r="H7" s="2" t="s">
        <v>37</v>
      </c>
      <c r="I7" s="2" t="s">
        <v>34</v>
      </c>
      <c r="J7" s="2" t="s">
        <v>35</v>
      </c>
      <c r="K7" s="2" t="s">
        <v>39</v>
      </c>
      <c r="L7" s="2" t="s">
        <v>36</v>
      </c>
      <c r="S7" s="2" t="s">
        <v>38</v>
      </c>
    </row>
    <row r="8" spans="1:20" s="3" customFormat="1" ht="61.5" customHeight="1" x14ac:dyDescent="0.25">
      <c r="B8" s="11" t="s">
        <v>8</v>
      </c>
      <c r="C8" s="11" t="s">
        <v>9</v>
      </c>
      <c r="D8" s="11" t="s">
        <v>10</v>
      </c>
      <c r="E8" s="11" t="s">
        <v>11</v>
      </c>
      <c r="F8" s="11" t="s">
        <v>12</v>
      </c>
      <c r="G8" s="11" t="s">
        <v>13</v>
      </c>
      <c r="H8" s="8" t="s">
        <v>14</v>
      </c>
      <c r="I8" s="14" t="s">
        <v>15</v>
      </c>
      <c r="J8" s="15"/>
      <c r="K8" s="15"/>
      <c r="L8" s="15"/>
      <c r="M8" s="16"/>
      <c r="N8" s="8" t="s">
        <v>16</v>
      </c>
      <c r="O8" s="8" t="s">
        <v>17</v>
      </c>
      <c r="P8" s="8" t="s">
        <v>18</v>
      </c>
      <c r="Q8" s="8" t="s">
        <v>19</v>
      </c>
      <c r="R8" s="8" t="s">
        <v>20</v>
      </c>
      <c r="S8" s="7" t="s">
        <v>21</v>
      </c>
      <c r="T8" s="8" t="s">
        <v>22</v>
      </c>
    </row>
    <row r="9" spans="1:20" s="3" customFormat="1" ht="61.5" customHeight="1" x14ac:dyDescent="0.25">
      <c r="B9" s="12"/>
      <c r="C9" s="12"/>
      <c r="D9" s="12"/>
      <c r="E9" s="12"/>
      <c r="F9" s="12"/>
      <c r="G9" s="12"/>
      <c r="H9" s="9"/>
      <c r="I9" s="8" t="s">
        <v>23</v>
      </c>
      <c r="J9" s="14" t="s">
        <v>24</v>
      </c>
      <c r="K9" s="16"/>
      <c r="L9" s="8" t="s">
        <v>25</v>
      </c>
      <c r="M9" s="8" t="s">
        <v>26</v>
      </c>
      <c r="N9" s="9"/>
      <c r="O9" s="9"/>
      <c r="P9" s="9"/>
      <c r="Q9" s="9"/>
      <c r="R9" s="9"/>
      <c r="S9" s="7"/>
      <c r="T9" s="9"/>
    </row>
    <row r="10" spans="1:20" s="3" customFormat="1" ht="31.5" customHeight="1" x14ac:dyDescent="0.25">
      <c r="B10" s="13"/>
      <c r="C10" s="13"/>
      <c r="D10" s="13" t="s">
        <v>27</v>
      </c>
      <c r="E10" s="13" t="s">
        <v>11</v>
      </c>
      <c r="F10" s="13" t="s">
        <v>28</v>
      </c>
      <c r="G10" s="13" t="s">
        <v>29</v>
      </c>
      <c r="H10" s="10" t="s">
        <v>30</v>
      </c>
      <c r="I10" s="10"/>
      <c r="J10" s="4" t="s">
        <v>31</v>
      </c>
      <c r="K10" s="4" t="s">
        <v>32</v>
      </c>
      <c r="L10" s="10"/>
      <c r="M10" s="10"/>
      <c r="N10" s="10"/>
      <c r="O10" s="10"/>
      <c r="P10" s="10"/>
      <c r="Q10" s="10"/>
      <c r="R10" s="10"/>
      <c r="S10" s="7"/>
      <c r="T10" s="10"/>
    </row>
    <row r="11" spans="1:20" x14ac:dyDescent="0.25">
      <c r="M11" s="2">
        <f>I11+K11+L11</f>
        <v>0</v>
      </c>
      <c r="N11" s="2">
        <f>MAX(H11-M11,0)</f>
        <v>0</v>
      </c>
      <c r="O11" s="2" t="str">
        <f>ROUND(IF(AND(N11="",N11&gt;=2000000),10,(IF(N11&lt;=5000000,5,IF(N11&lt;=10000000,10,IF(N11&lt;=18000000,15,IF(N11&lt;=32000000,20,IF(N11&lt;=52000000,25,IF(N11&lt;=80000000,30,35)))))))),0)&amp;"%"</f>
        <v>5%</v>
      </c>
      <c r="Q11" s="2">
        <f>ROUND(IF(AND(N11="",N11&gt;=2000000),N11*10%,(IF(N11&lt;=5000000,N11*5%,IF(N11&lt;=10000000,(N11-5000000)*10%+250000,IF(N11&lt;=18000000,(N11-10000000)*15%+750000,IF(N11&lt;=32000000,(N11-18000000)*20%+1950000,IF(N11&lt;=52000000,(N11-32000000)*25%+4750000,IF(N11&lt;=80000000,(N11-52000000)*30%+9750000,(N11-80000000)*35%+18150000)))))))),0)</f>
        <v>0</v>
      </c>
      <c r="R11" s="2">
        <f>ROUND(S11,0)</f>
        <v>0</v>
      </c>
      <c r="T11" s="2">
        <f>Q11-S11</f>
        <v>0</v>
      </c>
    </row>
  </sheetData>
  <mergeCells count="22">
    <mergeCell ref="F8:F10"/>
    <mergeCell ref="G8:G10"/>
    <mergeCell ref="C5:R5"/>
    <mergeCell ref="H8:H10"/>
    <mergeCell ref="Q8:Q10"/>
    <mergeCell ref="L9:L10"/>
    <mergeCell ref="B3:R3"/>
    <mergeCell ref="B4:R4"/>
    <mergeCell ref="S8:S10"/>
    <mergeCell ref="T8:T10"/>
    <mergeCell ref="B8:B10"/>
    <mergeCell ref="I8:M8"/>
    <mergeCell ref="N8:N10"/>
    <mergeCell ref="O8:O10"/>
    <mergeCell ref="P8:P10"/>
    <mergeCell ref="I9:I10"/>
    <mergeCell ref="J9:K9"/>
    <mergeCell ref="M9:M10"/>
    <mergeCell ref="C8:C10"/>
    <mergeCell ref="R8:R10"/>
    <mergeCell ref="D8:D10"/>
    <mergeCell ref="E8:E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2020-02-13T18:24:24Z</dcterms:created>
  <dcterms:modified xsi:type="dcterms:W3CDTF">2020-04-10T09:35:32Z</dcterms:modified>
</cp:coreProperties>
</file>