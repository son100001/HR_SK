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ourceCodeHR\SnK_Dev\SmartBooks.HumanResource\bin\x86\Debug\Teamleate\"/>
    </mc:Choice>
  </mc:AlternateContent>
  <xr:revisionPtr revIDLastSave="0" documentId="13_ncr:1_{E9213D56-FB0C-46C2-9078-5BF03664F7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Sheet1!$A$13:$BE$13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4" i="1" l="1"/>
  <c r="AQ14" i="1"/>
  <c r="U14" i="1" l="1"/>
  <c r="R14" i="1"/>
  <c r="P14" i="1"/>
  <c r="N14" i="1"/>
  <c r="BJ14" i="1" s="1"/>
  <c r="S14" i="1" l="1"/>
  <c r="AO14" i="1"/>
  <c r="M2" i="1"/>
  <c r="C13" i="1" l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B14" i="1"/>
  <c r="BE14" i="1"/>
  <c r="M14" i="1"/>
  <c r="BC12" i="1"/>
  <c r="BE12" i="1" s="1"/>
  <c r="AC14" i="1" l="1"/>
  <c r="Q14" i="1"/>
  <c r="O14" i="1"/>
  <c r="O13" i="1" l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l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Y13" i="1" s="1"/>
  <c r="T14" i="1"/>
  <c r="AH14" i="1" s="1"/>
  <c r="AP14" i="1" s="1"/>
  <c r="AR14" i="1" l="1"/>
  <c r="AV14" i="1" s="1"/>
  <c r="BL14" i="1"/>
  <c r="AS14" i="1" l="1"/>
  <c r="BM14" i="1"/>
</calcChain>
</file>

<file path=xl/sharedStrings.xml><?xml version="1.0" encoding="utf-8"?>
<sst xmlns="http://schemas.openxmlformats.org/spreadsheetml/2006/main" count="217" uniqueCount="162">
  <si>
    <t>TT
No.</t>
  </si>
  <si>
    <t>Mã thẻ
Code</t>
  </si>
  <si>
    <t>Họ và tên
Name</t>
  </si>
  <si>
    <t>Ngày vào
Entry day</t>
  </si>
  <si>
    <t>Bộ phận
Dep</t>
  </si>
  <si>
    <t>Title/
Chức danh</t>
  </si>
  <si>
    <t>Lương hợp đồng
Contract salary</t>
  </si>
  <si>
    <t>Ngày làm việc thực tế
Actual Working day</t>
  </si>
  <si>
    <t>Nghỉ có hưởng lương
Paid leave</t>
  </si>
  <si>
    <t>Ca đêm
extra pay for night work + 30%)</t>
  </si>
  <si>
    <t>Lương, thưởng và các khoản hỗ trợ
Salary, bonus, support fee</t>
  </si>
  <si>
    <t>Cộng
Total</t>
  </si>
  <si>
    <t>Tăng ca
Overtime</t>
  </si>
  <si>
    <t>Tổng thu nhập
Total Gross Salary</t>
  </si>
  <si>
    <t>Khấu trừ
Reduction</t>
  </si>
  <si>
    <t>Tiền thực lãnh
Net Salary</t>
  </si>
  <si>
    <t>Ký nhận
Signature</t>
  </si>
  <si>
    <t>Tên TK</t>
  </si>
  <si>
    <t>Số TK</t>
  </si>
  <si>
    <t>Fac</t>
  </si>
  <si>
    <t>Cơ bản
Basic salary</t>
  </si>
  <si>
    <t>Trách nhiệm
Responsibility</t>
  </si>
  <si>
    <t>Phụ cấp NNĐH
Hazadouse allowance (&gt;=5% of basic salary)</t>
  </si>
  <si>
    <t>Phụ cấp chức danh/Title Allowance</t>
  </si>
  <si>
    <t>Ngày công
Day</t>
  </si>
  <si>
    <t>Lương CB + trách nhiệm
Basic Salary + Responsibility</t>
  </si>
  <si>
    <t>Giờ công
Hour</t>
  </si>
  <si>
    <t xml:space="preserve">Lương CB + trách nhiệm
Basic salary + Responsibility </t>
  </si>
  <si>
    <t>Điện thoại, Telephone fee</t>
  </si>
  <si>
    <t>Tiền cơm
Meal Allowance</t>
  </si>
  <si>
    <t>Hỗ trợ xăng + nhà trọ,
Mileage, house</t>
  </si>
  <si>
    <t>Thưởng chuyên cần
Diligent
Bonus</t>
  </si>
  <si>
    <t>Phụ cấp PCCC
PCCC / ATVSV allowance (30% of government basic salary and safety - hygency team)</t>
  </si>
  <si>
    <t>Thưởng ABC
ABC Bonus</t>
  </si>
  <si>
    <t>Thưởng năng suất
Production bonus</t>
  </si>
  <si>
    <t>Ngày
phép</t>
  </si>
  <si>
    <t>Phép năm
Annual Leave</t>
  </si>
  <si>
    <t>Con nhỏ
Support for baby (1-6)</t>
  </si>
  <si>
    <t>Bảo hiểm, thất nghiệp
 Additional salary , insurance, Unempl-oyment Benefit, Bù Lương, Công Tác phí</t>
  </si>
  <si>
    <t>Phụ cấp 
Phụ Nữ
Menstruation allowance</t>
  </si>
  <si>
    <t>13Th Month Bonus</t>
  </si>
  <si>
    <t>Tổng tiền
Amount</t>
  </si>
  <si>
    <t>BHXH +YT, +TN
Insurance</t>
  </si>
  <si>
    <t>KPCĐ
Union Dues</t>
  </si>
  <si>
    <t>Personal Income Tax
Thuế TNCN</t>
  </si>
  <si>
    <t>Đồng phục
Uniform</t>
  </si>
  <si>
    <t>Advance
Chênh lệch HĐ/ Biên bản
Paid</t>
  </si>
  <si>
    <t>SK1 Box</t>
  </si>
  <si>
    <t>Employee_ID</t>
  </si>
  <si>
    <t>FullName</t>
  </si>
  <si>
    <t>StartedDate</t>
  </si>
  <si>
    <t>CD1</t>
  </si>
  <si>
    <t>CD2</t>
  </si>
  <si>
    <t>CD3</t>
  </si>
  <si>
    <t>CD4</t>
  </si>
  <si>
    <t>Key</t>
  </si>
  <si>
    <t>Month</t>
  </si>
  <si>
    <t>Year</t>
  </si>
  <si>
    <t>MonthlySalary</t>
  </si>
  <si>
    <t>Công chính thức</t>
  </si>
  <si>
    <t>cct_wt1</t>
  </si>
  <si>
    <t>cct_wt3</t>
  </si>
  <si>
    <t>cct_wt4</t>
  </si>
  <si>
    <t>cct_wt5</t>
  </si>
  <si>
    <t>cct_wt6</t>
  </si>
  <si>
    <t>cct_wt7</t>
  </si>
  <si>
    <t>cct_wt8</t>
  </si>
  <si>
    <t>Phép hưởng lương</t>
  </si>
  <si>
    <t>Phép năm</t>
  </si>
  <si>
    <t>pct_PhepHuongLuong</t>
  </si>
  <si>
    <t>pct_PhepNam</t>
  </si>
  <si>
    <t>CD5</t>
  </si>
  <si>
    <t>TienCom</t>
  </si>
  <si>
    <t>XangXe</t>
  </si>
  <si>
    <t>ChuyenCan</t>
  </si>
  <si>
    <t>PCCC</t>
  </si>
  <si>
    <t>Sex</t>
  </si>
  <si>
    <t>Male</t>
  </si>
  <si>
    <t>NgayCongThucTe</t>
  </si>
  <si>
    <t>Ngày công thực tế</t>
  </si>
  <si>
    <t>HT11</t>
  </si>
  <si>
    <t>HT12</t>
  </si>
  <si>
    <t>HT13</t>
  </si>
  <si>
    <t>ThuongABC</t>
  </si>
  <si>
    <t>Tiền điện thoại</t>
  </si>
  <si>
    <t>cct_wt9</t>
  </si>
  <si>
    <t>Công thực tế</t>
  </si>
  <si>
    <t>TCConNho</t>
  </si>
  <si>
    <t>PhepNamConLai</t>
  </si>
  <si>
    <t>LuongToiThieuVung</t>
  </si>
  <si>
    <t>Lương tối thiểu vùng</t>
  </si>
  <si>
    <t>Thu nhập chịu thuế</t>
  </si>
  <si>
    <t>Người phụ thuộc</t>
  </si>
  <si>
    <t>Thuế TNCN</t>
  </si>
  <si>
    <t>Thử việc</t>
  </si>
  <si>
    <t>isThuViec</t>
  </si>
  <si>
    <t>BankAccount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</si>
  <si>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</si>
  <si>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</si>
  <si>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</si>
  <si>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</si>
  <si>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</si>
  <si>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</si>
  <si>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</si>
  <si>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</si>
  <si>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</si>
  <si>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</si>
  <si>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</si>
  <si>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</si>
  <si>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</si>
  <si>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</si>
  <si>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</si>
  <si>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</si>
  <si>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</si>
  <si>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</si>
  <si>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</si>
  <si>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</si>
  <si>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</si>
  <si>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</si>
  <si>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</si>
  <si>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</si>
  <si>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</si>
  <si>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</si>
  <si>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</si>
  <si>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</si>
  <si>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</si>
  <si>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</si>
  <si>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</si>
  <si>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</si>
  <si>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</si>
  <si>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</si>
  <si>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</si>
  <si>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</si>
  <si>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</si>
  <si>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</si>
  <si>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</si>
  <si>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</si>
  <si>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HT18</t>
  </si>
  <si>
    <t>HT19</t>
  </si>
  <si>
    <t>Factory_ID</t>
  </si>
  <si>
    <t>Position_ID</t>
  </si>
  <si>
    <t>DepartmentCode1</t>
  </si>
  <si>
    <t>FullNameKhongDau</t>
  </si>
  <si>
    <t>NguoiPhuThuoc</t>
  </si>
  <si>
    <t>Thưởng đã tạm ứng</t>
  </si>
  <si>
    <t>HT9</t>
  </si>
  <si>
    <t>TinhThueThuViec</t>
  </si>
  <si>
    <t>Tính thuế thử việc</t>
  </si>
  <si>
    <t>Tổng thu nhập</t>
  </si>
  <si>
    <t>DuieuKienBH</t>
  </si>
  <si>
    <t>Đủ điều kiện đóng BH</t>
  </si>
  <si>
    <t>Giới tính</t>
  </si>
  <si>
    <t>Không tham gia công đoàn</t>
  </si>
  <si>
    <t>DongCD</t>
  </si>
  <si>
    <t>Quit day</t>
  </si>
  <si>
    <t>Reason</t>
  </si>
  <si>
    <t>TernimationDate</t>
  </si>
  <si>
    <t>Salary_Month</t>
  </si>
  <si>
    <t>Salary_Year</t>
  </si>
  <si>
    <t>Truy thu BH</t>
  </si>
  <si>
    <t>HT16</t>
  </si>
  <si>
    <t>Tiền lương ngày thực trả
Actual wage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</si>
</sst>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0.0"/>
  </numFmts>
  <fonts count="11" x14ac:knownFonts="1">
    <font>
      <sz val="11"/>
      <color theme="1"/>
      <name val="Calibri"/>
      <family val="2"/>
      <scheme val="minor"/>
    </font>
    <font>
      <b/>
      <i/>
      <sz val="11"/>
      <name val="Arial"/>
      <family val="2"/>
    </font>
    <font>
      <sz val="10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 applyAlignment="1">
      <alignment horizontal="center" vertical="center"/>
    </xf>
    <xf numFmtId="166" fontId="1" fillId="2" borderId="10" xfId="2" applyNumberFormat="1" applyFont="1" applyFill="1" applyBorder="1" applyAlignment="1">
      <alignment horizontal="center" vertical="center" wrapText="1"/>
    </xf>
    <xf numFmtId="167" fontId="1" fillId="2" borderId="10" xfId="2" applyNumberFormat="1" applyFont="1" applyFill="1" applyBorder="1" applyAlignment="1">
      <alignment horizontal="center" vertical="center" wrapText="1"/>
    </xf>
    <xf numFmtId="0" fontId="4" fillId="0" borderId="0" xfId="0" applyFont="1"/>
    <xf numFmtId="1" fontId="5" fillId="0" borderId="0" xfId="0" applyNumberFormat="1" applyFont="1"/>
    <xf numFmtId="1" fontId="5" fillId="2" borderId="15" xfId="0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166" fontId="3" fillId="0" borderId="0" xfId="2" applyNumberFormat="1" applyFont="1" applyBorder="1" applyAlignment="1">
      <alignment horizontal="center" vertical="center"/>
    </xf>
    <xf numFmtId="164" fontId="7" fillId="0" borderId="0" xfId="1" applyNumberFormat="1" applyFont="1" applyAlignment="1">
      <alignment horizontal="left" vertical="center" wrapText="1"/>
    </xf>
    <xf numFmtId="165" fontId="8" fillId="0" borderId="0" xfId="0" applyNumberFormat="1" applyFont="1" applyAlignment="1">
      <alignment vertical="center" wrapText="1"/>
    </xf>
    <xf numFmtId="168" fontId="4" fillId="0" borderId="13" xfId="2" applyNumberFormat="1" applyFont="1" applyFill="1" applyBorder="1" applyAlignment="1">
      <alignment horizontal="left" wrapText="1"/>
    </xf>
    <xf numFmtId="1" fontId="5" fillId="0" borderId="0" xfId="1" applyNumberFormat="1" applyFont="1" applyAlignment="1">
      <alignment horizontal="left" vertical="center" wrapText="1"/>
    </xf>
    <xf numFmtId="1" fontId="5" fillId="2" borderId="0" xfId="0" applyNumberFormat="1" applyFont="1" applyFill="1" applyAlignment="1">
      <alignment horizontal="center" vertical="center" wrapText="1"/>
    </xf>
    <xf numFmtId="1" fontId="5" fillId="2" borderId="14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vertical="center" wrapText="1"/>
    </xf>
    <xf numFmtId="1" fontId="5" fillId="0" borderId="0" xfId="0" applyNumberFormat="1" applyFont="1" applyAlignment="1">
      <alignment horizontal="center" vertical="center"/>
    </xf>
    <xf numFmtId="1" fontId="5" fillId="0" borderId="13" xfId="2" applyNumberFormat="1" applyFont="1" applyFill="1" applyBorder="1" applyAlignment="1">
      <alignment horizontal="left" wrapText="1"/>
    </xf>
    <xf numFmtId="0" fontId="7" fillId="0" borderId="16" xfId="2" applyNumberFormat="1" applyFont="1" applyFill="1" applyBorder="1" applyAlignment="1">
      <alignment horizontal="center" vertical="center" wrapText="1"/>
    </xf>
    <xf numFmtId="168" fontId="7" fillId="0" borderId="16" xfId="2" applyNumberFormat="1" applyFont="1" applyFill="1" applyBorder="1" applyAlignment="1">
      <alignment horizontal="left" vertical="center" wrapText="1"/>
    </xf>
    <xf numFmtId="14" fontId="7" fillId="0" borderId="16" xfId="0" applyNumberFormat="1" applyFont="1" applyBorder="1" applyAlignment="1">
      <alignment horizontal="center" vertical="center" wrapText="1" shrinkToFit="1"/>
    </xf>
    <xf numFmtId="168" fontId="7" fillId="0" borderId="16" xfId="2" applyNumberFormat="1" applyFont="1" applyFill="1" applyBorder="1" applyAlignment="1">
      <alignment vertical="center" wrapText="1"/>
    </xf>
    <xf numFmtId="166" fontId="7" fillId="0" borderId="16" xfId="0" applyNumberFormat="1" applyFont="1" applyBorder="1" applyAlignment="1">
      <alignment horizontal="right" vertical="center" wrapText="1" shrinkToFit="1"/>
    </xf>
    <xf numFmtId="166" fontId="7" fillId="0" borderId="16" xfId="2" applyNumberFormat="1" applyFont="1" applyFill="1" applyBorder="1" applyAlignment="1">
      <alignment horizontal="right" vertical="center" wrapText="1"/>
    </xf>
    <xf numFmtId="165" fontId="7" fillId="0" borderId="16" xfId="2" applyFont="1" applyFill="1" applyBorder="1" applyAlignment="1">
      <alignment horizontal="right" vertical="center" wrapText="1" shrinkToFit="1"/>
    </xf>
    <xf numFmtId="165" fontId="7" fillId="0" borderId="16" xfId="2" applyFont="1" applyFill="1" applyBorder="1" applyAlignment="1">
      <alignment horizontal="center" vertical="center" wrapText="1" shrinkToFit="1"/>
    </xf>
    <xf numFmtId="167" fontId="7" fillId="0" borderId="16" xfId="0" applyNumberFormat="1" applyFont="1" applyBorder="1" applyAlignment="1">
      <alignment horizontal="right" vertical="center" wrapText="1" shrinkToFit="1"/>
    </xf>
    <xf numFmtId="164" fontId="7" fillId="0" borderId="16" xfId="1" applyNumberFormat="1" applyFont="1" applyBorder="1" applyAlignment="1">
      <alignment horizontal="right" vertical="center" wrapText="1"/>
    </xf>
    <xf numFmtId="166" fontId="7" fillId="0" borderId="16" xfId="2" applyNumberFormat="1" applyFont="1" applyFill="1" applyBorder="1" applyAlignment="1">
      <alignment horizontal="center" vertical="center" wrapText="1"/>
    </xf>
    <xf numFmtId="165" fontId="7" fillId="0" borderId="16" xfId="2" applyFont="1" applyFill="1" applyBorder="1" applyAlignment="1">
      <alignment horizontal="right" vertical="center" wrapText="1"/>
    </xf>
    <xf numFmtId="164" fontId="7" fillId="0" borderId="16" xfId="0" applyNumberFormat="1" applyFont="1" applyBorder="1" applyAlignment="1">
      <alignment horizontal="right" vertical="center" wrapText="1"/>
    </xf>
    <xf numFmtId="164" fontId="6" fillId="3" borderId="16" xfId="0" applyNumberFormat="1" applyFont="1" applyFill="1" applyBorder="1" applyAlignment="1">
      <alignment horizontal="right" vertical="center" wrapText="1"/>
    </xf>
    <xf numFmtId="168" fontId="4" fillId="0" borderId="13" xfId="2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9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/>
    <xf numFmtId="3" fontId="4" fillId="0" borderId="0" xfId="0" applyNumberFormat="1" applyFont="1"/>
    <xf numFmtId="3" fontId="5" fillId="2" borderId="15" xfId="0" applyNumberFormat="1" applyFont="1" applyFill="1" applyBorder="1" applyAlignment="1">
      <alignment horizontal="center" vertical="center" wrapText="1"/>
    </xf>
    <xf numFmtId="3" fontId="7" fillId="0" borderId="16" xfId="1" applyNumberFormat="1" applyFont="1" applyBorder="1" applyAlignment="1">
      <alignment horizontal="right" vertical="center" wrapText="1"/>
    </xf>
    <xf numFmtId="0" fontId="1" fillId="2" borderId="10" xfId="2" applyNumberFormat="1" applyFont="1" applyFill="1" applyBorder="1" applyAlignment="1">
      <alignment horizontal="center" vertical="center" wrapText="1"/>
    </xf>
    <xf numFmtId="0" fontId="1" fillId="4" borderId="10" xfId="2" applyNumberFormat="1" applyFont="1" applyFill="1" applyBorder="1" applyAlignment="1">
      <alignment horizontal="center" vertical="center" wrapText="1"/>
    </xf>
    <xf numFmtId="0" fontId="1" fillId="4" borderId="0" xfId="2" applyNumberFormat="1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165" fontId="4" fillId="0" borderId="0" xfId="0" applyNumberFormat="1" applyFont="1"/>
    <xf numFmtId="0" fontId="1" fillId="2" borderId="11" xfId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2" applyNumberFormat="1" applyFont="1" applyFill="1" applyBorder="1" applyAlignment="1">
      <alignment horizontal="center" vertical="center" wrapText="1"/>
    </xf>
    <xf numFmtId="9" fontId="1" fillId="2" borderId="15" xfId="4" quotePrefix="1" applyFont="1" applyFill="1" applyBorder="1" applyAlignment="1">
      <alignment horizontal="center" vertical="center" wrapText="1"/>
    </xf>
    <xf numFmtId="3" fontId="7" fillId="0" borderId="16" xfId="2" applyNumberFormat="1" applyFont="1" applyFill="1" applyBorder="1" applyAlignment="1">
      <alignment horizontal="right" vertical="center" wrapText="1"/>
    </xf>
    <xf numFmtId="3" fontId="7" fillId="0" borderId="16" xfId="2" applyNumberFormat="1" applyFont="1" applyFill="1" applyBorder="1" applyAlignment="1">
      <alignment horizontal="right" vertical="center" wrapText="1" shrinkToFit="1"/>
    </xf>
    <xf numFmtId="3" fontId="1" fillId="2" borderId="15" xfId="1" applyNumberFormat="1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0" xfId="0" applyFont="1"/>
    <xf numFmtId="0" fontId="1" fillId="4" borderId="11" xfId="2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vertical="center"/>
    </xf>
    <xf numFmtId="1" fontId="5" fillId="2" borderId="20" xfId="0" applyNumberFormat="1" applyFont="1" applyFill="1" applyBorder="1" applyAlignment="1">
      <alignment horizontal="center" vertical="center" wrapText="1"/>
    </xf>
    <xf numFmtId="1" fontId="5" fillId="2" borderId="21" xfId="0" applyNumberFormat="1" applyFont="1" applyFill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right" vertical="center" wrapText="1"/>
    </xf>
    <xf numFmtId="14" fontId="4" fillId="0" borderId="0" xfId="0" applyNumberFormat="1" applyFont="1"/>
    <xf numFmtId="14" fontId="6" fillId="0" borderId="16" xfId="0" applyNumberFormat="1" applyFont="1" applyBorder="1" applyAlignment="1">
      <alignment horizontal="right" vertical="center" wrapText="1"/>
    </xf>
    <xf numFmtId="1" fontId="5" fillId="2" borderId="15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vertical="center" shrinkToFit="1"/>
    </xf>
    <xf numFmtId="0" fontId="4" fillId="0" borderId="0" xfId="0" applyFont="1" applyAlignment="1">
      <alignment vertical="center"/>
    </xf>
    <xf numFmtId="0" fontId="1" fillId="4" borderId="10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2" applyNumberFormat="1" applyFont="1" applyFill="1" applyBorder="1" applyAlignment="1">
      <alignment horizontal="center" vertical="center" wrapText="1"/>
    </xf>
    <xf numFmtId="167" fontId="1" fillId="2" borderId="3" xfId="2" applyNumberFormat="1" applyFont="1" applyFill="1" applyBorder="1" applyAlignment="1">
      <alignment horizontal="center" vertical="center" wrapText="1"/>
    </xf>
    <xf numFmtId="166" fontId="1" fillId="2" borderId="3" xfId="2" applyNumberFormat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4" fontId="1" fillId="2" borderId="14" xfId="0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>
      <alignment horizontal="center" vertical="center" wrapText="1"/>
    </xf>
    <xf numFmtId="164" fontId="1" fillId="2" borderId="10" xfId="1" applyNumberFormat="1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>
      <alignment horizontal="center" vertical="center"/>
    </xf>
    <xf numFmtId="164" fontId="1" fillId="2" borderId="10" xfId="1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2" fontId="3" fillId="2" borderId="8" xfId="0" applyNumberFormat="1" applyFont="1" applyFill="1" applyBorder="1" applyAlignment="1">
      <alignment horizontal="center" vertical="center" wrapText="1"/>
    </xf>
    <xf numFmtId="164" fontId="3" fillId="2" borderId="12" xfId="0" applyNumberFormat="1" applyFont="1" applyFill="1" applyBorder="1" applyAlignment="1">
      <alignment horizontal="center" vertical="center" wrapText="1"/>
    </xf>
    <xf numFmtId="0" fontId="4" fillId="0" borderId="0" xfId="0" applyNumberFormat="1" applyFont="1"/>
  </cellXfs>
  <cellStyles count="5">
    <cellStyle name="Comma 2 2 2" xfId="2" xr:uid="{F56B0337-0F8B-4943-BF83-EA71CD031E4E}"/>
    <cellStyle name="Normal" xfId="0" builtinId="0"/>
    <cellStyle name="Normal 2 3" xfId="1" xr:uid="{1CA88C20-A17E-4873-B608-0A4C993876D8}"/>
    <cellStyle name="Percent" xfId="4" builtinId="5"/>
    <cellStyle name="Percent 2" xfId="3" xr:uid="{6A6452DD-0DFF-45F5-A9A3-469060A67BD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3</xdr:col>
      <xdr:colOff>515470</xdr:colOff>
      <xdr:row>2</xdr:row>
      <xdr:rowOff>261405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1AC1B-F47B-4DFD-8D24-11B7CF4AE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1"/>
          <a:ext cx="1961029" cy="888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4"/>
  <sheetViews>
    <sheetView tabSelected="1" topLeftCell="B1" zoomScale="85" zoomScaleNormal="85" workbookViewId="0">
      <selection activeCell="C14" sqref="C14"/>
    </sheetView>
  </sheetViews>
  <sheetFormatPr defaultRowHeight="24.75" customHeight="1" x14ac:dyDescent="0.2"/>
  <cols>
    <col min="1" max="1" width="0" style="4" hidden="1" customWidth="1"/>
    <col min="2" max="2" width="9.140625" style="4"/>
    <col min="3" max="3" width="12.5703125" style="4" customWidth="1"/>
    <col min="4" max="4" width="26.140625" style="4" customWidth="1"/>
    <col min="5" max="5" width="13" style="4" customWidth="1"/>
    <col min="6" max="6" width="17.7109375" style="4" customWidth="1"/>
    <col min="7" max="7" width="27.140625" style="4" customWidth="1"/>
    <col min="8" max="8" width="22.5703125" style="4" customWidth="1"/>
    <col min="9" max="10" width="13.28515625" style="4" customWidth="1"/>
    <col min="11" max="11" width="12.85546875" style="4" customWidth="1"/>
    <col min="12" max="12" width="12.28515625" style="4" customWidth="1"/>
    <col min="13" max="13" width="13.28515625" style="4" customWidth="1"/>
    <col min="14" max="14" width="9" style="4" customWidth="1"/>
    <col min="15" max="15" width="13.28515625" style="38" customWidth="1"/>
    <col min="16" max="16" width="9" style="4" customWidth="1"/>
    <col min="17" max="17" width="13.28515625" style="4" customWidth="1"/>
    <col min="18" max="18" width="9" style="4" customWidth="1"/>
    <col min="19" max="20" width="13.28515625" style="4" customWidth="1"/>
    <col min="21" max="21" width="12.5703125" style="38" customWidth="1"/>
    <col min="22" max="22" width="10.7109375" style="56" customWidth="1"/>
    <col min="23" max="24" width="10.7109375" style="4" customWidth="1"/>
    <col min="25" max="25" width="15" style="4" customWidth="1"/>
    <col min="26" max="30" width="10.7109375" style="4" customWidth="1"/>
    <col min="31" max="31" width="13" style="38" customWidth="1"/>
    <col min="32" max="32" width="10.7109375" style="4" customWidth="1"/>
    <col min="33" max="33" width="10.85546875" style="4" customWidth="1"/>
    <col min="34" max="34" width="13.7109375" style="4" customWidth="1"/>
    <col min="35" max="40" width="9.5703125" style="45" customWidth="1"/>
    <col min="41" max="41" width="13.28515625" style="38" customWidth="1"/>
    <col min="42" max="42" width="14.85546875" style="4" customWidth="1"/>
    <col min="43" max="43" width="13.28515625" style="38" customWidth="1"/>
    <col min="44" max="44" width="12.140625" style="4" customWidth="1"/>
    <col min="45" max="45" width="13.28515625" style="38" customWidth="1"/>
    <col min="46" max="47" width="12.140625" style="4" customWidth="1"/>
    <col min="48" max="48" width="15.42578125" style="4" customWidth="1"/>
    <col min="49" max="49" width="15.42578125" style="60" customWidth="1"/>
    <col min="50" max="50" width="15.42578125" style="4" customWidth="1"/>
    <col min="51" max="52" width="9.140625" style="4"/>
    <col min="53" max="53" width="26.5703125" style="4" customWidth="1"/>
    <col min="54" max="54" width="23.28515625" style="4" customWidth="1"/>
    <col min="55" max="61" width="9.140625" style="4"/>
    <col min="62" max="62" width="13.7109375" style="4" customWidth="1"/>
    <col min="63" max="63" width="9.140625" style="4"/>
    <col min="64" max="65" width="14" style="4" customWidth="1"/>
    <col min="66" max="16384" width="9.140625" style="4"/>
  </cols>
  <sheetData>
    <row r="1" spans="1:79" ht="24.75" customHeight="1" x14ac:dyDescent="0.2">
      <c r="A1" s="4">
        <v>1</v>
      </c>
      <c r="O1" s="4"/>
      <c r="U1" s="4"/>
      <c r="V1" s="64"/>
      <c r="AE1" s="4"/>
      <c r="AI1" s="4"/>
      <c r="AJ1" s="4"/>
      <c r="AK1" s="4"/>
      <c r="AL1" s="4"/>
      <c r="AM1" s="4"/>
      <c r="AN1" s="4"/>
      <c r="AQ1" s="4"/>
      <c r="AS1" s="4"/>
      <c r="AW1" s="4"/>
    </row>
    <row r="2" spans="1:79" ht="24.75" customHeight="1" x14ac:dyDescent="0.25">
      <c r="A2" s="4">
        <v>2</v>
      </c>
      <c r="K2" s="93" t="s">
        <v>86</v>
      </c>
      <c r="L2" s="93"/>
      <c r="M2" s="54">
        <f>BQ14</f>
        <v>0</v>
      </c>
      <c r="O2" s="4"/>
      <c r="U2" s="4"/>
      <c r="V2" s="64"/>
      <c r="AE2" s="4"/>
      <c r="AI2" s="4"/>
      <c r="AJ2" s="4"/>
      <c r="AK2" s="4"/>
      <c r="AL2" s="4"/>
      <c r="AM2" s="4"/>
      <c r="AN2" s="4"/>
      <c r="AQ2" s="4"/>
      <c r="AS2" s="4"/>
      <c r="AW2" s="4"/>
    </row>
    <row r="3" spans="1:79" ht="24.75" customHeight="1" x14ac:dyDescent="0.2">
      <c r="A3" s="4">
        <v>3</v>
      </c>
      <c r="O3" s="4"/>
      <c r="U3" s="4"/>
      <c r="V3" s="64"/>
      <c r="AE3" s="4"/>
      <c r="AI3" s="4"/>
      <c r="AJ3" s="4"/>
      <c r="AK3" s="4"/>
      <c r="AL3" s="4"/>
      <c r="AM3" s="4"/>
      <c r="AN3" s="4"/>
      <c r="AQ3" s="4"/>
      <c r="AS3" s="4"/>
      <c r="AW3" s="4"/>
    </row>
    <row r="4" spans="1:79" ht="24.75" customHeight="1" x14ac:dyDescent="0.2">
      <c r="A4" s="4">
        <v>4</v>
      </c>
      <c r="O4" s="4"/>
      <c r="U4" s="4"/>
      <c r="V4" s="64"/>
      <c r="AE4" s="4"/>
      <c r="AI4" s="4"/>
      <c r="AJ4" s="4"/>
      <c r="AK4" s="4"/>
      <c r="AL4" s="4"/>
      <c r="AM4" s="4"/>
      <c r="AN4" s="4"/>
      <c r="AQ4" s="4"/>
      <c r="AS4" s="4"/>
      <c r="AW4" s="4"/>
    </row>
    <row r="5" spans="1:79" ht="24.75" customHeight="1" thickBot="1" x14ac:dyDescent="0.25">
      <c r="A5" s="4">
        <v>5</v>
      </c>
      <c r="O5" s="4"/>
      <c r="U5" s="4"/>
      <c r="V5" s="64"/>
      <c r="AE5" s="4"/>
      <c r="AI5" s="4"/>
      <c r="AJ5" s="4"/>
      <c r="AK5" s="4"/>
      <c r="AL5" s="4"/>
      <c r="AM5" s="4"/>
      <c r="AN5" s="4"/>
      <c r="AQ5" s="4"/>
      <c r="AS5" s="4"/>
      <c r="AW5" s="4"/>
    </row>
    <row r="6" spans="1:79" ht="24.75" hidden="1" customHeight="1" thickBot="1" x14ac:dyDescent="0.3">
      <c r="A6" s="4">
        <v>6</v>
      </c>
      <c r="C6" s="4" t="s">
        <v>48</v>
      </c>
      <c r="D6" s="4" t="s">
        <v>49</v>
      </c>
      <c r="E6" s="4" t="s">
        <v>50</v>
      </c>
      <c r="F6" s="4" t="s">
        <v>139</v>
      </c>
      <c r="G6" s="4" t="s">
        <v>141</v>
      </c>
      <c r="H6" s="4" t="s">
        <v>140</v>
      </c>
      <c r="I6" s="4" t="s">
        <v>51</v>
      </c>
      <c r="J6" s="4" t="s">
        <v>52</v>
      </c>
      <c r="K6" s="4" t="s">
        <v>53</v>
      </c>
      <c r="L6" s="4" t="s">
        <v>54</v>
      </c>
      <c r="O6" s="4"/>
      <c r="U6" s="4"/>
      <c r="V6" s="64" t="s">
        <v>72</v>
      </c>
      <c r="W6" s="4" t="s">
        <v>73</v>
      </c>
      <c r="X6" s="4" t="s">
        <v>74</v>
      </c>
      <c r="Y6" s="4" t="s">
        <v>75</v>
      </c>
      <c r="Z6" s="4" t="s">
        <v>83</v>
      </c>
      <c r="AA6" s="4" t="s">
        <v>80</v>
      </c>
      <c r="AB6" s="4" t="s">
        <v>88</v>
      </c>
      <c r="AC6"/>
      <c r="AD6" s="4" t="s">
        <v>87</v>
      </c>
      <c r="AE6" s="4" t="s">
        <v>81</v>
      </c>
      <c r="AG6" s="4" t="s">
        <v>82</v>
      </c>
      <c r="AI6" s="4" t="s">
        <v>61</v>
      </c>
      <c r="AJ6" s="4" t="s">
        <v>62</v>
      </c>
      <c r="AK6" s="4" t="s">
        <v>63</v>
      </c>
      <c r="AL6" s="4" t="s">
        <v>64</v>
      </c>
      <c r="AM6" s="4" t="s">
        <v>65</v>
      </c>
      <c r="AN6" s="4" t="s">
        <v>66</v>
      </c>
      <c r="AQ6" s="4"/>
      <c r="AS6" s="4"/>
      <c r="AT6" s="4" t="s">
        <v>137</v>
      </c>
      <c r="AU6" s="4" t="s">
        <v>138</v>
      </c>
      <c r="AW6" s="4" t="s">
        <v>156</v>
      </c>
      <c r="AX6" s="4" t="s">
        <v>155</v>
      </c>
      <c r="BA6" s="4" t="s">
        <v>142</v>
      </c>
      <c r="BB6" s="4" t="s">
        <v>96</v>
      </c>
      <c r="BG6" s="4" t="s">
        <v>55</v>
      </c>
      <c r="BH6" s="4" t="s">
        <v>157</v>
      </c>
      <c r="BI6" s="4" t="s">
        <v>158</v>
      </c>
      <c r="BK6" s="4" t="s">
        <v>95</v>
      </c>
      <c r="BN6" s="4" t="s">
        <v>143</v>
      </c>
      <c r="BO6" s="4" t="s">
        <v>146</v>
      </c>
      <c r="BP6" s="4" t="s">
        <v>145</v>
      </c>
      <c r="BQ6" s="4" t="s">
        <v>78</v>
      </c>
      <c r="BR6" s="4" t="s">
        <v>149</v>
      </c>
      <c r="BS6" s="4" t="s">
        <v>60</v>
      </c>
      <c r="BT6" s="4" t="s">
        <v>85</v>
      </c>
      <c r="BU6" s="4" t="s">
        <v>69</v>
      </c>
      <c r="BV6" s="4" t="s">
        <v>70</v>
      </c>
      <c r="BW6" s="4" t="s">
        <v>160</v>
      </c>
      <c r="BX6" s="4" t="s">
        <v>76</v>
      </c>
      <c r="BY6" s="4" t="s">
        <v>153</v>
      </c>
      <c r="BZ6" s="4" t="s">
        <v>71</v>
      </c>
      <c r="CA6" s="4" t="s">
        <v>89</v>
      </c>
    </row>
    <row r="7" spans="1:79" ht="24.75" hidden="1" customHeight="1" x14ac:dyDescent="0.2">
      <c r="A7" s="4">
        <v>7</v>
      </c>
      <c r="C7" s="4" t="s">
        <v>48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101</v>
      </c>
      <c r="N7" s="4" t="s">
        <v>102</v>
      </c>
      <c r="O7" s="4" t="s">
        <v>103</v>
      </c>
      <c r="P7" s="4" t="s">
        <v>104</v>
      </c>
      <c r="Q7" s="4" t="s">
        <v>105</v>
      </c>
      <c r="R7" s="4" t="s">
        <v>106</v>
      </c>
      <c r="S7" s="4" t="s">
        <v>107</v>
      </c>
      <c r="T7" s="4" t="s">
        <v>108</v>
      </c>
      <c r="U7" s="4" t="s">
        <v>109</v>
      </c>
      <c r="V7" s="64" t="s">
        <v>110</v>
      </c>
      <c r="W7" s="4" t="s">
        <v>111</v>
      </c>
      <c r="X7" s="4" t="s">
        <v>112</v>
      </c>
      <c r="Y7" s="4" t="s">
        <v>113</v>
      </c>
      <c r="Z7" s="4" t="s">
        <v>114</v>
      </c>
      <c r="AA7" s="4" t="s">
        <v>115</v>
      </c>
      <c r="AB7" s="4" t="s">
        <v>116</v>
      </c>
      <c r="AC7" s="4" t="s">
        <v>117</v>
      </c>
      <c r="AD7" s="4" t="s">
        <v>118</v>
      </c>
      <c r="AE7" s="4" t="s">
        <v>119</v>
      </c>
      <c r="AF7" s="4" t="s">
        <v>120</v>
      </c>
      <c r="AG7" s="4" t="s">
        <v>121</v>
      </c>
      <c r="AH7" s="4" t="s">
        <v>122</v>
      </c>
      <c r="AI7" s="4" t="s">
        <v>123</v>
      </c>
      <c r="AJ7" s="4" t="s">
        <v>124</v>
      </c>
      <c r="AK7" s="4" t="s">
        <v>125</v>
      </c>
      <c r="AL7" s="4" t="s">
        <v>126</v>
      </c>
      <c r="AM7" s="4" t="s">
        <v>127</v>
      </c>
      <c r="AN7" s="4" t="s">
        <v>128</v>
      </c>
      <c r="AO7" s="38" t="s">
        <v>129</v>
      </c>
      <c r="AP7" s="4" t="s">
        <v>130</v>
      </c>
      <c r="AQ7" s="4" t="s">
        <v>131</v>
      </c>
      <c r="AR7" s="4" t="s">
        <v>132</v>
      </c>
      <c r="AS7" s="4" t="s">
        <v>133</v>
      </c>
      <c r="AT7" s="4" t="s">
        <v>134</v>
      </c>
      <c r="AU7" s="4" t="s">
        <v>135</v>
      </c>
      <c r="AV7" s="4" t="s">
        <v>136</v>
      </c>
      <c r="AW7" s="4"/>
      <c r="BG7" s="4" t="s">
        <v>55</v>
      </c>
      <c r="BH7" s="4" t="s">
        <v>157</v>
      </c>
      <c r="BI7" s="4" t="s">
        <v>158</v>
      </c>
    </row>
    <row r="8" spans="1:79" ht="24.75" hidden="1" customHeight="1" x14ac:dyDescent="0.2">
      <c r="A8" s="4">
        <v>8</v>
      </c>
      <c r="C8" s="4" t="s">
        <v>48</v>
      </c>
      <c r="O8" s="4"/>
      <c r="U8" s="4"/>
      <c r="V8" s="64"/>
      <c r="AE8" s="4"/>
      <c r="AI8" s="4"/>
      <c r="AJ8" s="4"/>
      <c r="AK8" s="4"/>
      <c r="AL8" s="4"/>
      <c r="AM8" s="4"/>
      <c r="AN8" s="4"/>
      <c r="AQ8" s="4"/>
      <c r="AS8" s="4"/>
      <c r="AW8" s="4"/>
      <c r="BG8" s="4" t="s">
        <v>55</v>
      </c>
      <c r="BH8" s="4" t="s">
        <v>157</v>
      </c>
      <c r="BI8" s="4" t="s">
        <v>158</v>
      </c>
    </row>
    <row r="9" spans="1:79" ht="24.75" hidden="1" customHeight="1" x14ac:dyDescent="0.2">
      <c r="A9" s="4">
        <v>9</v>
      </c>
      <c r="C9" s="4">
        <v>2</v>
      </c>
      <c r="D9" s="4">
        <v>2</v>
      </c>
      <c r="E9" s="4">
        <v>2</v>
      </c>
      <c r="F9" s="4">
        <v>2</v>
      </c>
      <c r="G9" s="4">
        <v>2</v>
      </c>
      <c r="H9" s="4">
        <v>2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6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38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/>
    </row>
    <row r="10" spans="1:79" ht="24.75" hidden="1" customHeight="1" x14ac:dyDescent="0.2">
      <c r="A10" s="4">
        <v>10</v>
      </c>
      <c r="I10" s="4" t="s">
        <v>97</v>
      </c>
      <c r="J10" s="4" t="s">
        <v>98</v>
      </c>
      <c r="K10" s="4" t="s">
        <v>99</v>
      </c>
      <c r="L10" s="4" t="s">
        <v>100</v>
      </c>
      <c r="M10" s="4" t="s">
        <v>101</v>
      </c>
      <c r="N10" s="4" t="s">
        <v>102</v>
      </c>
      <c r="O10" s="4" t="s">
        <v>103</v>
      </c>
      <c r="P10" s="4" t="s">
        <v>104</v>
      </c>
      <c r="Q10" s="4" t="s">
        <v>105</v>
      </c>
      <c r="R10" s="4" t="s">
        <v>106</v>
      </c>
      <c r="S10" s="4" t="s">
        <v>107</v>
      </c>
      <c r="T10" s="4" t="s">
        <v>108</v>
      </c>
      <c r="U10" s="4" t="s">
        <v>109</v>
      </c>
      <c r="V10" s="64" t="s">
        <v>110</v>
      </c>
      <c r="W10" s="4" t="s">
        <v>111</v>
      </c>
      <c r="X10" s="4" t="s">
        <v>112</v>
      </c>
      <c r="Y10" s="4" t="s">
        <v>113</v>
      </c>
      <c r="Z10" s="4" t="s">
        <v>114</v>
      </c>
      <c r="AA10" s="4" t="s">
        <v>115</v>
      </c>
      <c r="AB10" s="4" t="s">
        <v>116</v>
      </c>
      <c r="AC10" s="4" t="s">
        <v>117</v>
      </c>
      <c r="AD10" s="4" t="s">
        <v>118</v>
      </c>
      <c r="AE10" s="4" t="s">
        <v>119</v>
      </c>
      <c r="AF10" s="4" t="s">
        <v>120</v>
      </c>
      <c r="AG10" s="4" t="s">
        <v>121</v>
      </c>
      <c r="AH10" s="4" t="s">
        <v>122</v>
      </c>
      <c r="AI10" s="4" t="s">
        <v>123</v>
      </c>
      <c r="AJ10" s="4" t="s">
        <v>124</v>
      </c>
      <c r="AK10" s="4" t="s">
        <v>125</v>
      </c>
      <c r="AL10" s="4" t="s">
        <v>126</v>
      </c>
      <c r="AM10" s="4" t="s">
        <v>127</v>
      </c>
      <c r="AN10" s="4" t="s">
        <v>128</v>
      </c>
      <c r="AO10" s="38" t="s">
        <v>129</v>
      </c>
      <c r="AP10" s="4" t="s">
        <v>130</v>
      </c>
      <c r="AQ10" s="4" t="s">
        <v>131</v>
      </c>
      <c r="AR10" s="4" t="s">
        <v>132</v>
      </c>
      <c r="AS10" s="4" t="s">
        <v>133</v>
      </c>
      <c r="AT10" s="4" t="s">
        <v>134</v>
      </c>
      <c r="AU10" s="4" t="s">
        <v>135</v>
      </c>
      <c r="AV10" s="4" t="s">
        <v>136</v>
      </c>
      <c r="AW10" s="4"/>
    </row>
    <row r="11" spans="1:79" ht="90.75" customHeight="1" x14ac:dyDescent="0.2">
      <c r="B11" s="94" t="s">
        <v>0</v>
      </c>
      <c r="C11" s="77" t="s">
        <v>1</v>
      </c>
      <c r="D11" s="77" t="s">
        <v>2</v>
      </c>
      <c r="E11" s="77" t="s">
        <v>3</v>
      </c>
      <c r="F11" s="77" t="s">
        <v>19</v>
      </c>
      <c r="G11" s="96" t="s">
        <v>4</v>
      </c>
      <c r="H11" s="98" t="s">
        <v>5</v>
      </c>
      <c r="I11" s="72" t="s">
        <v>6</v>
      </c>
      <c r="J11" s="72"/>
      <c r="K11" s="72"/>
      <c r="L11" s="72"/>
      <c r="M11" s="72"/>
      <c r="N11" s="72" t="s">
        <v>7</v>
      </c>
      <c r="O11" s="72"/>
      <c r="P11" s="73" t="s">
        <v>8</v>
      </c>
      <c r="Q11" s="74"/>
      <c r="R11" s="75" t="s">
        <v>9</v>
      </c>
      <c r="S11" s="76"/>
      <c r="T11" s="72" t="s">
        <v>10</v>
      </c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7" t="s">
        <v>11</v>
      </c>
      <c r="AI11" s="67" t="s">
        <v>12</v>
      </c>
      <c r="AJ11" s="67"/>
      <c r="AK11" s="67"/>
      <c r="AL11" s="67"/>
      <c r="AM11" s="67"/>
      <c r="AN11" s="67"/>
      <c r="AO11" s="67"/>
      <c r="AP11" s="68" t="s">
        <v>13</v>
      </c>
      <c r="AQ11" s="70" t="s">
        <v>14</v>
      </c>
      <c r="AR11" s="71"/>
      <c r="AS11" s="71"/>
      <c r="AT11" s="71"/>
      <c r="AU11" s="71"/>
      <c r="AV11" s="82" t="s">
        <v>15</v>
      </c>
      <c r="AW11" s="70" t="s">
        <v>154</v>
      </c>
      <c r="AX11" s="82" t="s">
        <v>155</v>
      </c>
      <c r="AY11" s="82" t="s">
        <v>16</v>
      </c>
      <c r="AZ11" s="7"/>
      <c r="BA11" s="100" t="s">
        <v>17</v>
      </c>
      <c r="BB11" s="102" t="s">
        <v>18</v>
      </c>
      <c r="BC11" s="8"/>
      <c r="BD11" s="1"/>
      <c r="BE11" s="1"/>
      <c r="BG11" s="4" t="s">
        <v>55</v>
      </c>
      <c r="BH11" s="4" t="s">
        <v>56</v>
      </c>
      <c r="BI11" s="4" t="s">
        <v>57</v>
      </c>
      <c r="BJ11" s="87" t="s">
        <v>161</v>
      </c>
      <c r="BK11" s="79" t="s">
        <v>94</v>
      </c>
      <c r="BL11" s="79" t="s">
        <v>148</v>
      </c>
      <c r="BM11" s="84" t="s">
        <v>93</v>
      </c>
      <c r="BN11" s="85"/>
      <c r="BO11" s="66"/>
      <c r="BP11" s="79" t="s">
        <v>144</v>
      </c>
      <c r="BQ11" s="86" t="s">
        <v>79</v>
      </c>
      <c r="BR11" s="79" t="s">
        <v>150</v>
      </c>
      <c r="BS11" s="91" t="s">
        <v>59</v>
      </c>
      <c r="BT11" s="91"/>
      <c r="BU11" s="86" t="s">
        <v>59</v>
      </c>
      <c r="BV11" s="86"/>
      <c r="BW11" s="92" t="s">
        <v>159</v>
      </c>
      <c r="BX11" s="90" t="s">
        <v>151</v>
      </c>
      <c r="BY11" s="89" t="s">
        <v>152</v>
      </c>
      <c r="CA11" s="89" t="s">
        <v>90</v>
      </c>
    </row>
    <row r="12" spans="1:79" ht="100.5" customHeight="1" x14ac:dyDescent="0.2">
      <c r="B12" s="95"/>
      <c r="C12" s="78"/>
      <c r="D12" s="78"/>
      <c r="E12" s="78"/>
      <c r="F12" s="78"/>
      <c r="G12" s="97"/>
      <c r="H12" s="99"/>
      <c r="I12" s="48" t="s">
        <v>20</v>
      </c>
      <c r="J12" s="48" t="s">
        <v>21</v>
      </c>
      <c r="K12" s="55" t="s">
        <v>22</v>
      </c>
      <c r="L12" s="55" t="s">
        <v>23</v>
      </c>
      <c r="M12" s="48" t="s">
        <v>11</v>
      </c>
      <c r="N12" s="41" t="s">
        <v>24</v>
      </c>
      <c r="O12" s="41" t="s">
        <v>25</v>
      </c>
      <c r="P12" s="3" t="s">
        <v>24</v>
      </c>
      <c r="Q12" s="2" t="s">
        <v>25</v>
      </c>
      <c r="R12" s="3" t="s">
        <v>26</v>
      </c>
      <c r="S12" s="2" t="s">
        <v>25</v>
      </c>
      <c r="T12" s="41" t="s">
        <v>27</v>
      </c>
      <c r="U12" s="41" t="s">
        <v>28</v>
      </c>
      <c r="V12" s="42" t="s">
        <v>29</v>
      </c>
      <c r="W12" s="42" t="s">
        <v>30</v>
      </c>
      <c r="X12" s="42" t="s">
        <v>31</v>
      </c>
      <c r="Y12" s="42" t="s">
        <v>32</v>
      </c>
      <c r="Z12" s="42" t="s">
        <v>33</v>
      </c>
      <c r="AA12" s="42" t="s">
        <v>34</v>
      </c>
      <c r="AB12" s="43" t="s">
        <v>35</v>
      </c>
      <c r="AC12" s="42" t="s">
        <v>36</v>
      </c>
      <c r="AD12" s="42" t="s">
        <v>37</v>
      </c>
      <c r="AE12" s="41" t="s">
        <v>38</v>
      </c>
      <c r="AF12" s="42" t="s">
        <v>39</v>
      </c>
      <c r="AG12" s="65" t="s">
        <v>40</v>
      </c>
      <c r="AH12" s="78"/>
      <c r="AI12" s="49">
        <v>1.5</v>
      </c>
      <c r="AJ12" s="49">
        <v>2</v>
      </c>
      <c r="AK12" s="49">
        <v>2.1</v>
      </c>
      <c r="AL12" s="49">
        <v>2.7</v>
      </c>
      <c r="AM12" s="49">
        <v>3</v>
      </c>
      <c r="AN12" s="49">
        <v>3.9</v>
      </c>
      <c r="AO12" s="52" t="s">
        <v>41</v>
      </c>
      <c r="AP12" s="69"/>
      <c r="AQ12" s="46" t="s">
        <v>42</v>
      </c>
      <c r="AR12" s="47" t="s">
        <v>43</v>
      </c>
      <c r="AS12" s="46" t="s">
        <v>44</v>
      </c>
      <c r="AT12" s="48" t="s">
        <v>45</v>
      </c>
      <c r="AU12" s="48" t="s">
        <v>46</v>
      </c>
      <c r="AV12" s="83"/>
      <c r="AW12" s="81"/>
      <c r="AX12" s="83"/>
      <c r="AY12" s="83"/>
      <c r="AZ12" s="9"/>
      <c r="BA12" s="101"/>
      <c r="BB12" s="103"/>
      <c r="BC12" s="10" t="str">
        <f>+IF(C12="SK2","SK2",IF(C12="FACTORY A","SK1 Box",IF(C12="FACTORY D","SK1 Bag","Chia")))</f>
        <v>Chia</v>
      </c>
      <c r="BD12" s="1"/>
      <c r="BE12" s="11" t="str">
        <f>+IF(BC12="SK1 Box","Box",IF(BC12="Seaman","Seaman","Bag"))</f>
        <v>Bag</v>
      </c>
      <c r="BJ12" s="88"/>
      <c r="BK12" s="80"/>
      <c r="BL12" s="80"/>
      <c r="BM12" s="35" t="s">
        <v>91</v>
      </c>
      <c r="BN12" s="35" t="s">
        <v>92</v>
      </c>
      <c r="BO12" s="53" t="s">
        <v>147</v>
      </c>
      <c r="BP12" s="80"/>
      <c r="BQ12" s="86"/>
      <c r="BR12" s="80"/>
      <c r="BS12" s="34">
        <v>1</v>
      </c>
      <c r="BT12" s="34">
        <v>1.3</v>
      </c>
      <c r="BU12" s="35" t="s">
        <v>67</v>
      </c>
      <c r="BV12" s="35" t="s">
        <v>68</v>
      </c>
      <c r="BW12" s="92"/>
      <c r="BX12" s="90"/>
      <c r="BY12" s="89"/>
      <c r="BZ12" s="36" t="s">
        <v>84</v>
      </c>
      <c r="CA12" s="89"/>
    </row>
    <row r="13" spans="1:79" s="5" customFormat="1" ht="24.75" customHeight="1" x14ac:dyDescent="0.25">
      <c r="B13" s="6">
        <v>1</v>
      </c>
      <c r="C13" s="6">
        <f>B13+1</f>
        <v>2</v>
      </c>
      <c r="D13" s="6">
        <f t="shared" ref="D13:AV13" si="0">C13+1</f>
        <v>3</v>
      </c>
      <c r="E13" s="6">
        <f t="shared" si="0"/>
        <v>4</v>
      </c>
      <c r="F13" s="6">
        <f t="shared" si="0"/>
        <v>5</v>
      </c>
      <c r="G13" s="6">
        <f t="shared" si="0"/>
        <v>6</v>
      </c>
      <c r="H13" s="62">
        <f t="shared" si="0"/>
        <v>7</v>
      </c>
      <c r="I13" s="44">
        <f t="shared" si="0"/>
        <v>8</v>
      </c>
      <c r="J13" s="44">
        <f t="shared" si="0"/>
        <v>9</v>
      </c>
      <c r="K13" s="44">
        <f t="shared" si="0"/>
        <v>10</v>
      </c>
      <c r="L13" s="44">
        <f t="shared" si="0"/>
        <v>11</v>
      </c>
      <c r="M13" s="44">
        <f t="shared" si="0"/>
        <v>12</v>
      </c>
      <c r="N13" s="44">
        <f t="shared" si="0"/>
        <v>13</v>
      </c>
      <c r="O13" s="44">
        <f t="shared" ref="O13" si="1">N13+1</f>
        <v>14</v>
      </c>
      <c r="P13" s="6">
        <f t="shared" si="0"/>
        <v>15</v>
      </c>
      <c r="Q13" s="6">
        <f t="shared" si="0"/>
        <v>16</v>
      </c>
      <c r="R13" s="6">
        <f t="shared" si="0"/>
        <v>17</v>
      </c>
      <c r="S13" s="6">
        <f t="shared" si="0"/>
        <v>18</v>
      </c>
      <c r="T13" s="44">
        <f t="shared" si="0"/>
        <v>19</v>
      </c>
      <c r="U13" s="44">
        <f t="shared" si="0"/>
        <v>20</v>
      </c>
      <c r="V13" s="44">
        <f t="shared" si="0"/>
        <v>21</v>
      </c>
      <c r="W13" s="44">
        <f t="shared" si="0"/>
        <v>22</v>
      </c>
      <c r="X13" s="44">
        <f t="shared" si="0"/>
        <v>23</v>
      </c>
      <c r="Y13" s="44">
        <f t="shared" si="0"/>
        <v>24</v>
      </c>
      <c r="Z13" s="44">
        <f t="shared" si="0"/>
        <v>25</v>
      </c>
      <c r="AA13" s="44">
        <f t="shared" si="0"/>
        <v>26</v>
      </c>
      <c r="AB13" s="44">
        <f t="shared" si="0"/>
        <v>27</v>
      </c>
      <c r="AC13" s="44">
        <f t="shared" si="0"/>
        <v>28</v>
      </c>
      <c r="AD13" s="44">
        <f t="shared" si="0"/>
        <v>29</v>
      </c>
      <c r="AE13" s="44">
        <f t="shared" si="0"/>
        <v>30</v>
      </c>
      <c r="AF13" s="44">
        <f t="shared" si="0"/>
        <v>31</v>
      </c>
      <c r="AG13" s="44">
        <f t="shared" si="0"/>
        <v>32</v>
      </c>
      <c r="AH13" s="6">
        <f t="shared" si="0"/>
        <v>33</v>
      </c>
      <c r="AI13" s="6">
        <f t="shared" si="0"/>
        <v>34</v>
      </c>
      <c r="AJ13" s="44">
        <f t="shared" si="0"/>
        <v>35</v>
      </c>
      <c r="AK13" s="44">
        <f t="shared" si="0"/>
        <v>36</v>
      </c>
      <c r="AL13" s="44">
        <f t="shared" si="0"/>
        <v>37</v>
      </c>
      <c r="AM13" s="44">
        <f t="shared" si="0"/>
        <v>38</v>
      </c>
      <c r="AN13" s="44">
        <f t="shared" ref="AN13" si="2">AM13+1</f>
        <v>39</v>
      </c>
      <c r="AO13" s="39">
        <f t="shared" ref="AO13" si="3">AN13+1</f>
        <v>40</v>
      </c>
      <c r="AP13" s="44">
        <f t="shared" si="0"/>
        <v>41</v>
      </c>
      <c r="AQ13" s="44">
        <f t="shared" si="0"/>
        <v>42</v>
      </c>
      <c r="AR13" s="44">
        <f t="shared" si="0"/>
        <v>43</v>
      </c>
      <c r="AS13" s="44">
        <f t="shared" si="0"/>
        <v>44</v>
      </c>
      <c r="AT13" s="44">
        <f t="shared" si="0"/>
        <v>45</v>
      </c>
      <c r="AU13" s="44">
        <f t="shared" si="0"/>
        <v>46</v>
      </c>
      <c r="AV13" s="57">
        <f t="shared" si="0"/>
        <v>47</v>
      </c>
      <c r="AW13" s="44"/>
      <c r="AX13" s="6"/>
      <c r="AY13" s="58">
        <f>AV13+1</f>
        <v>48</v>
      </c>
      <c r="AZ13" s="12"/>
      <c r="BA13" s="13"/>
      <c r="BB13" s="14"/>
      <c r="BC13" s="15"/>
      <c r="BD13" s="16"/>
      <c r="BE13" s="17"/>
    </row>
    <row r="14" spans="1:79" ht="24.75" customHeight="1" x14ac:dyDescent="0.2">
      <c r="B14" s="18">
        <f>SUBTOTAL(3,C$14:C14)</f>
        <v>0</v>
      </c>
      <c r="C14" s="18"/>
      <c r="D14" s="19"/>
      <c r="E14" s="20"/>
      <c r="F14" s="20"/>
      <c r="G14" s="21"/>
      <c r="H14" s="63"/>
      <c r="I14" s="22">
        <v>0</v>
      </c>
      <c r="J14" s="22">
        <v>0</v>
      </c>
      <c r="K14" s="22">
        <v>0</v>
      </c>
      <c r="L14" s="22">
        <v>0</v>
      </c>
      <c r="M14" s="23">
        <f t="shared" ref="M14" si="4">SUM(I14:L14)</f>
        <v>0</v>
      </c>
      <c r="N14" s="24">
        <f>ROUND((BS14+BT14)/8,1)</f>
        <v>0</v>
      </c>
      <c r="O14" s="50" t="e">
        <f>ROUND(M14/IF($M$2&gt;26,26,BQ14)*ROUND((BS14+BT14)/8,1),0)</f>
        <v>#DIV/0!</v>
      </c>
      <c r="P14" s="25">
        <f>(BU14)/8</f>
        <v>0</v>
      </c>
      <c r="Q14" s="23" t="e">
        <f>ROUND(M14/IF($M$2&gt;26,26,BQ14)*ROUND(BU14/8,1),0)</f>
        <v>#DIV/0!</v>
      </c>
      <c r="R14" s="26">
        <f>(BT14)</f>
        <v>0</v>
      </c>
      <c r="S14" s="23">
        <f>ROUND(BJ14/8*BT14*0.3,0)</f>
        <v>0</v>
      </c>
      <c r="T14" s="23" t="e">
        <f>O14+Q14+S14</f>
        <v>#DIV/0!</v>
      </c>
      <c r="U14" s="40" t="e">
        <f>BZ14/BQ14*ROUND((BS14+BU14+BT14)/8,1)</f>
        <v>#DIV/0!</v>
      </c>
      <c r="V14" s="51">
        <v>0</v>
      </c>
      <c r="W14" s="28">
        <v>0</v>
      </c>
      <c r="X14" s="27">
        <v>500000</v>
      </c>
      <c r="Y14" s="27">
        <v>0</v>
      </c>
      <c r="Z14" s="27">
        <v>0</v>
      </c>
      <c r="AA14" s="27">
        <v>0</v>
      </c>
      <c r="AB14" s="29">
        <v>0</v>
      </c>
      <c r="AC14" s="23" t="e">
        <f>ROUND(M14/IF($M$2&gt;26,26,BQ14)*AB14,0)</f>
        <v>#DIV/0!</v>
      </c>
      <c r="AD14" s="27">
        <v>0</v>
      </c>
      <c r="AE14" s="51">
        <v>0</v>
      </c>
      <c r="AF14" s="23">
        <f>IF(AND(BX14="Female",BS14+BT14+BU14&gt;=13*8),1.5*BJ14/8,0)</f>
        <v>0</v>
      </c>
      <c r="AG14" s="30">
        <v>0</v>
      </c>
      <c r="AH14" s="30" t="e">
        <f t="shared" ref="AH14" si="5">ROUND(SUM(T14:AG14)-AB14,0)</f>
        <v>#DIV/0!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50">
        <f>ROUND(BJ14/8*(AI14*1.5 + AJ14* 2 + AK14* 2.1 + AL14* 2.7 + AM14* 3 + AN14* 3.9),0)</f>
        <v>0</v>
      </c>
      <c r="AP14" s="31" t="e">
        <f>ROUND(AH14+AO14,0)</f>
        <v>#DIV/0!</v>
      </c>
      <c r="AQ14" s="50">
        <f>IF(BR14=2,M14*4.5%,IF(BR14=1, M14*10.5%, 0))+BW14</f>
        <v>0</v>
      </c>
      <c r="AR14" s="23" t="e">
        <f>IF(BY14=1,0,IF(AND(AP14&gt;0,BY14=2),1% * CA14,0))</f>
        <v>#DIV/0!</v>
      </c>
      <c r="AS14" s="51" t="e">
        <f>IF(#REF!=1,IF(BL14&gt;11000000,BL14*10%,0),IF(BM14&gt;0,ROUND(IF(BM14&lt;5000000,BM14*0.05,IF(BM14&lt;10000000,BM14*0.1-250000,IF(BM14&lt;18000000,BM14*0.15-750000,IF(BM14&lt;32000000,BM14*0.2-1650000,IF(BM14&lt;52000000,BM14*0.25-3250000,IF(BM14&lt;80000000,BM14*0.3-5850000,BM14*0.35-9850000)))))),0),0))</f>
        <v>#REF!</v>
      </c>
      <c r="AT14" s="23">
        <v>0</v>
      </c>
      <c r="AU14" s="23">
        <v>0</v>
      </c>
      <c r="AV14" s="31" t="e">
        <f>MAX(+ROUND(SUM(AP14:AP14)-SUM(AQ14:AU14),0),0)</f>
        <v>#DIV/0!</v>
      </c>
      <c r="AW14" s="61"/>
      <c r="AX14" s="59"/>
      <c r="AY14" s="29"/>
      <c r="AZ14" s="9"/>
      <c r="BA14" s="32">
        <v>0</v>
      </c>
      <c r="BB14" s="32">
        <v>0</v>
      </c>
      <c r="BC14" s="33" t="s">
        <v>47</v>
      </c>
      <c r="BD14" s="33">
        <v>622</v>
      </c>
      <c r="BE14" s="11" t="str">
        <f>+IF(BC14="SK1 Box","Box",IF(BC14="Seaman","Seaman","Bag"))</f>
        <v>Box</v>
      </c>
      <c r="BG14" s="4" t="s">
        <v>58</v>
      </c>
      <c r="BJ14" s="4">
        <f>IF(N14&gt;0,O14/IF(N14&gt;26,26,N14),0)</f>
        <v>0</v>
      </c>
      <c r="BK14" s="4">
        <v>0</v>
      </c>
      <c r="BL14" s="37" t="e">
        <f>AP14 + BP14 - AQ14</f>
        <v>#DIV/0!</v>
      </c>
      <c r="BM14" s="104" t="e">
        <f>BL14-#REF!-U14-BN14*4400000-11000000 - ROUND(BJ14/8*(BT14*0.3+AI14*0.5+AJ14*1+AK14*1.1+AL14*1.7+AM14*2+AN14*2.9),0)</f>
        <v>#DIV/0!</v>
      </c>
      <c r="BN14" s="4">
        <v>0</v>
      </c>
      <c r="BO14" s="38"/>
      <c r="BP14" s="38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X14" s="4" t="s">
        <v>77</v>
      </c>
      <c r="BY14" s="4">
        <v>0</v>
      </c>
      <c r="BZ14" s="4">
        <v>0</v>
      </c>
      <c r="CA14" s="4">
        <v>0</v>
      </c>
    </row>
  </sheetData>
  <autoFilter ref="A13:BE13" xr:uid="{00000000-0001-0000-0000-000000000000}"/>
  <mergeCells count="36">
    <mergeCell ref="AV11:AV12"/>
    <mergeCell ref="AY11:AY12"/>
    <mergeCell ref="BA11:BA12"/>
    <mergeCell ref="BP11:BP12"/>
    <mergeCell ref="BB11:BB12"/>
    <mergeCell ref="BK11:BK12"/>
    <mergeCell ref="K2:L2"/>
    <mergeCell ref="B11:B12"/>
    <mergeCell ref="C11:C12"/>
    <mergeCell ref="D11:D12"/>
    <mergeCell ref="E11:E12"/>
    <mergeCell ref="G11:G12"/>
    <mergeCell ref="F11:F12"/>
    <mergeCell ref="H11:H12"/>
    <mergeCell ref="I11:M11"/>
    <mergeCell ref="CA11:CA12"/>
    <mergeCell ref="BU11:BV11"/>
    <mergeCell ref="BY11:BY12"/>
    <mergeCell ref="BX11:BX12"/>
    <mergeCell ref="BS11:BT11"/>
    <mergeCell ref="BW11:BW12"/>
    <mergeCell ref="BR11:BR12"/>
    <mergeCell ref="AW11:AW12"/>
    <mergeCell ref="AX11:AX12"/>
    <mergeCell ref="BM11:BN11"/>
    <mergeCell ref="BL11:BL12"/>
    <mergeCell ref="BQ11:BQ12"/>
    <mergeCell ref="BJ11:BJ12"/>
    <mergeCell ref="AI11:AO11"/>
    <mergeCell ref="AP11:AP12"/>
    <mergeCell ref="AQ11:AU11"/>
    <mergeCell ref="N11:O11"/>
    <mergeCell ref="P11:Q11"/>
    <mergeCell ref="R11:S11"/>
    <mergeCell ref="T11:AG11"/>
    <mergeCell ref="AH11:AH12"/>
  </mergeCells>
  <phoneticPr fontId="9" type="noConversion"/>
  <conditionalFormatting sqref="C11:C13 D13:AY13">
    <cfRule type="duplicateValues" dxfId="2" priority="16"/>
  </conditionalFormatting>
  <conditionalFormatting sqref="C11:C13">
    <cfRule type="duplicateValues" dxfId="1" priority="3"/>
  </conditionalFormatting>
  <conditionalFormatting sqref="C11:C14 D13:AY13">
    <cfRule type="duplicateValues" dxfId="0" priority="19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 SSHN</dc:creator>
  <cp:lastModifiedBy>Nguyen Ngoc Son - IT</cp:lastModifiedBy>
  <dcterms:created xsi:type="dcterms:W3CDTF">2015-06-05T18:17:20Z</dcterms:created>
  <dcterms:modified xsi:type="dcterms:W3CDTF">2025-11-14T08:00:46Z</dcterms:modified>
</cp:coreProperties>
</file>