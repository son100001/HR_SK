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SSAUDIT\GitHub\ISVietNam\SmartBooks.HumanResource\bin\x86\Debug\Teamleate\"/>
    </mc:Choice>
  </mc:AlternateContent>
  <xr:revisionPtr revIDLastSave="0" documentId="13_ncr:1_{03AE0789-0D45-412D-AB4B-D81A83D65B3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W15" i="1" l="1"/>
  <c r="X15" i="1" l="1"/>
  <c r="T20" i="1" l="1"/>
</calcChain>
</file>

<file path=xl/sharedStrings.xml><?xml version="1.0" encoding="utf-8"?>
<sst xmlns="http://schemas.openxmlformats.org/spreadsheetml/2006/main" count="67" uniqueCount="59">
  <si>
    <t>No</t>
  </si>
  <si>
    <t>Employee_ID</t>
  </si>
  <si>
    <t>FullName</t>
  </si>
  <si>
    <t>StartedDate</t>
  </si>
  <si>
    <t>Lô số A2-6 KCN Tây Bắc Củ Chi, huyện Củ Chi, TP.HCM</t>
  </si>
  <si>
    <t>CÔNG TY TNHH I.S Việt Nam</t>
  </si>
  <si>
    <t>Người lập biểu</t>
  </si>
  <si>
    <t>BAN GIÁM ĐỐC</t>
  </si>
  <si>
    <t>Reporter</t>
  </si>
  <si>
    <t>Chief Accountant</t>
  </si>
  <si>
    <t>ACCOUNTANT MANAGER</t>
  </si>
  <si>
    <t>BOARD OF DIRECTORS</t>
  </si>
  <si>
    <t>KWAK JUNSUN</t>
  </si>
  <si>
    <t>CHOI KYUNG SHIK</t>
  </si>
  <si>
    <t>Stt
No.</t>
  </si>
  <si>
    <t>Mã số
Code</t>
  </si>
  <si>
    <t>Vị trí
Position</t>
  </si>
  <si>
    <t>Bộ phận Dept</t>
  </si>
  <si>
    <t>Họ và Tên
Full name</t>
  </si>
  <si>
    <t>Soá CMND ID card number</t>
  </si>
  <si>
    <t>Ngày vào
Starting date</t>
  </si>
  <si>
    <t>Ngày phép năm còn lại phải truy thu</t>
  </si>
  <si>
    <t>Lương HĐ
Contract Salary</t>
  </si>
  <si>
    <t>Số tiền truy thu
Retrieve amount</t>
  </si>
  <si>
    <t>Số tiền truy thu làm tròn 500 đ
Retrieve amount rounded</t>
  </si>
  <si>
    <t>Ký nhận
Signature</t>
  </si>
  <si>
    <t>LCB
Basic Salary</t>
  </si>
  <si>
    <t>Phụ cấp LCB</t>
  </si>
  <si>
    <t>Phụ cấp  Sub</t>
  </si>
  <si>
    <t>Độc hại Hazardous</t>
  </si>
  <si>
    <t>Thâm niên Seniority</t>
  </si>
  <si>
    <t>LT_luongcoban</t>
  </si>
  <si>
    <t>RETRIEVE ANNUAL LEAVE</t>
  </si>
  <si>
    <t>Kế Toán Trưởng</t>
  </si>
  <si>
    <t>Nguyễn Thị Tuyết Mai</t>
  </si>
  <si>
    <t>Nguyễn Thị Kim Hạnh</t>
  </si>
  <si>
    <t>DepartmentCode</t>
  </si>
  <si>
    <t>BankAccount</t>
  </si>
  <si>
    <t xml:space="preserve">Số tài khoản ATM
card number </t>
  </si>
  <si>
    <t>ID_Number</t>
  </si>
  <si>
    <t>PhepNamAm</t>
  </si>
  <si>
    <t>LT_pctheoluong</t>
  </si>
  <si>
    <t>lt_pctrachnhiem</t>
  </si>
  <si>
    <t>lt_pcantoanvesinhvien</t>
  </si>
  <si>
    <t>lt_pcdoipccc</t>
  </si>
  <si>
    <t>lt_pcdochai</t>
  </si>
  <si>
    <t>PCThamNien</t>
  </si>
  <si>
    <t>ATVSV</t>
  </si>
  <si>
    <t>Trách nhiệm
Responsibility</t>
  </si>
  <si>
    <t xml:space="preserve"> PCCC</t>
  </si>
  <si>
    <t>sectionname</t>
  </si>
  <si>
    <t>key</t>
  </si>
  <si>
    <t>Salary_Month</t>
  </si>
  <si>
    <t>Salary_Year</t>
  </si>
  <si>
    <t>PayDate</t>
  </si>
  <si>
    <t>SalaryKey</t>
  </si>
  <si>
    <t>s54</t>
  </si>
  <si>
    <t>s55</t>
  </si>
  <si>
    <t>TienTruyThuPN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</si>
</sst>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&quot;TP.HCM , ngaøy&quot;\ dd\ &quot;thaùng&quot;\ mm\ &quot;naêm&quot;\ yyyy"/>
    <numFmt numFmtId="167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VNI-Times"/>
    </font>
    <font>
      <b/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sz val="14"/>
      <name val="Times New Roman"/>
      <family val="1"/>
    </font>
    <font>
      <sz val="7"/>
      <color indexed="8"/>
      <name val="Times New Roman"/>
      <family val="1"/>
    </font>
    <font>
      <sz val="7"/>
      <color rgb="FF0000FF"/>
      <name val="Times New Roman"/>
      <family val="1"/>
    </font>
    <font>
      <sz val="9"/>
      <name val="Times New Roman"/>
      <family val="1"/>
    </font>
    <font>
      <b/>
      <i/>
      <sz val="10"/>
      <name val="VNI-Times"/>
    </font>
    <font>
      <b/>
      <i/>
      <sz val="11"/>
      <name val="Times New Roman"/>
      <family val="1"/>
    </font>
    <font>
      <i/>
      <sz val="9"/>
      <name val="Times New Roman"/>
      <family val="1"/>
    </font>
    <font>
      <b/>
      <i/>
      <sz val="9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sz val="7"/>
      <color indexed="12"/>
      <name val="Times New Roman"/>
      <family val="1"/>
    </font>
    <font>
      <sz val="10"/>
      <color indexed="12"/>
      <name val="Times New Roman"/>
      <family val="1"/>
    </font>
    <font>
      <b/>
      <sz val="11"/>
      <color indexed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6" fillId="0" borderId="0"/>
    <xf numFmtId="0" fontId="6" fillId="0" borderId="0"/>
    <xf numFmtId="0" fontId="1" fillId="0" borderId="0"/>
    <xf numFmtId="0" fontId="6" fillId="0" borderId="0"/>
    <xf numFmtId="167" fontId="6" fillId="0" borderId="0" applyFon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14" fontId="0" fillId="0" borderId="1" xfId="0" applyNumberFormat="1" applyBorder="1"/>
    <xf numFmtId="165" fontId="0" fillId="0" borderId="1" xfId="1" applyNumberFormat="1" applyFont="1" applyBorder="1"/>
    <xf numFmtId="0" fontId="7" fillId="0" borderId="0" xfId="4" applyFont="1" applyAlignment="1"/>
    <xf numFmtId="0" fontId="5" fillId="0" borderId="0" xfId="5" applyFont="1"/>
    <xf numFmtId="164" fontId="0" fillId="0" borderId="1" xfId="1" applyNumberFormat="1" applyFont="1" applyBorder="1"/>
    <xf numFmtId="0" fontId="2" fillId="0" borderId="0" xfId="0" applyFont="1"/>
    <xf numFmtId="0" fontId="9" fillId="0" borderId="1" xfId="7" applyFont="1" applyBorder="1" applyAlignment="1">
      <alignment horizontal="center" vertical="center" wrapText="1"/>
    </xf>
    <xf numFmtId="0" fontId="11" fillId="0" borderId="0" xfId="4" applyFont="1"/>
    <xf numFmtId="0" fontId="11" fillId="0" borderId="0" xfId="4" applyFont="1" applyAlignment="1">
      <alignment horizontal="center"/>
    </xf>
    <xf numFmtId="0" fontId="14" fillId="0" borderId="0" xfId="4" applyFont="1" applyAlignment="1">
      <alignment horizontal="center"/>
    </xf>
    <xf numFmtId="0" fontId="16" fillId="0" borderId="0" xfId="4" applyFont="1"/>
    <xf numFmtId="0" fontId="5" fillId="0" borderId="0" xfId="4" applyFont="1"/>
    <xf numFmtId="43" fontId="5" fillId="0" borderId="0" xfId="4" applyNumberFormat="1" applyFont="1"/>
    <xf numFmtId="0" fontId="17" fillId="0" borderId="0" xfId="3" applyFont="1" applyAlignment="1">
      <alignment horizontal="center"/>
    </xf>
    <xf numFmtId="0" fontId="17" fillId="0" borderId="0" xfId="3" applyFont="1"/>
    <xf numFmtId="0" fontId="18" fillId="0" borderId="0" xfId="4" applyFont="1"/>
    <xf numFmtId="0" fontId="19" fillId="0" borderId="0" xfId="4" applyFont="1"/>
    <xf numFmtId="167" fontId="5" fillId="0" borderId="0" xfId="8" applyFont="1"/>
    <xf numFmtId="0" fontId="20" fillId="0" borderId="0" xfId="4" applyFont="1" applyAlignment="1"/>
    <xf numFmtId="0" fontId="19" fillId="0" borderId="0" xfId="5" applyFont="1"/>
    <xf numFmtId="0" fontId="20" fillId="0" borderId="0" xfId="3" applyFont="1" applyAlignment="1"/>
    <xf numFmtId="0" fontId="20" fillId="0" borderId="0" xfId="5" applyFont="1" applyAlignment="1"/>
    <xf numFmtId="0" fontId="20" fillId="0" borderId="0" xfId="4" applyFont="1" applyAlignment="1">
      <alignment horizontal="center"/>
    </xf>
    <xf numFmtId="0" fontId="20" fillId="0" borderId="0" xfId="3" applyFont="1" applyAlignment="1">
      <alignment horizontal="center"/>
    </xf>
    <xf numFmtId="0" fontId="9" fillId="0" borderId="1" xfId="7" applyFont="1" applyBorder="1" applyAlignment="1">
      <alignment horizontal="center" vertical="center" wrapText="1"/>
    </xf>
    <xf numFmtId="0" fontId="4" fillId="0" borderId="0" xfId="3" applyFont="1" applyAlignment="1">
      <alignment horizontal="center"/>
    </xf>
    <xf numFmtId="0" fontId="13" fillId="0" borderId="0" xfId="3" applyFont="1" applyAlignment="1">
      <alignment horizontal="center"/>
    </xf>
    <xf numFmtId="165" fontId="0" fillId="0" borderId="0" xfId="1" applyNumberFormat="1" applyFont="1"/>
    <xf numFmtId="14" fontId="0" fillId="0" borderId="1" xfId="1" applyNumberFormat="1" applyFont="1" applyBorder="1"/>
    <xf numFmtId="0" fontId="8" fillId="0" borderId="0" xfId="3" applyFont="1" applyAlignment="1">
      <alignment horizontal="center" vertical="center"/>
    </xf>
    <xf numFmtId="0" fontId="0" fillId="0" borderId="0" xfId="0" applyNumberFormat="1" applyFont="1" applyFill="1" applyBorder="1" applyProtection="1"/>
    <xf numFmtId="14" fontId="0" fillId="0" borderId="0" xfId="0" applyNumberFormat="1" applyFont="1" applyFill="1" applyBorder="1" applyProtection="1"/>
    <xf numFmtId="14" fontId="0" fillId="0" borderId="0" xfId="0" applyNumberFormat="1"/>
    <xf numFmtId="166" fontId="12" fillId="0" borderId="0" xfId="5" applyNumberFormat="1" applyFont="1" applyBorder="1" applyAlignment="1">
      <alignment horizontal="center" vertical="center"/>
    </xf>
    <xf numFmtId="0" fontId="4" fillId="0" borderId="0" xfId="4" applyFont="1" applyAlignment="1">
      <alignment horizontal="center"/>
    </xf>
    <xf numFmtId="0" fontId="4" fillId="0" borderId="0" xfId="3" applyFont="1" applyAlignment="1">
      <alignment horizontal="center"/>
    </xf>
    <xf numFmtId="0" fontId="7" fillId="0" borderId="0" xfId="4" applyFont="1" applyAlignment="1">
      <alignment horizontal="center"/>
    </xf>
    <xf numFmtId="0" fontId="13" fillId="0" borderId="0" xfId="4" applyFont="1" applyAlignment="1">
      <alignment horizontal="center"/>
    </xf>
    <xf numFmtId="0" fontId="13" fillId="0" borderId="0" xfId="3" applyFont="1" applyAlignment="1">
      <alignment horizontal="center"/>
    </xf>
    <xf numFmtId="0" fontId="15" fillId="0" borderId="0" xfId="5" applyFont="1" applyAlignment="1">
      <alignment horizontal="center"/>
    </xf>
    <xf numFmtId="0" fontId="9" fillId="2" borderId="1" xfId="7" applyFont="1" applyFill="1" applyBorder="1" applyAlignment="1">
      <alignment horizontal="center" vertical="center" wrapText="1"/>
    </xf>
    <xf numFmtId="0" fontId="9" fillId="0" borderId="2" xfId="5" applyFont="1" applyFill="1" applyBorder="1" applyAlignment="1">
      <alignment horizontal="center" vertical="center" wrapText="1"/>
    </xf>
    <xf numFmtId="0" fontId="9" fillId="0" borderId="3" xfId="5" applyFont="1" applyFill="1" applyBorder="1" applyAlignment="1">
      <alignment horizontal="center" vertical="center" wrapText="1"/>
    </xf>
    <xf numFmtId="0" fontId="9" fillId="0" borderId="4" xfId="5" applyFont="1" applyFill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0" fontId="9" fillId="0" borderId="2" xfId="7" applyFont="1" applyBorder="1" applyAlignment="1">
      <alignment horizontal="center" vertical="center" wrapText="1"/>
    </xf>
    <xf numFmtId="0" fontId="9" fillId="0" borderId="4" xfId="7" applyFont="1" applyBorder="1" applyAlignment="1">
      <alignment horizontal="center" vertical="center" wrapText="1"/>
    </xf>
    <xf numFmtId="0" fontId="20" fillId="0" borderId="0" xfId="4" applyFont="1" applyAlignment="1">
      <alignment horizontal="center"/>
    </xf>
    <xf numFmtId="0" fontId="20" fillId="0" borderId="0" xfId="3" applyFont="1" applyAlignment="1">
      <alignment horizontal="center"/>
    </xf>
    <xf numFmtId="0" fontId="20" fillId="0" borderId="0" xfId="5" applyFont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center" vertical="top"/>
    </xf>
    <xf numFmtId="0" fontId="10" fillId="0" borderId="1" xfId="5" applyFont="1" applyFill="1" applyBorder="1" applyAlignment="1">
      <alignment horizontal="center" vertical="center" wrapText="1"/>
    </xf>
    <xf numFmtId="0" fontId="9" fillId="2" borderId="2" xfId="7" applyFont="1" applyFill="1" applyBorder="1" applyAlignment="1">
      <alignment horizontal="center" vertical="center" wrapText="1"/>
    </xf>
    <xf numFmtId="0" fontId="9" fillId="2" borderId="3" xfId="7" applyFont="1" applyFill="1" applyBorder="1" applyAlignment="1">
      <alignment horizontal="center" vertical="center" wrapText="1"/>
    </xf>
    <xf numFmtId="0" fontId="9" fillId="2" borderId="4" xfId="7" applyFont="1" applyFill="1" applyBorder="1" applyAlignment="1">
      <alignment horizontal="center" vertical="center" wrapText="1"/>
    </xf>
    <xf numFmtId="0" fontId="9" fillId="0" borderId="3" xfId="7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/>
    </xf>
  </cellXfs>
  <cellStyles count="9">
    <cellStyle name="Comma" xfId="1" builtinId="3"/>
    <cellStyle name="Comma 2 2" xfId="8" xr:uid="{00000000-0005-0000-0000-000001000000}"/>
    <cellStyle name="Normal" xfId="0" builtinId="0"/>
    <cellStyle name="Normal 10" xfId="5" xr:uid="{00000000-0005-0000-0000-000003000000}"/>
    <cellStyle name="Normal 19 6 2" xfId="6" xr:uid="{00000000-0005-0000-0000-000004000000}"/>
    <cellStyle name="Normal 2 3" xfId="2" xr:uid="{00000000-0005-0000-0000-000005000000}"/>
    <cellStyle name="Normal 3" xfId="4" xr:uid="{00000000-0005-0000-0000-000006000000}"/>
    <cellStyle name="Normal 3 2 3" xfId="7" xr:uid="{00000000-0005-0000-0000-000007000000}"/>
    <cellStyle name="Normal_THANH TOAN CAC CHE DO LUONG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tabSelected="1" topLeftCell="F1" workbookViewId="0">
      <selection activeCell="F15" sqref="F15"/>
    </sheetView>
  </sheetViews>
  <sheetFormatPr defaultRowHeight="15" x14ac:dyDescent="0.25"/>
  <cols>
    <col min="1" max="4" width="9.140625" hidden="1" customWidth="1"/>
    <col min="5" max="5" width="9.140625" style="34" hidden="1" customWidth="1"/>
    <col min="6" max="6" width="5.85546875" customWidth="1"/>
    <col min="7" max="7" width="10.85546875" customWidth="1"/>
    <col min="8" max="8" width="12.28515625" customWidth="1"/>
    <col min="9" max="9" width="15.28515625" customWidth="1"/>
    <col min="11" max="11" width="11.140625" customWidth="1"/>
    <col min="13" max="20" width="12.5703125" customWidth="1"/>
    <col min="21" max="21" width="9.140625" customWidth="1"/>
    <col min="22" max="22" width="12.5703125" customWidth="1"/>
    <col min="25" max="25" width="9.5703125" bestFit="1" customWidth="1"/>
  </cols>
  <sheetData>
    <row r="1" spans="1:25" x14ac:dyDescent="0.25">
      <c r="A1">
        <v>4</v>
      </c>
      <c r="F1" s="7" t="s">
        <v>5</v>
      </c>
    </row>
    <row r="2" spans="1:25" x14ac:dyDescent="0.25">
      <c r="A2">
        <v>5</v>
      </c>
      <c r="F2" s="7" t="s">
        <v>4</v>
      </c>
    </row>
    <row r="3" spans="1:25" ht="18.75" x14ac:dyDescent="0.3">
      <c r="F3" s="52" t="str">
        <f>"BẢNG TRUY THU TIỀN PHÉP NĂM CỦA CÔNG NHÂN VIÊN NGHỈ VIỆC THÁNG "&amp;A1&amp;"/"&amp;A2</f>
        <v>BẢNG TRUY THU TIỀN PHÉP NĂM CỦA CÔNG NHÂN VIÊN NGHỈ VIỆC THÁNG 4/5</v>
      </c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</row>
    <row r="4" spans="1:25" ht="18.75" x14ac:dyDescent="0.25">
      <c r="F4" s="53" t="s">
        <v>32</v>
      </c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</row>
    <row r="5" spans="1:25" ht="30.75" customHeight="1" x14ac:dyDescent="0.25"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</row>
    <row r="6" spans="1:25" ht="14.25" customHeight="1" x14ac:dyDescent="0.25"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</row>
    <row r="7" spans="1:25" ht="14.25" hidden="1" customHeight="1" x14ac:dyDescent="0.25">
      <c r="B7" s="32">
        <v>2</v>
      </c>
      <c r="C7" s="32">
        <v>2</v>
      </c>
      <c r="D7" s="32">
        <v>2</v>
      </c>
      <c r="E7" s="32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</row>
    <row r="8" spans="1:25" ht="14.25" hidden="1" customHeight="1" x14ac:dyDescent="0.25">
      <c r="B8" s="32" t="s">
        <v>51</v>
      </c>
      <c r="C8" s="32" t="s">
        <v>52</v>
      </c>
      <c r="D8" s="32" t="s">
        <v>53</v>
      </c>
      <c r="E8" s="33"/>
      <c r="F8" s="31"/>
      <c r="G8" t="s">
        <v>1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</row>
    <row r="9" spans="1:25" hidden="1" x14ac:dyDescent="0.25">
      <c r="B9" s="32" t="s">
        <v>51</v>
      </c>
      <c r="C9" s="32" t="s">
        <v>52</v>
      </c>
      <c r="D9" s="32" t="s">
        <v>53</v>
      </c>
      <c r="E9" s="33" t="s">
        <v>54</v>
      </c>
      <c r="G9" t="s">
        <v>1</v>
      </c>
      <c r="V9" t="s">
        <v>56</v>
      </c>
      <c r="W9" t="s">
        <v>57</v>
      </c>
    </row>
    <row r="10" spans="1:25" hidden="1" x14ac:dyDescent="0.25">
      <c r="B10" s="32" t="s">
        <v>55</v>
      </c>
      <c r="C10" s="32" t="s">
        <v>52</v>
      </c>
      <c r="D10" s="32" t="s">
        <v>53</v>
      </c>
      <c r="E10" s="33" t="s">
        <v>54</v>
      </c>
      <c r="F10" t="s">
        <v>0</v>
      </c>
      <c r="G10" t="s">
        <v>1</v>
      </c>
      <c r="H10" t="s">
        <v>50</v>
      </c>
      <c r="I10" t="s">
        <v>36</v>
      </c>
      <c r="J10" t="s">
        <v>2</v>
      </c>
      <c r="K10" t="s">
        <v>37</v>
      </c>
      <c r="L10" t="s">
        <v>39</v>
      </c>
      <c r="M10" t="s">
        <v>3</v>
      </c>
      <c r="N10" t="s">
        <v>40</v>
      </c>
      <c r="O10" t="s">
        <v>31</v>
      </c>
      <c r="P10" t="s">
        <v>41</v>
      </c>
      <c r="Q10" t="s">
        <v>42</v>
      </c>
      <c r="R10" t="s">
        <v>43</v>
      </c>
      <c r="S10" t="s">
        <v>44</v>
      </c>
      <c r="T10" t="s">
        <v>45</v>
      </c>
      <c r="U10" t="s">
        <v>46</v>
      </c>
      <c r="V10" t="s">
        <v>58</v>
      </c>
    </row>
    <row r="11" spans="1:25" ht="38.25" customHeight="1" x14ac:dyDescent="0.25">
      <c r="F11" s="46" t="s">
        <v>14</v>
      </c>
      <c r="G11" s="46" t="s">
        <v>15</v>
      </c>
      <c r="H11" s="47" t="s">
        <v>16</v>
      </c>
      <c r="I11" s="47" t="s">
        <v>17</v>
      </c>
      <c r="J11" s="46" t="s">
        <v>18</v>
      </c>
      <c r="K11" s="42" t="s">
        <v>38</v>
      </c>
      <c r="L11" s="55" t="s">
        <v>19</v>
      </c>
      <c r="M11" s="46" t="s">
        <v>20</v>
      </c>
      <c r="N11" s="54" t="s">
        <v>21</v>
      </c>
      <c r="O11" s="46" t="s">
        <v>22</v>
      </c>
      <c r="P11" s="46"/>
      <c r="Q11" s="46"/>
      <c r="R11" s="46"/>
      <c r="S11" s="46"/>
      <c r="T11" s="46"/>
      <c r="U11" s="46"/>
      <c r="V11" s="43" t="s">
        <v>23</v>
      </c>
      <c r="W11" s="43" t="s">
        <v>24</v>
      </c>
      <c r="X11" s="46" t="s">
        <v>25</v>
      </c>
    </row>
    <row r="12" spans="1:25" ht="38.25" customHeight="1" x14ac:dyDescent="0.25">
      <c r="F12" s="46"/>
      <c r="G12" s="46"/>
      <c r="H12" s="58"/>
      <c r="I12" s="58"/>
      <c r="J12" s="46"/>
      <c r="K12" s="42"/>
      <c r="L12" s="56"/>
      <c r="M12" s="46"/>
      <c r="N12" s="54"/>
      <c r="O12" s="46" t="s">
        <v>26</v>
      </c>
      <c r="P12" s="47" t="s">
        <v>27</v>
      </c>
      <c r="Q12" s="46" t="s">
        <v>28</v>
      </c>
      <c r="R12" s="46"/>
      <c r="S12" s="46"/>
      <c r="T12" s="46"/>
      <c r="U12" s="46"/>
      <c r="V12" s="44"/>
      <c r="W12" s="44"/>
      <c r="X12" s="46"/>
    </row>
    <row r="13" spans="1:25" ht="18" x14ac:dyDescent="0.25">
      <c r="F13" s="46"/>
      <c r="G13" s="46"/>
      <c r="H13" s="48"/>
      <c r="I13" s="48"/>
      <c r="J13" s="46"/>
      <c r="K13" s="42"/>
      <c r="L13" s="57"/>
      <c r="M13" s="46"/>
      <c r="N13" s="54"/>
      <c r="O13" s="46"/>
      <c r="P13" s="48"/>
      <c r="Q13" s="8" t="s">
        <v>48</v>
      </c>
      <c r="R13" s="26" t="s">
        <v>47</v>
      </c>
      <c r="S13" s="26" t="s">
        <v>49</v>
      </c>
      <c r="T13" s="8" t="s">
        <v>29</v>
      </c>
      <c r="U13" s="8" t="s">
        <v>30</v>
      </c>
      <c r="V13" s="45"/>
      <c r="W13" s="45"/>
      <c r="X13" s="46"/>
    </row>
    <row r="14" spans="1:25" hidden="1" x14ac:dyDescent="0.25">
      <c r="G14">
        <v>1</v>
      </c>
      <c r="H14">
        <v>2</v>
      </c>
      <c r="I14">
        <v>3</v>
      </c>
      <c r="J14">
        <v>4</v>
      </c>
      <c r="K14">
        <v>5</v>
      </c>
      <c r="L14">
        <v>6</v>
      </c>
      <c r="M14">
        <v>7</v>
      </c>
      <c r="N14">
        <v>8</v>
      </c>
      <c r="O14">
        <v>9</v>
      </c>
      <c r="P14">
        <v>10</v>
      </c>
      <c r="Q14">
        <v>11</v>
      </c>
      <c r="T14">
        <v>12</v>
      </c>
      <c r="U14">
        <v>13</v>
      </c>
      <c r="V14">
        <v>15</v>
      </c>
      <c r="W14">
        <v>16</v>
      </c>
    </row>
    <row r="15" spans="1:25" x14ac:dyDescent="0.25">
      <c r="F15" s="1"/>
      <c r="G15" s="1"/>
      <c r="H15" s="1"/>
      <c r="I15" s="1"/>
      <c r="J15" s="1"/>
      <c r="K15" s="2"/>
      <c r="L15" s="3"/>
      <c r="M15" s="30"/>
      <c r="N15" s="6"/>
      <c r="O15" s="3"/>
      <c r="P15" s="3"/>
      <c r="Q15" s="3"/>
      <c r="R15" s="3"/>
      <c r="S15" s="3"/>
      <c r="T15" s="3"/>
      <c r="U15" s="3"/>
      <c r="V15" s="3"/>
      <c r="W15" s="3">
        <f>ROUND(IF(X15="ATM",V15,CEILING(V15,-0.5)),3)</f>
        <v>0</v>
      </c>
      <c r="X15" s="1" t="str">
        <f>IF(K15&gt;=1,"ATM"," ")</f>
        <v xml:space="preserve"> </v>
      </c>
      <c r="Y15" s="29"/>
    </row>
    <row r="20" spans="6:24" ht="15.75" customHeight="1" x14ac:dyDescent="0.25"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35">
        <f ca="1">TODAY()</f>
        <v>43983</v>
      </c>
      <c r="U20" s="35"/>
      <c r="V20" s="35"/>
      <c r="W20" s="35"/>
      <c r="X20" s="35"/>
    </row>
    <row r="21" spans="6:24" ht="15.75" customHeight="1" x14ac:dyDescent="0.25">
      <c r="F21" s="9"/>
      <c r="G21" s="36" t="s">
        <v>6</v>
      </c>
      <c r="H21" s="36"/>
      <c r="I21" s="36"/>
      <c r="J21" s="36"/>
      <c r="K21" s="10"/>
      <c r="L21" s="37" t="s">
        <v>33</v>
      </c>
      <c r="M21" s="37"/>
      <c r="N21" s="37"/>
      <c r="O21" s="37"/>
      <c r="P21" s="37"/>
      <c r="Q21" s="37"/>
      <c r="R21" s="27"/>
      <c r="S21" s="27"/>
      <c r="T21" s="4"/>
      <c r="U21" s="4"/>
      <c r="V21" s="38" t="s">
        <v>7</v>
      </c>
      <c r="W21" s="38"/>
      <c r="X21" s="38"/>
    </row>
    <row r="22" spans="6:24" ht="15.75" customHeight="1" x14ac:dyDescent="0.25">
      <c r="F22" s="9"/>
      <c r="G22" s="39" t="s">
        <v>8</v>
      </c>
      <c r="H22" s="39"/>
      <c r="I22" s="39"/>
      <c r="J22" s="39"/>
      <c r="K22" s="11"/>
      <c r="L22" s="40" t="s">
        <v>9</v>
      </c>
      <c r="M22" s="40"/>
      <c r="N22" s="40"/>
      <c r="O22" s="40"/>
      <c r="P22" s="40"/>
      <c r="Q22" s="40"/>
      <c r="R22" s="28"/>
      <c r="S22" s="28"/>
      <c r="T22" s="41" t="s">
        <v>10</v>
      </c>
      <c r="U22" s="41"/>
      <c r="V22" s="41" t="s">
        <v>11</v>
      </c>
      <c r="W22" s="41"/>
      <c r="X22" s="41"/>
    </row>
    <row r="23" spans="6:24" ht="15.75" customHeight="1" x14ac:dyDescent="0.25">
      <c r="F23" s="12"/>
      <c r="G23" s="13"/>
      <c r="H23" s="13"/>
      <c r="I23" s="13"/>
      <c r="J23" s="13"/>
      <c r="K23" s="14"/>
      <c r="L23" s="14"/>
      <c r="M23" s="15"/>
      <c r="N23" s="15"/>
      <c r="O23" s="15"/>
      <c r="P23" s="15"/>
      <c r="Q23" s="15"/>
      <c r="R23" s="15"/>
      <c r="S23" s="15"/>
      <c r="T23" s="15"/>
      <c r="U23" s="15"/>
      <c r="V23" s="16"/>
      <c r="W23" s="5"/>
      <c r="X23" s="5"/>
    </row>
    <row r="24" spans="6:24" ht="15.75" customHeight="1" x14ac:dyDescent="0.25">
      <c r="F24" s="17"/>
      <c r="G24" s="18"/>
      <c r="H24" s="18"/>
      <c r="I24" s="18"/>
      <c r="J24" s="19"/>
      <c r="K24" s="20"/>
      <c r="L24" s="20"/>
      <c r="M24" s="15"/>
      <c r="N24" s="15"/>
      <c r="O24" s="15"/>
      <c r="P24" s="15"/>
      <c r="Q24" s="15"/>
      <c r="R24" s="15"/>
      <c r="S24" s="15"/>
      <c r="T24" s="15"/>
      <c r="U24" s="15"/>
      <c r="V24" s="16"/>
      <c r="W24" s="21"/>
      <c r="X24" s="21"/>
    </row>
    <row r="25" spans="6:24" ht="15.75" customHeight="1" x14ac:dyDescent="0.25">
      <c r="F25" s="12"/>
      <c r="G25" s="13"/>
      <c r="H25" s="13"/>
      <c r="I25" s="13"/>
      <c r="J25" s="14"/>
      <c r="K25" s="13"/>
      <c r="L25" s="13"/>
      <c r="M25" s="15"/>
      <c r="N25" s="15"/>
      <c r="O25" s="15"/>
      <c r="P25" s="15"/>
      <c r="Q25" s="15"/>
      <c r="R25" s="15"/>
      <c r="S25" s="15"/>
      <c r="T25" s="15"/>
      <c r="U25" s="15"/>
      <c r="V25" s="16"/>
      <c r="W25" s="5"/>
      <c r="X25" s="5"/>
    </row>
    <row r="26" spans="6:24" ht="15.75" customHeight="1" x14ac:dyDescent="0.25">
      <c r="F26" s="12"/>
      <c r="G26" s="13"/>
      <c r="H26" s="13"/>
      <c r="I26" s="13"/>
      <c r="J26" s="14"/>
      <c r="K26" s="13"/>
      <c r="L26" s="13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3"/>
      <c r="X26" s="23"/>
    </row>
    <row r="27" spans="6:24" x14ac:dyDescent="0.25">
      <c r="F27" s="12"/>
      <c r="G27" s="49" t="s">
        <v>34</v>
      </c>
      <c r="H27" s="49"/>
      <c r="I27" s="49"/>
      <c r="J27" s="49"/>
      <c r="K27" s="24"/>
      <c r="L27" s="50" t="s">
        <v>35</v>
      </c>
      <c r="M27" s="50"/>
      <c r="N27" s="50"/>
      <c r="O27" s="50"/>
      <c r="P27" s="50"/>
      <c r="Q27" s="50"/>
      <c r="R27" s="25"/>
      <c r="S27" s="25"/>
      <c r="T27" s="51" t="s">
        <v>12</v>
      </c>
      <c r="U27" s="51"/>
      <c r="V27" s="51" t="s">
        <v>13</v>
      </c>
      <c r="W27" s="51"/>
      <c r="X27" s="51"/>
    </row>
  </sheetData>
  <mergeCells count="31">
    <mergeCell ref="G27:J27"/>
    <mergeCell ref="L27:Q27"/>
    <mergeCell ref="T27:U27"/>
    <mergeCell ref="V27:X27"/>
    <mergeCell ref="F3:W3"/>
    <mergeCell ref="F4:W4"/>
    <mergeCell ref="F11:F13"/>
    <mergeCell ref="M11:M13"/>
    <mergeCell ref="N11:N13"/>
    <mergeCell ref="W11:W13"/>
    <mergeCell ref="L11:L13"/>
    <mergeCell ref="G11:G13"/>
    <mergeCell ref="H11:H13"/>
    <mergeCell ref="I11:I13"/>
    <mergeCell ref="J11:J13"/>
    <mergeCell ref="F5:W5"/>
    <mergeCell ref="K11:K13"/>
    <mergeCell ref="V11:V13"/>
    <mergeCell ref="O11:U11"/>
    <mergeCell ref="X11:X13"/>
    <mergeCell ref="O12:O13"/>
    <mergeCell ref="P12:P13"/>
    <mergeCell ref="Q12:U12"/>
    <mergeCell ref="T20:X20"/>
    <mergeCell ref="G21:J21"/>
    <mergeCell ref="L21:Q21"/>
    <mergeCell ref="V21:X21"/>
    <mergeCell ref="G22:J22"/>
    <mergeCell ref="L22:Q22"/>
    <mergeCell ref="T22:U22"/>
    <mergeCell ref="V22:X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2020-02-13T18:24:24Z</dcterms:created>
  <dcterms:modified xsi:type="dcterms:W3CDTF">2020-05-31T17:25:41Z</dcterms:modified>
</cp:coreProperties>
</file>