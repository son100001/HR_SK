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BBBCFEEB-5EB5-45A8-A78B-988D64AC8345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Summary" sheetId="4" r:id="rId2"/>
    <sheet name="Ratio turn over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" i="5" l="1"/>
  <c r="AF13" i="5" s="1"/>
  <c r="P11" i="5"/>
  <c r="AF12" i="5" s="1"/>
  <c r="P10" i="5"/>
  <c r="P9" i="5"/>
  <c r="P8" i="5"/>
  <c r="O12" i="5"/>
  <c r="AE13" i="5" s="1"/>
  <c r="O11" i="5"/>
  <c r="AE12" i="5" s="1"/>
  <c r="O10" i="5"/>
  <c r="AE11" i="5" s="1"/>
  <c r="O9" i="5"/>
  <c r="AE10" i="5" s="1"/>
  <c r="O8" i="5"/>
  <c r="AE9" i="5" s="1"/>
  <c r="N12" i="5"/>
  <c r="AD13" i="5" s="1"/>
  <c r="N11" i="5"/>
  <c r="N10" i="5"/>
  <c r="AD11" i="5" s="1"/>
  <c r="N9" i="5"/>
  <c r="N8" i="5"/>
  <c r="AD9" i="5" s="1"/>
  <c r="AD10" i="5"/>
  <c r="M12" i="5"/>
  <c r="AC13" i="5" s="1"/>
  <c r="M11" i="5"/>
  <c r="AC12" i="5" s="1"/>
  <c r="M10" i="5"/>
  <c r="AC11" i="5" s="1"/>
  <c r="M9" i="5"/>
  <c r="AC10" i="5" s="1"/>
  <c r="M8" i="5"/>
  <c r="L12" i="5"/>
  <c r="AB13" i="5" s="1"/>
  <c r="L11" i="5"/>
  <c r="AB12" i="5" s="1"/>
  <c r="L10" i="5"/>
  <c r="AB11" i="5" s="1"/>
  <c r="L9" i="5"/>
  <c r="L8" i="5"/>
  <c r="K12" i="5"/>
  <c r="AA13" i="5" s="1"/>
  <c r="K11" i="5"/>
  <c r="AA12" i="5" s="1"/>
  <c r="K10" i="5"/>
  <c r="AA11" i="5" s="1"/>
  <c r="K9" i="5"/>
  <c r="AA10" i="5" s="1"/>
  <c r="K8" i="5"/>
  <c r="J12" i="5"/>
  <c r="J11" i="5"/>
  <c r="Z12" i="5" s="1"/>
  <c r="J10" i="5"/>
  <c r="Z11" i="5" s="1"/>
  <c r="J9" i="5"/>
  <c r="Z10" i="5" s="1"/>
  <c r="J8" i="5"/>
  <c r="I12" i="5"/>
  <c r="Y13" i="5" s="1"/>
  <c r="I11" i="5"/>
  <c r="I10" i="5"/>
  <c r="Y11" i="5" s="1"/>
  <c r="I9" i="5"/>
  <c r="Y10" i="5" s="1"/>
  <c r="I8" i="5"/>
  <c r="H12" i="5"/>
  <c r="X13" i="5" s="1"/>
  <c r="H11" i="5"/>
  <c r="X12" i="5" s="1"/>
  <c r="H10" i="5"/>
  <c r="H9" i="5"/>
  <c r="X10" i="5" s="1"/>
  <c r="H8" i="5"/>
  <c r="G12" i="5"/>
  <c r="G11" i="5"/>
  <c r="W12" i="5" s="1"/>
  <c r="G10" i="5"/>
  <c r="W11" i="5" s="1"/>
  <c r="G9" i="5"/>
  <c r="G8" i="5"/>
  <c r="W9" i="5" s="1"/>
  <c r="F12" i="5"/>
  <c r="V13" i="5" s="1"/>
  <c r="F11" i="5"/>
  <c r="F10" i="5"/>
  <c r="V11" i="5" s="1"/>
  <c r="F9" i="5"/>
  <c r="F8" i="5"/>
  <c r="E12" i="5"/>
  <c r="U13" i="5" s="1"/>
  <c r="E11" i="5"/>
  <c r="E10" i="5"/>
  <c r="E9" i="5"/>
  <c r="E8" i="5"/>
  <c r="V10" i="5"/>
  <c r="AB10" i="5"/>
  <c r="AF10" i="5"/>
  <c r="AF11" i="5"/>
  <c r="D12" i="5"/>
  <c r="D11" i="5"/>
  <c r="T12" i="5" s="1"/>
  <c r="D10" i="5"/>
  <c r="D9" i="5"/>
  <c r="D8" i="5"/>
  <c r="P5" i="5"/>
  <c r="O5" i="5"/>
  <c r="P4" i="5" s="1"/>
  <c r="P6" i="5" s="1"/>
  <c r="N5" i="5"/>
  <c r="O4" i="5" s="1"/>
  <c r="O6" i="5" s="1"/>
  <c r="M5" i="5"/>
  <c r="L5" i="5"/>
  <c r="K5" i="5"/>
  <c r="L4" i="5" s="1"/>
  <c r="L6" i="5" s="1"/>
  <c r="J5" i="5"/>
  <c r="K4" i="5" s="1"/>
  <c r="K6" i="5" s="1"/>
  <c r="I5" i="5"/>
  <c r="H5" i="5"/>
  <c r="G5" i="5"/>
  <c r="F5" i="5"/>
  <c r="G4" i="5" s="1"/>
  <c r="G6" i="5" s="1"/>
  <c r="E5" i="5"/>
  <c r="F4" i="5" s="1"/>
  <c r="D5" i="5"/>
  <c r="E4" i="5"/>
  <c r="E6" i="5" s="1"/>
  <c r="D4" i="5"/>
  <c r="H4" i="5"/>
  <c r="H6" i="5" s="1"/>
  <c r="I4" i="5"/>
  <c r="I6" i="5" s="1"/>
  <c r="J4" i="5"/>
  <c r="M4" i="5"/>
  <c r="M6" i="5" s="1"/>
  <c r="N4" i="5"/>
  <c r="N6" i="5" s="1"/>
  <c r="T9" i="5"/>
  <c r="U9" i="5"/>
  <c r="Y9" i="5"/>
  <c r="Z9" i="5"/>
  <c r="AA9" i="5"/>
  <c r="U10" i="5"/>
  <c r="T11" i="5"/>
  <c r="U11" i="5"/>
  <c r="V12" i="5"/>
  <c r="Y12" i="5"/>
  <c r="AD12" i="5"/>
  <c r="W13" i="5"/>
  <c r="Z13" i="5"/>
  <c r="AL5" i="4"/>
  <c r="AM5" i="4" s="1"/>
  <c r="AL6" i="4"/>
  <c r="AM6" i="4"/>
  <c r="AL7" i="4"/>
  <c r="AM7" i="4" s="1"/>
  <c r="AL8" i="4"/>
  <c r="AM8" i="4" s="1"/>
  <c r="AL9" i="4"/>
  <c r="AM9" i="4" s="1"/>
  <c r="AL10" i="4"/>
  <c r="AM10" i="4"/>
  <c r="AL11" i="4"/>
  <c r="AM11" i="4" s="1"/>
  <c r="AL12" i="4"/>
  <c r="AM12" i="4" s="1"/>
  <c r="AL13" i="4"/>
  <c r="AM13" i="4" s="1"/>
  <c r="AL14" i="4"/>
  <c r="AM14" i="4" s="1"/>
  <c r="AL15" i="4"/>
  <c r="AM15" i="4" s="1"/>
  <c r="AL16" i="4"/>
  <c r="AM16" i="4" s="1"/>
  <c r="AL17" i="4"/>
  <c r="AM17" i="4" s="1"/>
  <c r="AL18" i="4"/>
  <c r="AM18" i="4"/>
  <c r="AL19" i="4"/>
  <c r="AM19" i="4" s="1"/>
  <c r="AI5" i="4"/>
  <c r="AJ5" i="4" s="1"/>
  <c r="AI6" i="4"/>
  <c r="AJ6" i="4"/>
  <c r="AI7" i="4"/>
  <c r="AJ7" i="4" s="1"/>
  <c r="AI8" i="4"/>
  <c r="AJ8" i="4" s="1"/>
  <c r="AI9" i="4"/>
  <c r="AJ9" i="4" s="1"/>
  <c r="AI10" i="4"/>
  <c r="AJ10" i="4"/>
  <c r="AI11" i="4"/>
  <c r="AJ11" i="4" s="1"/>
  <c r="AI12" i="4"/>
  <c r="AJ12" i="4"/>
  <c r="AI13" i="4"/>
  <c r="AJ13" i="4" s="1"/>
  <c r="AI14" i="4"/>
  <c r="AJ14" i="4"/>
  <c r="AI15" i="4"/>
  <c r="AJ15" i="4" s="1"/>
  <c r="AI16" i="4"/>
  <c r="AJ16" i="4" s="1"/>
  <c r="AI17" i="4"/>
  <c r="AJ17" i="4" s="1"/>
  <c r="AI18" i="4"/>
  <c r="AJ18" i="4"/>
  <c r="AI19" i="4"/>
  <c r="AJ19" i="4" s="1"/>
  <c r="AF5" i="4"/>
  <c r="AG5" i="4" s="1"/>
  <c r="AF6" i="4"/>
  <c r="AG6" i="4"/>
  <c r="AF7" i="4"/>
  <c r="AG7" i="4" s="1"/>
  <c r="AF8" i="4"/>
  <c r="AG8" i="4"/>
  <c r="AF9" i="4"/>
  <c r="AG9" i="4" s="1"/>
  <c r="AF10" i="4"/>
  <c r="AG10" i="4" s="1"/>
  <c r="AF11" i="4"/>
  <c r="AG11" i="4" s="1"/>
  <c r="AF12" i="4"/>
  <c r="AG12" i="4" s="1"/>
  <c r="AF13" i="4"/>
  <c r="AG13" i="4" s="1"/>
  <c r="AF14" i="4"/>
  <c r="AG14" i="4"/>
  <c r="AF15" i="4"/>
  <c r="AG15" i="4" s="1"/>
  <c r="AF16" i="4"/>
  <c r="AG16" i="4" s="1"/>
  <c r="AF17" i="4"/>
  <c r="AG17" i="4" s="1"/>
  <c r="AF18" i="4"/>
  <c r="AG18" i="4" s="1"/>
  <c r="AF19" i="4"/>
  <c r="AG19" i="4" s="1"/>
  <c r="AC5" i="4"/>
  <c r="AD5" i="4" s="1"/>
  <c r="AC6" i="4"/>
  <c r="AD6" i="4" s="1"/>
  <c r="AC7" i="4"/>
  <c r="AD7" i="4" s="1"/>
  <c r="AC8" i="4"/>
  <c r="AD8" i="4"/>
  <c r="AC9" i="4"/>
  <c r="AD9" i="4" s="1"/>
  <c r="AC10" i="4"/>
  <c r="AD10" i="4"/>
  <c r="AC11" i="4"/>
  <c r="AD11" i="4" s="1"/>
  <c r="AC12" i="4"/>
  <c r="AD12" i="4" s="1"/>
  <c r="AC13" i="4"/>
  <c r="AD13" i="4" s="1"/>
  <c r="AC14" i="4"/>
  <c r="AD14" i="4" s="1"/>
  <c r="AC15" i="4"/>
  <c r="AD15" i="4" s="1"/>
  <c r="AC16" i="4"/>
  <c r="AD16" i="4"/>
  <c r="AC17" i="4"/>
  <c r="AD17" i="4" s="1"/>
  <c r="AC18" i="4"/>
  <c r="AD18" i="4" s="1"/>
  <c r="AC19" i="4"/>
  <c r="AD19" i="4" s="1"/>
  <c r="Z5" i="4"/>
  <c r="AA5" i="4" s="1"/>
  <c r="Z6" i="4"/>
  <c r="AA6" i="4" s="1"/>
  <c r="Z7" i="4"/>
  <c r="AA7" i="4" s="1"/>
  <c r="Z8" i="4"/>
  <c r="AA8" i="4" s="1"/>
  <c r="Z9" i="4"/>
  <c r="AA9" i="4" s="1"/>
  <c r="Z10" i="4"/>
  <c r="AA10" i="4" s="1"/>
  <c r="Z11" i="4"/>
  <c r="AA11" i="4" s="1"/>
  <c r="Z12" i="4"/>
  <c r="AA12" i="4"/>
  <c r="Z13" i="4"/>
  <c r="AA13" i="4" s="1"/>
  <c r="Z14" i="4"/>
  <c r="AA14" i="4"/>
  <c r="Z15" i="4"/>
  <c r="AA15" i="4" s="1"/>
  <c r="Z16" i="4"/>
  <c r="AA16" i="4" s="1"/>
  <c r="Z17" i="4"/>
  <c r="AA17" i="4" s="1"/>
  <c r="Z18" i="4"/>
  <c r="AA18" i="4" s="1"/>
  <c r="Z19" i="4"/>
  <c r="AA19" i="4" s="1"/>
  <c r="W5" i="4"/>
  <c r="X5" i="4" s="1"/>
  <c r="W6" i="4"/>
  <c r="X6" i="4" s="1"/>
  <c r="W7" i="4"/>
  <c r="X7" i="4" s="1"/>
  <c r="W8" i="4"/>
  <c r="X8" i="4" s="1"/>
  <c r="W9" i="4"/>
  <c r="X9" i="4" s="1"/>
  <c r="W10" i="4"/>
  <c r="X10" i="4"/>
  <c r="W11" i="4"/>
  <c r="X11" i="4" s="1"/>
  <c r="W12" i="4"/>
  <c r="X12" i="4" s="1"/>
  <c r="W13" i="4"/>
  <c r="X13" i="4" s="1"/>
  <c r="W14" i="4"/>
  <c r="X14" i="4" s="1"/>
  <c r="W15" i="4"/>
  <c r="X15" i="4" s="1"/>
  <c r="W16" i="4"/>
  <c r="X16" i="4"/>
  <c r="W17" i="4"/>
  <c r="X17" i="4" s="1"/>
  <c r="W18" i="4"/>
  <c r="X18" i="4"/>
  <c r="W19" i="4"/>
  <c r="X19" i="4" s="1"/>
  <c r="T5" i="4"/>
  <c r="U5" i="4" s="1"/>
  <c r="T6" i="4"/>
  <c r="U6" i="4"/>
  <c r="T7" i="4"/>
  <c r="U7" i="4" s="1"/>
  <c r="T8" i="4"/>
  <c r="U8" i="4" s="1"/>
  <c r="T9" i="4"/>
  <c r="U9" i="4" s="1"/>
  <c r="T10" i="4"/>
  <c r="U10" i="4" s="1"/>
  <c r="T11" i="4"/>
  <c r="U11" i="4" s="1"/>
  <c r="T12" i="4"/>
  <c r="U12" i="4" s="1"/>
  <c r="T13" i="4"/>
  <c r="U13" i="4" s="1"/>
  <c r="T14" i="4"/>
  <c r="U14" i="4" s="1"/>
  <c r="T15" i="4"/>
  <c r="U15" i="4" s="1"/>
  <c r="T16" i="4"/>
  <c r="U16" i="4" s="1"/>
  <c r="T17" i="4"/>
  <c r="U17" i="4" s="1"/>
  <c r="T18" i="4"/>
  <c r="U18" i="4"/>
  <c r="T19" i="4"/>
  <c r="U19" i="4" s="1"/>
  <c r="Q5" i="4"/>
  <c r="R5" i="4" s="1"/>
  <c r="Q6" i="4"/>
  <c r="R6" i="4"/>
  <c r="Q7" i="4"/>
  <c r="R7" i="4" s="1"/>
  <c r="Q8" i="4"/>
  <c r="R8" i="4"/>
  <c r="Q9" i="4"/>
  <c r="R9" i="4" s="1"/>
  <c r="Q10" i="4"/>
  <c r="R10" i="4" s="1"/>
  <c r="Q11" i="4"/>
  <c r="R11" i="4" s="1"/>
  <c r="Q12" i="4"/>
  <c r="R12" i="4" s="1"/>
  <c r="Q13" i="4"/>
  <c r="R13" i="4" s="1"/>
  <c r="Q14" i="4"/>
  <c r="R14" i="4"/>
  <c r="Q15" i="4"/>
  <c r="R15" i="4" s="1"/>
  <c r="Q16" i="4"/>
  <c r="R16" i="4" s="1"/>
  <c r="Q17" i="4"/>
  <c r="R17" i="4" s="1"/>
  <c r="Q18" i="4"/>
  <c r="R18" i="4" s="1"/>
  <c r="Q19" i="4"/>
  <c r="R19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/>
  <c r="N11" i="4"/>
  <c r="O11" i="4" s="1"/>
  <c r="N12" i="4"/>
  <c r="O12" i="4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K5" i="4"/>
  <c r="L5" i="4" s="1"/>
  <c r="K6" i="4"/>
  <c r="L6" i="4" s="1"/>
  <c r="K7" i="4"/>
  <c r="L7" i="4" s="1"/>
  <c r="K8" i="4"/>
  <c r="L8" i="4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/>
  <c r="K15" i="4"/>
  <c r="L15" i="4" s="1"/>
  <c r="K16" i="4"/>
  <c r="L16" i="4"/>
  <c r="K17" i="4"/>
  <c r="L17" i="4" s="1"/>
  <c r="K18" i="4"/>
  <c r="L18" i="4" s="1"/>
  <c r="K19" i="4"/>
  <c r="L19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/>
  <c r="H11" i="4"/>
  <c r="I11" i="4" s="1"/>
  <c r="H12" i="4"/>
  <c r="I12" i="4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/>
  <c r="H19" i="4"/>
  <c r="I19" i="4" s="1"/>
  <c r="AJ4" i="4"/>
  <c r="L4" i="4"/>
  <c r="AL4" i="4"/>
  <c r="AM4" i="4" s="1"/>
  <c r="AI4" i="4"/>
  <c r="AF4" i="4"/>
  <c r="AG4" i="4" s="1"/>
  <c r="AC4" i="4"/>
  <c r="AD4" i="4" s="1"/>
  <c r="Z4" i="4"/>
  <c r="AA4" i="4" s="1"/>
  <c r="W4" i="4"/>
  <c r="X4" i="4" s="1"/>
  <c r="T4" i="4"/>
  <c r="U4" i="4" s="1"/>
  <c r="Q4" i="4"/>
  <c r="R4" i="4" s="1"/>
  <c r="N4" i="4"/>
  <c r="O4" i="4" s="1"/>
  <c r="K4" i="4"/>
  <c r="H4" i="4"/>
  <c r="I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4" i="4"/>
  <c r="F4" i="4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4" i="4"/>
  <c r="D20" i="4" s="1"/>
  <c r="AL2" i="4"/>
  <c r="AI2" i="4"/>
  <c r="AF2" i="4"/>
  <c r="AC2" i="4"/>
  <c r="Z2" i="4"/>
  <c r="W2" i="4"/>
  <c r="T2" i="4"/>
  <c r="Q2" i="4"/>
  <c r="N2" i="4"/>
  <c r="K2" i="4"/>
  <c r="H2" i="4"/>
  <c r="E2" i="4"/>
  <c r="A1" i="4"/>
  <c r="D2" i="4"/>
  <c r="M7" i="5" l="1"/>
  <c r="M13" i="5" s="1"/>
  <c r="O7" i="5"/>
  <c r="O13" i="5" s="1"/>
  <c r="Q10" i="5"/>
  <c r="J7" i="5"/>
  <c r="J13" i="5" s="1"/>
  <c r="N7" i="5"/>
  <c r="N13" i="5" s="1"/>
  <c r="AC9" i="5"/>
  <c r="AC14" i="5" s="1"/>
  <c r="K7" i="5"/>
  <c r="K13" i="5" s="1"/>
  <c r="AE14" i="5"/>
  <c r="I7" i="5"/>
  <c r="P7" i="5"/>
  <c r="P13" i="5" s="1"/>
  <c r="L7" i="5"/>
  <c r="L13" i="5" s="1"/>
  <c r="H7" i="5"/>
  <c r="H13" i="5" s="1"/>
  <c r="G7" i="5"/>
  <c r="G13" i="5" s="1"/>
  <c r="Q9" i="5"/>
  <c r="Q11" i="5"/>
  <c r="F7" i="5"/>
  <c r="V9" i="5"/>
  <c r="U12" i="5"/>
  <c r="E7" i="5"/>
  <c r="AA14" i="5"/>
  <c r="X11" i="5"/>
  <c r="X14" i="5" s="1"/>
  <c r="AD14" i="5"/>
  <c r="Z14" i="5"/>
  <c r="V14" i="5"/>
  <c r="AG11" i="5"/>
  <c r="W10" i="5"/>
  <c r="W14" i="5" s="1"/>
  <c r="Q12" i="5"/>
  <c r="AF9" i="5"/>
  <c r="AF14" i="5" s="1"/>
  <c r="AB9" i="5"/>
  <c r="AB14" i="5" s="1"/>
  <c r="X9" i="5"/>
  <c r="Y14" i="5"/>
  <c r="U14" i="5"/>
  <c r="Q8" i="5"/>
  <c r="D7" i="5"/>
  <c r="T10" i="5"/>
  <c r="AG10" i="5" s="1"/>
  <c r="E13" i="5"/>
  <c r="J6" i="5"/>
  <c r="Q5" i="5"/>
  <c r="AJ20" i="4"/>
  <c r="AG12" i="5"/>
  <c r="Q4" i="5"/>
  <c r="F6" i="5"/>
  <c r="F13" i="5" s="1"/>
  <c r="I13" i="5"/>
  <c r="D6" i="5"/>
  <c r="Q6" i="5" s="1"/>
  <c r="T13" i="5"/>
  <c r="AG20" i="4"/>
  <c r="AD20" i="4"/>
  <c r="AA20" i="4"/>
  <c r="X20" i="4"/>
  <c r="AP6" i="4"/>
  <c r="U20" i="4"/>
  <c r="R20" i="4"/>
  <c r="O20" i="4"/>
  <c r="AP14" i="4"/>
  <c r="AP17" i="4"/>
  <c r="AP9" i="4"/>
  <c r="AP18" i="4"/>
  <c r="AP13" i="4"/>
  <c r="AP10" i="4"/>
  <c r="AP5" i="4"/>
  <c r="AP16" i="4"/>
  <c r="AP12" i="4"/>
  <c r="AP8" i="4"/>
  <c r="L20" i="4"/>
  <c r="AP19" i="4"/>
  <c r="AP15" i="4"/>
  <c r="AP11" i="4"/>
  <c r="AP7" i="4"/>
  <c r="I20" i="4"/>
  <c r="F20" i="4"/>
  <c r="AL20" i="4"/>
  <c r="AO7" i="4"/>
  <c r="AQ7" i="4" s="1"/>
  <c r="AF20" i="4"/>
  <c r="AC20" i="4"/>
  <c r="Z20" i="4"/>
  <c r="Q20" i="4"/>
  <c r="N20" i="4"/>
  <c r="W20" i="4"/>
  <c r="AI20" i="4"/>
  <c r="G12" i="4"/>
  <c r="J12" i="4" s="1"/>
  <c r="M12" i="4" s="1"/>
  <c r="P12" i="4" s="1"/>
  <c r="S12" i="4" s="1"/>
  <c r="G4" i="4"/>
  <c r="J4" i="4" s="1"/>
  <c r="M4" i="4" s="1"/>
  <c r="P4" i="4" s="1"/>
  <c r="S4" i="4" s="1"/>
  <c r="V4" i="4" s="1"/>
  <c r="Y4" i="4" s="1"/>
  <c r="AB4" i="4" s="1"/>
  <c r="AE4" i="4" s="1"/>
  <c r="AH4" i="4" s="1"/>
  <c r="AK4" i="4" s="1"/>
  <c r="G5" i="4"/>
  <c r="J5" i="4" s="1"/>
  <c r="G9" i="4"/>
  <c r="J9" i="4" s="1"/>
  <c r="G13" i="4"/>
  <c r="J13" i="4" s="1"/>
  <c r="G17" i="4"/>
  <c r="J17" i="4" s="1"/>
  <c r="G10" i="4"/>
  <c r="J10" i="4" s="1"/>
  <c r="M10" i="4" s="1"/>
  <c r="G14" i="4"/>
  <c r="J14" i="4" s="1"/>
  <c r="M14" i="4" s="1"/>
  <c r="P14" i="4" s="1"/>
  <c r="S14" i="4" s="1"/>
  <c r="V14" i="4" s="1"/>
  <c r="G18" i="4"/>
  <c r="J18" i="4" s="1"/>
  <c r="G11" i="4"/>
  <c r="J11" i="4" s="1"/>
  <c r="M11" i="4" s="1"/>
  <c r="P11" i="4" s="1"/>
  <c r="G15" i="4"/>
  <c r="J15" i="4" s="1"/>
  <c r="M15" i="4" s="1"/>
  <c r="P15" i="4" s="1"/>
  <c r="S15" i="4" s="1"/>
  <c r="V15" i="4" s="1"/>
  <c r="Y15" i="4" s="1"/>
  <c r="AB15" i="4" s="1"/>
  <c r="G16" i="4"/>
  <c r="J16" i="4" s="1"/>
  <c r="M16" i="4" s="1"/>
  <c r="P16" i="4" s="1"/>
  <c r="S16" i="4" s="1"/>
  <c r="V16" i="4" s="1"/>
  <c r="Y16" i="4" s="1"/>
  <c r="G7" i="4"/>
  <c r="J7" i="4" s="1"/>
  <c r="M7" i="4" s="1"/>
  <c r="P7" i="4" s="1"/>
  <c r="S7" i="4" s="1"/>
  <c r="V7" i="4" s="1"/>
  <c r="Y7" i="4" s="1"/>
  <c r="AB7" i="4" s="1"/>
  <c r="AE7" i="4" s="1"/>
  <c r="AH7" i="4" s="1"/>
  <c r="AK7" i="4" s="1"/>
  <c r="AN7" i="4" s="1"/>
  <c r="AO19" i="4"/>
  <c r="AQ19" i="4" s="1"/>
  <c r="G19" i="4"/>
  <c r="J19" i="4" s="1"/>
  <c r="M19" i="4" s="1"/>
  <c r="P19" i="4" s="1"/>
  <c r="S19" i="4" s="1"/>
  <c r="V19" i="4" s="1"/>
  <c r="Y19" i="4" s="1"/>
  <c r="AB19" i="4" s="1"/>
  <c r="AE19" i="4" s="1"/>
  <c r="AH19" i="4" s="1"/>
  <c r="AK19" i="4" s="1"/>
  <c r="AN19" i="4" s="1"/>
  <c r="G6" i="4"/>
  <c r="J6" i="4" s="1"/>
  <c r="M6" i="4" s="1"/>
  <c r="P6" i="4" s="1"/>
  <c r="S6" i="4" s="1"/>
  <c r="V6" i="4" s="1"/>
  <c r="G8" i="4"/>
  <c r="J8" i="4" s="1"/>
  <c r="M8" i="4" s="1"/>
  <c r="P8" i="4" s="1"/>
  <c r="S8" i="4" s="1"/>
  <c r="AG9" i="5" l="1"/>
  <c r="Q7" i="5"/>
  <c r="D13" i="5"/>
  <c r="Q13" i="5" s="1"/>
  <c r="AG13" i="5"/>
  <c r="T14" i="5"/>
  <c r="AG14" i="5" s="1"/>
  <c r="AO10" i="4"/>
  <c r="AQ10" i="4" s="1"/>
  <c r="AO6" i="4"/>
  <c r="AQ6" i="4" s="1"/>
  <c r="AO5" i="4"/>
  <c r="AQ5" i="4" s="1"/>
  <c r="AO8" i="4"/>
  <c r="AQ8" i="4" s="1"/>
  <c r="AE15" i="4"/>
  <c r="AH15" i="4" s="1"/>
  <c r="AK15" i="4" s="1"/>
  <c r="AN15" i="4" s="1"/>
  <c r="AO12" i="4"/>
  <c r="AQ12" i="4" s="1"/>
  <c r="AB16" i="4"/>
  <c r="AE16" i="4" s="1"/>
  <c r="AH16" i="4" s="1"/>
  <c r="AK16" i="4" s="1"/>
  <c r="AN16" i="4" s="1"/>
  <c r="Y14" i="4"/>
  <c r="AB14" i="4" s="1"/>
  <c r="AE14" i="4" s="1"/>
  <c r="AH14" i="4" s="1"/>
  <c r="AK14" i="4" s="1"/>
  <c r="AN14" i="4" s="1"/>
  <c r="Y6" i="4"/>
  <c r="AB6" i="4" s="1"/>
  <c r="AE6" i="4" s="1"/>
  <c r="AH6" i="4" s="1"/>
  <c r="AK6" i="4" s="1"/>
  <c r="AN6" i="4" s="1"/>
  <c r="AO16" i="4"/>
  <c r="AQ16" i="4" s="1"/>
  <c r="T20" i="4"/>
  <c r="V8" i="4"/>
  <c r="Y8" i="4" s="1"/>
  <c r="AB8" i="4" s="1"/>
  <c r="AE8" i="4" s="1"/>
  <c r="AH8" i="4" s="1"/>
  <c r="AK8" i="4" s="1"/>
  <c r="AN8" i="4" s="1"/>
  <c r="V12" i="4"/>
  <c r="Y12" i="4" s="1"/>
  <c r="AB12" i="4" s="1"/>
  <c r="AE12" i="4" s="1"/>
  <c r="AH12" i="4" s="1"/>
  <c r="AK12" i="4" s="1"/>
  <c r="AN12" i="4" s="1"/>
  <c r="S11" i="4"/>
  <c r="V11" i="4" s="1"/>
  <c r="Y11" i="4" s="1"/>
  <c r="AB11" i="4" s="1"/>
  <c r="AE11" i="4" s="1"/>
  <c r="AH11" i="4" s="1"/>
  <c r="AK11" i="4" s="1"/>
  <c r="AN11" i="4" s="1"/>
  <c r="AO13" i="4"/>
  <c r="AQ13" i="4" s="1"/>
  <c r="P10" i="4"/>
  <c r="S10" i="4" s="1"/>
  <c r="V10" i="4" s="1"/>
  <c r="Y10" i="4" s="1"/>
  <c r="AB10" i="4" s="1"/>
  <c r="AE10" i="4" s="1"/>
  <c r="AH10" i="4" s="1"/>
  <c r="AK10" i="4" s="1"/>
  <c r="AN10" i="4" s="1"/>
  <c r="K20" i="4"/>
  <c r="M9" i="4"/>
  <c r="P9" i="4" s="1"/>
  <c r="S9" i="4" s="1"/>
  <c r="V9" i="4" s="1"/>
  <c r="Y9" i="4" s="1"/>
  <c r="AB9" i="4" s="1"/>
  <c r="AE9" i="4" s="1"/>
  <c r="AH9" i="4" s="1"/>
  <c r="AK9" i="4" s="1"/>
  <c r="AN9" i="4" s="1"/>
  <c r="M5" i="4"/>
  <c r="P5" i="4" s="1"/>
  <c r="S5" i="4" s="1"/>
  <c r="V5" i="4" s="1"/>
  <c r="Y5" i="4" s="1"/>
  <c r="AB5" i="4" s="1"/>
  <c r="AE5" i="4" s="1"/>
  <c r="AH5" i="4" s="1"/>
  <c r="AK5" i="4" s="1"/>
  <c r="AN5" i="4" s="1"/>
  <c r="M13" i="4"/>
  <c r="P13" i="4" s="1"/>
  <c r="S13" i="4" s="1"/>
  <c r="V13" i="4" s="1"/>
  <c r="Y13" i="4" s="1"/>
  <c r="AB13" i="4" s="1"/>
  <c r="AE13" i="4" s="1"/>
  <c r="AH13" i="4" s="1"/>
  <c r="AK13" i="4" s="1"/>
  <c r="AN13" i="4" s="1"/>
  <c r="M18" i="4"/>
  <c r="P18" i="4" s="1"/>
  <c r="S18" i="4" s="1"/>
  <c r="V18" i="4" s="1"/>
  <c r="Y18" i="4" s="1"/>
  <c r="AB18" i="4" s="1"/>
  <c r="AE18" i="4" s="1"/>
  <c r="AH18" i="4" s="1"/>
  <c r="AK18" i="4" s="1"/>
  <c r="AN18" i="4" s="1"/>
  <c r="M17" i="4"/>
  <c r="P17" i="4" s="1"/>
  <c r="S17" i="4" s="1"/>
  <c r="V17" i="4" s="1"/>
  <c r="Y17" i="4" s="1"/>
  <c r="AB17" i="4" s="1"/>
  <c r="AE17" i="4" s="1"/>
  <c r="AH17" i="4" s="1"/>
  <c r="AK17" i="4" s="1"/>
  <c r="AN17" i="4" s="1"/>
  <c r="AO9" i="4"/>
  <c r="AQ9" i="4" s="1"/>
  <c r="AO14" i="4"/>
  <c r="AQ14" i="4" s="1"/>
  <c r="H20" i="4"/>
  <c r="AO4" i="4"/>
  <c r="AO18" i="4"/>
  <c r="AQ18" i="4" s="1"/>
  <c r="AO11" i="4"/>
  <c r="AQ11" i="4" s="1"/>
  <c r="AO17" i="4"/>
  <c r="AQ17" i="4" s="1"/>
  <c r="AO15" i="4"/>
  <c r="AQ15" i="4" s="1"/>
  <c r="E20" i="4"/>
  <c r="G20" i="4" s="1"/>
  <c r="J20" i="4" l="1"/>
  <c r="M20" i="4" s="1"/>
  <c r="P20" i="4" s="1"/>
  <c r="S20" i="4" s="1"/>
  <c r="V20" i="4" s="1"/>
  <c r="Y20" i="4" s="1"/>
  <c r="AB20" i="4" s="1"/>
  <c r="AE20" i="4" s="1"/>
  <c r="AH20" i="4" s="1"/>
  <c r="AK20" i="4" s="1"/>
  <c r="AO20" i="4"/>
  <c r="AP4" i="4" l="1"/>
  <c r="AQ4" i="4" s="1"/>
  <c r="AM20" i="4"/>
  <c r="AP20" i="4" s="1"/>
  <c r="AQ20" i="4" s="1"/>
  <c r="AN4" i="4"/>
  <c r="AN20" i="4" l="1"/>
</calcChain>
</file>

<file path=xl/sharedStrings.xml><?xml version="1.0" encoding="utf-8"?>
<sst xmlns="http://schemas.openxmlformats.org/spreadsheetml/2006/main" count="276" uniqueCount="163">
  <si>
    <t>JobCode</t>
  </si>
  <si>
    <t>DepartmentCode</t>
  </si>
  <si>
    <t>TongNVLODec</t>
  </si>
  <si>
    <t>SoTangNVLODec</t>
  </si>
  <si>
    <t>TongNVJan</t>
  </si>
  <si>
    <t>SoTangNVJan</t>
  </si>
  <si>
    <t>TongNVFeb</t>
  </si>
  <si>
    <t>SoTangNVFeb</t>
  </si>
  <si>
    <t>TongNVMar</t>
  </si>
  <si>
    <t>SoTangNVMar</t>
  </si>
  <si>
    <t>TongNVApr</t>
  </si>
  <si>
    <t>SoTangNVApr</t>
  </si>
  <si>
    <t>TongNVMay</t>
  </si>
  <si>
    <t>SoTangNVMay</t>
  </si>
  <si>
    <t>TongNVJun</t>
  </si>
  <si>
    <t>SoTangNVJun</t>
  </si>
  <si>
    <t>TongNVJul</t>
  </si>
  <si>
    <t>SoTangNVJul</t>
  </si>
  <si>
    <t>TongNVAug</t>
  </si>
  <si>
    <t>SoTangNVAug</t>
  </si>
  <si>
    <t>TongNVSep</t>
  </si>
  <si>
    <t>SoTangNVSep</t>
  </si>
  <si>
    <t>TongNVOct</t>
  </si>
  <si>
    <t>SoTangNVOct</t>
  </si>
  <si>
    <t>TongNVNov</t>
  </si>
  <si>
    <t>SoTangNVNov</t>
  </si>
  <si>
    <t>TongNVDec</t>
  </si>
  <si>
    <t>SoTangNVDec</t>
  </si>
  <si>
    <t>1st floor</t>
  </si>
  <si>
    <t>MATOff</t>
  </si>
  <si>
    <t>METOff</t>
  </si>
  <si>
    <t>MMTOff</t>
  </si>
  <si>
    <t>QCTOff</t>
  </si>
  <si>
    <t>2nd floor</t>
  </si>
  <si>
    <t>ACT</t>
  </si>
  <si>
    <t>HRT</t>
  </si>
  <si>
    <t>MCTMATLOff</t>
  </si>
  <si>
    <t>PUTLOG</t>
  </si>
  <si>
    <t>Other</t>
  </si>
  <si>
    <t>SEV</t>
  </si>
  <si>
    <t>MAT</t>
  </si>
  <si>
    <t>MCTMATL</t>
  </si>
  <si>
    <t>MET</t>
  </si>
  <si>
    <t>MMT</t>
  </si>
  <si>
    <t>QCT</t>
  </si>
  <si>
    <t>DRV</t>
  </si>
  <si>
    <t>Class</t>
  </si>
  <si>
    <t>New comer</t>
  </si>
  <si>
    <t>Stop working</t>
  </si>
  <si>
    <t>Ending</t>
  </si>
  <si>
    <t>Remark</t>
  </si>
  <si>
    <t>Dept</t>
  </si>
  <si>
    <t>Increase</t>
  </si>
  <si>
    <t>Decrease</t>
  </si>
  <si>
    <t>Move</t>
  </si>
  <si>
    <t>MCT/MATERIAL_2</t>
  </si>
  <si>
    <t>PUT/SCT</t>
  </si>
  <si>
    <t>MAT_1st floor</t>
  </si>
  <si>
    <t>Interpreter</t>
  </si>
  <si>
    <t>MMT_1st floor</t>
  </si>
  <si>
    <t>MET_1st floor</t>
  </si>
  <si>
    <t>QCT_1st floor</t>
  </si>
  <si>
    <t>Worker</t>
  </si>
  <si>
    <t>SCT</t>
  </si>
  <si>
    <t>MCT/MATERIAL</t>
  </si>
  <si>
    <t>Service</t>
  </si>
  <si>
    <t>Subtotal</t>
  </si>
  <si>
    <t>Department</t>
  </si>
  <si>
    <t>INT</t>
  </si>
  <si>
    <t>Total</t>
  </si>
  <si>
    <t>Over 1 year</t>
  </si>
  <si>
    <t>Turnover rate (%)</t>
  </si>
  <si>
    <t>From 6 to 1 year</t>
  </si>
  <si>
    <t>From 3 to 6 months</t>
  </si>
  <si>
    <t>From 6 months to 1 year</t>
  </si>
  <si>
    <t>From 1 to 3 months</t>
  </si>
  <si>
    <t>Under 1 month</t>
  </si>
  <si>
    <t>Ave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</si>
  <si>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</si>
  <si>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</si>
  <si>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</si>
  <si>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</si>
  <si>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</si>
  <si>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</si>
  <si>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</si>
  <si>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</si>
  <si>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</si>
  <si>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</si>
  <si>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</si>
  <si>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</si>
  <si>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Divide</t>
  </si>
  <si>
    <t>Seniority of 
leaving</t>
  </si>
  <si>
    <t>Average ( first+ end)/2</t>
  </si>
  <si>
    <t>Head count end of month</t>
  </si>
  <si>
    <t>Head count first of month</t>
  </si>
  <si>
    <t>Jan.</t>
  </si>
  <si>
    <t>Month</t>
  </si>
  <si>
    <t>Stop working status:</t>
  </si>
  <si>
    <t>Ổn định</t>
  </si>
  <si>
    <t>4% - 6%</t>
  </si>
  <si>
    <t>Production</t>
  </si>
  <si>
    <t>Warehouse</t>
  </si>
  <si>
    <t>NULL</t>
  </si>
  <si>
    <t>Under1MonthJan</t>
  </si>
  <si>
    <t>From1To3MonthsJan</t>
  </si>
  <si>
    <t>From3To6MonthsJan</t>
  </si>
  <si>
    <t>From6To12MonthsJan</t>
  </si>
  <si>
    <t>Over1YearJan</t>
  </si>
  <si>
    <t>Under1MonthFeb</t>
  </si>
  <si>
    <t>From1To3MonthsFeb</t>
  </si>
  <si>
    <t>From3To6MonthsFeb</t>
  </si>
  <si>
    <t>From6To12MonthsFeb</t>
  </si>
  <si>
    <t>Over1YearFeb</t>
  </si>
  <si>
    <t>Under1MonthMar</t>
  </si>
  <si>
    <t>From1To3MonthsMar</t>
  </si>
  <si>
    <t>From3To6MonthsMar</t>
  </si>
  <si>
    <t>From6To12MonthsMar</t>
  </si>
  <si>
    <t>Over1YearMar</t>
  </si>
  <si>
    <t>Under1MonthApr</t>
  </si>
  <si>
    <t>From1To3MonthsApr</t>
  </si>
  <si>
    <t>From3To6MonthsApr</t>
  </si>
  <si>
    <t>From6To12MonthsApr</t>
  </si>
  <si>
    <t>Over1YearApr</t>
  </si>
  <si>
    <t>Under1MonthMay</t>
  </si>
  <si>
    <t>From1To3MonthsMay</t>
  </si>
  <si>
    <t>From3To6MonthsMay</t>
  </si>
  <si>
    <t>From6To12MonthsMay</t>
  </si>
  <si>
    <t>Over1YearMay</t>
  </si>
  <si>
    <t>Under1MonthJun</t>
  </si>
  <si>
    <t>From1To3MonthsJun</t>
  </si>
  <si>
    <t>From3To6MonthsJun</t>
  </si>
  <si>
    <t>From6To12MonthsJun</t>
  </si>
  <si>
    <t>Over1YearJun</t>
  </si>
  <si>
    <t>Under1MonthJul</t>
  </si>
  <si>
    <t>From1To3MonthsJul</t>
  </si>
  <si>
    <t>From3To6MonthsJul</t>
  </si>
  <si>
    <t>From6To12MonthsJul</t>
  </si>
  <si>
    <t>Over1YearJul</t>
  </si>
  <si>
    <t>Under1MonthAug</t>
  </si>
  <si>
    <t>From1To3MonthsAug</t>
  </si>
  <si>
    <t>From3To6MonthsAug</t>
  </si>
  <si>
    <t>From6To12MonthsAug</t>
  </si>
  <si>
    <t>Over1YearAug</t>
  </si>
  <si>
    <t>Under1MonthSep</t>
  </si>
  <si>
    <t>From1To3MonthsSep</t>
  </si>
  <si>
    <t>From3To6MonthsSep</t>
  </si>
  <si>
    <t>From6To12MonthsSep</t>
  </si>
  <si>
    <t>Over1YearSep</t>
  </si>
  <si>
    <t>Under1MonthOct</t>
  </si>
  <si>
    <t>From1To3MonthsOct</t>
  </si>
  <si>
    <t>From3To6MonthsOct</t>
  </si>
  <si>
    <t>From6To12MonthsOct</t>
  </si>
  <si>
    <t>Over1YearOct</t>
  </si>
  <si>
    <t>Under1MonthNov</t>
  </si>
  <si>
    <t>From1To3MonthsNov</t>
  </si>
  <si>
    <t>From3To6MonthsNov</t>
  </si>
  <si>
    <t>From6To12MonthsNov</t>
  </si>
  <si>
    <t>Over1YearNov</t>
  </si>
  <si>
    <t>Under1MonthDec</t>
  </si>
  <si>
    <t>From1To3MonthsDec</t>
  </si>
  <si>
    <t>From3To6MonthsDec</t>
  </si>
  <si>
    <t>From6To12MonthsDec</t>
  </si>
  <si>
    <t>Over1YearDec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</si>
</sst>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rgb="FF00009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.5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0" fillId="0" borderId="11" xfId="0" applyBorder="1"/>
    <xf numFmtId="164" fontId="0" fillId="0" borderId="9" xfId="1" applyNumberFormat="1" applyFont="1" applyFill="1" applyBorder="1"/>
    <xf numFmtId="0" fontId="0" fillId="0" borderId="10" xfId="0" applyBorder="1"/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0" borderId="10" xfId="0" applyFont="1" applyBorder="1"/>
    <xf numFmtId="0" fontId="8" fillId="0" borderId="10" xfId="0" applyFont="1" applyBorder="1" applyAlignment="1">
      <alignment vertical="center"/>
    </xf>
    <xf numFmtId="0" fontId="2" fillId="0" borderId="11" xfId="0" applyFont="1" applyBorder="1"/>
    <xf numFmtId="0" fontId="8" fillId="0" borderId="16" xfId="0" applyFont="1" applyBorder="1" applyAlignment="1">
      <alignment horizontal="center" vertical="center"/>
    </xf>
    <xf numFmtId="0" fontId="2" fillId="0" borderId="0" xfId="0" applyFont="1"/>
    <xf numFmtId="0" fontId="7" fillId="0" borderId="9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3" fillId="0" borderId="20" xfId="0" applyFont="1" applyBorder="1"/>
    <xf numFmtId="0" fontId="3" fillId="0" borderId="18" xfId="0" applyFont="1" applyBorder="1"/>
    <xf numFmtId="0" fontId="3" fillId="0" borderId="17" xfId="0" applyFont="1" applyBorder="1"/>
    <xf numFmtId="0" fontId="5" fillId="0" borderId="21" xfId="0" applyFont="1" applyBorder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164" fontId="10" fillId="0" borderId="17" xfId="0" applyNumberFormat="1" applyFont="1" applyBorder="1"/>
    <xf numFmtId="0" fontId="10" fillId="0" borderId="17" xfId="0" applyFont="1" applyBorder="1"/>
    <xf numFmtId="0" fontId="7" fillId="0" borderId="14" xfId="0" applyFont="1" applyBorder="1" applyAlignment="1">
      <alignment vertical="center"/>
    </xf>
    <xf numFmtId="164" fontId="0" fillId="0" borderId="10" xfId="0" applyNumberFormat="1" applyBorder="1"/>
    <xf numFmtId="0" fontId="0" fillId="2" borderId="0" xfId="0" applyFill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7" fontId="6" fillId="0" borderId="2" xfId="0" applyNumberFormat="1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  <xf numFmtId="17" fontId="6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64" fontId="11" fillId="0" borderId="0" xfId="1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4" fontId="13" fillId="4" borderId="5" xfId="0" applyNumberFormat="1" applyFont="1" applyFill="1" applyBorder="1" applyAlignment="1">
      <alignment horizontal="center" vertical="center"/>
    </xf>
    <xf numFmtId="164" fontId="14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164" fontId="13" fillId="0" borderId="5" xfId="0" applyNumberFormat="1" applyFont="1" applyBorder="1" applyAlignment="1">
      <alignment vertical="center"/>
    </xf>
    <xf numFmtId="164" fontId="11" fillId="0" borderId="5" xfId="0" applyNumberFormat="1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165" fontId="14" fillId="5" borderId="21" xfId="2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164" fontId="15" fillId="0" borderId="5" xfId="1" applyNumberFormat="1" applyFont="1" applyFill="1" applyBorder="1" applyAlignment="1">
      <alignment horizontal="center" vertical="center"/>
    </xf>
    <xf numFmtId="164" fontId="11" fillId="0" borderId="5" xfId="1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164" fontId="12" fillId="6" borderId="5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5" fillId="7" borderId="5" xfId="1" applyNumberFormat="1" applyFont="1" applyFill="1" applyBorder="1" applyAlignment="1">
      <alignment horizontal="center" vertical="center"/>
    </xf>
    <xf numFmtId="164" fontId="11" fillId="7" borderId="5" xfId="1" applyNumberFormat="1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4" fontId="15" fillId="8" borderId="5" xfId="1" applyNumberFormat="1" applyFont="1" applyFill="1" applyBorder="1" applyAlignment="1">
      <alignment horizontal="center" vertical="center"/>
    </xf>
    <xf numFmtId="164" fontId="14" fillId="8" borderId="26" xfId="1" applyNumberFormat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vertical="center" wrapText="1"/>
    </xf>
    <xf numFmtId="164" fontId="15" fillId="9" borderId="5" xfId="1" applyNumberFormat="1" applyFont="1" applyFill="1" applyBorder="1" applyAlignment="1">
      <alignment horizontal="center" vertical="center"/>
    </xf>
    <xf numFmtId="164" fontId="16" fillId="9" borderId="26" xfId="1" applyNumberFormat="1" applyFont="1" applyFill="1" applyBorder="1" applyAlignment="1">
      <alignment horizontal="center" vertical="center"/>
    </xf>
    <xf numFmtId="164" fontId="16" fillId="9" borderId="5" xfId="1" applyNumberFormat="1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164" fontId="15" fillId="4" borderId="5" xfId="1" applyNumberFormat="1" applyFont="1" applyFill="1" applyBorder="1" applyAlignment="1">
      <alignment horizontal="center" vertical="center"/>
    </xf>
    <xf numFmtId="164" fontId="14" fillId="4" borderId="5" xfId="1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5" fillId="10" borderId="28" xfId="0" applyFont="1" applyFill="1" applyBorder="1" applyAlignment="1">
      <alignment horizontal="center" vertical="center"/>
    </xf>
    <xf numFmtId="164" fontId="12" fillId="10" borderId="29" xfId="1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30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Stop working status</a:t>
            </a:r>
          </a:p>
        </c:rich>
      </c:tx>
      <c:layout>
        <c:manualLayout>
          <c:xMode val="edge"/>
          <c:yMode val="edge"/>
          <c:x val="0.4131892997661671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turn over'!$S$9</c:f>
              <c:strCache>
                <c:ptCount val="1"/>
                <c:pt idx="0">
                  <c:v>Under 1 month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'Ratio turn over'!$T$8:$AE$8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'Ratio turn over'!$T$9:$AE$9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4-4FA8-9B32-A28EBEF1F5FC}"/>
            </c:ext>
          </c:extLst>
        </c:ser>
        <c:ser>
          <c:idx val="1"/>
          <c:order val="1"/>
          <c:tx>
            <c:strRef>
              <c:f>'Ratio turn over'!$S$10</c:f>
              <c:strCache>
                <c:ptCount val="1"/>
                <c:pt idx="0">
                  <c:v>From 1 to 3 months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'Ratio turn over'!$T$8:$AE$8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'Ratio turn over'!$T$10:$AE$10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4-4FA8-9B32-A28EBEF1F5FC}"/>
            </c:ext>
          </c:extLst>
        </c:ser>
        <c:ser>
          <c:idx val="2"/>
          <c:order val="2"/>
          <c:tx>
            <c:strRef>
              <c:f>'Ratio turn over'!$S$11</c:f>
              <c:strCache>
                <c:ptCount val="1"/>
                <c:pt idx="0">
                  <c:v>From 3 to 6 months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'Ratio turn over'!$T$8:$AE$8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'Ratio turn over'!$T$11:$AE$11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C4-4FA8-9B32-A28EBEF1F5FC}"/>
            </c:ext>
          </c:extLst>
        </c:ser>
        <c:ser>
          <c:idx val="3"/>
          <c:order val="3"/>
          <c:tx>
            <c:strRef>
              <c:f>'Ratio turn over'!$S$12</c:f>
              <c:strCache>
                <c:ptCount val="1"/>
                <c:pt idx="0">
                  <c:v>From 6 to 1 year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'Ratio turn over'!$T$8:$AE$8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'Ratio turn over'!$T$12:$AE$12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C4-4FA8-9B32-A28EBEF1F5FC}"/>
            </c:ext>
          </c:extLst>
        </c:ser>
        <c:ser>
          <c:idx val="4"/>
          <c:order val="4"/>
          <c:tx>
            <c:strRef>
              <c:f>'Ratio turn over'!$S$13</c:f>
              <c:strCache>
                <c:ptCount val="1"/>
                <c:pt idx="0">
                  <c:v>Over 1 year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'Ratio turn over'!$T$8:$AE$8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'Ratio turn over'!$T$13:$AE$13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C4-4FA8-9B32-A28EBEF1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940067680"/>
        <c:axId val="940070424"/>
      </c:barChart>
      <c:lineChart>
        <c:grouping val="stacked"/>
        <c:varyColors val="0"/>
        <c:ser>
          <c:idx val="5"/>
          <c:order val="5"/>
          <c:tx>
            <c:strRef>
              <c:f>'Ratio turn over'!$S$14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1.5437002393444419E-2"/>
                  <c:y val="-7.6957912303530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C4-4FA8-9B32-A28EBEF1F5FC}"/>
                </c:ext>
              </c:extLst>
            </c:dLbl>
            <c:dLbl>
              <c:idx val="1"/>
              <c:layout>
                <c:manualLayout>
                  <c:x val="-2.0582669857925891E-2"/>
                  <c:y val="-8.7218967277334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8C4-4FA8-9B32-A28EBEF1F5FC}"/>
                </c:ext>
              </c:extLst>
            </c:dLbl>
            <c:dLbl>
              <c:idx val="2"/>
              <c:layout>
                <c:manualLayout>
                  <c:x val="-2.186908672404626E-2"/>
                  <c:y val="-6.6696857329726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C4-4FA8-9B32-A28EBEF1F5FC}"/>
                </c:ext>
              </c:extLst>
            </c:dLbl>
            <c:dLbl>
              <c:idx val="3"/>
              <c:layout>
                <c:manualLayout>
                  <c:x val="-1.672341925956479E-2"/>
                  <c:y val="-6.156632984282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8C4-4FA8-9B32-A28EBEF1F5FC}"/>
                </c:ext>
              </c:extLst>
            </c:dLbl>
            <c:dLbl>
              <c:idx val="4"/>
              <c:layout>
                <c:manualLayout>
                  <c:x val="-2.1869086724046357E-2"/>
                  <c:y val="-7.6957912303530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C4-4FA8-9B32-A28EBEF1F5FC}"/>
                </c:ext>
              </c:extLst>
            </c:dLbl>
            <c:dLbl>
              <c:idx val="5"/>
              <c:layout>
                <c:manualLayout>
                  <c:x val="-1.1577751795083314E-2"/>
                  <c:y val="-7.6957912303530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8C4-4FA8-9B32-A28EBEF1F5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'Ratio turn over'!$T$8:$AE$8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'Ratio turn over'!$T$14:$AE$14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C4-4FA8-9B32-A28EBEF1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067680"/>
        <c:axId val="940070424"/>
      </c:lineChart>
      <c:catAx>
        <c:axId val="94006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070424"/>
        <c:crosses val="autoZero"/>
        <c:auto val="1"/>
        <c:lblAlgn val="ctr"/>
        <c:lblOffset val="100"/>
        <c:noMultiLvlLbl val="0"/>
      </c:catAx>
      <c:valAx>
        <c:axId val="94007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006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117100</xdr:colOff>
      <xdr:row>15</xdr:row>
      <xdr:rowOff>152399</xdr:rowOff>
    </xdr:from>
    <xdr:to>
      <xdr:col>16</xdr:col>
      <xdr:colOff>627529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41B91-C887-46B1-8F12-49DE572BE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1"/>
  <sheetViews>
    <sheetView topLeftCell="BY1" workbookViewId="0">
      <selection activeCell="AD5" sqref="AD5"/>
    </sheetView>
  </sheetViews>
  <sheetFormatPr defaultRowHeight="15" x14ac:dyDescent="0.25"/>
  <cols>
    <col min="3" max="3" width="16.42578125" bestFit="1" customWidth="1"/>
    <col min="4" max="4" width="13.7109375" bestFit="1" customWidth="1"/>
    <col min="5" max="5" width="15.7109375" bestFit="1" customWidth="1"/>
    <col min="6" max="6" width="10.85546875" bestFit="1" customWidth="1"/>
    <col min="7" max="7" width="12.85546875" bestFit="1" customWidth="1"/>
    <col min="8" max="8" width="11.28515625" bestFit="1" customWidth="1"/>
    <col min="9" max="9" width="13.42578125" bestFit="1" customWidth="1"/>
    <col min="10" max="10" width="11.42578125" bestFit="1" customWidth="1"/>
    <col min="11" max="11" width="13.5703125" bestFit="1" customWidth="1"/>
    <col min="12" max="12" width="11.140625" bestFit="1" customWidth="1"/>
    <col min="13" max="13" width="13.28515625" bestFit="1" customWidth="1"/>
    <col min="14" max="14" width="11.7109375" bestFit="1" customWidth="1"/>
    <col min="15" max="15" width="13.85546875" bestFit="1" customWidth="1"/>
    <col min="16" max="16" width="11" bestFit="1" customWidth="1"/>
    <col min="17" max="17" width="13.140625" bestFit="1" customWidth="1"/>
    <col min="18" max="18" width="10.42578125" bestFit="1" customWidth="1"/>
    <col min="19" max="19" width="12.42578125" bestFit="1" customWidth="1"/>
    <col min="20" max="20" width="11.42578125" bestFit="1" customWidth="1"/>
    <col min="21" max="21" width="13.5703125" bestFit="1" customWidth="1"/>
    <col min="22" max="22" width="11.28515625" bestFit="1" customWidth="1"/>
    <col min="23" max="23" width="13.42578125" bestFit="1" customWidth="1"/>
    <col min="24" max="24" width="11" bestFit="1" customWidth="1"/>
    <col min="25" max="25" width="13.140625" bestFit="1" customWidth="1"/>
    <col min="26" max="26" width="11.5703125" bestFit="1" customWidth="1"/>
    <col min="27" max="27" width="13.7109375" bestFit="1" customWidth="1"/>
    <col min="28" max="28" width="11.28515625" bestFit="1" customWidth="1"/>
    <col min="29" max="29" width="13.42578125" bestFit="1" customWidth="1"/>
    <col min="30" max="30" width="16.28515625" bestFit="1" customWidth="1"/>
    <col min="31" max="32" width="19.5703125" bestFit="1" customWidth="1"/>
    <col min="33" max="33" width="20.5703125" bestFit="1" customWidth="1"/>
    <col min="34" max="34" width="13.140625" bestFit="1" customWidth="1"/>
    <col min="35" max="35" width="16.7109375" bestFit="1" customWidth="1"/>
    <col min="36" max="37" width="20" bestFit="1" customWidth="1"/>
    <col min="38" max="38" width="21" bestFit="1" customWidth="1"/>
    <col min="39" max="39" width="13.5703125" bestFit="1" customWidth="1"/>
    <col min="40" max="40" width="16.85546875" bestFit="1" customWidth="1"/>
    <col min="41" max="42" width="20.140625" bestFit="1" customWidth="1"/>
    <col min="43" max="43" width="21.140625" bestFit="1" customWidth="1"/>
    <col min="44" max="44" width="13.7109375" bestFit="1" customWidth="1"/>
    <col min="45" max="45" width="16.5703125" bestFit="1" customWidth="1"/>
    <col min="46" max="47" width="19.85546875" bestFit="1" customWidth="1"/>
    <col min="48" max="48" width="20.85546875" bestFit="1" customWidth="1"/>
    <col min="49" max="49" width="13.42578125" bestFit="1" customWidth="1"/>
    <col min="50" max="50" width="17.28515625" bestFit="1" customWidth="1"/>
    <col min="51" max="52" width="20.42578125" bestFit="1" customWidth="1"/>
    <col min="53" max="53" width="21.5703125" bestFit="1" customWidth="1"/>
    <col min="54" max="54" width="14" bestFit="1" customWidth="1"/>
    <col min="55" max="55" width="16.42578125" bestFit="1" customWidth="1"/>
    <col min="56" max="57" width="19.7109375" bestFit="1" customWidth="1"/>
    <col min="58" max="58" width="20.7109375" bestFit="1" customWidth="1"/>
    <col min="59" max="59" width="13.28515625" bestFit="1" customWidth="1"/>
    <col min="60" max="60" width="15.85546875" bestFit="1" customWidth="1"/>
    <col min="61" max="62" width="19.140625" bestFit="1" customWidth="1"/>
    <col min="63" max="63" width="20.140625" bestFit="1" customWidth="1"/>
    <col min="64" max="64" width="12.5703125" bestFit="1" customWidth="1"/>
    <col min="65" max="65" width="16.85546875" bestFit="1" customWidth="1"/>
    <col min="66" max="67" width="20.140625" bestFit="1" customWidth="1"/>
    <col min="68" max="68" width="21.140625" bestFit="1" customWidth="1"/>
    <col min="69" max="69" width="13.7109375" bestFit="1" customWidth="1"/>
    <col min="70" max="70" width="16.7109375" bestFit="1" customWidth="1"/>
    <col min="71" max="72" width="20" bestFit="1" customWidth="1"/>
    <col min="73" max="73" width="21" bestFit="1" customWidth="1"/>
    <col min="74" max="74" width="13.5703125" bestFit="1" customWidth="1"/>
    <col min="75" max="75" width="16.42578125" bestFit="1" customWidth="1"/>
    <col min="76" max="77" width="19.7109375" bestFit="1" customWidth="1"/>
    <col min="78" max="78" width="20.7109375" bestFit="1" customWidth="1"/>
    <col min="79" max="79" width="13.28515625" bestFit="1" customWidth="1"/>
    <col min="80" max="80" width="17" bestFit="1" customWidth="1"/>
    <col min="81" max="82" width="20.28515625" bestFit="1" customWidth="1"/>
    <col min="83" max="83" width="21.42578125" bestFit="1" customWidth="1"/>
    <col min="84" max="84" width="13.85546875" bestFit="1" customWidth="1"/>
    <col min="85" max="85" width="16.7109375" bestFit="1" customWidth="1"/>
    <col min="86" max="87" width="20" bestFit="1" customWidth="1"/>
    <col min="88" max="88" width="21" bestFit="1" customWidth="1"/>
    <col min="89" max="89" width="13.5703125" bestFit="1" customWidth="1"/>
  </cols>
  <sheetData>
    <row r="1" spans="1:89" x14ac:dyDescent="0.25">
      <c r="A1">
        <v>1</v>
      </c>
    </row>
    <row r="2" spans="1:89" x14ac:dyDescent="0.25">
      <c r="A2">
        <v>2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</row>
    <row r="3" spans="1:89" x14ac:dyDescent="0.25">
      <c r="A3">
        <v>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L3" t="s">
        <v>111</v>
      </c>
      <c r="AM3" t="s">
        <v>112</v>
      </c>
      <c r="AN3" t="s">
        <v>113</v>
      </c>
      <c r="AO3" t="s">
        <v>114</v>
      </c>
      <c r="AP3" t="s">
        <v>115</v>
      </c>
      <c r="AQ3" t="s">
        <v>116</v>
      </c>
      <c r="AR3" t="s">
        <v>117</v>
      </c>
      <c r="AS3" t="s">
        <v>118</v>
      </c>
      <c r="AT3" t="s">
        <v>119</v>
      </c>
      <c r="AU3" t="s">
        <v>120</v>
      </c>
      <c r="AV3" t="s">
        <v>121</v>
      </c>
      <c r="AW3" t="s">
        <v>122</v>
      </c>
      <c r="AX3" t="s">
        <v>123</v>
      </c>
      <c r="AY3" t="s">
        <v>124</v>
      </c>
      <c r="AZ3" t="s">
        <v>125</v>
      </c>
      <c r="BA3" t="s">
        <v>126</v>
      </c>
      <c r="BB3" t="s">
        <v>127</v>
      </c>
      <c r="BC3" t="s">
        <v>128</v>
      </c>
      <c r="BD3" t="s">
        <v>129</v>
      </c>
      <c r="BE3" t="s">
        <v>130</v>
      </c>
      <c r="BF3" t="s">
        <v>131</v>
      </c>
      <c r="BG3" t="s">
        <v>132</v>
      </c>
      <c r="BH3" t="s">
        <v>133</v>
      </c>
      <c r="BI3" t="s">
        <v>134</v>
      </c>
      <c r="BJ3" t="s">
        <v>135</v>
      </c>
      <c r="BK3" t="s">
        <v>136</v>
      </c>
      <c r="BL3" t="s">
        <v>137</v>
      </c>
      <c r="BM3" t="s">
        <v>138</v>
      </c>
      <c r="BN3" t="s">
        <v>139</v>
      </c>
      <c r="BO3" t="s">
        <v>140</v>
      </c>
      <c r="BP3" t="s">
        <v>141</v>
      </c>
      <c r="BQ3" t="s">
        <v>142</v>
      </c>
      <c r="BR3" t="s">
        <v>143</v>
      </c>
      <c r="BS3" t="s">
        <v>144</v>
      </c>
      <c r="BT3" t="s">
        <v>145</v>
      </c>
      <c r="BU3" t="s">
        <v>146</v>
      </c>
      <c r="BV3" t="s">
        <v>147</v>
      </c>
      <c r="BW3" t="s">
        <v>148</v>
      </c>
      <c r="BX3" t="s">
        <v>149</v>
      </c>
      <c r="BY3" t="s">
        <v>150</v>
      </c>
      <c r="BZ3" t="s">
        <v>151</v>
      </c>
      <c r="CA3" t="s">
        <v>152</v>
      </c>
      <c r="CB3" t="s">
        <v>153</v>
      </c>
      <c r="CC3" t="s">
        <v>154</v>
      </c>
      <c r="CD3" t="s">
        <v>155</v>
      </c>
      <c r="CE3" t="s">
        <v>156</v>
      </c>
      <c r="CF3" t="s">
        <v>157</v>
      </c>
      <c r="CG3" t="s">
        <v>158</v>
      </c>
      <c r="CH3" t="s">
        <v>159</v>
      </c>
      <c r="CI3" t="s">
        <v>160</v>
      </c>
      <c r="CJ3" t="s">
        <v>161</v>
      </c>
      <c r="CK3" t="s">
        <v>162</v>
      </c>
    </row>
    <row r="4" spans="1:89" s="27" customFormat="1" x14ac:dyDescent="0.25">
      <c r="A4" s="27">
        <v>4</v>
      </c>
      <c r="C4" s="27">
        <v>1</v>
      </c>
      <c r="D4" s="27">
        <v>2</v>
      </c>
      <c r="E4" s="27">
        <v>3</v>
      </c>
      <c r="F4" s="27">
        <v>4</v>
      </c>
      <c r="G4" s="27">
        <v>5</v>
      </c>
      <c r="H4" s="27">
        <v>6</v>
      </c>
      <c r="I4" s="27">
        <v>7</v>
      </c>
      <c r="J4" s="27">
        <v>8</v>
      </c>
      <c r="K4" s="27">
        <v>9</v>
      </c>
      <c r="L4" s="27">
        <v>10</v>
      </c>
      <c r="M4" s="27">
        <v>11</v>
      </c>
      <c r="N4" s="27">
        <v>12</v>
      </c>
      <c r="O4" s="27">
        <v>13</v>
      </c>
      <c r="P4" s="27">
        <v>14</v>
      </c>
      <c r="Q4" s="27">
        <v>15</v>
      </c>
      <c r="R4" s="27">
        <v>16</v>
      </c>
      <c r="S4" s="27">
        <v>17</v>
      </c>
      <c r="T4" s="27">
        <v>18</v>
      </c>
      <c r="U4" s="27">
        <v>19</v>
      </c>
      <c r="V4" s="27">
        <v>20</v>
      </c>
      <c r="W4" s="27">
        <v>21</v>
      </c>
      <c r="X4" s="27">
        <v>22</v>
      </c>
      <c r="Y4" s="27">
        <v>23</v>
      </c>
      <c r="Z4" s="27">
        <v>24</v>
      </c>
      <c r="AA4" s="27">
        <v>25</v>
      </c>
      <c r="AB4" s="27">
        <v>26</v>
      </c>
      <c r="AC4" s="27">
        <v>27</v>
      </c>
      <c r="AD4" s="27">
        <v>28</v>
      </c>
      <c r="AE4" s="27">
        <v>29</v>
      </c>
      <c r="AF4" s="27">
        <v>30</v>
      </c>
      <c r="AG4" s="27">
        <v>31</v>
      </c>
      <c r="AH4" s="27">
        <v>32</v>
      </c>
      <c r="AI4" s="27">
        <v>33</v>
      </c>
      <c r="AJ4" s="27">
        <v>34</v>
      </c>
      <c r="AK4" s="27">
        <v>35</v>
      </c>
      <c r="AL4" s="27">
        <v>36</v>
      </c>
      <c r="AM4" s="27">
        <v>37</v>
      </c>
      <c r="AN4" s="27">
        <v>38</v>
      </c>
      <c r="AO4" s="27">
        <v>39</v>
      </c>
      <c r="AP4" s="27">
        <v>40</v>
      </c>
      <c r="AQ4" s="27">
        <v>41</v>
      </c>
      <c r="AR4" s="27">
        <v>42</v>
      </c>
      <c r="AS4" s="27">
        <v>43</v>
      </c>
      <c r="AT4" s="27">
        <v>44</v>
      </c>
      <c r="AU4" s="27">
        <v>45</v>
      </c>
      <c r="AV4" s="27">
        <v>46</v>
      </c>
      <c r="AW4" s="27">
        <v>47</v>
      </c>
      <c r="AX4" s="27">
        <v>48</v>
      </c>
      <c r="AY4" s="27">
        <v>49</v>
      </c>
      <c r="AZ4" s="27">
        <v>50</v>
      </c>
      <c r="BA4" s="27">
        <v>51</v>
      </c>
      <c r="BB4" s="27">
        <v>52</v>
      </c>
      <c r="BC4" s="27">
        <v>53</v>
      </c>
      <c r="BD4" s="27">
        <v>54</v>
      </c>
      <c r="BE4" s="27">
        <v>55</v>
      </c>
      <c r="BF4" s="27">
        <v>56</v>
      </c>
      <c r="BG4" s="27">
        <v>57</v>
      </c>
      <c r="BH4" s="27">
        <v>58</v>
      </c>
      <c r="BI4" s="27">
        <v>59</v>
      </c>
      <c r="BJ4" s="27">
        <v>60</v>
      </c>
      <c r="BK4" s="27">
        <v>61</v>
      </c>
      <c r="BL4" s="27">
        <v>62</v>
      </c>
      <c r="BM4" s="27">
        <v>63</v>
      </c>
      <c r="BN4" s="27">
        <v>64</v>
      </c>
      <c r="BO4" s="27">
        <v>65</v>
      </c>
      <c r="BP4" s="27">
        <v>66</v>
      </c>
      <c r="BQ4" s="27">
        <v>67</v>
      </c>
      <c r="BR4" s="27">
        <v>68</v>
      </c>
      <c r="BS4" s="27">
        <v>69</v>
      </c>
      <c r="BT4" s="27">
        <v>70</v>
      </c>
      <c r="BU4" s="27">
        <v>71</v>
      </c>
      <c r="BV4" s="27">
        <v>72</v>
      </c>
      <c r="BW4" s="27">
        <v>73</v>
      </c>
      <c r="BX4" s="27">
        <v>74</v>
      </c>
      <c r="BY4" s="27">
        <v>75</v>
      </c>
      <c r="BZ4" s="27">
        <v>76</v>
      </c>
      <c r="CA4" s="27">
        <v>77</v>
      </c>
      <c r="CB4" s="27">
        <v>78</v>
      </c>
      <c r="CC4" s="27">
        <v>79</v>
      </c>
      <c r="CD4" s="27">
        <v>80</v>
      </c>
      <c r="CE4" s="27">
        <v>81</v>
      </c>
      <c r="CF4" s="27">
        <v>82</v>
      </c>
      <c r="CG4" s="27">
        <v>83</v>
      </c>
      <c r="CH4" s="27">
        <v>84</v>
      </c>
      <c r="CI4" s="27">
        <v>85</v>
      </c>
      <c r="CJ4" s="27">
        <v>86</v>
      </c>
      <c r="CK4" s="27">
        <v>87</v>
      </c>
    </row>
    <row r="5" spans="1:89" x14ac:dyDescent="0.25">
      <c r="A5">
        <v>5</v>
      </c>
      <c r="B5" t="s">
        <v>28</v>
      </c>
      <c r="C5" t="s">
        <v>68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0</v>
      </c>
    </row>
    <row r="6" spans="1:89" x14ac:dyDescent="0.25">
      <c r="B6" t="s">
        <v>28</v>
      </c>
      <c r="C6" t="s">
        <v>29</v>
      </c>
      <c r="D6">
        <v>2</v>
      </c>
      <c r="E6">
        <v>0</v>
      </c>
      <c r="F6">
        <v>2</v>
      </c>
      <c r="G6">
        <v>0</v>
      </c>
      <c r="H6">
        <v>2</v>
      </c>
      <c r="I6">
        <v>0</v>
      </c>
      <c r="J6">
        <v>2</v>
      </c>
      <c r="K6">
        <v>0</v>
      </c>
      <c r="L6">
        <v>2</v>
      </c>
      <c r="M6">
        <v>0</v>
      </c>
      <c r="N6">
        <v>2</v>
      </c>
      <c r="O6">
        <v>0</v>
      </c>
      <c r="P6">
        <v>2</v>
      </c>
      <c r="Q6">
        <v>0</v>
      </c>
      <c r="R6">
        <v>2</v>
      </c>
      <c r="S6">
        <v>0</v>
      </c>
      <c r="T6">
        <v>2</v>
      </c>
      <c r="U6">
        <v>0</v>
      </c>
      <c r="V6">
        <v>2</v>
      </c>
      <c r="W6">
        <v>0</v>
      </c>
      <c r="X6">
        <v>2</v>
      </c>
      <c r="Y6">
        <v>0</v>
      </c>
      <c r="Z6">
        <v>2</v>
      </c>
      <c r="AA6">
        <v>0</v>
      </c>
      <c r="AB6">
        <v>2</v>
      </c>
      <c r="AC6">
        <v>0</v>
      </c>
    </row>
    <row r="7" spans="1:89" x14ac:dyDescent="0.25">
      <c r="B7" t="s">
        <v>28</v>
      </c>
      <c r="C7" t="s">
        <v>30</v>
      </c>
      <c r="D7">
        <v>3</v>
      </c>
      <c r="E7">
        <v>0</v>
      </c>
      <c r="F7">
        <v>3</v>
      </c>
      <c r="G7">
        <v>0</v>
      </c>
      <c r="H7">
        <v>3</v>
      </c>
      <c r="I7">
        <v>0</v>
      </c>
      <c r="J7">
        <v>3</v>
      </c>
      <c r="K7">
        <v>0</v>
      </c>
      <c r="L7">
        <v>3</v>
      </c>
      <c r="M7">
        <v>0</v>
      </c>
      <c r="N7">
        <v>3</v>
      </c>
      <c r="O7">
        <v>0</v>
      </c>
      <c r="P7">
        <v>3</v>
      </c>
      <c r="Q7">
        <v>0</v>
      </c>
      <c r="R7">
        <v>3</v>
      </c>
      <c r="S7">
        <v>0</v>
      </c>
      <c r="T7">
        <v>3</v>
      </c>
      <c r="U7">
        <v>0</v>
      </c>
      <c r="V7">
        <v>3</v>
      </c>
      <c r="W7">
        <v>0</v>
      </c>
      <c r="X7">
        <v>3</v>
      </c>
      <c r="Y7">
        <v>0</v>
      </c>
      <c r="Z7">
        <v>3</v>
      </c>
      <c r="AA7">
        <v>0</v>
      </c>
      <c r="AB7">
        <v>3</v>
      </c>
      <c r="AC7">
        <v>0</v>
      </c>
    </row>
    <row r="8" spans="1:89" x14ac:dyDescent="0.25">
      <c r="B8" t="s">
        <v>28</v>
      </c>
      <c r="C8" t="s">
        <v>31</v>
      </c>
      <c r="D8">
        <v>2</v>
      </c>
      <c r="E8">
        <v>0</v>
      </c>
      <c r="F8">
        <v>2</v>
      </c>
      <c r="G8">
        <v>0</v>
      </c>
      <c r="H8">
        <v>2</v>
      </c>
      <c r="I8">
        <v>0</v>
      </c>
      <c r="J8">
        <v>2</v>
      </c>
      <c r="K8">
        <v>0</v>
      </c>
      <c r="L8">
        <v>2</v>
      </c>
      <c r="M8">
        <v>0</v>
      </c>
      <c r="N8">
        <v>2</v>
      </c>
      <c r="O8">
        <v>0</v>
      </c>
      <c r="P8">
        <v>2</v>
      </c>
      <c r="Q8">
        <v>0</v>
      </c>
      <c r="R8">
        <v>2</v>
      </c>
      <c r="S8">
        <v>0</v>
      </c>
      <c r="T8">
        <v>2</v>
      </c>
      <c r="U8">
        <v>0</v>
      </c>
      <c r="V8">
        <v>2</v>
      </c>
      <c r="W8">
        <v>0</v>
      </c>
      <c r="X8">
        <v>2</v>
      </c>
      <c r="Y8">
        <v>0</v>
      </c>
      <c r="Z8">
        <v>2</v>
      </c>
      <c r="AA8">
        <v>0</v>
      </c>
      <c r="AB8">
        <v>2</v>
      </c>
      <c r="AC8">
        <v>0</v>
      </c>
    </row>
    <row r="9" spans="1:89" x14ac:dyDescent="0.25">
      <c r="B9" t="s">
        <v>28</v>
      </c>
      <c r="C9" t="s">
        <v>32</v>
      </c>
      <c r="D9">
        <v>5</v>
      </c>
      <c r="E9">
        <v>0</v>
      </c>
      <c r="F9">
        <v>5</v>
      </c>
      <c r="G9">
        <v>0</v>
      </c>
      <c r="H9">
        <v>5</v>
      </c>
      <c r="I9">
        <v>0</v>
      </c>
      <c r="J9">
        <v>5</v>
      </c>
      <c r="K9">
        <v>0</v>
      </c>
      <c r="L9">
        <v>5</v>
      </c>
      <c r="M9">
        <v>0</v>
      </c>
      <c r="N9">
        <v>5</v>
      </c>
      <c r="O9">
        <v>0</v>
      </c>
      <c r="P9">
        <v>5</v>
      </c>
      <c r="Q9">
        <v>0</v>
      </c>
      <c r="R9">
        <v>5</v>
      </c>
      <c r="S9">
        <v>0</v>
      </c>
      <c r="T9">
        <v>5</v>
      </c>
      <c r="U9">
        <v>0</v>
      </c>
      <c r="V9">
        <v>5</v>
      </c>
      <c r="W9">
        <v>0</v>
      </c>
      <c r="X9">
        <v>5</v>
      </c>
      <c r="Y9">
        <v>0</v>
      </c>
      <c r="Z9">
        <v>5</v>
      </c>
      <c r="AA9">
        <v>0</v>
      </c>
      <c r="AB9">
        <v>5</v>
      </c>
      <c r="AC9">
        <v>0</v>
      </c>
    </row>
    <row r="10" spans="1:89" x14ac:dyDescent="0.25">
      <c r="B10" t="s">
        <v>33</v>
      </c>
      <c r="C10" t="s">
        <v>34</v>
      </c>
      <c r="D10">
        <v>5</v>
      </c>
      <c r="E10">
        <v>2</v>
      </c>
      <c r="F10">
        <v>4</v>
      </c>
      <c r="G10">
        <v>0</v>
      </c>
      <c r="H10">
        <v>4</v>
      </c>
      <c r="I10">
        <v>0</v>
      </c>
      <c r="J10">
        <v>4</v>
      </c>
      <c r="K10">
        <v>0</v>
      </c>
      <c r="L10">
        <v>4</v>
      </c>
      <c r="M10">
        <v>0</v>
      </c>
      <c r="N10">
        <v>4</v>
      </c>
      <c r="O10">
        <v>0</v>
      </c>
      <c r="P10">
        <v>4</v>
      </c>
      <c r="Q10">
        <v>0</v>
      </c>
      <c r="R10">
        <v>4</v>
      </c>
      <c r="S10">
        <v>0</v>
      </c>
      <c r="T10">
        <v>4</v>
      </c>
      <c r="U10">
        <v>0</v>
      </c>
      <c r="V10">
        <v>4</v>
      </c>
      <c r="W10">
        <v>0</v>
      </c>
      <c r="X10">
        <v>4</v>
      </c>
      <c r="Y10">
        <v>0</v>
      </c>
      <c r="Z10">
        <v>4</v>
      </c>
      <c r="AA10">
        <v>0</v>
      </c>
      <c r="AB10">
        <v>4</v>
      </c>
      <c r="AC10">
        <v>0</v>
      </c>
    </row>
    <row r="11" spans="1:89" x14ac:dyDescent="0.25">
      <c r="B11" t="s">
        <v>33</v>
      </c>
      <c r="C11" t="s">
        <v>35</v>
      </c>
      <c r="D11">
        <v>4</v>
      </c>
      <c r="E11">
        <v>0</v>
      </c>
      <c r="F11">
        <v>4</v>
      </c>
      <c r="G11">
        <v>0</v>
      </c>
      <c r="H11">
        <v>4</v>
      </c>
      <c r="I11">
        <v>0</v>
      </c>
      <c r="J11">
        <v>4</v>
      </c>
      <c r="K11">
        <v>0</v>
      </c>
      <c r="L11">
        <v>4</v>
      </c>
      <c r="M11">
        <v>0</v>
      </c>
      <c r="N11">
        <v>4</v>
      </c>
      <c r="O11">
        <v>0</v>
      </c>
      <c r="P11">
        <v>4</v>
      </c>
      <c r="Q11">
        <v>0</v>
      </c>
      <c r="R11">
        <v>4</v>
      </c>
      <c r="S11">
        <v>0</v>
      </c>
      <c r="T11">
        <v>4</v>
      </c>
      <c r="U11">
        <v>0</v>
      </c>
      <c r="V11">
        <v>4</v>
      </c>
      <c r="W11">
        <v>0</v>
      </c>
      <c r="X11">
        <v>4</v>
      </c>
      <c r="Y11">
        <v>0</v>
      </c>
      <c r="Z11">
        <v>4</v>
      </c>
      <c r="AA11">
        <v>0</v>
      </c>
      <c r="AB11">
        <v>4</v>
      </c>
      <c r="AC11">
        <v>0</v>
      </c>
    </row>
    <row r="12" spans="1:89" x14ac:dyDescent="0.25">
      <c r="B12" t="s">
        <v>33</v>
      </c>
      <c r="C12" t="s">
        <v>36</v>
      </c>
      <c r="D12">
        <v>4</v>
      </c>
      <c r="E12">
        <v>0</v>
      </c>
      <c r="F12">
        <v>4</v>
      </c>
      <c r="G12">
        <v>0</v>
      </c>
      <c r="H12">
        <v>4</v>
      </c>
      <c r="I12">
        <v>0</v>
      </c>
      <c r="J12">
        <v>4</v>
      </c>
      <c r="K12">
        <v>0</v>
      </c>
      <c r="L12">
        <v>4</v>
      </c>
      <c r="M12">
        <v>0</v>
      </c>
      <c r="N12">
        <v>4</v>
      </c>
      <c r="O12">
        <v>0</v>
      </c>
      <c r="P12">
        <v>4</v>
      </c>
      <c r="Q12">
        <v>0</v>
      </c>
      <c r="R12">
        <v>4</v>
      </c>
      <c r="S12">
        <v>0</v>
      </c>
      <c r="T12">
        <v>4</v>
      </c>
      <c r="U12">
        <v>0</v>
      </c>
      <c r="V12">
        <v>4</v>
      </c>
      <c r="W12">
        <v>0</v>
      </c>
      <c r="X12">
        <v>4</v>
      </c>
      <c r="Y12">
        <v>0</v>
      </c>
      <c r="Z12">
        <v>4</v>
      </c>
      <c r="AA12">
        <v>0</v>
      </c>
      <c r="AB12">
        <v>4</v>
      </c>
      <c r="AC12">
        <v>0</v>
      </c>
    </row>
    <row r="13" spans="1:89" x14ac:dyDescent="0.25">
      <c r="B13" t="s">
        <v>33</v>
      </c>
      <c r="C13" t="s">
        <v>37</v>
      </c>
      <c r="D13">
        <v>3</v>
      </c>
      <c r="E13">
        <v>0</v>
      </c>
      <c r="F13">
        <v>3</v>
      </c>
      <c r="G13">
        <v>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3</v>
      </c>
      <c r="O13">
        <v>0</v>
      </c>
      <c r="P13">
        <v>3</v>
      </c>
      <c r="Q13">
        <v>0</v>
      </c>
      <c r="R13">
        <v>3</v>
      </c>
      <c r="S13">
        <v>0</v>
      </c>
      <c r="T13">
        <v>3</v>
      </c>
      <c r="U13">
        <v>0</v>
      </c>
      <c r="V13">
        <v>3</v>
      </c>
      <c r="W13">
        <v>0</v>
      </c>
      <c r="X13">
        <v>3</v>
      </c>
      <c r="Y13">
        <v>0</v>
      </c>
      <c r="Z13">
        <v>3</v>
      </c>
      <c r="AA13">
        <v>0</v>
      </c>
      <c r="AB13">
        <v>3</v>
      </c>
      <c r="AC13">
        <v>0</v>
      </c>
    </row>
    <row r="14" spans="1:89" x14ac:dyDescent="0.25">
      <c r="B14" t="s">
        <v>38</v>
      </c>
      <c r="C14" t="s">
        <v>39</v>
      </c>
      <c r="D14">
        <v>3</v>
      </c>
      <c r="E14">
        <v>0</v>
      </c>
      <c r="F14">
        <v>3</v>
      </c>
      <c r="G14">
        <v>0</v>
      </c>
      <c r="H14">
        <v>3</v>
      </c>
      <c r="I14">
        <v>0</v>
      </c>
      <c r="J14">
        <v>3</v>
      </c>
      <c r="K14">
        <v>0</v>
      </c>
      <c r="L14">
        <v>3</v>
      </c>
      <c r="M14">
        <v>0</v>
      </c>
      <c r="N14">
        <v>3</v>
      </c>
      <c r="O14">
        <v>0</v>
      </c>
      <c r="P14">
        <v>3</v>
      </c>
      <c r="Q14">
        <v>0</v>
      </c>
      <c r="R14">
        <v>3</v>
      </c>
      <c r="S14">
        <v>0</v>
      </c>
      <c r="T14">
        <v>3</v>
      </c>
      <c r="U14">
        <v>0</v>
      </c>
      <c r="V14">
        <v>3</v>
      </c>
      <c r="W14">
        <v>0</v>
      </c>
      <c r="X14">
        <v>3</v>
      </c>
      <c r="Y14">
        <v>0</v>
      </c>
      <c r="Z14">
        <v>3</v>
      </c>
      <c r="AA14">
        <v>0</v>
      </c>
      <c r="AB14">
        <v>3</v>
      </c>
      <c r="AC14">
        <v>0</v>
      </c>
    </row>
    <row r="15" spans="1:89" x14ac:dyDescent="0.25">
      <c r="B15" t="s">
        <v>100</v>
      </c>
      <c r="C15" t="s">
        <v>40</v>
      </c>
      <c r="D15">
        <v>152</v>
      </c>
      <c r="E15">
        <v>8</v>
      </c>
      <c r="F15">
        <v>152</v>
      </c>
      <c r="G15">
        <v>17</v>
      </c>
      <c r="H15">
        <v>151</v>
      </c>
      <c r="I15">
        <v>0</v>
      </c>
      <c r="J15">
        <v>151</v>
      </c>
      <c r="K15">
        <v>0</v>
      </c>
      <c r="L15">
        <v>151</v>
      </c>
      <c r="M15">
        <v>0</v>
      </c>
      <c r="N15">
        <v>151</v>
      </c>
      <c r="O15">
        <v>0</v>
      </c>
      <c r="P15">
        <v>151</v>
      </c>
      <c r="Q15">
        <v>0</v>
      </c>
      <c r="R15">
        <v>151</v>
      </c>
      <c r="S15">
        <v>0</v>
      </c>
      <c r="T15">
        <v>151</v>
      </c>
      <c r="U15">
        <v>0</v>
      </c>
      <c r="V15">
        <v>151</v>
      </c>
      <c r="W15">
        <v>0</v>
      </c>
      <c r="X15">
        <v>151</v>
      </c>
      <c r="Y15">
        <v>0</v>
      </c>
      <c r="Z15">
        <v>151</v>
      </c>
      <c r="AA15">
        <v>0</v>
      </c>
      <c r="AB15">
        <v>151</v>
      </c>
      <c r="AC15">
        <v>0</v>
      </c>
    </row>
    <row r="16" spans="1:89" x14ac:dyDescent="0.25">
      <c r="B16" t="s">
        <v>100</v>
      </c>
      <c r="C16" t="s">
        <v>41</v>
      </c>
      <c r="D16">
        <v>6</v>
      </c>
      <c r="E16">
        <v>0</v>
      </c>
      <c r="F16">
        <v>6</v>
      </c>
      <c r="G16">
        <v>0</v>
      </c>
      <c r="H16">
        <v>6</v>
      </c>
      <c r="I16">
        <v>0</v>
      </c>
      <c r="J16">
        <v>6</v>
      </c>
      <c r="K16">
        <v>0</v>
      </c>
      <c r="L16">
        <v>6</v>
      </c>
      <c r="M16">
        <v>0</v>
      </c>
      <c r="N16">
        <v>6</v>
      </c>
      <c r="O16">
        <v>0</v>
      </c>
      <c r="P16">
        <v>6</v>
      </c>
      <c r="Q16">
        <v>0</v>
      </c>
      <c r="R16">
        <v>6</v>
      </c>
      <c r="S16">
        <v>0</v>
      </c>
      <c r="T16">
        <v>6</v>
      </c>
      <c r="U16">
        <v>0</v>
      </c>
      <c r="V16">
        <v>6</v>
      </c>
      <c r="W16">
        <v>0</v>
      </c>
      <c r="X16">
        <v>6</v>
      </c>
      <c r="Y16">
        <v>0</v>
      </c>
      <c r="Z16">
        <v>6</v>
      </c>
      <c r="AA16">
        <v>0</v>
      </c>
      <c r="AB16">
        <v>6</v>
      </c>
      <c r="AC16">
        <v>0</v>
      </c>
    </row>
    <row r="17" spans="2:29" x14ac:dyDescent="0.25">
      <c r="B17" t="s">
        <v>100</v>
      </c>
      <c r="C17" t="s">
        <v>42</v>
      </c>
      <c r="D17">
        <v>2</v>
      </c>
      <c r="E17">
        <v>0</v>
      </c>
      <c r="F17">
        <v>2</v>
      </c>
      <c r="G17">
        <v>0</v>
      </c>
      <c r="H17">
        <v>2</v>
      </c>
      <c r="I17">
        <v>0</v>
      </c>
      <c r="J17">
        <v>2</v>
      </c>
      <c r="K17">
        <v>0</v>
      </c>
      <c r="L17">
        <v>2</v>
      </c>
      <c r="M17">
        <v>0</v>
      </c>
      <c r="N17">
        <v>2</v>
      </c>
      <c r="O17">
        <v>0</v>
      </c>
      <c r="P17">
        <v>2</v>
      </c>
      <c r="Q17">
        <v>0</v>
      </c>
      <c r="R17">
        <v>2</v>
      </c>
      <c r="S17">
        <v>0</v>
      </c>
      <c r="T17">
        <v>2</v>
      </c>
      <c r="U17">
        <v>0</v>
      </c>
      <c r="V17">
        <v>2</v>
      </c>
      <c r="W17">
        <v>0</v>
      </c>
      <c r="X17">
        <v>2</v>
      </c>
      <c r="Y17">
        <v>0</v>
      </c>
      <c r="Z17">
        <v>2</v>
      </c>
      <c r="AA17">
        <v>0</v>
      </c>
      <c r="AB17">
        <v>2</v>
      </c>
      <c r="AC17">
        <v>0</v>
      </c>
    </row>
    <row r="18" spans="2:29" x14ac:dyDescent="0.25">
      <c r="B18" t="s">
        <v>100</v>
      </c>
      <c r="C18" t="s">
        <v>43</v>
      </c>
      <c r="D18">
        <v>7</v>
      </c>
      <c r="E18">
        <v>0</v>
      </c>
      <c r="F18">
        <v>7</v>
      </c>
      <c r="G18">
        <v>0</v>
      </c>
      <c r="H18">
        <v>7</v>
      </c>
      <c r="I18">
        <v>0</v>
      </c>
      <c r="J18">
        <v>7</v>
      </c>
      <c r="K18">
        <v>0</v>
      </c>
      <c r="L18">
        <v>7</v>
      </c>
      <c r="M18">
        <v>0</v>
      </c>
      <c r="N18">
        <v>7</v>
      </c>
      <c r="O18">
        <v>0</v>
      </c>
      <c r="P18">
        <v>7</v>
      </c>
      <c r="Q18">
        <v>0</v>
      </c>
      <c r="R18">
        <v>7</v>
      </c>
      <c r="S18">
        <v>0</v>
      </c>
      <c r="T18">
        <v>7</v>
      </c>
      <c r="U18">
        <v>0</v>
      </c>
      <c r="V18">
        <v>7</v>
      </c>
      <c r="W18">
        <v>0</v>
      </c>
      <c r="X18">
        <v>7</v>
      </c>
      <c r="Y18">
        <v>0</v>
      </c>
      <c r="Z18">
        <v>7</v>
      </c>
      <c r="AA18">
        <v>0</v>
      </c>
      <c r="AB18">
        <v>7</v>
      </c>
      <c r="AC18">
        <v>0</v>
      </c>
    </row>
    <row r="19" spans="2:29" x14ac:dyDescent="0.25">
      <c r="B19" t="s">
        <v>44</v>
      </c>
      <c r="C19" t="s">
        <v>44</v>
      </c>
      <c r="D19">
        <v>192</v>
      </c>
      <c r="E19">
        <v>6</v>
      </c>
      <c r="F19">
        <v>186</v>
      </c>
      <c r="G19">
        <v>7</v>
      </c>
      <c r="H19">
        <v>183</v>
      </c>
      <c r="I19">
        <v>0</v>
      </c>
      <c r="J19">
        <v>183</v>
      </c>
      <c r="K19">
        <v>0</v>
      </c>
      <c r="L19">
        <v>183</v>
      </c>
      <c r="M19">
        <v>0</v>
      </c>
      <c r="N19">
        <v>183</v>
      </c>
      <c r="O19">
        <v>0</v>
      </c>
      <c r="P19">
        <v>183</v>
      </c>
      <c r="Q19">
        <v>0</v>
      </c>
      <c r="R19">
        <v>183</v>
      </c>
      <c r="S19">
        <v>0</v>
      </c>
      <c r="T19">
        <v>183</v>
      </c>
      <c r="U19">
        <v>0</v>
      </c>
      <c r="V19">
        <v>183</v>
      </c>
      <c r="W19">
        <v>0</v>
      </c>
      <c r="X19">
        <v>183</v>
      </c>
      <c r="Y19">
        <v>0</v>
      </c>
      <c r="Z19">
        <v>183</v>
      </c>
      <c r="AA19">
        <v>0</v>
      </c>
      <c r="AB19">
        <v>183</v>
      </c>
      <c r="AC19">
        <v>0</v>
      </c>
    </row>
    <row r="20" spans="2:29" x14ac:dyDescent="0.25">
      <c r="B20" t="s">
        <v>101</v>
      </c>
      <c r="C20" t="s">
        <v>45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</row>
    <row r="21" spans="2:29" x14ac:dyDescent="0.25">
      <c r="B21" t="s">
        <v>102</v>
      </c>
      <c r="C21" t="s">
        <v>102</v>
      </c>
      <c r="D21">
        <v>3</v>
      </c>
      <c r="E21">
        <v>0</v>
      </c>
      <c r="F21" t="s">
        <v>102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0891-5809-4439-8DFD-ED7A2F9B51D8}">
  <sheetPr>
    <tabColor theme="5" tint="0.59999389629810485"/>
  </sheetPr>
  <dimension ref="A1:AR21"/>
  <sheetViews>
    <sheetView tabSelected="1" zoomScale="70" zoomScaleNormal="70" workbookViewId="0">
      <selection activeCell="I7" sqref="I7"/>
    </sheetView>
  </sheetViews>
  <sheetFormatPr defaultRowHeight="15" x14ac:dyDescent="0.25"/>
  <cols>
    <col min="1" max="1" width="10" style="22" customWidth="1"/>
    <col min="2" max="2" width="19" style="22" customWidth="1"/>
    <col min="3" max="3" width="14.28515625" style="22" hidden="1" customWidth="1"/>
    <col min="4" max="4" width="14" bestFit="1" customWidth="1"/>
    <col min="5" max="43" width="5.85546875" customWidth="1"/>
    <col min="44" max="44" width="16.7109375" customWidth="1"/>
  </cols>
  <sheetData>
    <row r="1" spans="1:44" ht="50.25" customHeight="1" x14ac:dyDescent="0.25">
      <c r="A1" s="28" t="str">
        <f>"WORK STATUS " &amp; YEAR(Sheet1!A1)</f>
        <v>WORK STATUS 1900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</row>
    <row r="2" spans="1:44" ht="22.5" customHeight="1" x14ac:dyDescent="0.25">
      <c r="A2" s="29" t="s">
        <v>46</v>
      </c>
      <c r="B2" s="30"/>
      <c r="C2" s="31" t="s">
        <v>67</v>
      </c>
      <c r="D2" s="46" t="str">
        <f>"Begin
" &amp; TEXT(DATE(YEAR(Sheet1!A1)-1,MONTH(Sheet1!A1),1),"MMM, yyyy")</f>
        <v>Begin
Jan, 3799</v>
      </c>
      <c r="E2" s="33">
        <f>DATE(YEAR(Sheet1!$A$1),1,1)</f>
        <v>1</v>
      </c>
      <c r="F2" s="34"/>
      <c r="G2" s="35"/>
      <c r="H2" s="33">
        <f>DATE(YEAR(Sheet1!$A$1),2,1)</f>
        <v>32</v>
      </c>
      <c r="I2" s="34"/>
      <c r="J2" s="35"/>
      <c r="K2" s="33">
        <f>DATE(YEAR(Sheet1!$A$1),3,1)</f>
        <v>61</v>
      </c>
      <c r="L2" s="34"/>
      <c r="M2" s="35"/>
      <c r="N2" s="33">
        <f>DATE(YEAR(Sheet1!$A$1),4,1)</f>
        <v>92</v>
      </c>
      <c r="O2" s="34"/>
      <c r="P2" s="35"/>
      <c r="Q2" s="33">
        <f>DATE(YEAR(Sheet1!$A$1),5,1)</f>
        <v>122</v>
      </c>
      <c r="R2" s="34"/>
      <c r="S2" s="35"/>
      <c r="T2" s="33">
        <f>DATE(YEAR(Sheet1!$A$1),6,1)</f>
        <v>153</v>
      </c>
      <c r="U2" s="34"/>
      <c r="V2" s="35"/>
      <c r="W2" s="33">
        <f>DATE(YEAR(Sheet1!$A$1),7,1)</f>
        <v>183</v>
      </c>
      <c r="X2" s="34"/>
      <c r="Y2" s="35"/>
      <c r="Z2" s="33">
        <f>DATE(YEAR(Sheet1!$A$1),8,1)</f>
        <v>214</v>
      </c>
      <c r="AA2" s="34"/>
      <c r="AB2" s="35"/>
      <c r="AC2" s="33">
        <f>DATE(YEAR(Sheet1!$A$1),9,1)</f>
        <v>245</v>
      </c>
      <c r="AD2" s="34"/>
      <c r="AE2" s="35"/>
      <c r="AF2" s="33">
        <f>DATE(YEAR(Sheet1!$A$1),10,1)</f>
        <v>275</v>
      </c>
      <c r="AG2" s="34"/>
      <c r="AH2" s="35"/>
      <c r="AI2" s="33">
        <f>DATE(YEAR(Sheet1!$A$1),11,1)</f>
        <v>306</v>
      </c>
      <c r="AJ2" s="34"/>
      <c r="AK2" s="35"/>
      <c r="AL2" s="33">
        <f>DATE(YEAR(Sheet1!$A$1),12,1)</f>
        <v>336</v>
      </c>
      <c r="AM2" s="34"/>
      <c r="AN2" s="35"/>
      <c r="AO2" s="36" t="s">
        <v>47</v>
      </c>
      <c r="AP2" s="36" t="s">
        <v>48</v>
      </c>
      <c r="AQ2" s="36" t="s">
        <v>49</v>
      </c>
      <c r="AR2" s="38" t="s">
        <v>50</v>
      </c>
    </row>
    <row r="3" spans="1:44" ht="31.5" customHeight="1" x14ac:dyDescent="0.25">
      <c r="A3" s="40" t="s">
        <v>51</v>
      </c>
      <c r="B3" s="41"/>
      <c r="C3" s="32"/>
      <c r="D3" s="47"/>
      <c r="E3" s="1" t="s">
        <v>52</v>
      </c>
      <c r="F3" s="2" t="s">
        <v>53</v>
      </c>
      <c r="G3" s="3" t="s">
        <v>54</v>
      </c>
      <c r="H3" s="1" t="s">
        <v>52</v>
      </c>
      <c r="I3" s="2" t="s">
        <v>53</v>
      </c>
      <c r="J3" s="3" t="s">
        <v>54</v>
      </c>
      <c r="K3" s="1" t="s">
        <v>52</v>
      </c>
      <c r="L3" s="2" t="s">
        <v>53</v>
      </c>
      <c r="M3" s="3" t="s">
        <v>54</v>
      </c>
      <c r="N3" s="1" t="s">
        <v>52</v>
      </c>
      <c r="O3" s="2" t="s">
        <v>53</v>
      </c>
      <c r="P3" s="3" t="s">
        <v>54</v>
      </c>
      <c r="Q3" s="1" t="s">
        <v>52</v>
      </c>
      <c r="R3" s="2" t="s">
        <v>53</v>
      </c>
      <c r="S3" s="3" t="s">
        <v>54</v>
      </c>
      <c r="T3" s="1" t="s">
        <v>52</v>
      </c>
      <c r="U3" s="2" t="s">
        <v>53</v>
      </c>
      <c r="V3" s="3" t="s">
        <v>54</v>
      </c>
      <c r="W3" s="1" t="s">
        <v>52</v>
      </c>
      <c r="X3" s="2" t="s">
        <v>53</v>
      </c>
      <c r="Y3" s="3" t="s">
        <v>54</v>
      </c>
      <c r="Z3" s="1" t="s">
        <v>52</v>
      </c>
      <c r="AA3" s="2" t="s">
        <v>53</v>
      </c>
      <c r="AB3" s="3" t="s">
        <v>54</v>
      </c>
      <c r="AC3" s="1" t="s">
        <v>52</v>
      </c>
      <c r="AD3" s="2" t="s">
        <v>53</v>
      </c>
      <c r="AE3" s="3" t="s">
        <v>54</v>
      </c>
      <c r="AF3" s="1" t="s">
        <v>52</v>
      </c>
      <c r="AG3" s="2" t="s">
        <v>53</v>
      </c>
      <c r="AH3" s="3" t="s">
        <v>54</v>
      </c>
      <c r="AI3" s="1" t="s">
        <v>52</v>
      </c>
      <c r="AJ3" s="2" t="s">
        <v>53</v>
      </c>
      <c r="AK3" s="3" t="s">
        <v>54</v>
      </c>
      <c r="AL3" s="1" t="s">
        <v>52</v>
      </c>
      <c r="AM3" s="2" t="s">
        <v>53</v>
      </c>
      <c r="AN3" s="3" t="s">
        <v>54</v>
      </c>
      <c r="AO3" s="37"/>
      <c r="AP3" s="37"/>
      <c r="AQ3" s="37"/>
      <c r="AR3" s="39"/>
    </row>
    <row r="4" spans="1:44" ht="22.5" customHeight="1" x14ac:dyDescent="0.25">
      <c r="A4" s="42" t="s">
        <v>33</v>
      </c>
      <c r="B4" s="4" t="s">
        <v>34</v>
      </c>
      <c r="C4" t="s">
        <v>34</v>
      </c>
      <c r="D4">
        <f>VLOOKUP(Summary!C4,Sheet1!$C$5:$AC$21,2,0)</f>
        <v>5</v>
      </c>
      <c r="E4" s="6">
        <f>VLOOKUP(Summary!C4,Sheet1!$C$5:$AC$21,5,0)</f>
        <v>0</v>
      </c>
      <c r="F4" s="26">
        <f>VLOOKUP(Summary!C4,Sheet1!$C$5:$AC$21,2,0)+E4-VLOOKUP(Summary!C4,Sheet1!$C$5:$AC$21,4,0)</f>
        <v>1</v>
      </c>
      <c r="G4" s="5">
        <f t="shared" ref="G4:G19" si="0">+D4+E4-F4</f>
        <v>4</v>
      </c>
      <c r="H4" s="6">
        <f>VLOOKUP(Summary!C4,Sheet1!$C$5:$AC$21,7,0)</f>
        <v>0</v>
      </c>
      <c r="I4" s="26">
        <f>VLOOKUP(Summary!C4,Sheet1!$C$5:$AC$21,4,0)+H4-VLOOKUP(Summary!C4,Sheet1!$C$5:$AC$21,6,0)</f>
        <v>0</v>
      </c>
      <c r="J4" s="5">
        <f>+G4+H4-I4</f>
        <v>4</v>
      </c>
      <c r="K4" s="6">
        <f>VLOOKUP(Summary!C4,Sheet1!$C$5:$AC$21,9,0)</f>
        <v>0</v>
      </c>
      <c r="L4" s="26">
        <f>VLOOKUP(Summary!C4,Sheet1!$C$5:$AC$21,6,0)+K4-VLOOKUP(Summary!C4,Sheet1!$C$5:$AC$21,8,0)</f>
        <v>0</v>
      </c>
      <c r="M4" s="5">
        <f>+J4+K4-L4</f>
        <v>4</v>
      </c>
      <c r="N4" s="6">
        <f>VLOOKUP(Summary!C4,Sheet1!$C$5:$AC$21,11,0)</f>
        <v>0</v>
      </c>
      <c r="O4" s="26">
        <f>VLOOKUP(Summary!C4,Sheet1!$C$5:$AC$21,8,0)+N4-VLOOKUP(Summary!C4,Sheet1!$C$5:$AC$21,10,0)</f>
        <v>0</v>
      </c>
      <c r="P4" s="5">
        <f t="shared" ref="P4:P19" si="1">+M4+N4-O4</f>
        <v>4</v>
      </c>
      <c r="Q4" s="6">
        <f>VLOOKUP(Summary!C4,Sheet1!$C$5:$AC$21,13,0)</f>
        <v>0</v>
      </c>
      <c r="R4" s="26">
        <f>VLOOKUP(Summary!C4,Sheet1!$C$5:$AC$21,10,0)+Q4-VLOOKUP(Summary!C4,Sheet1!$C$5:$AC$21,12,0)</f>
        <v>0</v>
      </c>
      <c r="S4" s="5">
        <f>+P4+Q4-R4</f>
        <v>4</v>
      </c>
      <c r="T4" s="6">
        <f>VLOOKUP(Summary!C4,Sheet1!$C$5:$AC$21,15,0)</f>
        <v>0</v>
      </c>
      <c r="U4" s="26">
        <f>VLOOKUP(Summary!C4,Sheet1!$C$5:$AC$21,12,0)+T4-VLOOKUP(Summary!C4,Sheet1!$C$5:$AC$21,14,0)</f>
        <v>0</v>
      </c>
      <c r="V4" s="5">
        <f>+S4+T4-U4</f>
        <v>4</v>
      </c>
      <c r="W4" s="6">
        <f>VLOOKUP(Summary!C4,Sheet1!$C$5:$AC$21,17,0)</f>
        <v>0</v>
      </c>
      <c r="X4" s="26">
        <f>VLOOKUP(Summary!C4,Sheet1!$C$5:$AC$21,14,0)+W4-VLOOKUP(Summary!C4,Sheet1!$C$5:$AC$21,16,0)</f>
        <v>0</v>
      </c>
      <c r="Y4" s="5">
        <f>+V4+W4-X4</f>
        <v>4</v>
      </c>
      <c r="Z4" s="6">
        <f>VLOOKUP(Summary!C4,Sheet1!$C$5:$AC$21,19,0)</f>
        <v>0</v>
      </c>
      <c r="AA4" s="26">
        <f>VLOOKUP(Summary!C4,Sheet1!$C$5:$AC$21,16,0)+Z4-VLOOKUP(Summary!C4,Sheet1!$C$5:$AC$21,18,0)</f>
        <v>0</v>
      </c>
      <c r="AB4" s="5">
        <f>+Y4+Z4-AA4</f>
        <v>4</v>
      </c>
      <c r="AC4" s="6">
        <f>VLOOKUP(Summary!C4,Sheet1!$C$5:$AC$21,21,0)</f>
        <v>0</v>
      </c>
      <c r="AD4" s="26">
        <f>VLOOKUP(Summary!C4,Sheet1!$C$5:$AC$21,18,0)+AC4-VLOOKUP(Summary!C4,Sheet1!$C$5:$AC$21,20,0)</f>
        <v>0</v>
      </c>
      <c r="AE4" s="5">
        <f>+AB4+AC4-AD4</f>
        <v>4</v>
      </c>
      <c r="AF4" s="6">
        <f>VLOOKUP(Summary!C4,Sheet1!$C$5:$AC$21,23,0)</f>
        <v>0</v>
      </c>
      <c r="AG4" s="26">
        <f>VLOOKUP(Summary!C4,Sheet1!$C$5:$AC$21,20,0)+AF4-VLOOKUP(Summary!C4,Sheet1!$C$5:$AC$21,22,0)</f>
        <v>0</v>
      </c>
      <c r="AH4" s="5">
        <f>+AE4+AF4-AG4</f>
        <v>4</v>
      </c>
      <c r="AI4" s="6">
        <f>VLOOKUP(Summary!C4,Sheet1!$C$5:$AC$21,25,0)</f>
        <v>0</v>
      </c>
      <c r="AJ4" s="26">
        <f>VLOOKUP(Summary!C4,Sheet1!$C$5:$AC$21,22,0)+AI4-VLOOKUP(Summary!C4,Sheet1!$C$5:$AC$21,24,0)</f>
        <v>0</v>
      </c>
      <c r="AK4" s="5">
        <f>+AH4+AI4-AJ4</f>
        <v>4</v>
      </c>
      <c r="AL4" s="6">
        <f>VLOOKUP(Summary!C4,Sheet1!$C$5:$AC$21,27,0)</f>
        <v>0</v>
      </c>
      <c r="AM4" s="26">
        <f>VLOOKUP(Summary!C4,Sheet1!$C$5:$AC$21,24,0)+AL4-VLOOKUP(Summary!C4,Sheet1!$C$5:$AC$21,26,0)</f>
        <v>0</v>
      </c>
      <c r="AN4" s="5">
        <f>+AK4+AL4-AM4</f>
        <v>4</v>
      </c>
      <c r="AO4" s="6">
        <f t="shared" ref="AO4:AO20" si="2">+E4+H4+K4+N4+Q4+T4+W4+Z4+AC4+AF4+AI4+AL4</f>
        <v>0</v>
      </c>
      <c r="AP4" s="7">
        <f t="shared" ref="AP4:AP20" si="3">+F4+I4+L4+O4+R4+U4+X4+AA4+AD4+AG4+AJ4+AM4</f>
        <v>1</v>
      </c>
      <c r="AQ4" s="5">
        <f t="shared" ref="AQ4:AQ19" si="4">+D4+AO4-AP4</f>
        <v>4</v>
      </c>
      <c r="AR4" s="8"/>
    </row>
    <row r="5" spans="1:44" ht="22.5" customHeight="1" x14ac:dyDescent="0.25">
      <c r="A5" s="42"/>
      <c r="B5" s="4" t="s">
        <v>35</v>
      </c>
      <c r="C5" t="s">
        <v>35</v>
      </c>
      <c r="D5">
        <f>VLOOKUP(Summary!C5,Sheet1!$C$5:$AC$21,2,0)</f>
        <v>4</v>
      </c>
      <c r="E5" s="6">
        <f>VLOOKUP(Summary!C5,Sheet1!$C$5:$AC$21,5,0)</f>
        <v>0</v>
      </c>
      <c r="F5" s="26">
        <f>VLOOKUP(Summary!C5,Sheet1!$C$5:$AC$21,2,0)+E5-VLOOKUP(Summary!C5,Sheet1!$C$5:$AC$21,4,0)</f>
        <v>0</v>
      </c>
      <c r="G5" s="5">
        <f t="shared" si="0"/>
        <v>4</v>
      </c>
      <c r="H5" s="6">
        <f>VLOOKUP(Summary!C5,Sheet1!$C$5:$AC$21,7,0)</f>
        <v>0</v>
      </c>
      <c r="I5" s="26">
        <f>VLOOKUP(Summary!C5,Sheet1!$C$5:$AC$21,4,0)+H5-VLOOKUP(Summary!C5,Sheet1!$C$5:$AC$21,6,0)</f>
        <v>0</v>
      </c>
      <c r="J5" s="5">
        <f t="shared" ref="J5:J19" si="5">+G5+H5-I5</f>
        <v>4</v>
      </c>
      <c r="K5" s="6">
        <f>VLOOKUP(Summary!C5,Sheet1!$C$5:$AC$21,9,0)</f>
        <v>0</v>
      </c>
      <c r="L5" s="26">
        <f>VLOOKUP(Summary!C5,Sheet1!$C$5:$AC$21,6,0)+K5-VLOOKUP(Summary!C5,Sheet1!$C$5:$AC$21,8,0)</f>
        <v>0</v>
      </c>
      <c r="M5" s="5">
        <f t="shared" ref="M5:M19" si="6">+J5+K5-L5</f>
        <v>4</v>
      </c>
      <c r="N5" s="6">
        <f>VLOOKUP(Summary!C5,Sheet1!$C$5:$AC$21,11,0)</f>
        <v>0</v>
      </c>
      <c r="O5" s="26">
        <f>VLOOKUP(Summary!C5,Sheet1!$C$5:$AC$21,8,0)+N5-VLOOKUP(Summary!C5,Sheet1!$C$5:$AC$21,10,0)</f>
        <v>0</v>
      </c>
      <c r="P5" s="5">
        <f t="shared" si="1"/>
        <v>4</v>
      </c>
      <c r="Q5" s="6">
        <f>VLOOKUP(Summary!C5,Sheet1!$C$5:$AC$21,13,0)</f>
        <v>0</v>
      </c>
      <c r="R5" s="26">
        <f>VLOOKUP(Summary!C5,Sheet1!$C$5:$AC$21,10,0)+Q5-VLOOKUP(Summary!C5,Sheet1!$C$5:$AC$21,12,0)</f>
        <v>0</v>
      </c>
      <c r="S5" s="5">
        <f t="shared" ref="S5:S19" si="7">+P5+Q5-R5</f>
        <v>4</v>
      </c>
      <c r="T5" s="6">
        <f>VLOOKUP(Summary!C5,Sheet1!$C$5:$AC$21,15,0)</f>
        <v>0</v>
      </c>
      <c r="U5" s="26">
        <f>VLOOKUP(Summary!C5,Sheet1!$C$5:$AC$21,12,0)+T5-VLOOKUP(Summary!C5,Sheet1!$C$5:$AC$21,14,0)</f>
        <v>0</v>
      </c>
      <c r="V5" s="5">
        <f t="shared" ref="V5:V19" si="8">+S5+T5-U5</f>
        <v>4</v>
      </c>
      <c r="W5" s="6">
        <f>VLOOKUP(Summary!C5,Sheet1!$C$5:$AC$21,17,0)</f>
        <v>0</v>
      </c>
      <c r="X5" s="26">
        <f>VLOOKUP(Summary!C5,Sheet1!$C$5:$AC$21,14,0)+W5-VLOOKUP(Summary!C5,Sheet1!$C$5:$AC$21,16,0)</f>
        <v>0</v>
      </c>
      <c r="Y5" s="5">
        <f t="shared" ref="Y5:Y19" si="9">+V5+W5-X5</f>
        <v>4</v>
      </c>
      <c r="Z5" s="6">
        <f>VLOOKUP(Summary!C5,Sheet1!$C$5:$AC$21,19,0)</f>
        <v>0</v>
      </c>
      <c r="AA5" s="26">
        <f>VLOOKUP(Summary!C5,Sheet1!$C$5:$AC$21,16,0)+Z5-VLOOKUP(Summary!C5,Sheet1!$C$5:$AC$21,18,0)</f>
        <v>0</v>
      </c>
      <c r="AB5" s="5">
        <f t="shared" ref="AB5:AB19" si="10">+Y5+Z5-AA5</f>
        <v>4</v>
      </c>
      <c r="AC5" s="6">
        <f>VLOOKUP(Summary!C5,Sheet1!$C$5:$AC$21,21,0)</f>
        <v>0</v>
      </c>
      <c r="AD5" s="26">
        <f>VLOOKUP(Summary!C5,Sheet1!$C$5:$AC$21,18,0)+AC5-VLOOKUP(Summary!C5,Sheet1!$C$5:$AC$21,20,0)</f>
        <v>0</v>
      </c>
      <c r="AE5" s="5">
        <f t="shared" ref="AE5:AE19" si="11">+AB5+AC5-AD5</f>
        <v>4</v>
      </c>
      <c r="AF5" s="6">
        <f>VLOOKUP(Summary!C5,Sheet1!$C$5:$AC$21,23,0)</f>
        <v>0</v>
      </c>
      <c r="AG5" s="26">
        <f>VLOOKUP(Summary!C5,Sheet1!$C$5:$AC$21,20,0)+AF5-VLOOKUP(Summary!C5,Sheet1!$C$5:$AC$21,22,0)</f>
        <v>0</v>
      </c>
      <c r="AH5" s="5">
        <f t="shared" ref="AH5:AH19" si="12">+AE5+AF5-AG5</f>
        <v>4</v>
      </c>
      <c r="AI5" s="6">
        <f>VLOOKUP(Summary!C5,Sheet1!$C$5:$AC$21,25,0)</f>
        <v>0</v>
      </c>
      <c r="AJ5" s="26">
        <f>VLOOKUP(Summary!C5,Sheet1!$C$5:$AC$21,22,0)+AI5-VLOOKUP(Summary!C5,Sheet1!$C$5:$AC$21,24,0)</f>
        <v>0</v>
      </c>
      <c r="AK5" s="5">
        <f t="shared" ref="AK5:AK19" si="13">+AH5+AI5-AJ5</f>
        <v>4</v>
      </c>
      <c r="AL5" s="6">
        <f>VLOOKUP(Summary!C5,Sheet1!$C$5:$AC$21,27,0)</f>
        <v>0</v>
      </c>
      <c r="AM5" s="26">
        <f>VLOOKUP(Summary!C5,Sheet1!$C$5:$AC$21,24,0)+AL5-VLOOKUP(Summary!C5,Sheet1!$C$5:$AC$21,26,0)</f>
        <v>0</v>
      </c>
      <c r="AN5" s="5">
        <f t="shared" ref="AN5:AN19" si="14">+AK5+AL5-AM5</f>
        <v>4</v>
      </c>
      <c r="AO5" s="6">
        <f t="shared" si="2"/>
        <v>0</v>
      </c>
      <c r="AP5" s="7">
        <f t="shared" si="3"/>
        <v>0</v>
      </c>
      <c r="AQ5" s="5">
        <f t="shared" si="4"/>
        <v>4</v>
      </c>
      <c r="AR5" s="9"/>
    </row>
    <row r="6" spans="1:44" ht="22.5" customHeight="1" x14ac:dyDescent="0.25">
      <c r="A6" s="42"/>
      <c r="B6" s="4" t="s">
        <v>55</v>
      </c>
      <c r="C6" t="s">
        <v>36</v>
      </c>
      <c r="D6">
        <f>VLOOKUP(Summary!C6,Sheet1!$C$5:$AC$21,2,0)</f>
        <v>4</v>
      </c>
      <c r="E6" s="6">
        <f>VLOOKUP(Summary!C6,Sheet1!$C$5:$AC$21,5,0)</f>
        <v>0</v>
      </c>
      <c r="F6" s="26">
        <f>VLOOKUP(Summary!C6,Sheet1!$C$5:$AC$21,2,0)+E6-VLOOKUP(Summary!C6,Sheet1!$C$5:$AC$21,4,0)</f>
        <v>0</v>
      </c>
      <c r="G6" s="5">
        <f t="shared" si="0"/>
        <v>4</v>
      </c>
      <c r="H6" s="6">
        <f>VLOOKUP(Summary!C6,Sheet1!$C$5:$AC$21,7,0)</f>
        <v>0</v>
      </c>
      <c r="I6" s="26">
        <f>VLOOKUP(Summary!C6,Sheet1!$C$5:$AC$21,4,0)+H6-VLOOKUP(Summary!C6,Sheet1!$C$5:$AC$21,6,0)</f>
        <v>0</v>
      </c>
      <c r="J6" s="5">
        <f t="shared" si="5"/>
        <v>4</v>
      </c>
      <c r="K6" s="6">
        <f>VLOOKUP(Summary!C6,Sheet1!$C$5:$AC$21,9,0)</f>
        <v>0</v>
      </c>
      <c r="L6" s="26">
        <f>VLOOKUP(Summary!C6,Sheet1!$C$5:$AC$21,6,0)+K6-VLOOKUP(Summary!C6,Sheet1!$C$5:$AC$21,8,0)</f>
        <v>0</v>
      </c>
      <c r="M6" s="5">
        <f t="shared" si="6"/>
        <v>4</v>
      </c>
      <c r="N6" s="6">
        <f>VLOOKUP(Summary!C6,Sheet1!$C$5:$AC$21,11,0)</f>
        <v>0</v>
      </c>
      <c r="O6" s="26">
        <f>VLOOKUP(Summary!C6,Sheet1!$C$5:$AC$21,8,0)+N6-VLOOKUP(Summary!C6,Sheet1!$C$5:$AC$21,10,0)</f>
        <v>0</v>
      </c>
      <c r="P6" s="5">
        <f t="shared" si="1"/>
        <v>4</v>
      </c>
      <c r="Q6" s="6">
        <f>VLOOKUP(Summary!C6,Sheet1!$C$5:$AC$21,13,0)</f>
        <v>0</v>
      </c>
      <c r="R6" s="26">
        <f>VLOOKUP(Summary!C6,Sheet1!$C$5:$AC$21,10,0)+Q6-VLOOKUP(Summary!C6,Sheet1!$C$5:$AC$21,12,0)</f>
        <v>0</v>
      </c>
      <c r="S6" s="5">
        <f t="shared" si="7"/>
        <v>4</v>
      </c>
      <c r="T6" s="6">
        <f>VLOOKUP(Summary!C6,Sheet1!$C$5:$AC$21,15,0)</f>
        <v>0</v>
      </c>
      <c r="U6" s="26">
        <f>VLOOKUP(Summary!C6,Sheet1!$C$5:$AC$21,12,0)+T6-VLOOKUP(Summary!C6,Sheet1!$C$5:$AC$21,14,0)</f>
        <v>0</v>
      </c>
      <c r="V6" s="5">
        <f t="shared" si="8"/>
        <v>4</v>
      </c>
      <c r="W6" s="6">
        <f>VLOOKUP(Summary!C6,Sheet1!$C$5:$AC$21,17,0)</f>
        <v>0</v>
      </c>
      <c r="X6" s="26">
        <f>VLOOKUP(Summary!C6,Sheet1!$C$5:$AC$21,14,0)+W6-VLOOKUP(Summary!C6,Sheet1!$C$5:$AC$21,16,0)</f>
        <v>0</v>
      </c>
      <c r="Y6" s="5">
        <f t="shared" si="9"/>
        <v>4</v>
      </c>
      <c r="Z6" s="6">
        <f>VLOOKUP(Summary!C6,Sheet1!$C$5:$AC$21,19,0)</f>
        <v>0</v>
      </c>
      <c r="AA6" s="26">
        <f>VLOOKUP(Summary!C6,Sheet1!$C$5:$AC$21,16,0)+Z6-VLOOKUP(Summary!C6,Sheet1!$C$5:$AC$21,18,0)</f>
        <v>0</v>
      </c>
      <c r="AB6" s="5">
        <f t="shared" si="10"/>
        <v>4</v>
      </c>
      <c r="AC6" s="6">
        <f>VLOOKUP(Summary!C6,Sheet1!$C$5:$AC$21,21,0)</f>
        <v>0</v>
      </c>
      <c r="AD6" s="26">
        <f>VLOOKUP(Summary!C6,Sheet1!$C$5:$AC$21,18,0)+AC6-VLOOKUP(Summary!C6,Sheet1!$C$5:$AC$21,20,0)</f>
        <v>0</v>
      </c>
      <c r="AE6" s="5">
        <f t="shared" si="11"/>
        <v>4</v>
      </c>
      <c r="AF6" s="6">
        <f>VLOOKUP(Summary!C6,Sheet1!$C$5:$AC$21,23,0)</f>
        <v>0</v>
      </c>
      <c r="AG6" s="26">
        <f>VLOOKUP(Summary!C6,Sheet1!$C$5:$AC$21,20,0)+AF6-VLOOKUP(Summary!C6,Sheet1!$C$5:$AC$21,22,0)</f>
        <v>0</v>
      </c>
      <c r="AH6" s="5">
        <f t="shared" si="12"/>
        <v>4</v>
      </c>
      <c r="AI6" s="6">
        <f>VLOOKUP(Summary!C6,Sheet1!$C$5:$AC$21,25,0)</f>
        <v>0</v>
      </c>
      <c r="AJ6" s="26">
        <f>VLOOKUP(Summary!C6,Sheet1!$C$5:$AC$21,22,0)+AI6-VLOOKUP(Summary!C6,Sheet1!$C$5:$AC$21,24,0)</f>
        <v>0</v>
      </c>
      <c r="AK6" s="5">
        <f t="shared" si="13"/>
        <v>4</v>
      </c>
      <c r="AL6" s="6">
        <f>VLOOKUP(Summary!C6,Sheet1!$C$5:$AC$21,27,0)</f>
        <v>0</v>
      </c>
      <c r="AM6" s="26">
        <f>VLOOKUP(Summary!C6,Sheet1!$C$5:$AC$21,24,0)+AL6-VLOOKUP(Summary!C6,Sheet1!$C$5:$AC$21,26,0)</f>
        <v>0</v>
      </c>
      <c r="AN6" s="5">
        <f t="shared" si="14"/>
        <v>4</v>
      </c>
      <c r="AO6" s="6">
        <f t="shared" si="2"/>
        <v>0</v>
      </c>
      <c r="AP6" s="7">
        <f t="shared" si="3"/>
        <v>0</v>
      </c>
      <c r="AQ6" s="5">
        <f t="shared" si="4"/>
        <v>4</v>
      </c>
      <c r="AR6" s="9"/>
    </row>
    <row r="7" spans="1:44" ht="22.5" customHeight="1" x14ac:dyDescent="0.25">
      <c r="A7" s="42"/>
      <c r="B7" s="4" t="s">
        <v>56</v>
      </c>
      <c r="C7" t="s">
        <v>37</v>
      </c>
      <c r="D7">
        <f>VLOOKUP(Summary!C7,Sheet1!$C$5:$AC$21,2,0)</f>
        <v>3</v>
      </c>
      <c r="E7" s="6">
        <f>VLOOKUP(Summary!C7,Sheet1!$C$5:$AC$21,5,0)</f>
        <v>0</v>
      </c>
      <c r="F7" s="26">
        <f>VLOOKUP(Summary!C7,Sheet1!$C$5:$AC$21,2,0)+E7-VLOOKUP(Summary!C7,Sheet1!$C$5:$AC$21,4,0)</f>
        <v>0</v>
      </c>
      <c r="G7" s="5">
        <f t="shared" si="0"/>
        <v>3</v>
      </c>
      <c r="H7" s="6">
        <f>VLOOKUP(Summary!C7,Sheet1!$C$5:$AC$21,7,0)</f>
        <v>0</v>
      </c>
      <c r="I7" s="26">
        <f>VLOOKUP(Summary!C7,Sheet1!$C$5:$AC$21,4,0)+H7-VLOOKUP(Summary!C7,Sheet1!$C$5:$AC$21,6,0)</f>
        <v>0</v>
      </c>
      <c r="J7" s="5">
        <f t="shared" si="5"/>
        <v>3</v>
      </c>
      <c r="K7" s="6">
        <f>VLOOKUP(Summary!C7,Sheet1!$C$5:$AC$21,9,0)</f>
        <v>0</v>
      </c>
      <c r="L7" s="26">
        <f>VLOOKUP(Summary!C7,Sheet1!$C$5:$AC$21,6,0)+K7-VLOOKUP(Summary!C7,Sheet1!$C$5:$AC$21,8,0)</f>
        <v>0</v>
      </c>
      <c r="M7" s="5">
        <f t="shared" si="6"/>
        <v>3</v>
      </c>
      <c r="N7" s="6">
        <f>VLOOKUP(Summary!C7,Sheet1!$C$5:$AC$21,11,0)</f>
        <v>0</v>
      </c>
      <c r="O7" s="26">
        <f>VLOOKUP(Summary!C7,Sheet1!$C$5:$AC$21,8,0)+N7-VLOOKUP(Summary!C7,Sheet1!$C$5:$AC$21,10,0)</f>
        <v>0</v>
      </c>
      <c r="P7" s="5">
        <f t="shared" si="1"/>
        <v>3</v>
      </c>
      <c r="Q7" s="6">
        <f>VLOOKUP(Summary!C7,Sheet1!$C$5:$AC$21,13,0)</f>
        <v>0</v>
      </c>
      <c r="R7" s="26">
        <f>VLOOKUP(Summary!C7,Sheet1!$C$5:$AC$21,10,0)+Q7-VLOOKUP(Summary!C7,Sheet1!$C$5:$AC$21,12,0)</f>
        <v>0</v>
      </c>
      <c r="S7" s="5">
        <f t="shared" si="7"/>
        <v>3</v>
      </c>
      <c r="T7" s="6">
        <f>VLOOKUP(Summary!C7,Sheet1!$C$5:$AC$21,15,0)</f>
        <v>0</v>
      </c>
      <c r="U7" s="26">
        <f>VLOOKUP(Summary!C7,Sheet1!$C$5:$AC$21,12,0)+T7-VLOOKUP(Summary!C7,Sheet1!$C$5:$AC$21,14,0)</f>
        <v>0</v>
      </c>
      <c r="V7" s="5">
        <f t="shared" si="8"/>
        <v>3</v>
      </c>
      <c r="W7" s="6">
        <f>VLOOKUP(Summary!C7,Sheet1!$C$5:$AC$21,17,0)</f>
        <v>0</v>
      </c>
      <c r="X7" s="26">
        <f>VLOOKUP(Summary!C7,Sheet1!$C$5:$AC$21,14,0)+W7-VLOOKUP(Summary!C7,Sheet1!$C$5:$AC$21,16,0)</f>
        <v>0</v>
      </c>
      <c r="Y7" s="5">
        <f t="shared" si="9"/>
        <v>3</v>
      </c>
      <c r="Z7" s="6">
        <f>VLOOKUP(Summary!C7,Sheet1!$C$5:$AC$21,19,0)</f>
        <v>0</v>
      </c>
      <c r="AA7" s="26">
        <f>VLOOKUP(Summary!C7,Sheet1!$C$5:$AC$21,16,0)+Z7-VLOOKUP(Summary!C7,Sheet1!$C$5:$AC$21,18,0)</f>
        <v>0</v>
      </c>
      <c r="AB7" s="5">
        <f t="shared" si="10"/>
        <v>3</v>
      </c>
      <c r="AC7" s="6">
        <f>VLOOKUP(Summary!C7,Sheet1!$C$5:$AC$21,21,0)</f>
        <v>0</v>
      </c>
      <c r="AD7" s="26">
        <f>VLOOKUP(Summary!C7,Sheet1!$C$5:$AC$21,18,0)+AC7-VLOOKUP(Summary!C7,Sheet1!$C$5:$AC$21,20,0)</f>
        <v>0</v>
      </c>
      <c r="AE7" s="5">
        <f t="shared" si="11"/>
        <v>3</v>
      </c>
      <c r="AF7" s="6">
        <f>VLOOKUP(Summary!C7,Sheet1!$C$5:$AC$21,23,0)</f>
        <v>0</v>
      </c>
      <c r="AG7" s="26">
        <f>VLOOKUP(Summary!C7,Sheet1!$C$5:$AC$21,20,0)+AF7-VLOOKUP(Summary!C7,Sheet1!$C$5:$AC$21,22,0)</f>
        <v>0</v>
      </c>
      <c r="AH7" s="5">
        <f t="shared" si="12"/>
        <v>3</v>
      </c>
      <c r="AI7" s="6">
        <f>VLOOKUP(Summary!C7,Sheet1!$C$5:$AC$21,25,0)</f>
        <v>0</v>
      </c>
      <c r="AJ7" s="26">
        <f>VLOOKUP(Summary!C7,Sheet1!$C$5:$AC$21,22,0)+AI7-VLOOKUP(Summary!C7,Sheet1!$C$5:$AC$21,24,0)</f>
        <v>0</v>
      </c>
      <c r="AK7" s="5">
        <f t="shared" si="13"/>
        <v>3</v>
      </c>
      <c r="AL7" s="6">
        <f>VLOOKUP(Summary!C7,Sheet1!$C$5:$AC$21,27,0)</f>
        <v>0</v>
      </c>
      <c r="AM7" s="26">
        <f>VLOOKUP(Summary!C7,Sheet1!$C$5:$AC$21,24,0)+AL7-VLOOKUP(Summary!C7,Sheet1!$C$5:$AC$21,26,0)</f>
        <v>0</v>
      </c>
      <c r="AN7" s="5">
        <f t="shared" si="14"/>
        <v>3</v>
      </c>
      <c r="AO7" s="6">
        <f t="shared" si="2"/>
        <v>0</v>
      </c>
      <c r="AP7" s="7">
        <f t="shared" si="3"/>
        <v>0</v>
      </c>
      <c r="AQ7" s="5">
        <f t="shared" si="4"/>
        <v>3</v>
      </c>
      <c r="AR7" s="9"/>
    </row>
    <row r="8" spans="1:44" ht="22.5" customHeight="1" x14ac:dyDescent="0.25">
      <c r="A8" s="42" t="s">
        <v>28</v>
      </c>
      <c r="B8" s="4" t="s">
        <v>57</v>
      </c>
      <c r="C8" t="s">
        <v>29</v>
      </c>
      <c r="D8">
        <f>VLOOKUP(Summary!C8,Sheet1!$C$5:$AC$21,2,0)</f>
        <v>2</v>
      </c>
      <c r="E8" s="6">
        <f>VLOOKUP(Summary!C8,Sheet1!$C$5:$AC$21,5,0)</f>
        <v>0</v>
      </c>
      <c r="F8" s="26">
        <f>VLOOKUP(Summary!C8,Sheet1!$C$5:$AC$21,2,0)+E8-VLOOKUP(Summary!C8,Sheet1!$C$5:$AC$21,4,0)</f>
        <v>0</v>
      </c>
      <c r="G8" s="5">
        <f t="shared" si="0"/>
        <v>2</v>
      </c>
      <c r="H8" s="6">
        <f>VLOOKUP(Summary!C8,Sheet1!$C$5:$AC$21,7,0)</f>
        <v>0</v>
      </c>
      <c r="I8" s="26">
        <f>VLOOKUP(Summary!C8,Sheet1!$C$5:$AC$21,4,0)+H8-VLOOKUP(Summary!C8,Sheet1!$C$5:$AC$21,6,0)</f>
        <v>0</v>
      </c>
      <c r="J8" s="5">
        <f t="shared" si="5"/>
        <v>2</v>
      </c>
      <c r="K8" s="6">
        <f>VLOOKUP(Summary!C8,Sheet1!$C$5:$AC$21,9,0)</f>
        <v>0</v>
      </c>
      <c r="L8" s="26">
        <f>VLOOKUP(Summary!C8,Sheet1!$C$5:$AC$21,6,0)+K8-VLOOKUP(Summary!C8,Sheet1!$C$5:$AC$21,8,0)</f>
        <v>0</v>
      </c>
      <c r="M8" s="5">
        <f t="shared" si="6"/>
        <v>2</v>
      </c>
      <c r="N8" s="6">
        <f>VLOOKUP(Summary!C8,Sheet1!$C$5:$AC$21,11,0)</f>
        <v>0</v>
      </c>
      <c r="O8" s="26">
        <f>VLOOKUP(Summary!C8,Sheet1!$C$5:$AC$21,8,0)+N8-VLOOKUP(Summary!C8,Sheet1!$C$5:$AC$21,10,0)</f>
        <v>0</v>
      </c>
      <c r="P8" s="5">
        <f t="shared" si="1"/>
        <v>2</v>
      </c>
      <c r="Q8" s="6">
        <f>VLOOKUP(Summary!C8,Sheet1!$C$5:$AC$21,13,0)</f>
        <v>0</v>
      </c>
      <c r="R8" s="26">
        <f>VLOOKUP(Summary!C8,Sheet1!$C$5:$AC$21,10,0)+Q8-VLOOKUP(Summary!C8,Sheet1!$C$5:$AC$21,12,0)</f>
        <v>0</v>
      </c>
      <c r="S8" s="5">
        <f t="shared" si="7"/>
        <v>2</v>
      </c>
      <c r="T8" s="6">
        <f>VLOOKUP(Summary!C8,Sheet1!$C$5:$AC$21,15,0)</f>
        <v>0</v>
      </c>
      <c r="U8" s="26">
        <f>VLOOKUP(Summary!C8,Sheet1!$C$5:$AC$21,12,0)+T8-VLOOKUP(Summary!C8,Sheet1!$C$5:$AC$21,14,0)</f>
        <v>0</v>
      </c>
      <c r="V8" s="5">
        <f t="shared" si="8"/>
        <v>2</v>
      </c>
      <c r="W8" s="6">
        <f>VLOOKUP(Summary!C8,Sheet1!$C$5:$AC$21,17,0)</f>
        <v>0</v>
      </c>
      <c r="X8" s="26">
        <f>VLOOKUP(Summary!C8,Sheet1!$C$5:$AC$21,14,0)+W8-VLOOKUP(Summary!C8,Sheet1!$C$5:$AC$21,16,0)</f>
        <v>0</v>
      </c>
      <c r="Y8" s="5">
        <f t="shared" si="9"/>
        <v>2</v>
      </c>
      <c r="Z8" s="6">
        <f>VLOOKUP(Summary!C8,Sheet1!$C$5:$AC$21,19,0)</f>
        <v>0</v>
      </c>
      <c r="AA8" s="26">
        <f>VLOOKUP(Summary!C8,Sheet1!$C$5:$AC$21,16,0)+Z8-VLOOKUP(Summary!C8,Sheet1!$C$5:$AC$21,18,0)</f>
        <v>0</v>
      </c>
      <c r="AB8" s="5">
        <f t="shared" si="10"/>
        <v>2</v>
      </c>
      <c r="AC8" s="6">
        <f>VLOOKUP(Summary!C8,Sheet1!$C$5:$AC$21,21,0)</f>
        <v>0</v>
      </c>
      <c r="AD8" s="26">
        <f>VLOOKUP(Summary!C8,Sheet1!$C$5:$AC$21,18,0)+AC8-VLOOKUP(Summary!C8,Sheet1!$C$5:$AC$21,20,0)</f>
        <v>0</v>
      </c>
      <c r="AE8" s="5">
        <f t="shared" si="11"/>
        <v>2</v>
      </c>
      <c r="AF8" s="6">
        <f>VLOOKUP(Summary!C8,Sheet1!$C$5:$AC$21,23,0)</f>
        <v>0</v>
      </c>
      <c r="AG8" s="26">
        <f>VLOOKUP(Summary!C8,Sheet1!$C$5:$AC$21,20,0)+AF8-VLOOKUP(Summary!C8,Sheet1!$C$5:$AC$21,22,0)</f>
        <v>0</v>
      </c>
      <c r="AH8" s="5">
        <f t="shared" si="12"/>
        <v>2</v>
      </c>
      <c r="AI8" s="6">
        <f>VLOOKUP(Summary!C8,Sheet1!$C$5:$AC$21,25,0)</f>
        <v>0</v>
      </c>
      <c r="AJ8" s="26">
        <f>VLOOKUP(Summary!C8,Sheet1!$C$5:$AC$21,22,0)+AI8-VLOOKUP(Summary!C8,Sheet1!$C$5:$AC$21,24,0)</f>
        <v>0</v>
      </c>
      <c r="AK8" s="5">
        <f t="shared" si="13"/>
        <v>2</v>
      </c>
      <c r="AL8" s="6">
        <f>VLOOKUP(Summary!C8,Sheet1!$C$5:$AC$21,27,0)</f>
        <v>0</v>
      </c>
      <c r="AM8" s="26">
        <f>VLOOKUP(Summary!C8,Sheet1!$C$5:$AC$21,24,0)+AL8-VLOOKUP(Summary!C8,Sheet1!$C$5:$AC$21,26,0)</f>
        <v>0</v>
      </c>
      <c r="AN8" s="5">
        <f t="shared" si="14"/>
        <v>2</v>
      </c>
      <c r="AO8" s="6">
        <f t="shared" si="2"/>
        <v>0</v>
      </c>
      <c r="AP8" s="7">
        <f t="shared" si="3"/>
        <v>0</v>
      </c>
      <c r="AQ8" s="5">
        <f t="shared" si="4"/>
        <v>2</v>
      </c>
      <c r="AR8" s="9"/>
    </row>
    <row r="9" spans="1:44" ht="22.5" customHeight="1" x14ac:dyDescent="0.25">
      <c r="A9" s="42"/>
      <c r="B9" s="4" t="s">
        <v>58</v>
      </c>
      <c r="C9" s="25" t="s">
        <v>68</v>
      </c>
      <c r="D9">
        <f>VLOOKUP(Summary!C9,Sheet1!$C$5:$AC$21,2,0)</f>
        <v>1</v>
      </c>
      <c r="E9" s="6">
        <f>VLOOKUP(Summary!C9,Sheet1!$C$5:$AC$21,5,0)</f>
        <v>0</v>
      </c>
      <c r="F9" s="26">
        <f>VLOOKUP(Summary!C9,Sheet1!$C$5:$AC$21,2,0)+E9-VLOOKUP(Summary!C9,Sheet1!$C$5:$AC$21,4,0)</f>
        <v>0</v>
      </c>
      <c r="G9" s="5">
        <f t="shared" si="0"/>
        <v>1</v>
      </c>
      <c r="H9" s="6">
        <f>VLOOKUP(Summary!C9,Sheet1!$C$5:$AC$21,7,0)</f>
        <v>0</v>
      </c>
      <c r="I9" s="26">
        <f>VLOOKUP(Summary!C9,Sheet1!$C$5:$AC$21,4,0)+H9-VLOOKUP(Summary!C9,Sheet1!$C$5:$AC$21,6,0)</f>
        <v>0</v>
      </c>
      <c r="J9" s="5">
        <f t="shared" si="5"/>
        <v>1</v>
      </c>
      <c r="K9" s="6">
        <f>VLOOKUP(Summary!C9,Sheet1!$C$5:$AC$21,9,0)</f>
        <v>0</v>
      </c>
      <c r="L9" s="26">
        <f>VLOOKUP(Summary!C9,Sheet1!$C$5:$AC$21,6,0)+K9-VLOOKUP(Summary!C9,Sheet1!$C$5:$AC$21,8,0)</f>
        <v>0</v>
      </c>
      <c r="M9" s="5">
        <f t="shared" si="6"/>
        <v>1</v>
      </c>
      <c r="N9" s="6">
        <f>VLOOKUP(Summary!C9,Sheet1!$C$5:$AC$21,11,0)</f>
        <v>0</v>
      </c>
      <c r="O9" s="26">
        <f>VLOOKUP(Summary!C9,Sheet1!$C$5:$AC$21,8,0)+N9-VLOOKUP(Summary!C9,Sheet1!$C$5:$AC$21,10,0)</f>
        <v>0</v>
      </c>
      <c r="P9" s="5">
        <f t="shared" si="1"/>
        <v>1</v>
      </c>
      <c r="Q9" s="6">
        <f>VLOOKUP(Summary!C9,Sheet1!$C$5:$AC$21,13,0)</f>
        <v>0</v>
      </c>
      <c r="R9" s="26">
        <f>VLOOKUP(Summary!C9,Sheet1!$C$5:$AC$21,10,0)+Q9-VLOOKUP(Summary!C9,Sheet1!$C$5:$AC$21,12,0)</f>
        <v>0</v>
      </c>
      <c r="S9" s="5">
        <f t="shared" si="7"/>
        <v>1</v>
      </c>
      <c r="T9" s="6">
        <f>VLOOKUP(Summary!C9,Sheet1!$C$5:$AC$21,15,0)</f>
        <v>0</v>
      </c>
      <c r="U9" s="26">
        <f>VLOOKUP(Summary!C9,Sheet1!$C$5:$AC$21,12,0)+T9-VLOOKUP(Summary!C9,Sheet1!$C$5:$AC$21,14,0)</f>
        <v>0</v>
      </c>
      <c r="V9" s="5">
        <f t="shared" si="8"/>
        <v>1</v>
      </c>
      <c r="W9" s="6">
        <f>VLOOKUP(Summary!C9,Sheet1!$C$5:$AC$21,17,0)</f>
        <v>0</v>
      </c>
      <c r="X9" s="26">
        <f>VLOOKUP(Summary!C9,Sheet1!$C$5:$AC$21,14,0)+W9-VLOOKUP(Summary!C9,Sheet1!$C$5:$AC$21,16,0)</f>
        <v>0</v>
      </c>
      <c r="Y9" s="5">
        <f t="shared" si="9"/>
        <v>1</v>
      </c>
      <c r="Z9" s="6">
        <f>VLOOKUP(Summary!C9,Sheet1!$C$5:$AC$21,19,0)</f>
        <v>0</v>
      </c>
      <c r="AA9" s="26">
        <f>VLOOKUP(Summary!C9,Sheet1!$C$5:$AC$21,16,0)+Z9-VLOOKUP(Summary!C9,Sheet1!$C$5:$AC$21,18,0)</f>
        <v>0</v>
      </c>
      <c r="AB9" s="5">
        <f t="shared" si="10"/>
        <v>1</v>
      </c>
      <c r="AC9" s="6">
        <f>VLOOKUP(Summary!C9,Sheet1!$C$5:$AC$21,21,0)</f>
        <v>0</v>
      </c>
      <c r="AD9" s="26">
        <f>VLOOKUP(Summary!C9,Sheet1!$C$5:$AC$21,18,0)+AC9-VLOOKUP(Summary!C9,Sheet1!$C$5:$AC$21,20,0)</f>
        <v>0</v>
      </c>
      <c r="AE9" s="5">
        <f t="shared" si="11"/>
        <v>1</v>
      </c>
      <c r="AF9" s="6">
        <f>VLOOKUP(Summary!C9,Sheet1!$C$5:$AC$21,23,0)</f>
        <v>0</v>
      </c>
      <c r="AG9" s="26">
        <f>VLOOKUP(Summary!C9,Sheet1!$C$5:$AC$21,20,0)+AF9-VLOOKUP(Summary!C9,Sheet1!$C$5:$AC$21,22,0)</f>
        <v>0</v>
      </c>
      <c r="AH9" s="5">
        <f t="shared" si="12"/>
        <v>1</v>
      </c>
      <c r="AI9" s="6">
        <f>VLOOKUP(Summary!C9,Sheet1!$C$5:$AC$21,25,0)</f>
        <v>0</v>
      </c>
      <c r="AJ9" s="26">
        <f>VLOOKUP(Summary!C9,Sheet1!$C$5:$AC$21,22,0)+AI9-VLOOKUP(Summary!C9,Sheet1!$C$5:$AC$21,24,0)</f>
        <v>0</v>
      </c>
      <c r="AK9" s="5">
        <f t="shared" si="13"/>
        <v>1</v>
      </c>
      <c r="AL9" s="6">
        <f>VLOOKUP(Summary!C9,Sheet1!$C$5:$AC$21,27,0)</f>
        <v>0</v>
      </c>
      <c r="AM9" s="26">
        <f>VLOOKUP(Summary!C9,Sheet1!$C$5:$AC$21,24,0)+AL9-VLOOKUP(Summary!C9,Sheet1!$C$5:$AC$21,26,0)</f>
        <v>0</v>
      </c>
      <c r="AN9" s="5">
        <f t="shared" si="14"/>
        <v>1</v>
      </c>
      <c r="AO9" s="6">
        <f t="shared" si="2"/>
        <v>0</v>
      </c>
      <c r="AP9" s="7">
        <f t="shared" si="3"/>
        <v>0</v>
      </c>
      <c r="AQ9" s="5">
        <f t="shared" si="4"/>
        <v>1</v>
      </c>
      <c r="AR9" s="9"/>
    </row>
    <row r="10" spans="1:44" ht="22.5" customHeight="1" x14ac:dyDescent="0.25">
      <c r="A10" s="42"/>
      <c r="B10" s="4" t="s">
        <v>59</v>
      </c>
      <c r="C10" t="s">
        <v>31</v>
      </c>
      <c r="D10">
        <f>VLOOKUP(Summary!C10,Sheet1!$C$5:$AC$21,2,0)</f>
        <v>2</v>
      </c>
      <c r="E10" s="6">
        <f>VLOOKUP(Summary!C10,Sheet1!$C$5:$AC$21,5,0)</f>
        <v>0</v>
      </c>
      <c r="F10" s="26">
        <f>VLOOKUP(Summary!C10,Sheet1!$C$5:$AC$21,2,0)+E10-VLOOKUP(Summary!C10,Sheet1!$C$5:$AC$21,4,0)</f>
        <v>0</v>
      </c>
      <c r="G10" s="5">
        <f t="shared" si="0"/>
        <v>2</v>
      </c>
      <c r="H10" s="6">
        <f>VLOOKUP(Summary!C10,Sheet1!$C$5:$AC$21,7,0)</f>
        <v>0</v>
      </c>
      <c r="I10" s="26">
        <f>VLOOKUP(Summary!C10,Sheet1!$C$5:$AC$21,4,0)+H10-VLOOKUP(Summary!C10,Sheet1!$C$5:$AC$21,6,0)</f>
        <v>0</v>
      </c>
      <c r="J10" s="5">
        <f t="shared" si="5"/>
        <v>2</v>
      </c>
      <c r="K10" s="6">
        <f>VLOOKUP(Summary!C10,Sheet1!$C$5:$AC$21,9,0)</f>
        <v>0</v>
      </c>
      <c r="L10" s="26">
        <f>VLOOKUP(Summary!C10,Sheet1!$C$5:$AC$21,6,0)+K10-VLOOKUP(Summary!C10,Sheet1!$C$5:$AC$21,8,0)</f>
        <v>0</v>
      </c>
      <c r="M10" s="5">
        <f t="shared" si="6"/>
        <v>2</v>
      </c>
      <c r="N10" s="6">
        <f>VLOOKUP(Summary!C10,Sheet1!$C$5:$AC$21,11,0)</f>
        <v>0</v>
      </c>
      <c r="O10" s="26">
        <f>VLOOKUP(Summary!C10,Sheet1!$C$5:$AC$21,8,0)+N10-VLOOKUP(Summary!C10,Sheet1!$C$5:$AC$21,10,0)</f>
        <v>0</v>
      </c>
      <c r="P10" s="5">
        <f t="shared" si="1"/>
        <v>2</v>
      </c>
      <c r="Q10" s="6">
        <f>VLOOKUP(Summary!C10,Sheet1!$C$5:$AC$21,13,0)</f>
        <v>0</v>
      </c>
      <c r="R10" s="26">
        <f>VLOOKUP(Summary!C10,Sheet1!$C$5:$AC$21,10,0)+Q10-VLOOKUP(Summary!C10,Sheet1!$C$5:$AC$21,12,0)</f>
        <v>0</v>
      </c>
      <c r="S10" s="5">
        <f t="shared" si="7"/>
        <v>2</v>
      </c>
      <c r="T10" s="6">
        <f>VLOOKUP(Summary!C10,Sheet1!$C$5:$AC$21,15,0)</f>
        <v>0</v>
      </c>
      <c r="U10" s="26">
        <f>VLOOKUP(Summary!C10,Sheet1!$C$5:$AC$21,12,0)+T10-VLOOKUP(Summary!C10,Sheet1!$C$5:$AC$21,14,0)</f>
        <v>0</v>
      </c>
      <c r="V10" s="5">
        <f t="shared" si="8"/>
        <v>2</v>
      </c>
      <c r="W10" s="6">
        <f>VLOOKUP(Summary!C10,Sheet1!$C$5:$AC$21,17,0)</f>
        <v>0</v>
      </c>
      <c r="X10" s="26">
        <f>VLOOKUP(Summary!C10,Sheet1!$C$5:$AC$21,14,0)+W10-VLOOKUP(Summary!C10,Sheet1!$C$5:$AC$21,16,0)</f>
        <v>0</v>
      </c>
      <c r="Y10" s="5">
        <f t="shared" si="9"/>
        <v>2</v>
      </c>
      <c r="Z10" s="6">
        <f>VLOOKUP(Summary!C10,Sheet1!$C$5:$AC$21,19,0)</f>
        <v>0</v>
      </c>
      <c r="AA10" s="26">
        <f>VLOOKUP(Summary!C10,Sheet1!$C$5:$AC$21,16,0)+Z10-VLOOKUP(Summary!C10,Sheet1!$C$5:$AC$21,18,0)</f>
        <v>0</v>
      </c>
      <c r="AB10" s="5">
        <f t="shared" si="10"/>
        <v>2</v>
      </c>
      <c r="AC10" s="6">
        <f>VLOOKUP(Summary!C10,Sheet1!$C$5:$AC$21,21,0)</f>
        <v>0</v>
      </c>
      <c r="AD10" s="26">
        <f>VLOOKUP(Summary!C10,Sheet1!$C$5:$AC$21,18,0)+AC10-VLOOKUP(Summary!C10,Sheet1!$C$5:$AC$21,20,0)</f>
        <v>0</v>
      </c>
      <c r="AE10" s="5">
        <f t="shared" si="11"/>
        <v>2</v>
      </c>
      <c r="AF10" s="6">
        <f>VLOOKUP(Summary!C10,Sheet1!$C$5:$AC$21,23,0)</f>
        <v>0</v>
      </c>
      <c r="AG10" s="26">
        <f>VLOOKUP(Summary!C10,Sheet1!$C$5:$AC$21,20,0)+AF10-VLOOKUP(Summary!C10,Sheet1!$C$5:$AC$21,22,0)</f>
        <v>0</v>
      </c>
      <c r="AH10" s="5">
        <f t="shared" si="12"/>
        <v>2</v>
      </c>
      <c r="AI10" s="6">
        <f>VLOOKUP(Summary!C10,Sheet1!$C$5:$AC$21,25,0)</f>
        <v>0</v>
      </c>
      <c r="AJ10" s="26">
        <f>VLOOKUP(Summary!C10,Sheet1!$C$5:$AC$21,22,0)+AI10-VLOOKUP(Summary!C10,Sheet1!$C$5:$AC$21,24,0)</f>
        <v>0</v>
      </c>
      <c r="AK10" s="5">
        <f t="shared" si="13"/>
        <v>2</v>
      </c>
      <c r="AL10" s="6">
        <f>VLOOKUP(Summary!C10,Sheet1!$C$5:$AC$21,27,0)</f>
        <v>0</v>
      </c>
      <c r="AM10" s="26">
        <f>VLOOKUP(Summary!C10,Sheet1!$C$5:$AC$21,24,0)+AL10-VLOOKUP(Summary!C10,Sheet1!$C$5:$AC$21,26,0)</f>
        <v>0</v>
      </c>
      <c r="AN10" s="5">
        <f t="shared" si="14"/>
        <v>2</v>
      </c>
      <c r="AO10" s="6">
        <f t="shared" si="2"/>
        <v>0</v>
      </c>
      <c r="AP10" s="7">
        <f t="shared" si="3"/>
        <v>0</v>
      </c>
      <c r="AQ10" s="5">
        <f t="shared" si="4"/>
        <v>2</v>
      </c>
      <c r="AR10" s="9"/>
    </row>
    <row r="11" spans="1:44" ht="22.5" customHeight="1" x14ac:dyDescent="0.25">
      <c r="A11" s="42"/>
      <c r="B11" s="4" t="s">
        <v>60</v>
      </c>
      <c r="C11" t="s">
        <v>30</v>
      </c>
      <c r="D11">
        <f>VLOOKUP(Summary!C11,Sheet1!$C$5:$AC$21,2,0)</f>
        <v>3</v>
      </c>
      <c r="E11" s="6">
        <f>VLOOKUP(Summary!C11,Sheet1!$C$5:$AC$21,5,0)</f>
        <v>0</v>
      </c>
      <c r="F11" s="26">
        <f>VLOOKUP(Summary!C11,Sheet1!$C$5:$AC$21,2,0)+E11-VLOOKUP(Summary!C11,Sheet1!$C$5:$AC$21,4,0)</f>
        <v>0</v>
      </c>
      <c r="G11" s="5">
        <f t="shared" si="0"/>
        <v>3</v>
      </c>
      <c r="H11" s="6">
        <f>VLOOKUP(Summary!C11,Sheet1!$C$5:$AC$21,7,0)</f>
        <v>0</v>
      </c>
      <c r="I11" s="26">
        <f>VLOOKUP(Summary!C11,Sheet1!$C$5:$AC$21,4,0)+H11-VLOOKUP(Summary!C11,Sheet1!$C$5:$AC$21,6,0)</f>
        <v>0</v>
      </c>
      <c r="J11" s="5">
        <f t="shared" si="5"/>
        <v>3</v>
      </c>
      <c r="K11" s="6">
        <f>VLOOKUP(Summary!C11,Sheet1!$C$5:$AC$21,9,0)</f>
        <v>0</v>
      </c>
      <c r="L11" s="26">
        <f>VLOOKUP(Summary!C11,Sheet1!$C$5:$AC$21,6,0)+K11-VLOOKUP(Summary!C11,Sheet1!$C$5:$AC$21,8,0)</f>
        <v>0</v>
      </c>
      <c r="M11" s="5">
        <f t="shared" si="6"/>
        <v>3</v>
      </c>
      <c r="N11" s="6">
        <f>VLOOKUP(Summary!C11,Sheet1!$C$5:$AC$21,11,0)</f>
        <v>0</v>
      </c>
      <c r="O11" s="26">
        <f>VLOOKUP(Summary!C11,Sheet1!$C$5:$AC$21,8,0)+N11-VLOOKUP(Summary!C11,Sheet1!$C$5:$AC$21,10,0)</f>
        <v>0</v>
      </c>
      <c r="P11" s="5">
        <f t="shared" si="1"/>
        <v>3</v>
      </c>
      <c r="Q11" s="6">
        <f>VLOOKUP(Summary!C11,Sheet1!$C$5:$AC$21,13,0)</f>
        <v>0</v>
      </c>
      <c r="R11" s="26">
        <f>VLOOKUP(Summary!C11,Sheet1!$C$5:$AC$21,10,0)+Q11-VLOOKUP(Summary!C11,Sheet1!$C$5:$AC$21,12,0)</f>
        <v>0</v>
      </c>
      <c r="S11" s="5">
        <f t="shared" si="7"/>
        <v>3</v>
      </c>
      <c r="T11" s="6">
        <f>VLOOKUP(Summary!C11,Sheet1!$C$5:$AC$21,15,0)</f>
        <v>0</v>
      </c>
      <c r="U11" s="26">
        <f>VLOOKUP(Summary!C11,Sheet1!$C$5:$AC$21,12,0)+T11-VLOOKUP(Summary!C11,Sheet1!$C$5:$AC$21,14,0)</f>
        <v>0</v>
      </c>
      <c r="V11" s="5">
        <f t="shared" si="8"/>
        <v>3</v>
      </c>
      <c r="W11" s="6">
        <f>VLOOKUP(Summary!C11,Sheet1!$C$5:$AC$21,17,0)</f>
        <v>0</v>
      </c>
      <c r="X11" s="26">
        <f>VLOOKUP(Summary!C11,Sheet1!$C$5:$AC$21,14,0)+W11-VLOOKUP(Summary!C11,Sheet1!$C$5:$AC$21,16,0)</f>
        <v>0</v>
      </c>
      <c r="Y11" s="5">
        <f t="shared" si="9"/>
        <v>3</v>
      </c>
      <c r="Z11" s="6">
        <f>VLOOKUP(Summary!C11,Sheet1!$C$5:$AC$21,19,0)</f>
        <v>0</v>
      </c>
      <c r="AA11" s="26">
        <f>VLOOKUP(Summary!C11,Sheet1!$C$5:$AC$21,16,0)+Z11-VLOOKUP(Summary!C11,Sheet1!$C$5:$AC$21,18,0)</f>
        <v>0</v>
      </c>
      <c r="AB11" s="5">
        <f t="shared" si="10"/>
        <v>3</v>
      </c>
      <c r="AC11" s="6">
        <f>VLOOKUP(Summary!C11,Sheet1!$C$5:$AC$21,21,0)</f>
        <v>0</v>
      </c>
      <c r="AD11" s="26">
        <f>VLOOKUP(Summary!C11,Sheet1!$C$5:$AC$21,18,0)+AC11-VLOOKUP(Summary!C11,Sheet1!$C$5:$AC$21,20,0)</f>
        <v>0</v>
      </c>
      <c r="AE11" s="5">
        <f t="shared" si="11"/>
        <v>3</v>
      </c>
      <c r="AF11" s="6">
        <f>VLOOKUP(Summary!C11,Sheet1!$C$5:$AC$21,23,0)</f>
        <v>0</v>
      </c>
      <c r="AG11" s="26">
        <f>VLOOKUP(Summary!C11,Sheet1!$C$5:$AC$21,20,0)+AF11-VLOOKUP(Summary!C11,Sheet1!$C$5:$AC$21,22,0)</f>
        <v>0</v>
      </c>
      <c r="AH11" s="5">
        <f t="shared" si="12"/>
        <v>3</v>
      </c>
      <c r="AI11" s="6">
        <f>VLOOKUP(Summary!C11,Sheet1!$C$5:$AC$21,25,0)</f>
        <v>0</v>
      </c>
      <c r="AJ11" s="26">
        <f>VLOOKUP(Summary!C11,Sheet1!$C$5:$AC$21,22,0)+AI11-VLOOKUP(Summary!C11,Sheet1!$C$5:$AC$21,24,0)</f>
        <v>0</v>
      </c>
      <c r="AK11" s="5">
        <f t="shared" si="13"/>
        <v>3</v>
      </c>
      <c r="AL11" s="6">
        <f>VLOOKUP(Summary!C11,Sheet1!$C$5:$AC$21,27,0)</f>
        <v>0</v>
      </c>
      <c r="AM11" s="26">
        <f>VLOOKUP(Summary!C11,Sheet1!$C$5:$AC$21,24,0)+AL11-VLOOKUP(Summary!C11,Sheet1!$C$5:$AC$21,26,0)</f>
        <v>0</v>
      </c>
      <c r="AN11" s="5">
        <f t="shared" si="14"/>
        <v>3</v>
      </c>
      <c r="AO11" s="6">
        <f t="shared" si="2"/>
        <v>0</v>
      </c>
      <c r="AP11" s="7">
        <f t="shared" si="3"/>
        <v>0</v>
      </c>
      <c r="AQ11" s="5">
        <f t="shared" si="4"/>
        <v>3</v>
      </c>
      <c r="AR11" s="9"/>
    </row>
    <row r="12" spans="1:44" ht="22.5" customHeight="1" x14ac:dyDescent="0.25">
      <c r="A12" s="42"/>
      <c r="B12" s="4" t="s">
        <v>61</v>
      </c>
      <c r="C12" t="s">
        <v>32</v>
      </c>
      <c r="D12">
        <f>VLOOKUP(Summary!C12,Sheet1!$C$5:$AC$21,2,0)</f>
        <v>5</v>
      </c>
      <c r="E12" s="6">
        <f>VLOOKUP(Summary!C12,Sheet1!$C$5:$AC$21,5,0)</f>
        <v>0</v>
      </c>
      <c r="F12" s="26">
        <f>VLOOKUP(Summary!C12,Sheet1!$C$5:$AC$21,2,0)+E12-VLOOKUP(Summary!C12,Sheet1!$C$5:$AC$21,4,0)</f>
        <v>0</v>
      </c>
      <c r="G12" s="5">
        <f t="shared" si="0"/>
        <v>5</v>
      </c>
      <c r="H12" s="6">
        <f>VLOOKUP(Summary!C12,Sheet1!$C$5:$AC$21,7,0)</f>
        <v>0</v>
      </c>
      <c r="I12" s="26">
        <f>VLOOKUP(Summary!C12,Sheet1!$C$5:$AC$21,4,0)+H12-VLOOKUP(Summary!C12,Sheet1!$C$5:$AC$21,6,0)</f>
        <v>0</v>
      </c>
      <c r="J12" s="5">
        <f t="shared" si="5"/>
        <v>5</v>
      </c>
      <c r="K12" s="6">
        <f>VLOOKUP(Summary!C12,Sheet1!$C$5:$AC$21,9,0)</f>
        <v>0</v>
      </c>
      <c r="L12" s="26">
        <f>VLOOKUP(Summary!C12,Sheet1!$C$5:$AC$21,6,0)+K12-VLOOKUP(Summary!C12,Sheet1!$C$5:$AC$21,8,0)</f>
        <v>0</v>
      </c>
      <c r="M12" s="5">
        <f t="shared" si="6"/>
        <v>5</v>
      </c>
      <c r="N12" s="6">
        <f>VLOOKUP(Summary!C12,Sheet1!$C$5:$AC$21,11,0)</f>
        <v>0</v>
      </c>
      <c r="O12" s="26">
        <f>VLOOKUP(Summary!C12,Sheet1!$C$5:$AC$21,8,0)+N12-VLOOKUP(Summary!C12,Sheet1!$C$5:$AC$21,10,0)</f>
        <v>0</v>
      </c>
      <c r="P12" s="5">
        <f t="shared" si="1"/>
        <v>5</v>
      </c>
      <c r="Q12" s="6">
        <f>VLOOKUP(Summary!C12,Sheet1!$C$5:$AC$21,13,0)</f>
        <v>0</v>
      </c>
      <c r="R12" s="26">
        <f>VLOOKUP(Summary!C12,Sheet1!$C$5:$AC$21,10,0)+Q12-VLOOKUP(Summary!C12,Sheet1!$C$5:$AC$21,12,0)</f>
        <v>0</v>
      </c>
      <c r="S12" s="5">
        <f t="shared" si="7"/>
        <v>5</v>
      </c>
      <c r="T12" s="6">
        <f>VLOOKUP(Summary!C12,Sheet1!$C$5:$AC$21,15,0)</f>
        <v>0</v>
      </c>
      <c r="U12" s="26">
        <f>VLOOKUP(Summary!C12,Sheet1!$C$5:$AC$21,12,0)+T12-VLOOKUP(Summary!C12,Sheet1!$C$5:$AC$21,14,0)</f>
        <v>0</v>
      </c>
      <c r="V12" s="5">
        <f t="shared" si="8"/>
        <v>5</v>
      </c>
      <c r="W12" s="6">
        <f>VLOOKUP(Summary!C12,Sheet1!$C$5:$AC$21,17,0)</f>
        <v>0</v>
      </c>
      <c r="X12" s="26">
        <f>VLOOKUP(Summary!C12,Sheet1!$C$5:$AC$21,14,0)+W12-VLOOKUP(Summary!C12,Sheet1!$C$5:$AC$21,16,0)</f>
        <v>0</v>
      </c>
      <c r="Y12" s="5">
        <f t="shared" si="9"/>
        <v>5</v>
      </c>
      <c r="Z12" s="6">
        <f>VLOOKUP(Summary!C12,Sheet1!$C$5:$AC$21,19,0)</f>
        <v>0</v>
      </c>
      <c r="AA12" s="26">
        <f>VLOOKUP(Summary!C12,Sheet1!$C$5:$AC$21,16,0)+Z12-VLOOKUP(Summary!C12,Sheet1!$C$5:$AC$21,18,0)</f>
        <v>0</v>
      </c>
      <c r="AB12" s="5">
        <f t="shared" si="10"/>
        <v>5</v>
      </c>
      <c r="AC12" s="6">
        <f>VLOOKUP(Summary!C12,Sheet1!$C$5:$AC$21,21,0)</f>
        <v>0</v>
      </c>
      <c r="AD12" s="26">
        <f>VLOOKUP(Summary!C12,Sheet1!$C$5:$AC$21,18,0)+AC12-VLOOKUP(Summary!C12,Sheet1!$C$5:$AC$21,20,0)</f>
        <v>0</v>
      </c>
      <c r="AE12" s="5">
        <f t="shared" si="11"/>
        <v>5</v>
      </c>
      <c r="AF12" s="6">
        <f>VLOOKUP(Summary!C12,Sheet1!$C$5:$AC$21,23,0)</f>
        <v>0</v>
      </c>
      <c r="AG12" s="26">
        <f>VLOOKUP(Summary!C12,Sheet1!$C$5:$AC$21,20,0)+AF12-VLOOKUP(Summary!C12,Sheet1!$C$5:$AC$21,22,0)</f>
        <v>0</v>
      </c>
      <c r="AH12" s="5">
        <f t="shared" si="12"/>
        <v>5</v>
      </c>
      <c r="AI12" s="6">
        <f>VLOOKUP(Summary!C12,Sheet1!$C$5:$AC$21,25,0)</f>
        <v>0</v>
      </c>
      <c r="AJ12" s="26">
        <f>VLOOKUP(Summary!C12,Sheet1!$C$5:$AC$21,22,0)+AI12-VLOOKUP(Summary!C12,Sheet1!$C$5:$AC$21,24,0)</f>
        <v>0</v>
      </c>
      <c r="AK12" s="5">
        <f t="shared" si="13"/>
        <v>5</v>
      </c>
      <c r="AL12" s="6">
        <f>VLOOKUP(Summary!C12,Sheet1!$C$5:$AC$21,27,0)</f>
        <v>0</v>
      </c>
      <c r="AM12" s="26">
        <f>VLOOKUP(Summary!C12,Sheet1!$C$5:$AC$21,24,0)+AL12-VLOOKUP(Summary!C12,Sheet1!$C$5:$AC$21,26,0)</f>
        <v>0</v>
      </c>
      <c r="AN12" s="5">
        <f t="shared" si="14"/>
        <v>5</v>
      </c>
      <c r="AO12" s="6">
        <f t="shared" si="2"/>
        <v>0</v>
      </c>
      <c r="AP12" s="7">
        <f t="shared" si="3"/>
        <v>0</v>
      </c>
      <c r="AQ12" s="5">
        <f t="shared" si="4"/>
        <v>5</v>
      </c>
      <c r="AR12" s="9"/>
    </row>
    <row r="13" spans="1:44" s="14" customFormat="1" ht="23.25" customHeight="1" x14ac:dyDescent="0.25">
      <c r="A13" s="43" t="s">
        <v>62</v>
      </c>
      <c r="B13" s="11" t="s">
        <v>40</v>
      </c>
      <c r="C13" t="s">
        <v>40</v>
      </c>
      <c r="D13">
        <f>VLOOKUP(Summary!C13,Sheet1!$C$5:$AC$21,2,0)</f>
        <v>152</v>
      </c>
      <c r="E13" s="6">
        <f>VLOOKUP(Summary!C13,Sheet1!$C$5:$AC$21,5,0)</f>
        <v>17</v>
      </c>
      <c r="F13" s="26">
        <f>VLOOKUP(Summary!C13,Sheet1!$C$5:$AC$21,2,0)+E13-VLOOKUP(Summary!C13,Sheet1!$C$5:$AC$21,4,0)</f>
        <v>17</v>
      </c>
      <c r="G13" s="12">
        <f t="shared" si="0"/>
        <v>152</v>
      </c>
      <c r="H13" s="6">
        <f>VLOOKUP(Summary!C13,Sheet1!$C$5:$AC$21,7,0)</f>
        <v>0</v>
      </c>
      <c r="I13" s="26">
        <f>VLOOKUP(Summary!C13,Sheet1!$C$5:$AC$21,4,0)+H13-VLOOKUP(Summary!C13,Sheet1!$C$5:$AC$21,6,0)</f>
        <v>1</v>
      </c>
      <c r="J13" s="12">
        <f t="shared" si="5"/>
        <v>151</v>
      </c>
      <c r="K13" s="6">
        <f>VLOOKUP(Summary!C13,Sheet1!$C$5:$AC$21,9,0)</f>
        <v>0</v>
      </c>
      <c r="L13" s="26">
        <f>VLOOKUP(Summary!C13,Sheet1!$C$5:$AC$21,6,0)+K13-VLOOKUP(Summary!C13,Sheet1!$C$5:$AC$21,8,0)</f>
        <v>0</v>
      </c>
      <c r="M13" s="12">
        <f t="shared" si="6"/>
        <v>151</v>
      </c>
      <c r="N13" s="6">
        <f>VLOOKUP(Summary!C13,Sheet1!$C$5:$AC$21,11,0)</f>
        <v>0</v>
      </c>
      <c r="O13" s="26">
        <f>VLOOKUP(Summary!C13,Sheet1!$C$5:$AC$21,8,0)+N13-VLOOKUP(Summary!C13,Sheet1!$C$5:$AC$21,10,0)</f>
        <v>0</v>
      </c>
      <c r="P13" s="12">
        <f>+M13+N13-O13</f>
        <v>151</v>
      </c>
      <c r="Q13" s="6">
        <f>VLOOKUP(Summary!C13,Sheet1!$C$5:$AC$21,13,0)</f>
        <v>0</v>
      </c>
      <c r="R13" s="26">
        <f>VLOOKUP(Summary!C13,Sheet1!$C$5:$AC$21,10,0)+Q13-VLOOKUP(Summary!C13,Sheet1!$C$5:$AC$21,12,0)</f>
        <v>0</v>
      </c>
      <c r="S13" s="12">
        <f t="shared" si="7"/>
        <v>151</v>
      </c>
      <c r="T13" s="6">
        <f>VLOOKUP(Summary!C13,Sheet1!$C$5:$AC$21,15,0)</f>
        <v>0</v>
      </c>
      <c r="U13" s="26">
        <f>VLOOKUP(Summary!C13,Sheet1!$C$5:$AC$21,12,0)+T13-VLOOKUP(Summary!C13,Sheet1!$C$5:$AC$21,14,0)</f>
        <v>0</v>
      </c>
      <c r="V13" s="12">
        <f t="shared" si="8"/>
        <v>151</v>
      </c>
      <c r="W13" s="6">
        <f>VLOOKUP(Summary!C13,Sheet1!$C$5:$AC$21,17,0)</f>
        <v>0</v>
      </c>
      <c r="X13" s="26">
        <f>VLOOKUP(Summary!C13,Sheet1!$C$5:$AC$21,14,0)+W13-VLOOKUP(Summary!C13,Sheet1!$C$5:$AC$21,16,0)</f>
        <v>0</v>
      </c>
      <c r="Y13" s="12">
        <f t="shared" si="9"/>
        <v>151</v>
      </c>
      <c r="Z13" s="6">
        <f>VLOOKUP(Summary!C13,Sheet1!$C$5:$AC$21,19,0)</f>
        <v>0</v>
      </c>
      <c r="AA13" s="26">
        <f>VLOOKUP(Summary!C13,Sheet1!$C$5:$AC$21,16,0)+Z13-VLOOKUP(Summary!C13,Sheet1!$C$5:$AC$21,18,0)</f>
        <v>0</v>
      </c>
      <c r="AB13" s="12">
        <f t="shared" si="10"/>
        <v>151</v>
      </c>
      <c r="AC13" s="6">
        <f>VLOOKUP(Summary!C13,Sheet1!$C$5:$AC$21,21,0)</f>
        <v>0</v>
      </c>
      <c r="AD13" s="26">
        <f>VLOOKUP(Summary!C13,Sheet1!$C$5:$AC$21,18,0)+AC13-VLOOKUP(Summary!C13,Sheet1!$C$5:$AC$21,20,0)</f>
        <v>0</v>
      </c>
      <c r="AE13" s="12">
        <f>+AB13+AC13-AD13</f>
        <v>151</v>
      </c>
      <c r="AF13" s="6">
        <f>VLOOKUP(Summary!C13,Sheet1!$C$5:$AC$21,23,0)</f>
        <v>0</v>
      </c>
      <c r="AG13" s="26">
        <f>VLOOKUP(Summary!C13,Sheet1!$C$5:$AC$21,20,0)+AF13-VLOOKUP(Summary!C13,Sheet1!$C$5:$AC$21,22,0)</f>
        <v>0</v>
      </c>
      <c r="AH13" s="12">
        <f t="shared" si="12"/>
        <v>151</v>
      </c>
      <c r="AI13" s="6">
        <f>VLOOKUP(Summary!C13,Sheet1!$C$5:$AC$21,25,0)</f>
        <v>0</v>
      </c>
      <c r="AJ13" s="26">
        <f>VLOOKUP(Summary!C13,Sheet1!$C$5:$AC$21,22,0)+AI13-VLOOKUP(Summary!C13,Sheet1!$C$5:$AC$21,24,0)</f>
        <v>0</v>
      </c>
      <c r="AK13" s="12">
        <f t="shared" si="13"/>
        <v>151</v>
      </c>
      <c r="AL13" s="6">
        <f>VLOOKUP(Summary!C13,Sheet1!$C$5:$AC$21,27,0)</f>
        <v>0</v>
      </c>
      <c r="AM13" s="26">
        <f>VLOOKUP(Summary!C13,Sheet1!$C$5:$AC$21,24,0)+AL13-VLOOKUP(Summary!C13,Sheet1!$C$5:$AC$21,26,0)</f>
        <v>0</v>
      </c>
      <c r="AN13" s="12">
        <f t="shared" si="14"/>
        <v>151</v>
      </c>
      <c r="AO13" s="6">
        <f t="shared" si="2"/>
        <v>17</v>
      </c>
      <c r="AP13" s="10">
        <f t="shared" si="3"/>
        <v>18</v>
      </c>
      <c r="AQ13" s="12">
        <f t="shared" si="4"/>
        <v>151</v>
      </c>
      <c r="AR13" s="13"/>
    </row>
    <row r="14" spans="1:44" ht="22.5" customHeight="1" x14ac:dyDescent="0.25">
      <c r="A14" s="43"/>
      <c r="B14" s="4" t="s">
        <v>42</v>
      </c>
      <c r="C14" t="s">
        <v>42</v>
      </c>
      <c r="D14">
        <f>VLOOKUP(Summary!C14,Sheet1!$C$5:$AC$21,2,0)</f>
        <v>2</v>
      </c>
      <c r="E14" s="6">
        <f>VLOOKUP(Summary!C14,Sheet1!$C$5:$AC$21,5,0)</f>
        <v>0</v>
      </c>
      <c r="F14" s="26">
        <f>VLOOKUP(Summary!C14,Sheet1!$C$5:$AC$21,2,0)+E14-VLOOKUP(Summary!C14,Sheet1!$C$5:$AC$21,4,0)</f>
        <v>0</v>
      </c>
      <c r="G14" s="5">
        <f t="shared" si="0"/>
        <v>2</v>
      </c>
      <c r="H14" s="6">
        <f>VLOOKUP(Summary!C14,Sheet1!$C$5:$AC$21,7,0)</f>
        <v>0</v>
      </c>
      <c r="I14" s="26">
        <f>VLOOKUP(Summary!C14,Sheet1!$C$5:$AC$21,4,0)+H14-VLOOKUP(Summary!C14,Sheet1!$C$5:$AC$21,6,0)</f>
        <v>0</v>
      </c>
      <c r="J14" s="5">
        <f t="shared" si="5"/>
        <v>2</v>
      </c>
      <c r="K14" s="6">
        <f>VLOOKUP(Summary!C14,Sheet1!$C$5:$AC$21,9,0)</f>
        <v>0</v>
      </c>
      <c r="L14" s="26">
        <f>VLOOKUP(Summary!C14,Sheet1!$C$5:$AC$21,6,0)+K14-VLOOKUP(Summary!C14,Sheet1!$C$5:$AC$21,8,0)</f>
        <v>0</v>
      </c>
      <c r="M14" s="5">
        <f t="shared" si="6"/>
        <v>2</v>
      </c>
      <c r="N14" s="6">
        <f>VLOOKUP(Summary!C14,Sheet1!$C$5:$AC$21,11,0)</f>
        <v>0</v>
      </c>
      <c r="O14" s="26">
        <f>VLOOKUP(Summary!C14,Sheet1!$C$5:$AC$21,8,0)+N14-VLOOKUP(Summary!C14,Sheet1!$C$5:$AC$21,10,0)</f>
        <v>0</v>
      </c>
      <c r="P14" s="5">
        <f t="shared" si="1"/>
        <v>2</v>
      </c>
      <c r="Q14" s="6">
        <f>VLOOKUP(Summary!C14,Sheet1!$C$5:$AC$21,13,0)</f>
        <v>0</v>
      </c>
      <c r="R14" s="26">
        <f>VLOOKUP(Summary!C14,Sheet1!$C$5:$AC$21,10,0)+Q14-VLOOKUP(Summary!C14,Sheet1!$C$5:$AC$21,12,0)</f>
        <v>0</v>
      </c>
      <c r="S14" s="5">
        <f t="shared" si="7"/>
        <v>2</v>
      </c>
      <c r="T14" s="6">
        <f>VLOOKUP(Summary!C14,Sheet1!$C$5:$AC$21,15,0)</f>
        <v>0</v>
      </c>
      <c r="U14" s="26">
        <f>VLOOKUP(Summary!C14,Sheet1!$C$5:$AC$21,12,0)+T14-VLOOKUP(Summary!C14,Sheet1!$C$5:$AC$21,14,0)</f>
        <v>0</v>
      </c>
      <c r="V14" s="5">
        <f t="shared" si="8"/>
        <v>2</v>
      </c>
      <c r="W14" s="6">
        <f>VLOOKUP(Summary!C14,Sheet1!$C$5:$AC$21,17,0)</f>
        <v>0</v>
      </c>
      <c r="X14" s="26">
        <f>VLOOKUP(Summary!C14,Sheet1!$C$5:$AC$21,14,0)+W14-VLOOKUP(Summary!C14,Sheet1!$C$5:$AC$21,16,0)</f>
        <v>0</v>
      </c>
      <c r="Y14" s="5">
        <f t="shared" si="9"/>
        <v>2</v>
      </c>
      <c r="Z14" s="6">
        <f>VLOOKUP(Summary!C14,Sheet1!$C$5:$AC$21,19,0)</f>
        <v>0</v>
      </c>
      <c r="AA14" s="26">
        <f>VLOOKUP(Summary!C14,Sheet1!$C$5:$AC$21,16,0)+Z14-VLOOKUP(Summary!C14,Sheet1!$C$5:$AC$21,18,0)</f>
        <v>0</v>
      </c>
      <c r="AB14" s="5">
        <f t="shared" si="10"/>
        <v>2</v>
      </c>
      <c r="AC14" s="6">
        <f>VLOOKUP(Summary!C14,Sheet1!$C$5:$AC$21,21,0)</f>
        <v>0</v>
      </c>
      <c r="AD14" s="26">
        <f>VLOOKUP(Summary!C14,Sheet1!$C$5:$AC$21,18,0)+AC14-VLOOKUP(Summary!C14,Sheet1!$C$5:$AC$21,20,0)</f>
        <v>0</v>
      </c>
      <c r="AE14" s="5">
        <f t="shared" si="11"/>
        <v>2</v>
      </c>
      <c r="AF14" s="6">
        <f>VLOOKUP(Summary!C14,Sheet1!$C$5:$AC$21,23,0)</f>
        <v>0</v>
      </c>
      <c r="AG14" s="26">
        <f>VLOOKUP(Summary!C14,Sheet1!$C$5:$AC$21,20,0)+AF14-VLOOKUP(Summary!C14,Sheet1!$C$5:$AC$21,22,0)</f>
        <v>0</v>
      </c>
      <c r="AH14" s="5">
        <f t="shared" si="12"/>
        <v>2</v>
      </c>
      <c r="AI14" s="6">
        <f>VLOOKUP(Summary!C14,Sheet1!$C$5:$AC$21,25,0)</f>
        <v>0</v>
      </c>
      <c r="AJ14" s="26">
        <f>VLOOKUP(Summary!C14,Sheet1!$C$5:$AC$21,22,0)+AI14-VLOOKUP(Summary!C14,Sheet1!$C$5:$AC$21,24,0)</f>
        <v>0</v>
      </c>
      <c r="AK14" s="5">
        <f t="shared" si="13"/>
        <v>2</v>
      </c>
      <c r="AL14" s="6">
        <f>VLOOKUP(Summary!C14,Sheet1!$C$5:$AC$21,27,0)</f>
        <v>0</v>
      </c>
      <c r="AM14" s="26">
        <f>VLOOKUP(Summary!C14,Sheet1!$C$5:$AC$21,24,0)+AL14-VLOOKUP(Summary!C14,Sheet1!$C$5:$AC$21,26,0)</f>
        <v>0</v>
      </c>
      <c r="AN14" s="5">
        <f t="shared" si="14"/>
        <v>2</v>
      </c>
      <c r="AO14" s="6">
        <f t="shared" si="2"/>
        <v>0</v>
      </c>
      <c r="AP14" s="7">
        <f t="shared" si="3"/>
        <v>0</v>
      </c>
      <c r="AQ14" s="5">
        <f t="shared" si="4"/>
        <v>2</v>
      </c>
      <c r="AR14" s="9"/>
    </row>
    <row r="15" spans="1:44" ht="22.5" customHeight="1" x14ac:dyDescent="0.25">
      <c r="A15" s="43"/>
      <c r="B15" s="4" t="s">
        <v>63</v>
      </c>
      <c r="C15" t="s">
        <v>45</v>
      </c>
      <c r="D15">
        <f>VLOOKUP(Summary!C15,Sheet1!$C$5:$AC$21,2,0)</f>
        <v>1</v>
      </c>
      <c r="E15" s="6">
        <f>VLOOKUP(Summary!C15,Sheet1!$C$5:$AC$21,5,0)</f>
        <v>0</v>
      </c>
      <c r="F15" s="26">
        <f>VLOOKUP(Summary!C15,Sheet1!$C$5:$AC$21,2,0)+E15-VLOOKUP(Summary!C15,Sheet1!$C$5:$AC$21,4,0)</f>
        <v>0</v>
      </c>
      <c r="G15" s="5">
        <f t="shared" si="0"/>
        <v>1</v>
      </c>
      <c r="H15" s="6">
        <f>VLOOKUP(Summary!C15,Sheet1!$C$5:$AC$21,7,0)</f>
        <v>0</v>
      </c>
      <c r="I15" s="26">
        <f>VLOOKUP(Summary!C15,Sheet1!$C$5:$AC$21,4,0)+H15-VLOOKUP(Summary!C15,Sheet1!$C$5:$AC$21,6,0)</f>
        <v>0</v>
      </c>
      <c r="J15" s="5">
        <f t="shared" si="5"/>
        <v>1</v>
      </c>
      <c r="K15" s="6">
        <f>VLOOKUP(Summary!C15,Sheet1!$C$5:$AC$21,9,0)</f>
        <v>0</v>
      </c>
      <c r="L15" s="26">
        <f>VLOOKUP(Summary!C15,Sheet1!$C$5:$AC$21,6,0)+K15-VLOOKUP(Summary!C15,Sheet1!$C$5:$AC$21,8,0)</f>
        <v>0</v>
      </c>
      <c r="M15" s="5">
        <f t="shared" si="6"/>
        <v>1</v>
      </c>
      <c r="N15" s="6">
        <f>VLOOKUP(Summary!C15,Sheet1!$C$5:$AC$21,11,0)</f>
        <v>0</v>
      </c>
      <c r="O15" s="26">
        <f>VLOOKUP(Summary!C15,Sheet1!$C$5:$AC$21,8,0)+N15-VLOOKUP(Summary!C15,Sheet1!$C$5:$AC$21,10,0)</f>
        <v>0</v>
      </c>
      <c r="P15" s="5">
        <f t="shared" si="1"/>
        <v>1</v>
      </c>
      <c r="Q15" s="6">
        <f>VLOOKUP(Summary!C15,Sheet1!$C$5:$AC$21,13,0)</f>
        <v>0</v>
      </c>
      <c r="R15" s="26">
        <f>VLOOKUP(Summary!C15,Sheet1!$C$5:$AC$21,10,0)+Q15-VLOOKUP(Summary!C15,Sheet1!$C$5:$AC$21,12,0)</f>
        <v>0</v>
      </c>
      <c r="S15" s="5">
        <f t="shared" si="7"/>
        <v>1</v>
      </c>
      <c r="T15" s="6">
        <f>VLOOKUP(Summary!C15,Sheet1!$C$5:$AC$21,15,0)</f>
        <v>0</v>
      </c>
      <c r="U15" s="26">
        <f>VLOOKUP(Summary!C15,Sheet1!$C$5:$AC$21,12,0)+T15-VLOOKUP(Summary!C15,Sheet1!$C$5:$AC$21,14,0)</f>
        <v>0</v>
      </c>
      <c r="V15" s="5">
        <f t="shared" si="8"/>
        <v>1</v>
      </c>
      <c r="W15" s="6">
        <f>VLOOKUP(Summary!C15,Sheet1!$C$5:$AC$21,17,0)</f>
        <v>0</v>
      </c>
      <c r="X15" s="26">
        <f>VLOOKUP(Summary!C15,Sheet1!$C$5:$AC$21,14,0)+W15-VLOOKUP(Summary!C15,Sheet1!$C$5:$AC$21,16,0)</f>
        <v>0</v>
      </c>
      <c r="Y15" s="5">
        <f t="shared" si="9"/>
        <v>1</v>
      </c>
      <c r="Z15" s="6">
        <f>VLOOKUP(Summary!C15,Sheet1!$C$5:$AC$21,19,0)</f>
        <v>0</v>
      </c>
      <c r="AA15" s="26">
        <f>VLOOKUP(Summary!C15,Sheet1!$C$5:$AC$21,16,0)+Z15-VLOOKUP(Summary!C15,Sheet1!$C$5:$AC$21,18,0)</f>
        <v>0</v>
      </c>
      <c r="AB15" s="5">
        <f t="shared" si="10"/>
        <v>1</v>
      </c>
      <c r="AC15" s="6">
        <f>VLOOKUP(Summary!C15,Sheet1!$C$5:$AC$21,21,0)</f>
        <v>0</v>
      </c>
      <c r="AD15" s="26">
        <f>VLOOKUP(Summary!C15,Sheet1!$C$5:$AC$21,18,0)+AC15-VLOOKUP(Summary!C15,Sheet1!$C$5:$AC$21,20,0)</f>
        <v>0</v>
      </c>
      <c r="AE15" s="5">
        <f t="shared" si="11"/>
        <v>1</v>
      </c>
      <c r="AF15" s="6">
        <f>VLOOKUP(Summary!C15,Sheet1!$C$5:$AC$21,23,0)</f>
        <v>0</v>
      </c>
      <c r="AG15" s="26">
        <f>VLOOKUP(Summary!C15,Sheet1!$C$5:$AC$21,20,0)+AF15-VLOOKUP(Summary!C15,Sheet1!$C$5:$AC$21,22,0)</f>
        <v>0</v>
      </c>
      <c r="AH15" s="5">
        <f t="shared" si="12"/>
        <v>1</v>
      </c>
      <c r="AI15" s="6">
        <f>VLOOKUP(Summary!C15,Sheet1!$C$5:$AC$21,25,0)</f>
        <v>0</v>
      </c>
      <c r="AJ15" s="26">
        <f>VLOOKUP(Summary!C15,Sheet1!$C$5:$AC$21,22,0)+AI15-VLOOKUP(Summary!C15,Sheet1!$C$5:$AC$21,24,0)</f>
        <v>0</v>
      </c>
      <c r="AK15" s="5">
        <f t="shared" si="13"/>
        <v>1</v>
      </c>
      <c r="AL15" s="6">
        <f>VLOOKUP(Summary!C15,Sheet1!$C$5:$AC$21,27,0)</f>
        <v>0</v>
      </c>
      <c r="AM15" s="26">
        <f>VLOOKUP(Summary!C15,Sheet1!$C$5:$AC$21,24,0)+AL15-VLOOKUP(Summary!C15,Sheet1!$C$5:$AC$21,26,0)</f>
        <v>0</v>
      </c>
      <c r="AN15" s="5">
        <f t="shared" si="14"/>
        <v>1</v>
      </c>
      <c r="AO15" s="6">
        <f t="shared" si="2"/>
        <v>0</v>
      </c>
      <c r="AP15" s="7">
        <f t="shared" si="3"/>
        <v>0</v>
      </c>
      <c r="AQ15" s="5">
        <f t="shared" si="4"/>
        <v>1</v>
      </c>
      <c r="AR15" s="9"/>
    </row>
    <row r="16" spans="1:44" ht="22.5" customHeight="1" x14ac:dyDescent="0.25">
      <c r="A16" s="43"/>
      <c r="B16" s="4" t="s">
        <v>64</v>
      </c>
      <c r="C16" t="s">
        <v>41</v>
      </c>
      <c r="D16">
        <f>VLOOKUP(Summary!C16,Sheet1!$C$5:$AC$21,2,0)</f>
        <v>6</v>
      </c>
      <c r="E16" s="6">
        <f>VLOOKUP(Summary!C16,Sheet1!$C$5:$AC$21,5,0)</f>
        <v>0</v>
      </c>
      <c r="F16" s="26">
        <f>VLOOKUP(Summary!C16,Sheet1!$C$5:$AC$21,2,0)+E16-VLOOKUP(Summary!C16,Sheet1!$C$5:$AC$21,4,0)</f>
        <v>0</v>
      </c>
      <c r="G16" s="5">
        <f t="shared" si="0"/>
        <v>6</v>
      </c>
      <c r="H16" s="6">
        <f>VLOOKUP(Summary!C16,Sheet1!$C$5:$AC$21,7,0)</f>
        <v>0</v>
      </c>
      <c r="I16" s="26">
        <f>VLOOKUP(Summary!C16,Sheet1!$C$5:$AC$21,4,0)+H16-VLOOKUP(Summary!C16,Sheet1!$C$5:$AC$21,6,0)</f>
        <v>0</v>
      </c>
      <c r="J16" s="5">
        <f t="shared" si="5"/>
        <v>6</v>
      </c>
      <c r="K16" s="6">
        <f>VLOOKUP(Summary!C16,Sheet1!$C$5:$AC$21,9,0)</f>
        <v>0</v>
      </c>
      <c r="L16" s="26">
        <f>VLOOKUP(Summary!C16,Sheet1!$C$5:$AC$21,6,0)+K16-VLOOKUP(Summary!C16,Sheet1!$C$5:$AC$21,8,0)</f>
        <v>0</v>
      </c>
      <c r="M16" s="5">
        <f t="shared" si="6"/>
        <v>6</v>
      </c>
      <c r="N16" s="6">
        <f>VLOOKUP(Summary!C16,Sheet1!$C$5:$AC$21,11,0)</f>
        <v>0</v>
      </c>
      <c r="O16" s="26">
        <f>VLOOKUP(Summary!C16,Sheet1!$C$5:$AC$21,8,0)+N16-VLOOKUP(Summary!C16,Sheet1!$C$5:$AC$21,10,0)</f>
        <v>0</v>
      </c>
      <c r="P16" s="5">
        <f t="shared" si="1"/>
        <v>6</v>
      </c>
      <c r="Q16" s="6">
        <f>VLOOKUP(Summary!C16,Sheet1!$C$5:$AC$21,13,0)</f>
        <v>0</v>
      </c>
      <c r="R16" s="26">
        <f>VLOOKUP(Summary!C16,Sheet1!$C$5:$AC$21,10,0)+Q16-VLOOKUP(Summary!C16,Sheet1!$C$5:$AC$21,12,0)</f>
        <v>0</v>
      </c>
      <c r="S16" s="5">
        <f t="shared" si="7"/>
        <v>6</v>
      </c>
      <c r="T16" s="6">
        <f>VLOOKUP(Summary!C16,Sheet1!$C$5:$AC$21,15,0)</f>
        <v>0</v>
      </c>
      <c r="U16" s="26">
        <f>VLOOKUP(Summary!C16,Sheet1!$C$5:$AC$21,12,0)+T16-VLOOKUP(Summary!C16,Sheet1!$C$5:$AC$21,14,0)</f>
        <v>0</v>
      </c>
      <c r="V16" s="5">
        <f t="shared" si="8"/>
        <v>6</v>
      </c>
      <c r="W16" s="6">
        <f>VLOOKUP(Summary!C16,Sheet1!$C$5:$AC$21,17,0)</f>
        <v>0</v>
      </c>
      <c r="X16" s="26">
        <f>VLOOKUP(Summary!C16,Sheet1!$C$5:$AC$21,14,0)+W16-VLOOKUP(Summary!C16,Sheet1!$C$5:$AC$21,16,0)</f>
        <v>0</v>
      </c>
      <c r="Y16" s="5">
        <f t="shared" si="9"/>
        <v>6</v>
      </c>
      <c r="Z16" s="6">
        <f>VLOOKUP(Summary!C16,Sheet1!$C$5:$AC$21,19,0)</f>
        <v>0</v>
      </c>
      <c r="AA16" s="26">
        <f>VLOOKUP(Summary!C16,Sheet1!$C$5:$AC$21,16,0)+Z16-VLOOKUP(Summary!C16,Sheet1!$C$5:$AC$21,18,0)</f>
        <v>0</v>
      </c>
      <c r="AB16" s="5">
        <f t="shared" si="10"/>
        <v>6</v>
      </c>
      <c r="AC16" s="6">
        <f>VLOOKUP(Summary!C16,Sheet1!$C$5:$AC$21,21,0)</f>
        <v>0</v>
      </c>
      <c r="AD16" s="26">
        <f>VLOOKUP(Summary!C16,Sheet1!$C$5:$AC$21,18,0)+AC16-VLOOKUP(Summary!C16,Sheet1!$C$5:$AC$21,20,0)</f>
        <v>0</v>
      </c>
      <c r="AE16" s="5">
        <f t="shared" si="11"/>
        <v>6</v>
      </c>
      <c r="AF16" s="6">
        <f>VLOOKUP(Summary!C16,Sheet1!$C$5:$AC$21,23,0)</f>
        <v>0</v>
      </c>
      <c r="AG16" s="26">
        <f>VLOOKUP(Summary!C16,Sheet1!$C$5:$AC$21,20,0)+AF16-VLOOKUP(Summary!C16,Sheet1!$C$5:$AC$21,22,0)</f>
        <v>0</v>
      </c>
      <c r="AH16" s="5">
        <f t="shared" si="12"/>
        <v>6</v>
      </c>
      <c r="AI16" s="6">
        <f>VLOOKUP(Summary!C16,Sheet1!$C$5:$AC$21,25,0)</f>
        <v>0</v>
      </c>
      <c r="AJ16" s="26">
        <f>VLOOKUP(Summary!C16,Sheet1!$C$5:$AC$21,22,0)+AI16-VLOOKUP(Summary!C16,Sheet1!$C$5:$AC$21,24,0)</f>
        <v>0</v>
      </c>
      <c r="AK16" s="5">
        <f t="shared" si="13"/>
        <v>6</v>
      </c>
      <c r="AL16" s="6">
        <f>VLOOKUP(Summary!C16,Sheet1!$C$5:$AC$21,27,0)</f>
        <v>0</v>
      </c>
      <c r="AM16" s="26">
        <f>VLOOKUP(Summary!C16,Sheet1!$C$5:$AC$21,24,0)+AL16-VLOOKUP(Summary!C16,Sheet1!$C$5:$AC$21,26,0)</f>
        <v>0</v>
      </c>
      <c r="AN16" s="5">
        <f t="shared" si="14"/>
        <v>6</v>
      </c>
      <c r="AO16" s="6">
        <f t="shared" si="2"/>
        <v>0</v>
      </c>
      <c r="AP16" s="7">
        <f t="shared" si="3"/>
        <v>0</v>
      </c>
      <c r="AQ16" s="5">
        <f t="shared" si="4"/>
        <v>6</v>
      </c>
      <c r="AR16" s="9"/>
    </row>
    <row r="17" spans="1:44" ht="22.5" customHeight="1" x14ac:dyDescent="0.25">
      <c r="A17" s="43"/>
      <c r="B17" s="4" t="s">
        <v>43</v>
      </c>
      <c r="C17" t="s">
        <v>43</v>
      </c>
      <c r="D17">
        <f>VLOOKUP(Summary!C17,Sheet1!$C$5:$AC$21,2,0)</f>
        <v>7</v>
      </c>
      <c r="E17" s="6">
        <f>VLOOKUP(Summary!C17,Sheet1!$C$5:$AC$21,5,0)</f>
        <v>0</v>
      </c>
      <c r="F17" s="26">
        <f>VLOOKUP(Summary!C17,Sheet1!$C$5:$AC$21,2,0)+E17-VLOOKUP(Summary!C17,Sheet1!$C$5:$AC$21,4,0)</f>
        <v>0</v>
      </c>
      <c r="G17" s="5">
        <f t="shared" si="0"/>
        <v>7</v>
      </c>
      <c r="H17" s="6">
        <f>VLOOKUP(Summary!C17,Sheet1!$C$5:$AC$21,7,0)</f>
        <v>0</v>
      </c>
      <c r="I17" s="26">
        <f>VLOOKUP(Summary!C17,Sheet1!$C$5:$AC$21,4,0)+H17-VLOOKUP(Summary!C17,Sheet1!$C$5:$AC$21,6,0)</f>
        <v>0</v>
      </c>
      <c r="J17" s="5">
        <f t="shared" si="5"/>
        <v>7</v>
      </c>
      <c r="K17" s="6">
        <f>VLOOKUP(Summary!C17,Sheet1!$C$5:$AC$21,9,0)</f>
        <v>0</v>
      </c>
      <c r="L17" s="26">
        <f>VLOOKUP(Summary!C17,Sheet1!$C$5:$AC$21,6,0)+K17-VLOOKUP(Summary!C17,Sheet1!$C$5:$AC$21,8,0)</f>
        <v>0</v>
      </c>
      <c r="M17" s="5">
        <f t="shared" si="6"/>
        <v>7</v>
      </c>
      <c r="N17" s="6">
        <f>VLOOKUP(Summary!C17,Sheet1!$C$5:$AC$21,11,0)</f>
        <v>0</v>
      </c>
      <c r="O17" s="26">
        <f>VLOOKUP(Summary!C17,Sheet1!$C$5:$AC$21,8,0)+N17-VLOOKUP(Summary!C17,Sheet1!$C$5:$AC$21,10,0)</f>
        <v>0</v>
      </c>
      <c r="P17" s="5">
        <f t="shared" si="1"/>
        <v>7</v>
      </c>
      <c r="Q17" s="6">
        <f>VLOOKUP(Summary!C17,Sheet1!$C$5:$AC$21,13,0)</f>
        <v>0</v>
      </c>
      <c r="R17" s="26">
        <f>VLOOKUP(Summary!C17,Sheet1!$C$5:$AC$21,10,0)+Q17-VLOOKUP(Summary!C17,Sheet1!$C$5:$AC$21,12,0)</f>
        <v>0</v>
      </c>
      <c r="S17" s="5">
        <f t="shared" si="7"/>
        <v>7</v>
      </c>
      <c r="T17" s="6">
        <f>VLOOKUP(Summary!C17,Sheet1!$C$5:$AC$21,15,0)</f>
        <v>0</v>
      </c>
      <c r="U17" s="26">
        <f>VLOOKUP(Summary!C17,Sheet1!$C$5:$AC$21,12,0)+T17-VLOOKUP(Summary!C17,Sheet1!$C$5:$AC$21,14,0)</f>
        <v>0</v>
      </c>
      <c r="V17" s="5">
        <f t="shared" si="8"/>
        <v>7</v>
      </c>
      <c r="W17" s="6">
        <f>VLOOKUP(Summary!C17,Sheet1!$C$5:$AC$21,17,0)</f>
        <v>0</v>
      </c>
      <c r="X17" s="26">
        <f>VLOOKUP(Summary!C17,Sheet1!$C$5:$AC$21,14,0)+W17-VLOOKUP(Summary!C17,Sheet1!$C$5:$AC$21,16,0)</f>
        <v>0</v>
      </c>
      <c r="Y17" s="5">
        <f t="shared" si="9"/>
        <v>7</v>
      </c>
      <c r="Z17" s="6">
        <f>VLOOKUP(Summary!C17,Sheet1!$C$5:$AC$21,19,0)</f>
        <v>0</v>
      </c>
      <c r="AA17" s="26">
        <f>VLOOKUP(Summary!C17,Sheet1!$C$5:$AC$21,16,0)+Z17-VLOOKUP(Summary!C17,Sheet1!$C$5:$AC$21,18,0)</f>
        <v>0</v>
      </c>
      <c r="AB17" s="5">
        <f t="shared" si="10"/>
        <v>7</v>
      </c>
      <c r="AC17" s="6">
        <f>VLOOKUP(Summary!C17,Sheet1!$C$5:$AC$21,21,0)</f>
        <v>0</v>
      </c>
      <c r="AD17" s="26">
        <f>VLOOKUP(Summary!C17,Sheet1!$C$5:$AC$21,18,0)+AC17-VLOOKUP(Summary!C17,Sheet1!$C$5:$AC$21,20,0)</f>
        <v>0</v>
      </c>
      <c r="AE17" s="5">
        <f t="shared" si="11"/>
        <v>7</v>
      </c>
      <c r="AF17" s="6">
        <f>VLOOKUP(Summary!C17,Sheet1!$C$5:$AC$21,23,0)</f>
        <v>0</v>
      </c>
      <c r="AG17" s="26">
        <f>VLOOKUP(Summary!C17,Sheet1!$C$5:$AC$21,20,0)+AF17-VLOOKUP(Summary!C17,Sheet1!$C$5:$AC$21,22,0)</f>
        <v>0</v>
      </c>
      <c r="AH17" s="5">
        <f t="shared" si="12"/>
        <v>7</v>
      </c>
      <c r="AI17" s="6">
        <f>VLOOKUP(Summary!C17,Sheet1!$C$5:$AC$21,25,0)</f>
        <v>0</v>
      </c>
      <c r="AJ17" s="26">
        <f>VLOOKUP(Summary!C17,Sheet1!$C$5:$AC$21,22,0)+AI17-VLOOKUP(Summary!C17,Sheet1!$C$5:$AC$21,24,0)</f>
        <v>0</v>
      </c>
      <c r="AK17" s="5">
        <f t="shared" si="13"/>
        <v>7</v>
      </c>
      <c r="AL17" s="6">
        <f>VLOOKUP(Summary!C17,Sheet1!$C$5:$AC$21,27,0)</f>
        <v>0</v>
      </c>
      <c r="AM17" s="26">
        <f>VLOOKUP(Summary!C17,Sheet1!$C$5:$AC$21,24,0)+AL17-VLOOKUP(Summary!C17,Sheet1!$C$5:$AC$21,26,0)</f>
        <v>0</v>
      </c>
      <c r="AN17" s="5">
        <f t="shared" si="14"/>
        <v>7</v>
      </c>
      <c r="AO17" s="6">
        <f t="shared" si="2"/>
        <v>0</v>
      </c>
      <c r="AP17" s="7">
        <f t="shared" si="3"/>
        <v>0</v>
      </c>
      <c r="AQ17" s="5">
        <f t="shared" si="4"/>
        <v>7</v>
      </c>
      <c r="AR17" s="9"/>
    </row>
    <row r="18" spans="1:44" s="14" customFormat="1" ht="22.5" customHeight="1" x14ac:dyDescent="0.25">
      <c r="A18" s="43"/>
      <c r="B18" s="11" t="s">
        <v>44</v>
      </c>
      <c r="C18" t="s">
        <v>44</v>
      </c>
      <c r="D18">
        <f>VLOOKUP(Summary!C18,Sheet1!$C$5:$AC$21,2,0)</f>
        <v>192</v>
      </c>
      <c r="E18" s="6">
        <f>VLOOKUP(Summary!C18,Sheet1!$C$5:$AC$21,5,0)</f>
        <v>7</v>
      </c>
      <c r="F18" s="26">
        <f>VLOOKUP(Summary!C18,Sheet1!$C$5:$AC$21,2,0)+E18-VLOOKUP(Summary!C18,Sheet1!$C$5:$AC$21,4,0)</f>
        <v>13</v>
      </c>
      <c r="G18" s="12">
        <f t="shared" si="0"/>
        <v>186</v>
      </c>
      <c r="H18" s="6">
        <f>VLOOKUP(Summary!C18,Sheet1!$C$5:$AC$21,7,0)</f>
        <v>0</v>
      </c>
      <c r="I18" s="26">
        <f>VLOOKUP(Summary!C18,Sheet1!$C$5:$AC$21,4,0)+H18-VLOOKUP(Summary!C18,Sheet1!$C$5:$AC$21,6,0)</f>
        <v>3</v>
      </c>
      <c r="J18" s="12">
        <f t="shared" si="5"/>
        <v>183</v>
      </c>
      <c r="K18" s="6">
        <f>VLOOKUP(Summary!C18,Sheet1!$C$5:$AC$21,9,0)</f>
        <v>0</v>
      </c>
      <c r="L18" s="26">
        <f>VLOOKUP(Summary!C18,Sheet1!$C$5:$AC$21,6,0)+K18-VLOOKUP(Summary!C18,Sheet1!$C$5:$AC$21,8,0)</f>
        <v>0</v>
      </c>
      <c r="M18" s="12">
        <f t="shared" si="6"/>
        <v>183</v>
      </c>
      <c r="N18" s="6">
        <f>VLOOKUP(Summary!C18,Sheet1!$C$5:$AC$21,11,0)</f>
        <v>0</v>
      </c>
      <c r="O18" s="26">
        <f>VLOOKUP(Summary!C18,Sheet1!$C$5:$AC$21,8,0)+N18-VLOOKUP(Summary!C18,Sheet1!$C$5:$AC$21,10,0)</f>
        <v>0</v>
      </c>
      <c r="P18" s="12">
        <f t="shared" si="1"/>
        <v>183</v>
      </c>
      <c r="Q18" s="6">
        <f>VLOOKUP(Summary!C18,Sheet1!$C$5:$AC$21,13,0)</f>
        <v>0</v>
      </c>
      <c r="R18" s="26">
        <f>VLOOKUP(Summary!C18,Sheet1!$C$5:$AC$21,10,0)+Q18-VLOOKUP(Summary!C18,Sheet1!$C$5:$AC$21,12,0)</f>
        <v>0</v>
      </c>
      <c r="S18" s="12">
        <f t="shared" si="7"/>
        <v>183</v>
      </c>
      <c r="T18" s="6">
        <f>VLOOKUP(Summary!C18,Sheet1!$C$5:$AC$21,15,0)</f>
        <v>0</v>
      </c>
      <c r="U18" s="26">
        <f>VLOOKUP(Summary!C18,Sheet1!$C$5:$AC$21,12,0)+T18-VLOOKUP(Summary!C18,Sheet1!$C$5:$AC$21,14,0)</f>
        <v>0</v>
      </c>
      <c r="V18" s="12">
        <f t="shared" si="8"/>
        <v>183</v>
      </c>
      <c r="W18" s="6">
        <f>VLOOKUP(Summary!C18,Sheet1!$C$5:$AC$21,17,0)</f>
        <v>0</v>
      </c>
      <c r="X18" s="26">
        <f>VLOOKUP(Summary!C18,Sheet1!$C$5:$AC$21,14,0)+W18-VLOOKUP(Summary!C18,Sheet1!$C$5:$AC$21,16,0)</f>
        <v>0</v>
      </c>
      <c r="Y18" s="12">
        <f t="shared" si="9"/>
        <v>183</v>
      </c>
      <c r="Z18" s="6">
        <f>VLOOKUP(Summary!C18,Sheet1!$C$5:$AC$21,19,0)</f>
        <v>0</v>
      </c>
      <c r="AA18" s="26">
        <f>VLOOKUP(Summary!C18,Sheet1!$C$5:$AC$21,16,0)+Z18-VLOOKUP(Summary!C18,Sheet1!$C$5:$AC$21,18,0)</f>
        <v>0</v>
      </c>
      <c r="AB18" s="12">
        <f t="shared" si="10"/>
        <v>183</v>
      </c>
      <c r="AC18" s="6">
        <f>VLOOKUP(Summary!C18,Sheet1!$C$5:$AC$21,21,0)</f>
        <v>0</v>
      </c>
      <c r="AD18" s="26">
        <f>VLOOKUP(Summary!C18,Sheet1!$C$5:$AC$21,18,0)+AC18-VLOOKUP(Summary!C18,Sheet1!$C$5:$AC$21,20,0)</f>
        <v>0</v>
      </c>
      <c r="AE18" s="12">
        <f t="shared" si="11"/>
        <v>183</v>
      </c>
      <c r="AF18" s="6">
        <f>VLOOKUP(Summary!C18,Sheet1!$C$5:$AC$21,23,0)</f>
        <v>0</v>
      </c>
      <c r="AG18" s="26">
        <f>VLOOKUP(Summary!C18,Sheet1!$C$5:$AC$21,20,0)+AF18-VLOOKUP(Summary!C18,Sheet1!$C$5:$AC$21,22,0)</f>
        <v>0</v>
      </c>
      <c r="AH18" s="12">
        <f t="shared" si="12"/>
        <v>183</v>
      </c>
      <c r="AI18" s="6">
        <f>VLOOKUP(Summary!C18,Sheet1!$C$5:$AC$21,25,0)</f>
        <v>0</v>
      </c>
      <c r="AJ18" s="26">
        <f>VLOOKUP(Summary!C18,Sheet1!$C$5:$AC$21,22,0)+AI18-VLOOKUP(Summary!C18,Sheet1!$C$5:$AC$21,24,0)</f>
        <v>0</v>
      </c>
      <c r="AK18" s="12">
        <f t="shared" si="13"/>
        <v>183</v>
      </c>
      <c r="AL18" s="6">
        <f>VLOOKUP(Summary!C18,Sheet1!$C$5:$AC$21,27,0)</f>
        <v>0</v>
      </c>
      <c r="AM18" s="26">
        <f>VLOOKUP(Summary!C18,Sheet1!$C$5:$AC$21,24,0)+AL18-VLOOKUP(Summary!C18,Sheet1!$C$5:$AC$21,26,0)</f>
        <v>0</v>
      </c>
      <c r="AN18" s="12">
        <f t="shared" si="14"/>
        <v>183</v>
      </c>
      <c r="AO18" s="6">
        <f t="shared" si="2"/>
        <v>7</v>
      </c>
      <c r="AP18" s="10">
        <f t="shared" si="3"/>
        <v>16</v>
      </c>
      <c r="AQ18" s="12">
        <f t="shared" si="4"/>
        <v>183</v>
      </c>
      <c r="AR18" s="13"/>
    </row>
    <row r="19" spans="1:44" ht="22.5" customHeight="1" x14ac:dyDescent="0.25">
      <c r="A19" s="15" t="s">
        <v>38</v>
      </c>
      <c r="B19" s="4" t="s">
        <v>65</v>
      </c>
      <c r="C19" t="s">
        <v>39</v>
      </c>
      <c r="D19">
        <f>VLOOKUP(Summary!C19,Sheet1!$C$5:$AC$21,2,0)</f>
        <v>3</v>
      </c>
      <c r="E19" s="6">
        <f>VLOOKUP(Summary!C19,Sheet1!$C$5:$AC$21,5,0)</f>
        <v>0</v>
      </c>
      <c r="F19" s="26">
        <f>VLOOKUP(Summary!C19,Sheet1!$C$5:$AC$21,2,0)+E19-VLOOKUP(Summary!C19,Sheet1!$C$5:$AC$21,4,0)</f>
        <v>0</v>
      </c>
      <c r="G19" s="5">
        <f t="shared" si="0"/>
        <v>3</v>
      </c>
      <c r="H19" s="6">
        <f>VLOOKUP(Summary!C19,Sheet1!$C$5:$AC$21,7,0)</f>
        <v>0</v>
      </c>
      <c r="I19" s="26">
        <f>VLOOKUP(Summary!C19,Sheet1!$C$5:$AC$21,4,0)+H19-VLOOKUP(Summary!C19,Sheet1!$C$5:$AC$21,6,0)</f>
        <v>0</v>
      </c>
      <c r="J19" s="5">
        <f t="shared" si="5"/>
        <v>3</v>
      </c>
      <c r="K19" s="6">
        <f>VLOOKUP(Summary!C19,Sheet1!$C$5:$AC$21,9,0)</f>
        <v>0</v>
      </c>
      <c r="L19" s="26">
        <f>VLOOKUP(Summary!C19,Sheet1!$C$5:$AC$21,6,0)+K19-VLOOKUP(Summary!C19,Sheet1!$C$5:$AC$21,8,0)</f>
        <v>0</v>
      </c>
      <c r="M19" s="5">
        <f t="shared" si="6"/>
        <v>3</v>
      </c>
      <c r="N19" s="6">
        <f>VLOOKUP(Summary!C19,Sheet1!$C$5:$AC$21,11,0)</f>
        <v>0</v>
      </c>
      <c r="O19" s="26">
        <f>VLOOKUP(Summary!C19,Sheet1!$C$5:$AC$21,8,0)+N19-VLOOKUP(Summary!C19,Sheet1!$C$5:$AC$21,10,0)</f>
        <v>0</v>
      </c>
      <c r="P19" s="5">
        <f t="shared" si="1"/>
        <v>3</v>
      </c>
      <c r="Q19" s="6">
        <f>VLOOKUP(Summary!C19,Sheet1!$C$5:$AC$21,13,0)</f>
        <v>0</v>
      </c>
      <c r="R19" s="26">
        <f>VLOOKUP(Summary!C19,Sheet1!$C$5:$AC$21,10,0)+Q19-VLOOKUP(Summary!C19,Sheet1!$C$5:$AC$21,12,0)</f>
        <v>0</v>
      </c>
      <c r="S19" s="5">
        <f t="shared" si="7"/>
        <v>3</v>
      </c>
      <c r="T19" s="6">
        <f>VLOOKUP(Summary!C19,Sheet1!$C$5:$AC$21,15,0)</f>
        <v>0</v>
      </c>
      <c r="U19" s="26">
        <f>VLOOKUP(Summary!C19,Sheet1!$C$5:$AC$21,12,0)+T19-VLOOKUP(Summary!C19,Sheet1!$C$5:$AC$21,14,0)</f>
        <v>0</v>
      </c>
      <c r="V19" s="5">
        <f t="shared" si="8"/>
        <v>3</v>
      </c>
      <c r="W19" s="6">
        <f>VLOOKUP(Summary!C19,Sheet1!$C$5:$AC$21,17,0)</f>
        <v>0</v>
      </c>
      <c r="X19" s="26">
        <f>VLOOKUP(Summary!C19,Sheet1!$C$5:$AC$21,14,0)+W19-VLOOKUP(Summary!C19,Sheet1!$C$5:$AC$21,16,0)</f>
        <v>0</v>
      </c>
      <c r="Y19" s="5">
        <f t="shared" si="9"/>
        <v>3</v>
      </c>
      <c r="Z19" s="6">
        <f>VLOOKUP(Summary!C19,Sheet1!$C$5:$AC$21,19,0)</f>
        <v>0</v>
      </c>
      <c r="AA19" s="26">
        <f>VLOOKUP(Summary!C19,Sheet1!$C$5:$AC$21,16,0)+Z19-VLOOKUP(Summary!C19,Sheet1!$C$5:$AC$21,18,0)</f>
        <v>0</v>
      </c>
      <c r="AB19" s="5">
        <f t="shared" si="10"/>
        <v>3</v>
      </c>
      <c r="AC19" s="6">
        <f>VLOOKUP(Summary!C19,Sheet1!$C$5:$AC$21,21,0)</f>
        <v>0</v>
      </c>
      <c r="AD19" s="26">
        <f>VLOOKUP(Summary!C19,Sheet1!$C$5:$AC$21,18,0)+AC19-VLOOKUP(Summary!C19,Sheet1!$C$5:$AC$21,20,0)</f>
        <v>0</v>
      </c>
      <c r="AE19" s="5">
        <f t="shared" si="11"/>
        <v>3</v>
      </c>
      <c r="AF19" s="6">
        <f>VLOOKUP(Summary!C19,Sheet1!$C$5:$AC$21,23,0)</f>
        <v>0</v>
      </c>
      <c r="AG19" s="26">
        <f>VLOOKUP(Summary!C19,Sheet1!$C$5:$AC$21,20,0)+AF19-VLOOKUP(Summary!C19,Sheet1!$C$5:$AC$21,22,0)</f>
        <v>0</v>
      </c>
      <c r="AH19" s="5">
        <f t="shared" si="12"/>
        <v>3</v>
      </c>
      <c r="AI19" s="6">
        <f>VLOOKUP(Summary!C19,Sheet1!$C$5:$AC$21,25,0)</f>
        <v>0</v>
      </c>
      <c r="AJ19" s="26">
        <f>VLOOKUP(Summary!C19,Sheet1!$C$5:$AC$21,22,0)+AI19-VLOOKUP(Summary!C19,Sheet1!$C$5:$AC$21,24,0)</f>
        <v>0</v>
      </c>
      <c r="AK19" s="5">
        <f t="shared" si="13"/>
        <v>3</v>
      </c>
      <c r="AL19" s="6">
        <f>VLOOKUP(Summary!C19,Sheet1!$C$5:$AC$21,27,0)</f>
        <v>0</v>
      </c>
      <c r="AM19" s="26">
        <f>VLOOKUP(Summary!C19,Sheet1!$C$5:$AC$21,24,0)+AL19-VLOOKUP(Summary!C19,Sheet1!$C$5:$AC$21,26,0)</f>
        <v>0</v>
      </c>
      <c r="AN19" s="5">
        <f t="shared" si="14"/>
        <v>3</v>
      </c>
      <c r="AO19" s="6">
        <f t="shared" si="2"/>
        <v>0</v>
      </c>
      <c r="AP19" s="10">
        <f t="shared" si="3"/>
        <v>0</v>
      </c>
      <c r="AQ19" s="5">
        <f t="shared" si="4"/>
        <v>3</v>
      </c>
      <c r="AR19" s="9"/>
    </row>
    <row r="20" spans="1:44" s="21" customFormat="1" ht="22.5" customHeight="1" x14ac:dyDescent="0.25">
      <c r="A20" s="44" t="s">
        <v>66</v>
      </c>
      <c r="B20" s="45"/>
      <c r="C20" s="16"/>
      <c r="D20" s="17">
        <f>SUBTOTAL(9,D4:D19)</f>
        <v>392</v>
      </c>
      <c r="E20" s="23">
        <f>SUM(E4:E19)</f>
        <v>24</v>
      </c>
      <c r="F20" s="18">
        <f t="shared" ref="F20" si="15">SUM(F4:F19)</f>
        <v>31</v>
      </c>
      <c r="G20" s="17">
        <f>+D20+E20-F20-F21</f>
        <v>385</v>
      </c>
      <c r="H20" s="24">
        <f>SUM(H4:H19)</f>
        <v>0</v>
      </c>
      <c r="I20" s="18">
        <f>SUM(I4:I19)</f>
        <v>4</v>
      </c>
      <c r="J20" s="17">
        <f>+G20+H20-I20+H21-I21</f>
        <v>381</v>
      </c>
      <c r="K20" s="19">
        <f>SUM(K4:K19)</f>
        <v>0</v>
      </c>
      <c r="L20" s="18">
        <f>SUM(L4:L19)</f>
        <v>0</v>
      </c>
      <c r="M20" s="17">
        <f>+J20+K20-L20-L21+K21</f>
        <v>381</v>
      </c>
      <c r="N20" s="19">
        <f>SUM(N4:N19)</f>
        <v>0</v>
      </c>
      <c r="O20" s="19">
        <f>SUM(O4:O19)</f>
        <v>0</v>
      </c>
      <c r="P20" s="17">
        <f>+M20+N20-O20+N21-O21</f>
        <v>381</v>
      </c>
      <c r="Q20" s="19">
        <f>SUM(Q4:Q19)</f>
        <v>0</v>
      </c>
      <c r="R20" s="19">
        <f>SUM(R4:R19)</f>
        <v>0</v>
      </c>
      <c r="S20" s="17">
        <f>+P20+Q20-R20+Q21-R21</f>
        <v>381</v>
      </c>
      <c r="T20" s="19">
        <f>SUM(T4:T19)</f>
        <v>0</v>
      </c>
      <c r="U20" s="18">
        <f t="shared" ref="U20" si="16">SUM(U4:U19)</f>
        <v>0</v>
      </c>
      <c r="V20" s="17">
        <f>+S20+T20-U20+T21-U21</f>
        <v>381</v>
      </c>
      <c r="W20" s="19">
        <f>SUM(W4:W19)</f>
        <v>0</v>
      </c>
      <c r="X20" s="18">
        <f>SUM(X4:X19)</f>
        <v>0</v>
      </c>
      <c r="Y20" s="17">
        <f>+V20+W20-X20+W21-X21</f>
        <v>381</v>
      </c>
      <c r="Z20" s="19">
        <f>SUM(Z4:Z19)</f>
        <v>0</v>
      </c>
      <c r="AA20" s="18">
        <f t="shared" ref="AA20" si="17">SUM(AA4:AA19)</f>
        <v>0</v>
      </c>
      <c r="AB20" s="17">
        <f>+Y20+Z20-AA20+Z21-AA21</f>
        <v>381</v>
      </c>
      <c r="AC20" s="19">
        <f>SUM(AC4:AC19)</f>
        <v>0</v>
      </c>
      <c r="AD20" s="18">
        <f t="shared" ref="AD20" si="18">SUM(AD4:AD19)</f>
        <v>0</v>
      </c>
      <c r="AE20" s="17">
        <f>+AB20+AC20-AD20+AC21-AD21</f>
        <v>381</v>
      </c>
      <c r="AF20" s="19">
        <f>SUM(AF4:AF19)</f>
        <v>0</v>
      </c>
      <c r="AG20" s="18">
        <f t="shared" ref="AG20" si="19">SUM(AG4:AG19)</f>
        <v>0</v>
      </c>
      <c r="AH20" s="17">
        <f>+AE20+AF20-AG20+AF21-AG21</f>
        <v>381</v>
      </c>
      <c r="AI20" s="19">
        <f>SUM(AI4:AI19)</f>
        <v>0</v>
      </c>
      <c r="AJ20" s="18">
        <f t="shared" ref="AJ20" si="20">SUM(AJ4:AJ19)</f>
        <v>0</v>
      </c>
      <c r="AK20" s="17">
        <f>+AH20+AI20-AJ20+AI21-AJ21</f>
        <v>381</v>
      </c>
      <c r="AL20" s="19">
        <f>SUM(AL4:AL19)</f>
        <v>0</v>
      </c>
      <c r="AM20" s="18">
        <f t="shared" ref="AM20" si="21">SUM(AM4:AM19)</f>
        <v>0</v>
      </c>
      <c r="AN20" s="17">
        <f>+AK20+AL20-AM20+AL21-AM21</f>
        <v>381</v>
      </c>
      <c r="AO20" s="19">
        <f t="shared" si="2"/>
        <v>24</v>
      </c>
      <c r="AP20" s="18">
        <f t="shared" si="3"/>
        <v>35</v>
      </c>
      <c r="AQ20" s="17">
        <f>+D20+D21+AO21+AO20-AP20-AP21</f>
        <v>381</v>
      </c>
      <c r="AR20" s="20"/>
    </row>
    <row r="21" spans="1:44" ht="22.5" customHeight="1" x14ac:dyDescent="0.25">
      <c r="A21"/>
      <c r="B21"/>
      <c r="C21"/>
    </row>
  </sheetData>
  <mergeCells count="25">
    <mergeCell ref="A8:A12"/>
    <mergeCell ref="A13:A18"/>
    <mergeCell ref="A20:B20"/>
    <mergeCell ref="D2:D3"/>
    <mergeCell ref="AC2:AE2"/>
    <mergeCell ref="AF2:AH2"/>
    <mergeCell ref="AI2:AK2"/>
    <mergeCell ref="AL2:AN2"/>
    <mergeCell ref="A4:A7"/>
    <mergeCell ref="A1:AR1"/>
    <mergeCell ref="A2:B2"/>
    <mergeCell ref="C2:C3"/>
    <mergeCell ref="E2:G2"/>
    <mergeCell ref="H2:J2"/>
    <mergeCell ref="K2:M2"/>
    <mergeCell ref="N2:P2"/>
    <mergeCell ref="Q2:S2"/>
    <mergeCell ref="T2:V2"/>
    <mergeCell ref="W2:Y2"/>
    <mergeCell ref="AO2:AO3"/>
    <mergeCell ref="AP2:AP3"/>
    <mergeCell ref="AQ2:AQ3"/>
    <mergeCell ref="AR2:AR3"/>
    <mergeCell ref="A3:B3"/>
    <mergeCell ref="Z2:AB2"/>
  </mergeCells>
  <pageMargins left="0.77" right="0" top="0.66" bottom="0" header="0.6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5F45-4BF7-46F3-A5AE-9DDA9D9B1274}">
  <sheetPr>
    <tabColor theme="5" tint="0.39997558519241921"/>
  </sheetPr>
  <dimension ref="A1:AG27"/>
  <sheetViews>
    <sheetView workbookViewId="0">
      <selection activeCell="D12" sqref="D12"/>
    </sheetView>
  </sheetViews>
  <sheetFormatPr defaultColWidth="9.140625" defaultRowHeight="15" x14ac:dyDescent="0.25"/>
  <cols>
    <col min="1" max="1" width="2.42578125" style="48" customWidth="1"/>
    <col min="2" max="2" width="21" style="50" customWidth="1"/>
    <col min="3" max="3" width="23.85546875" style="50" customWidth="1"/>
    <col min="4" max="4" width="11.28515625" style="49" customWidth="1"/>
    <col min="5" max="5" width="6.85546875" style="49" customWidth="1"/>
    <col min="6" max="6" width="8.140625" style="49" customWidth="1"/>
    <col min="7" max="16" width="6.85546875" style="49" customWidth="1"/>
    <col min="17" max="17" width="9" style="48" customWidth="1"/>
    <col min="18" max="18" width="9.140625" style="48"/>
    <col min="19" max="19" width="26" style="48" customWidth="1"/>
    <col min="20" max="33" width="10" style="48" customWidth="1"/>
    <col min="34" max="16384" width="9.140625" style="48"/>
  </cols>
  <sheetData>
    <row r="1" spans="1:33" ht="15.75" x14ac:dyDescent="0.25">
      <c r="B1" s="75"/>
      <c r="C1" s="75"/>
      <c r="S1" s="93" t="s">
        <v>99</v>
      </c>
      <c r="T1" s="93" t="s">
        <v>98</v>
      </c>
    </row>
    <row r="2" spans="1:33" ht="15.75" x14ac:dyDescent="0.25">
      <c r="B2" s="70" t="s">
        <v>97</v>
      </c>
      <c r="C2" s="7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33" s="75" customFormat="1" ht="15.75" x14ac:dyDescent="0.25">
      <c r="A3" s="76"/>
      <c r="B3" s="92" t="s">
        <v>96</v>
      </c>
      <c r="C3" s="91"/>
      <c r="D3" s="90" t="s">
        <v>78</v>
      </c>
      <c r="E3" s="90" t="s">
        <v>89</v>
      </c>
      <c r="F3" s="90" t="s">
        <v>88</v>
      </c>
      <c r="G3" s="90" t="s">
        <v>87</v>
      </c>
      <c r="H3" s="90" t="s">
        <v>86</v>
      </c>
      <c r="I3" s="90" t="s">
        <v>85</v>
      </c>
      <c r="J3" s="90" t="s">
        <v>84</v>
      </c>
      <c r="K3" s="90" t="s">
        <v>83</v>
      </c>
      <c r="L3" s="90" t="s">
        <v>82</v>
      </c>
      <c r="M3" s="90" t="s">
        <v>81</v>
      </c>
      <c r="N3" s="90" t="s">
        <v>80</v>
      </c>
      <c r="O3" s="90" t="s">
        <v>79</v>
      </c>
      <c r="P3" s="90" t="s">
        <v>95</v>
      </c>
      <c r="Q3" s="89" t="s">
        <v>77</v>
      </c>
      <c r="R3" s="76"/>
    </row>
    <row r="4" spans="1:33" s="75" customFormat="1" ht="15.75" x14ac:dyDescent="0.25">
      <c r="A4" s="76"/>
      <c r="B4" s="88" t="s">
        <v>94</v>
      </c>
      <c r="C4" s="88"/>
      <c r="D4" s="87">
        <f>+Summary!D20</f>
        <v>392</v>
      </c>
      <c r="E4" s="87">
        <f>+Summary!G20</f>
        <v>385</v>
      </c>
      <c r="F4" s="87">
        <f>+E5</f>
        <v>381</v>
      </c>
      <c r="G4" s="87">
        <f>+F5</f>
        <v>381</v>
      </c>
      <c r="H4" s="87">
        <f>+G5</f>
        <v>381</v>
      </c>
      <c r="I4" s="87">
        <f>+H5</f>
        <v>381</v>
      </c>
      <c r="J4" s="87">
        <f>+I5</f>
        <v>381</v>
      </c>
      <c r="K4" s="87">
        <f>+J5</f>
        <v>381</v>
      </c>
      <c r="L4" s="87">
        <f>+K5</f>
        <v>381</v>
      </c>
      <c r="M4" s="87">
        <f>+L5</f>
        <v>381</v>
      </c>
      <c r="N4" s="87">
        <f>+M5</f>
        <v>381</v>
      </c>
      <c r="O4" s="87">
        <f>+N5</f>
        <v>381</v>
      </c>
      <c r="P4" s="87">
        <f>+O5</f>
        <v>381</v>
      </c>
      <c r="Q4" s="86">
        <f>+AVERAGE(D4:P4)</f>
        <v>382.15384615384613</v>
      </c>
      <c r="R4" s="76"/>
    </row>
    <row r="5" spans="1:33" s="75" customFormat="1" ht="15.75" x14ac:dyDescent="0.25">
      <c r="A5" s="76"/>
      <c r="B5" s="85" t="s">
        <v>93</v>
      </c>
      <c r="C5" s="85"/>
      <c r="D5" s="84">
        <f>+Summary!G20</f>
        <v>385</v>
      </c>
      <c r="E5" s="84">
        <f>+Summary!J20</f>
        <v>381</v>
      </c>
      <c r="F5" s="84">
        <f>+Summary!M20</f>
        <v>381</v>
      </c>
      <c r="G5" s="84">
        <f>+Summary!P20</f>
        <v>381</v>
      </c>
      <c r="H5" s="84">
        <f>+Summary!S20</f>
        <v>381</v>
      </c>
      <c r="I5" s="83">
        <f>+Summary!V20</f>
        <v>381</v>
      </c>
      <c r="J5" s="83">
        <f>+Summary!Y20</f>
        <v>381</v>
      </c>
      <c r="K5" s="83">
        <f>+Summary!AB20</f>
        <v>381</v>
      </c>
      <c r="L5" s="83">
        <f>+Summary!AE20</f>
        <v>381</v>
      </c>
      <c r="M5" s="83">
        <f>+Summary!AH20</f>
        <v>381</v>
      </c>
      <c r="N5" s="83">
        <f>+Summary!AK20</f>
        <v>381</v>
      </c>
      <c r="O5" s="83">
        <f>+Summary!AN20</f>
        <v>381</v>
      </c>
      <c r="P5" s="83">
        <f>+Summary!AO20</f>
        <v>24</v>
      </c>
      <c r="Q5" s="82">
        <f>+AVERAGE(D5:P5)</f>
        <v>353.84615384615387</v>
      </c>
      <c r="R5" s="76"/>
    </row>
    <row r="6" spans="1:33" s="75" customFormat="1" ht="15.75" x14ac:dyDescent="0.25">
      <c r="A6" s="76"/>
      <c r="B6" s="81" t="s">
        <v>92</v>
      </c>
      <c r="C6" s="80"/>
      <c r="D6" s="79">
        <f>+(D4+D5)/2</f>
        <v>388.5</v>
      </c>
      <c r="E6" s="79">
        <f>+(E4+E5)/2</f>
        <v>383</v>
      </c>
      <c r="F6" s="79">
        <f>+(F4+F5)/2</f>
        <v>381</v>
      </c>
      <c r="G6" s="79">
        <f>+(G4+G5)/2</f>
        <v>381</v>
      </c>
      <c r="H6" s="79">
        <f>+(H4+H5)/2</f>
        <v>381</v>
      </c>
      <c r="I6" s="78">
        <f>+(I4+I5)/2</f>
        <v>381</v>
      </c>
      <c r="J6" s="78">
        <f>+(J4+J5)/2</f>
        <v>381</v>
      </c>
      <c r="K6" s="78">
        <f>+(K4+K5)/2</f>
        <v>381</v>
      </c>
      <c r="L6" s="78">
        <f>+(L4+L5)/2</f>
        <v>381</v>
      </c>
      <c r="M6" s="78">
        <f>+(M4+M5)/2</f>
        <v>381</v>
      </c>
      <c r="N6" s="78">
        <f>+(N4+N5)/2</f>
        <v>381</v>
      </c>
      <c r="O6" s="78">
        <f>+(O4+O5)/2</f>
        <v>381</v>
      </c>
      <c r="P6" s="78">
        <f>+(P4+P5)/2</f>
        <v>202.5</v>
      </c>
      <c r="Q6" s="77">
        <f>+AVERAGE(D6:P6)</f>
        <v>368</v>
      </c>
      <c r="R6" s="76"/>
    </row>
    <row r="7" spans="1:33" ht="15.75" x14ac:dyDescent="0.25">
      <c r="A7" s="60"/>
      <c r="B7" s="74" t="s">
        <v>91</v>
      </c>
      <c r="C7" s="73" t="s">
        <v>69</v>
      </c>
      <c r="D7" s="72">
        <f>+SUM(D8:D12)</f>
        <v>0</v>
      </c>
      <c r="E7" s="72">
        <f>+SUM(E8:E12)</f>
        <v>0</v>
      </c>
      <c r="F7" s="72">
        <f>+SUM(F8:F12)</f>
        <v>0</v>
      </c>
      <c r="G7" s="72">
        <f>+SUM(G8:G12)</f>
        <v>0</v>
      </c>
      <c r="H7" s="72">
        <f>+SUM(H8:H12)</f>
        <v>0</v>
      </c>
      <c r="I7" s="72">
        <f>+SUM(I8:I12)</f>
        <v>0</v>
      </c>
      <c r="J7" s="72">
        <f>+SUM(J8:J12)</f>
        <v>0</v>
      </c>
      <c r="K7" s="72">
        <f>+SUM(K8:K12)</f>
        <v>0</v>
      </c>
      <c r="L7" s="72">
        <f>+SUM(L8:L12)</f>
        <v>0</v>
      </c>
      <c r="M7" s="72">
        <f>+SUM(M8:M12)</f>
        <v>0</v>
      </c>
      <c r="N7" s="72">
        <f>+SUM(N8:N12)</f>
        <v>0</v>
      </c>
      <c r="O7" s="72">
        <f>+SUM(O8:O12)</f>
        <v>0</v>
      </c>
      <c r="P7" s="72">
        <f>+SUM(P8:P12)</f>
        <v>0</v>
      </c>
      <c r="Q7" s="71">
        <f>+AVERAGE(D7:P7)</f>
        <v>0</v>
      </c>
      <c r="R7" s="60"/>
      <c r="S7" s="70"/>
    </row>
    <row r="8" spans="1:33" ht="15.75" x14ac:dyDescent="0.25">
      <c r="A8" s="60"/>
      <c r="B8" s="67"/>
      <c r="C8" s="65" t="s">
        <v>76</v>
      </c>
      <c r="D8" s="64">
        <f>SUM(Sheet1!AD5:AD20)</f>
        <v>0</v>
      </c>
      <c r="E8" s="64">
        <f>SUM(Sheet1!AI5:AI20)</f>
        <v>0</v>
      </c>
      <c r="F8" s="64">
        <f>SUM(Sheet1!AN5:AN20)</f>
        <v>0</v>
      </c>
      <c r="G8" s="64">
        <f>SUM(Sheet1!AS5:AS20)</f>
        <v>0</v>
      </c>
      <c r="H8" s="64">
        <f>SUM(Sheet1!AX5:AX20)</f>
        <v>0</v>
      </c>
      <c r="I8" s="64">
        <f>SUM(Sheet1!BC5:BC20)</f>
        <v>0</v>
      </c>
      <c r="J8" s="64">
        <f>SUM(Sheet1!BH5:BH20)</f>
        <v>0</v>
      </c>
      <c r="K8" s="64">
        <f>SUM(Sheet1!BM5:BM20)</f>
        <v>0</v>
      </c>
      <c r="L8" s="64">
        <f>SUM(Sheet1!BR5:BR20)</f>
        <v>0</v>
      </c>
      <c r="M8" s="64">
        <f>SUM(Sheet1!BW5:BW20)</f>
        <v>0</v>
      </c>
      <c r="N8" s="64">
        <f>SUM(Sheet1!CG5:CG20)</f>
        <v>0</v>
      </c>
      <c r="O8" s="64">
        <f>SUM(Sheet1!CP5:CP20)</f>
        <v>0</v>
      </c>
      <c r="P8" s="64">
        <f>SUM(Sheet1!CU5:CU20)</f>
        <v>0</v>
      </c>
      <c r="Q8" s="63">
        <f>+AVERAGE(D8:P8)</f>
        <v>0</v>
      </c>
      <c r="R8" s="60"/>
      <c r="S8" s="69" t="s">
        <v>90</v>
      </c>
      <c r="T8" s="68" t="s">
        <v>78</v>
      </c>
      <c r="U8" s="68" t="s">
        <v>89</v>
      </c>
      <c r="V8" s="68" t="s">
        <v>88</v>
      </c>
      <c r="W8" s="68" t="s">
        <v>87</v>
      </c>
      <c r="X8" s="68" t="s">
        <v>86</v>
      </c>
      <c r="Y8" s="68" t="s">
        <v>85</v>
      </c>
      <c r="Z8" s="68" t="s">
        <v>84</v>
      </c>
      <c r="AA8" s="68" t="s">
        <v>83</v>
      </c>
      <c r="AB8" s="68" t="s">
        <v>82</v>
      </c>
      <c r="AC8" s="68" t="s">
        <v>81</v>
      </c>
      <c r="AD8" s="68" t="s">
        <v>80</v>
      </c>
      <c r="AE8" s="68" t="s">
        <v>79</v>
      </c>
      <c r="AF8" s="68" t="s">
        <v>78</v>
      </c>
      <c r="AG8" s="68" t="s">
        <v>77</v>
      </c>
    </row>
    <row r="9" spans="1:33" ht="15.75" x14ac:dyDescent="0.25">
      <c r="A9" s="60"/>
      <c r="B9" s="67"/>
      <c r="C9" s="65" t="s">
        <v>75</v>
      </c>
      <c r="D9" s="64">
        <f>SUM(Sheet1!AE5:AE20)</f>
        <v>0</v>
      </c>
      <c r="E9" s="64">
        <f>SUM(Sheet1!AJ5:AJ20)</f>
        <v>0</v>
      </c>
      <c r="F9" s="64">
        <f>SUM(Sheet1!AO5:AO20)</f>
        <v>0</v>
      </c>
      <c r="G9" s="64">
        <f>SUM(Sheet1!AT5:AT20)</f>
        <v>0</v>
      </c>
      <c r="H9" s="64">
        <f>SUM(Sheet1!AY5:AY20)</f>
        <v>0</v>
      </c>
      <c r="I9" s="64">
        <f>SUM(Sheet1!BD5:BD20)</f>
        <v>0</v>
      </c>
      <c r="J9" s="64">
        <f>SUM(Sheet1!BI5:BI20)</f>
        <v>0</v>
      </c>
      <c r="K9" s="64">
        <f>SUM(Sheet1!BN5:BN20)</f>
        <v>0</v>
      </c>
      <c r="L9" s="64">
        <f>SUM(Sheet1!BS5:BS20)</f>
        <v>0</v>
      </c>
      <c r="M9" s="64">
        <f>SUM(Sheet1!BX5:BX20)</f>
        <v>0</v>
      </c>
      <c r="N9" s="64">
        <f>SUM(Sheet1!CH5:CH20)</f>
        <v>0</v>
      </c>
      <c r="O9" s="64">
        <f>SUM(Sheet1!CQ5:CQ20)</f>
        <v>0</v>
      </c>
      <c r="P9" s="64">
        <f>SUM(Sheet1!CV5:CV20)</f>
        <v>0</v>
      </c>
      <c r="Q9" s="63">
        <f>+AVERAGE(D9:P9)</f>
        <v>0</v>
      </c>
      <c r="R9" s="60"/>
      <c r="S9" s="59" t="s">
        <v>76</v>
      </c>
      <c r="T9" s="58">
        <f>+D8</f>
        <v>0</v>
      </c>
      <c r="U9" s="58">
        <f>+E8</f>
        <v>0</v>
      </c>
      <c r="V9" s="58">
        <f>+F8</f>
        <v>0</v>
      </c>
      <c r="W9" s="58">
        <f>+G8</f>
        <v>0</v>
      </c>
      <c r="X9" s="58">
        <f>+H8</f>
        <v>0</v>
      </c>
      <c r="Y9" s="58">
        <f>+I8</f>
        <v>0</v>
      </c>
      <c r="Z9" s="58">
        <f>+J8</f>
        <v>0</v>
      </c>
      <c r="AA9" s="58">
        <f>+K8</f>
        <v>0</v>
      </c>
      <c r="AB9" s="58">
        <f>+L8</f>
        <v>0</v>
      </c>
      <c r="AC9" s="58">
        <f>+M8</f>
        <v>0</v>
      </c>
      <c r="AD9" s="58">
        <f>+N8</f>
        <v>0</v>
      </c>
      <c r="AE9" s="58">
        <f>+O8</f>
        <v>0</v>
      </c>
      <c r="AF9" s="58">
        <f>+P8</f>
        <v>0</v>
      </c>
      <c r="AG9" s="57">
        <f>+AVERAGE(T9:AF9)</f>
        <v>0</v>
      </c>
    </row>
    <row r="10" spans="1:33" ht="15.75" x14ac:dyDescent="0.25">
      <c r="A10" s="60"/>
      <c r="B10" s="67"/>
      <c r="C10" s="65" t="s">
        <v>73</v>
      </c>
      <c r="D10" s="64">
        <f>SUM(Sheet1!AF5:AF20)</f>
        <v>0</v>
      </c>
      <c r="E10" s="64">
        <f>SUM(Sheet1!AK5:AK20)</f>
        <v>0</v>
      </c>
      <c r="F10" s="64">
        <f>SUM(Sheet1!AP5:AP20)</f>
        <v>0</v>
      </c>
      <c r="G10" s="64">
        <f>SUM(Sheet1!AU5:AU20)</f>
        <v>0</v>
      </c>
      <c r="H10" s="64">
        <f>SUM(Sheet1!AZ5:AZ20)</f>
        <v>0</v>
      </c>
      <c r="I10" s="64">
        <f>SUM(Sheet1!BE5:BE20)</f>
        <v>0</v>
      </c>
      <c r="J10" s="64">
        <f>SUM(Sheet1!BJ5:BJ20)</f>
        <v>0</v>
      </c>
      <c r="K10" s="64">
        <f>SUM(Sheet1!BO5:BO20)</f>
        <v>0</v>
      </c>
      <c r="L10" s="64">
        <f>SUM(Sheet1!BT5:BT20)</f>
        <v>0</v>
      </c>
      <c r="M10" s="64">
        <f>SUM(Sheet1!BY5:BY20)</f>
        <v>0</v>
      </c>
      <c r="N10" s="64">
        <f>SUM(Sheet1!CI5:CI20)</f>
        <v>0</v>
      </c>
      <c r="O10" s="64">
        <f>SUM(Sheet1!CR5:CR20)</f>
        <v>0</v>
      </c>
      <c r="P10" s="64">
        <f>SUM(Sheet1!CW5:CW20)</f>
        <v>0</v>
      </c>
      <c r="Q10" s="63">
        <f>+AVERAGE(D10:P10)</f>
        <v>0</v>
      </c>
      <c r="R10" s="60"/>
      <c r="S10" s="59" t="s">
        <v>75</v>
      </c>
      <c r="T10" s="58">
        <f>+D9</f>
        <v>0</v>
      </c>
      <c r="U10" s="58">
        <f>+E9</f>
        <v>0</v>
      </c>
      <c r="V10" s="58">
        <f>+F9</f>
        <v>0</v>
      </c>
      <c r="W10" s="58">
        <f>+G9</f>
        <v>0</v>
      </c>
      <c r="X10" s="58">
        <f>+H9</f>
        <v>0</v>
      </c>
      <c r="Y10" s="58">
        <f>+I9</f>
        <v>0</v>
      </c>
      <c r="Z10" s="58">
        <f>+J9</f>
        <v>0</v>
      </c>
      <c r="AA10" s="58">
        <f>+K9</f>
        <v>0</v>
      </c>
      <c r="AB10" s="58">
        <f>+L9</f>
        <v>0</v>
      </c>
      <c r="AC10" s="58">
        <f>+M9</f>
        <v>0</v>
      </c>
      <c r="AD10" s="58">
        <f>+N9</f>
        <v>0</v>
      </c>
      <c r="AE10" s="58">
        <f>+O9</f>
        <v>0</v>
      </c>
      <c r="AF10" s="58">
        <f>+P9</f>
        <v>0</v>
      </c>
      <c r="AG10" s="57">
        <f>+AVERAGE(T10:AF10)</f>
        <v>0</v>
      </c>
    </row>
    <row r="11" spans="1:33" ht="25.5" customHeight="1" x14ac:dyDescent="0.25">
      <c r="A11" s="60"/>
      <c r="B11" s="67"/>
      <c r="C11" s="65" t="s">
        <v>74</v>
      </c>
      <c r="D11" s="64">
        <f>SUM(Sheet1!AG5:AG20)</f>
        <v>0</v>
      </c>
      <c r="E11" s="64">
        <f>SUM(Sheet1!AL5:AL20)</f>
        <v>0</v>
      </c>
      <c r="F11" s="64">
        <f>SUM(Sheet1!AQ5:AQ20)</f>
        <v>0</v>
      </c>
      <c r="G11" s="64">
        <f>SUM(Sheet1!AV5:AV20)</f>
        <v>0</v>
      </c>
      <c r="H11" s="64">
        <f>SUM(Sheet1!BA5:BA20)</f>
        <v>0</v>
      </c>
      <c r="I11" s="64">
        <f>SUM(Sheet1!BF5:BF20)</f>
        <v>0</v>
      </c>
      <c r="J11" s="64">
        <f>SUM(Sheet1!BK5:BK20)</f>
        <v>0</v>
      </c>
      <c r="K11" s="64">
        <f>SUM(Sheet1!BP5:BP20)</f>
        <v>0</v>
      </c>
      <c r="L11" s="64">
        <f>SUM(Sheet1!BU5:BU20)</f>
        <v>0</v>
      </c>
      <c r="M11" s="64">
        <f>SUM(Sheet1!BZ5:BZ20)</f>
        <v>0</v>
      </c>
      <c r="N11" s="64">
        <f>SUM(Sheet1!CJ5:CJ20)</f>
        <v>0</v>
      </c>
      <c r="O11" s="64">
        <f>SUM(Sheet1!CS5:CS20)</f>
        <v>0</v>
      </c>
      <c r="P11" s="64">
        <f>SUM(Sheet1!CX5:CX20)</f>
        <v>0</v>
      </c>
      <c r="Q11" s="63">
        <f>+AVERAGE(D11:P11)</f>
        <v>0</v>
      </c>
      <c r="R11" s="60"/>
      <c r="S11" s="59" t="s">
        <v>73</v>
      </c>
      <c r="T11" s="58">
        <f>+D10</f>
        <v>0</v>
      </c>
      <c r="U11" s="58">
        <f>+E10</f>
        <v>0</v>
      </c>
      <c r="V11" s="58">
        <f>+F10</f>
        <v>0</v>
      </c>
      <c r="W11" s="58">
        <f>+G10</f>
        <v>0</v>
      </c>
      <c r="X11" s="58">
        <f>+H10</f>
        <v>0</v>
      </c>
      <c r="Y11" s="58">
        <f>+I10</f>
        <v>0</v>
      </c>
      <c r="Z11" s="58">
        <f>+J10</f>
        <v>0</v>
      </c>
      <c r="AA11" s="58">
        <f>+K10</f>
        <v>0</v>
      </c>
      <c r="AB11" s="58">
        <f>+L10</f>
        <v>0</v>
      </c>
      <c r="AC11" s="58">
        <f>+M10</f>
        <v>0</v>
      </c>
      <c r="AD11" s="58">
        <f>+N10</f>
        <v>0</v>
      </c>
      <c r="AE11" s="58">
        <f>+O10</f>
        <v>0</v>
      </c>
      <c r="AF11" s="58">
        <f>+P10</f>
        <v>0</v>
      </c>
      <c r="AG11" s="57">
        <f>+AVERAGE(T11:AF11)</f>
        <v>0</v>
      </c>
    </row>
    <row r="12" spans="1:33" ht="16.5" customHeight="1" x14ac:dyDescent="0.25">
      <c r="A12" s="60"/>
      <c r="B12" s="66"/>
      <c r="C12" s="65" t="s">
        <v>70</v>
      </c>
      <c r="D12" s="64">
        <f>SUM(Sheet1!AH5:AH20)</f>
        <v>0</v>
      </c>
      <c r="E12" s="64">
        <f>SUM(Sheet1!AM5:AM20)</f>
        <v>0</v>
      </c>
      <c r="F12" s="64">
        <f>SUM(Sheet1!AR5:AR20)</f>
        <v>0</v>
      </c>
      <c r="G12" s="64">
        <f>SUM(Sheet1!AW5:AW20)</f>
        <v>0</v>
      </c>
      <c r="H12" s="64">
        <f>SUM(Sheet1!BB5:BB20)</f>
        <v>0</v>
      </c>
      <c r="I12" s="64">
        <f>SUM(Sheet1!BG5:BG20)</f>
        <v>0</v>
      </c>
      <c r="J12" s="64">
        <f>SUM(Sheet1!BL5:BL20)</f>
        <v>0</v>
      </c>
      <c r="K12" s="64">
        <f>SUM(Sheet1!BQ5:BQ20)</f>
        <v>0</v>
      </c>
      <c r="L12" s="64">
        <f>SUM(Sheet1!BV5:BV20)</f>
        <v>0</v>
      </c>
      <c r="M12" s="64">
        <f>SUM(Sheet1!CA5:CA20)</f>
        <v>0</v>
      </c>
      <c r="N12" s="64">
        <f>SUM(Sheet1!CO5:CO20)</f>
        <v>0</v>
      </c>
      <c r="O12" s="64">
        <f>SUM(Sheet1!CT5:CT20)</f>
        <v>0</v>
      </c>
      <c r="P12" s="64">
        <f>SUM(Sheet1!CY5:CY20)</f>
        <v>0</v>
      </c>
      <c r="Q12" s="63">
        <f>+AVERAGE(D12:P12)</f>
        <v>0</v>
      </c>
      <c r="R12" s="60"/>
      <c r="S12" s="59" t="s">
        <v>72</v>
      </c>
      <c r="T12" s="58">
        <f>+D11</f>
        <v>0</v>
      </c>
      <c r="U12" s="58">
        <f>+E11</f>
        <v>0</v>
      </c>
      <c r="V12" s="58">
        <f>+F11</f>
        <v>0</v>
      </c>
      <c r="W12" s="58">
        <f>+G11</f>
        <v>0</v>
      </c>
      <c r="X12" s="58">
        <f>+H11</f>
        <v>0</v>
      </c>
      <c r="Y12" s="58">
        <f>+I11</f>
        <v>0</v>
      </c>
      <c r="Z12" s="58">
        <f>+J11</f>
        <v>0</v>
      </c>
      <c r="AA12" s="58">
        <f>+K11</f>
        <v>0</v>
      </c>
      <c r="AB12" s="58">
        <f>+L11</f>
        <v>0</v>
      </c>
      <c r="AC12" s="58">
        <f>+M11</f>
        <v>0</v>
      </c>
      <c r="AD12" s="58">
        <f>+N11</f>
        <v>0</v>
      </c>
      <c r="AE12" s="58">
        <f>+O11</f>
        <v>0</v>
      </c>
      <c r="AF12" s="58">
        <f>+P11</f>
        <v>0</v>
      </c>
      <c r="AG12" s="57">
        <f>+AVERAGE(T12:AF12)</f>
        <v>0</v>
      </c>
    </row>
    <row r="13" spans="1:33" ht="15.75" x14ac:dyDescent="0.25">
      <c r="A13" s="60"/>
      <c r="B13" s="62" t="s">
        <v>71</v>
      </c>
      <c r="C13" s="62"/>
      <c r="D13" s="61">
        <f>+D7/D6</f>
        <v>0</v>
      </c>
      <c r="E13" s="61">
        <f>+E7/E6</f>
        <v>0</v>
      </c>
      <c r="F13" s="61">
        <f>+F7/F6</f>
        <v>0</v>
      </c>
      <c r="G13" s="61">
        <f>+G7/G6</f>
        <v>0</v>
      </c>
      <c r="H13" s="61">
        <f>+H7/H6</f>
        <v>0</v>
      </c>
      <c r="I13" s="61">
        <f>+I7/I6</f>
        <v>0</v>
      </c>
      <c r="J13" s="61">
        <f>+J7/J6</f>
        <v>0</v>
      </c>
      <c r="K13" s="61">
        <f>+K7/K6</f>
        <v>0</v>
      </c>
      <c r="L13" s="61">
        <f>+L7/L6</f>
        <v>0</v>
      </c>
      <c r="M13" s="61">
        <f>+M7/M6</f>
        <v>0</v>
      </c>
      <c r="N13" s="61">
        <f>+N7/N6</f>
        <v>0</v>
      </c>
      <c r="O13" s="61">
        <f>+O7/O6</f>
        <v>0</v>
      </c>
      <c r="P13" s="61">
        <f>+P7/P6</f>
        <v>0</v>
      </c>
      <c r="Q13" s="61">
        <f>+AVERAGE(D13:P13)</f>
        <v>0</v>
      </c>
      <c r="R13" s="60"/>
      <c r="S13" s="59" t="s">
        <v>70</v>
      </c>
      <c r="T13" s="58">
        <f>+D12</f>
        <v>0</v>
      </c>
      <c r="U13" s="58">
        <f>+E12</f>
        <v>0</v>
      </c>
      <c r="V13" s="58">
        <f>+F12</f>
        <v>0</v>
      </c>
      <c r="W13" s="58">
        <f>+G12</f>
        <v>0</v>
      </c>
      <c r="X13" s="58">
        <f>+H12</f>
        <v>0</v>
      </c>
      <c r="Y13" s="58">
        <f>+I12</f>
        <v>0</v>
      </c>
      <c r="Z13" s="58">
        <f>+J12</f>
        <v>0</v>
      </c>
      <c r="AA13" s="58">
        <f>+K12</f>
        <v>0</v>
      </c>
      <c r="AB13" s="58">
        <f>+L12</f>
        <v>0</v>
      </c>
      <c r="AC13" s="58">
        <f>+M12</f>
        <v>0</v>
      </c>
      <c r="AD13" s="58">
        <f>+N12</f>
        <v>0</v>
      </c>
      <c r="AE13" s="58">
        <f>+O12</f>
        <v>0</v>
      </c>
      <c r="AF13" s="58">
        <f>+P12</f>
        <v>0</v>
      </c>
      <c r="AG13" s="57">
        <f>+AVERAGE(T13:AF13)</f>
        <v>0</v>
      </c>
    </row>
    <row r="14" spans="1:33" ht="15.75" x14ac:dyDescent="0.25"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S14" s="56" t="s">
        <v>69</v>
      </c>
      <c r="T14" s="55">
        <f>SUM(T9:T13)</f>
        <v>0</v>
      </c>
      <c r="U14" s="55">
        <f>SUM(U9:U13)</f>
        <v>0</v>
      </c>
      <c r="V14" s="55">
        <f>SUM(V9:V13)</f>
        <v>0</v>
      </c>
      <c r="W14" s="55">
        <f>SUM(W9:W13)</f>
        <v>0</v>
      </c>
      <c r="X14" s="55">
        <f>SUM(X9:X13)</f>
        <v>0</v>
      </c>
      <c r="Y14" s="55">
        <f>SUM(Y9:Y13)</f>
        <v>0</v>
      </c>
      <c r="Z14" s="55">
        <f>SUM(Z9:Z13)</f>
        <v>0</v>
      </c>
      <c r="AA14" s="55">
        <f>SUM(AA9:AA13)</f>
        <v>0</v>
      </c>
      <c r="AB14" s="55">
        <f>SUM(AB9:AB13)</f>
        <v>0</v>
      </c>
      <c r="AC14" s="55">
        <f>SUM(AC9:AC13)</f>
        <v>0</v>
      </c>
      <c r="AD14" s="55">
        <f>SUM(AD9:AD13)</f>
        <v>0</v>
      </c>
      <c r="AE14" s="55">
        <f>SUM(AE9:AE13)</f>
        <v>0</v>
      </c>
      <c r="AF14" s="55">
        <f>SUM(AF9:AF13)</f>
        <v>0</v>
      </c>
      <c r="AG14" s="54">
        <f>+AVERAGE(T14:AF14)</f>
        <v>0</v>
      </c>
    </row>
    <row r="15" spans="1:33" ht="15.75" x14ac:dyDescent="0.25"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S15" s="53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 spans="1:33" ht="30" customHeight="1" x14ac:dyDescent="0.25"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</row>
    <row r="17" spans="4:16" ht="22.5" customHeight="1" x14ac:dyDescent="0.25"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18" spans="4:16" ht="22.5" customHeight="1" x14ac:dyDescent="0.25"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spans="4:16" ht="22.5" customHeight="1" x14ac:dyDescent="0.25"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</row>
    <row r="20" spans="4:16" ht="22.5" customHeight="1" x14ac:dyDescent="0.25"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</row>
    <row r="21" spans="4:16" ht="22.5" customHeight="1" x14ac:dyDescent="0.25"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2" spans="4:16" ht="22.5" customHeight="1" x14ac:dyDescent="0.25"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</row>
    <row r="23" spans="4:16" ht="22.5" customHeight="1" x14ac:dyDescent="0.25"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</row>
    <row r="24" spans="4:16" ht="22.5" customHeight="1" x14ac:dyDescent="0.25"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</row>
    <row r="25" spans="4:16" ht="22.5" customHeight="1" x14ac:dyDescent="0.25"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</row>
    <row r="26" spans="4:16" ht="22.5" customHeight="1" x14ac:dyDescent="0.25"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</row>
    <row r="27" spans="4:16" ht="22.5" customHeight="1" x14ac:dyDescent="0.25"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</row>
  </sheetData>
  <mergeCells count="6">
    <mergeCell ref="B13:C13"/>
    <mergeCell ref="B3:C3"/>
    <mergeCell ref="B4:C4"/>
    <mergeCell ref="B5:C5"/>
    <mergeCell ref="B6:C6"/>
    <mergeCell ref="B7:B12"/>
  </mergeCells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Ratio turn 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2023-02-25T04:01:18Z</dcterms:modified>
</cp:coreProperties>
</file>