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D:\SourceCodeHR\GWFNV\SmartBooks.HumanResource\bin\x86\Debug\Teamleate\"/>
    </mc:Choice>
  </mc:AlternateContent>
  <xr:revisionPtr revIDLastSave="0" documentId="13_ncr:1_{FC3A275B-A8CD-4C45-B8C9-67AFC2826E80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Sheet1" sheetId="22" r:id="rId1"/>
    <sheet name="Systerm" sheetId="23" r:id="rId2"/>
  </sheets>
  <definedNames>
    <definedName name="_xlnm._FilterDatabase" localSheetId="0" hidden="1">Sheet1!$B$6:$X$6</definedName>
    <definedName name="_xlnm._FilterDatabase" localSheetId="1" hidden="1">Systerm!$A$5:$O$104</definedName>
    <definedName name="ban_moi">Systerm!#REF!</definedName>
    <definedName name="du_lieu" localSheetId="1">Systerm!#REF!</definedName>
    <definedName name="du_lieu">#REF!</definedName>
    <definedName name="du_qua" localSheetId="1">Systerm!#REF!</definedName>
    <definedName name="du_qua">#REF!</definedName>
    <definedName name="_xlnm.Print_Area" localSheetId="0">Sheet1!$B$1:$X$7</definedName>
    <definedName name="_xlnm.Print_Area" localSheetId="1">Systerm!$A$1:$O$103</definedName>
    <definedName name="th_tin">Systerm!#REF!</definedName>
    <definedName name="thong_tin" localSheetId="1">Systerm!#REF!</definedName>
    <definedName name="thong_tin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5" i="22" l="1"/>
  <c r="Y5" i="22"/>
  <c r="W7" i="22"/>
  <c r="B1" i="22"/>
  <c r="H5" i="22"/>
</calcChain>
</file>

<file path=xl/sharedStrings.xml><?xml version="1.0" encoding="utf-8"?>
<sst xmlns="http://schemas.openxmlformats.org/spreadsheetml/2006/main" count="48" uniqueCount="48">
  <si>
    <t>No</t>
  </si>
  <si>
    <t>FullName</t>
  </si>
  <si>
    <t>Employee_ID</t>
  </si>
  <si>
    <t>StartedDate</t>
  </si>
  <si>
    <t>FactoryName</t>
  </si>
  <si>
    <t>TT
No</t>
  </si>
  <si>
    <t>Họ Và Tên
Full Name</t>
  </si>
  <si>
    <t>Bộ phận
 parts</t>
  </si>
  <si>
    <t>Ngày vào
In date</t>
  </si>
  <si>
    <t>Số tháng làm việc
(Month working)</t>
  </si>
  <si>
    <t>THÁNG (Months)</t>
  </si>
  <si>
    <t>Đã Nghỉ phép
Annual leave</t>
  </si>
  <si>
    <t>Số ngày phép còn lại
Number of vacation days remaining</t>
  </si>
  <si>
    <t>Số PN trong năm
Allowed in years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</si>
  <si>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</si>
  <si>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</si>
  <si>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</si>
  <si>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</si>
  <si>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</si>
  <si>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</si>
  <si>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</si>
  <si>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</si>
  <si>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</si>
  <si>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</si>
  <si>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</si>
  <si>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</si>
  <si>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ThangLamViec</t>
  </si>
  <si>
    <t>Mã nhân viên
Employee ID</t>
  </si>
  <si>
    <t>PhepNamDuocHuong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</si>
  <si>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</si>
  <si>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</si>
  <si>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</si>
  <si>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</si>
  <si>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</si>
  <si>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</si>
  <si>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</si>
  <si>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</si>
  <si>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</si>
  <si>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</si>
  <si>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</si>
  <si>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</si>
  <si>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PhepNamConLaiDenHienTai</t>
  </si>
  <si>
    <t>Phép năm được hưởng đến hiện tại</t>
  </si>
  <si>
    <t>PhepNamDuocHuongDenHienTai</t>
  </si>
  <si>
    <t>Phép năm được hưởng đến cuối tháng trước</t>
  </si>
  <si>
    <t>PhepNamNghiTrongThang</t>
  </si>
  <si>
    <t>PhepNamPhatSinh</t>
  </si>
  <si>
    <t>PhepNamTonDauDauThang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</si>
</sst>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\ _₫_-;\-* #,##0.00\ _₫_-;_-* &quot;-&quot;??\ _₫_-;_-@_-"/>
    <numFmt numFmtId="165" formatCode="[$-409]d\-mmm;@"/>
  </numFmts>
  <fonts count="1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8" tint="-0.249977111117893"/>
      <name val="Times New Roman"/>
      <family val="1"/>
    </font>
    <font>
      <sz val="8"/>
      <name val="Calibri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name val="Arial"/>
      <family val="2"/>
    </font>
    <font>
      <sz val="10"/>
      <name val="Arial"/>
      <family val="2"/>
      <charset val="163"/>
    </font>
    <font>
      <sz val="11"/>
      <name val="Times New Roman"/>
      <family val="1"/>
    </font>
    <font>
      <b/>
      <sz val="11"/>
      <name val="Times New Roman"/>
      <family val="1"/>
    </font>
    <font>
      <b/>
      <sz val="18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3"/>
      <charset val="129"/>
      <scheme val="minor"/>
    </font>
    <font>
      <b/>
      <sz val="12"/>
      <name val="Times New Roman"/>
      <family val="1"/>
    </font>
    <font>
      <b/>
      <sz val="12"/>
      <color rgb="FF0000F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4" fillId="0" borderId="0">
      <alignment vertical="center"/>
    </xf>
    <xf numFmtId="0" fontId="5" fillId="0" borderId="0"/>
    <xf numFmtId="0" fontId="6" fillId="0" borderId="0">
      <alignment vertical="center"/>
    </xf>
    <xf numFmtId="0" fontId="10" fillId="0" borderId="0"/>
    <xf numFmtId="0" fontId="11" fillId="0" borderId="0"/>
    <xf numFmtId="164" fontId="5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5" fillId="0" borderId="0"/>
    <xf numFmtId="43" fontId="10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NumberFormat="1" applyFont="1"/>
    <xf numFmtId="0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/>
    <xf numFmtId="0" fontId="2" fillId="0" borderId="0" xfId="0" applyNumberFormat="1" applyFont="1" applyAlignment="1">
      <alignment horizontal="center"/>
    </xf>
    <xf numFmtId="0" fontId="8" fillId="0" borderId="0" xfId="0" applyNumberFormat="1" applyFont="1" applyAlignment="1">
      <alignment horizontal="center"/>
    </xf>
    <xf numFmtId="0" fontId="1" fillId="0" borderId="0" xfId="0" applyNumberFormat="1" applyFont="1" applyAlignment="1"/>
    <xf numFmtId="0" fontId="1" fillId="0" borderId="0" xfId="0" applyNumberFormat="1" applyFont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0" fontId="1" fillId="2" borderId="0" xfId="0" applyNumberFormat="1" applyFont="1" applyFill="1" applyAlignment="1">
      <alignment horizontal="center"/>
    </xf>
    <xf numFmtId="0" fontId="2" fillId="0" borderId="0" xfId="0" applyNumberFormat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14" fontId="12" fillId="3" borderId="1" xfId="5" applyNumberFormat="1" applyFont="1" applyFill="1" applyBorder="1" applyAlignment="1">
      <alignment vertical="center" wrapText="1"/>
    </xf>
    <xf numFmtId="0" fontId="1" fillId="0" borderId="1" xfId="0" applyNumberFormat="1" applyFont="1" applyBorder="1"/>
    <xf numFmtId="0" fontId="1" fillId="0" borderId="1" xfId="0" applyNumberFormat="1" applyFont="1" applyBorder="1" applyAlignment="1"/>
    <xf numFmtId="0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2" fillId="3" borderId="1" xfId="7" applyNumberFormat="1" applyFont="1" applyFill="1" applyBorder="1" applyAlignment="1">
      <alignment horizontal="center" vertical="center" wrapText="1"/>
    </xf>
    <xf numFmtId="0" fontId="12" fillId="3" borderId="1" xfId="6" applyNumberFormat="1" applyFont="1" applyFill="1" applyBorder="1" applyAlignment="1">
      <alignment horizontal="center" vertical="center" wrapText="1"/>
    </xf>
    <xf numFmtId="0" fontId="12" fillId="3" borderId="1" xfId="5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0" fontId="9" fillId="0" borderId="0" xfId="0" applyNumberFormat="1" applyFont="1" applyAlignment="1">
      <alignment horizontal="center" wrapText="1"/>
    </xf>
    <xf numFmtId="0" fontId="12" fillId="3" borderId="2" xfId="7" applyNumberFormat="1" applyFont="1" applyFill="1" applyBorder="1" applyAlignment="1">
      <alignment horizontal="center" vertical="center" wrapText="1"/>
    </xf>
    <xf numFmtId="0" fontId="12" fillId="3" borderId="3" xfId="7" applyNumberFormat="1" applyFont="1" applyFill="1" applyBorder="1" applyAlignment="1">
      <alignment horizontal="center" vertical="center" wrapText="1"/>
    </xf>
    <xf numFmtId="0" fontId="13" fillId="3" borderId="2" xfId="6" applyNumberFormat="1" applyFont="1" applyFill="1" applyBorder="1" applyAlignment="1">
      <alignment horizontal="center" vertical="center" wrapText="1"/>
    </xf>
    <xf numFmtId="0" fontId="13" fillId="3" borderId="3" xfId="6" applyNumberFormat="1" applyFont="1" applyFill="1" applyBorder="1" applyAlignment="1">
      <alignment horizontal="center" vertical="center" wrapText="1"/>
    </xf>
    <xf numFmtId="0" fontId="12" fillId="3" borderId="2" xfId="5" applyNumberFormat="1" applyFont="1" applyFill="1" applyBorder="1" applyAlignment="1">
      <alignment horizontal="center" vertical="center" wrapText="1"/>
    </xf>
    <xf numFmtId="0" fontId="12" fillId="3" borderId="3" xfId="5" applyNumberFormat="1" applyFont="1" applyFill="1" applyBorder="1" applyAlignment="1">
      <alignment horizontal="center" vertical="center" wrapText="1"/>
    </xf>
    <xf numFmtId="0" fontId="12" fillId="3" borderId="1" xfId="5" applyNumberFormat="1" applyFont="1" applyFill="1" applyBorder="1" applyAlignment="1">
      <alignment horizontal="center" vertical="center" wrapText="1"/>
    </xf>
    <xf numFmtId="14" fontId="12" fillId="3" borderId="2" xfId="5" applyNumberFormat="1" applyFont="1" applyFill="1" applyBorder="1" applyAlignment="1">
      <alignment horizontal="center" vertical="center" wrapText="1"/>
    </xf>
    <xf numFmtId="14" fontId="12" fillId="3" borderId="3" xfId="5" applyNumberFormat="1" applyFont="1" applyFill="1" applyBorder="1" applyAlignment="1">
      <alignment horizontal="center" vertical="center" wrapText="1"/>
    </xf>
  </cellXfs>
  <cellStyles count="10">
    <cellStyle name="Comma 2" xfId="6" xr:uid="{1B8EF0D6-78F2-457E-8AEA-C76D36688E35}"/>
    <cellStyle name="Comma 3" xfId="7" xr:uid="{9B1E0121-499F-4F91-96FC-DE6BC24ED84D}"/>
    <cellStyle name="Comma 4" xfId="9" xr:uid="{7E28E692-A644-4D9D-930C-0107BEFF756D}"/>
    <cellStyle name="Normal" xfId="0" builtinId="0"/>
    <cellStyle name="Normal 2" xfId="2" xr:uid="{00000000-0005-0000-0000-000002000000}"/>
    <cellStyle name="Normal 2 10" xfId="8" xr:uid="{EA6900CA-83DD-46FF-8B72-43F45CBBBA06}"/>
    <cellStyle name="Normal 2 2" xfId="1" xr:uid="{00000000-0005-0000-0000-000003000000}"/>
    <cellStyle name="Normal 2 3" xfId="5" xr:uid="{767DE868-138B-4000-914F-DF098F143D49}"/>
    <cellStyle name="Normal 3" xfId="3" xr:uid="{00000000-0005-0000-0000-000004000000}"/>
    <cellStyle name="Normal 4" xfId="4" xr:uid="{ED9441D9-0CA1-4039-A2AA-780F767362DB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996633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Z7"/>
  <sheetViews>
    <sheetView showZeros="0" tabSelected="1" topLeftCell="B1" zoomScaleNormal="100" zoomScaleSheetLayoutView="100" workbookViewId="0">
      <selection activeCell="D7" sqref="D7"/>
    </sheetView>
  </sheetViews>
  <sheetFormatPr defaultColWidth="9.140625" defaultRowHeight="15"/>
  <cols>
    <col min="1" max="1" width="10.140625" style="3" hidden="1" customWidth="1"/>
    <col min="2" max="2" width="5" style="3" customWidth="1"/>
    <col min="3" max="3" width="14.5703125" style="3" customWidth="1"/>
    <col min="4" max="4" width="23.140625" style="3" customWidth="1"/>
    <col min="5" max="5" width="12.28515625" style="10" customWidth="1"/>
    <col min="6" max="6" width="16.7109375" style="6" customWidth="1"/>
    <col min="7" max="7" width="9.85546875" style="5" customWidth="1"/>
    <col min="8" max="10" width="12.140625" style="4" customWidth="1"/>
    <col min="11" max="21" width="8" style="4" customWidth="1"/>
    <col min="22" max="22" width="8" style="5" customWidth="1"/>
    <col min="23" max="23" width="10.5703125" style="3" customWidth="1"/>
    <col min="24" max="24" width="12.28515625" style="3" customWidth="1"/>
    <col min="25" max="29" width="9.140625" style="1" customWidth="1"/>
    <col min="30" max="16384" width="9.140625" style="1"/>
  </cols>
  <sheetData>
    <row r="1" spans="1:26" ht="31.5" customHeight="1">
      <c r="A1" s="3">
        <v>1</v>
      </c>
      <c r="B1" s="26" t="str">
        <f>"BẢNG THEO DÕI  PHÉP NĂM " &amp; A1 &amp; "/유급 휴가"</f>
        <v>BẢNG THEO DÕI  PHÉP NĂM 1/유급 휴가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</row>
    <row r="2" spans="1:26" ht="20.25">
      <c r="A2" s="3">
        <v>2</v>
      </c>
      <c r="B2" s="8"/>
      <c r="C2" s="8"/>
      <c r="D2" s="8"/>
      <c r="E2" s="8"/>
      <c r="F2" s="8"/>
      <c r="G2" s="8"/>
      <c r="H2" s="14"/>
      <c r="I2" s="14"/>
      <c r="J2" s="14"/>
      <c r="K2" s="14"/>
      <c r="L2" s="14"/>
      <c r="M2" s="14"/>
      <c r="N2" s="14"/>
      <c r="Q2" s="15"/>
    </row>
    <row r="3" spans="1:26" hidden="1">
      <c r="A3" s="3">
        <v>3</v>
      </c>
      <c r="B3" s="9">
        <v>2</v>
      </c>
      <c r="C3" s="9">
        <v>2</v>
      </c>
      <c r="D3" s="9">
        <v>2</v>
      </c>
      <c r="E3" s="9">
        <v>2</v>
      </c>
      <c r="F3" s="9">
        <v>2</v>
      </c>
      <c r="G3" s="9">
        <v>2</v>
      </c>
      <c r="H3" s="16">
        <v>2</v>
      </c>
      <c r="I3" s="16"/>
      <c r="J3" s="16">
        <v>2</v>
      </c>
      <c r="K3" s="16">
        <v>1</v>
      </c>
      <c r="L3" s="16">
        <v>1</v>
      </c>
      <c r="M3" s="16">
        <v>1</v>
      </c>
      <c r="N3" s="16">
        <v>1</v>
      </c>
      <c r="O3" s="4">
        <v>1</v>
      </c>
      <c r="P3" s="4">
        <v>1</v>
      </c>
      <c r="Q3" s="15">
        <v>1</v>
      </c>
      <c r="R3" s="4">
        <v>1</v>
      </c>
      <c r="S3" s="4">
        <v>1</v>
      </c>
      <c r="T3" s="4">
        <v>1</v>
      </c>
      <c r="U3" s="4">
        <v>1</v>
      </c>
      <c r="V3" s="5">
        <v>1</v>
      </c>
      <c r="W3" s="3">
        <v>1</v>
      </c>
      <c r="X3" s="3">
        <v>1</v>
      </c>
    </row>
    <row r="4" spans="1:26" s="7" customFormat="1" ht="25.5" hidden="1" customHeight="1">
      <c r="A4" s="10">
        <v>4</v>
      </c>
      <c r="B4" s="5" t="s">
        <v>0</v>
      </c>
      <c r="C4" s="5" t="s">
        <v>2</v>
      </c>
      <c r="D4" s="13" t="s">
        <v>1</v>
      </c>
      <c r="E4" s="5" t="s">
        <v>4</v>
      </c>
      <c r="F4" s="5" t="s">
        <v>3</v>
      </c>
      <c r="G4" s="10" t="s">
        <v>26</v>
      </c>
      <c r="H4" s="5" t="s">
        <v>28</v>
      </c>
      <c r="I4" s="5" t="s">
        <v>47</v>
      </c>
      <c r="J4" s="5" t="s">
        <v>43</v>
      </c>
      <c r="K4" s="5" t="s">
        <v>29</v>
      </c>
      <c r="L4" s="5" t="s">
        <v>30</v>
      </c>
      <c r="M4" s="5" t="s">
        <v>31</v>
      </c>
      <c r="N4" s="5" t="s">
        <v>32</v>
      </c>
      <c r="O4" s="5" t="s">
        <v>33</v>
      </c>
      <c r="P4" s="5" t="s">
        <v>34</v>
      </c>
      <c r="Q4" s="5" t="s">
        <v>35</v>
      </c>
      <c r="R4" s="5" t="s">
        <v>36</v>
      </c>
      <c r="S4" s="5" t="s">
        <v>37</v>
      </c>
      <c r="T4" s="5" t="s">
        <v>38</v>
      </c>
      <c r="U4" s="5" t="s">
        <v>39</v>
      </c>
      <c r="V4" s="5" t="s">
        <v>40</v>
      </c>
      <c r="W4" s="10"/>
      <c r="X4" s="10" t="s">
        <v>41</v>
      </c>
      <c r="Y4" s="7" t="s">
        <v>45</v>
      </c>
      <c r="Z4" s="7" t="s">
        <v>46</v>
      </c>
    </row>
    <row r="5" spans="1:26" s="2" customFormat="1" ht="66" customHeight="1">
      <c r="A5" s="11"/>
      <c r="B5" s="27" t="s">
        <v>5</v>
      </c>
      <c r="C5" s="27" t="s">
        <v>27</v>
      </c>
      <c r="D5" s="31" t="s">
        <v>6</v>
      </c>
      <c r="E5" s="31" t="s">
        <v>7</v>
      </c>
      <c r="F5" s="31" t="s">
        <v>8</v>
      </c>
      <c r="G5" s="31" t="s">
        <v>9</v>
      </c>
      <c r="H5" s="17">
        <f>DATE($A$1,12,31)</f>
        <v>731</v>
      </c>
      <c r="I5" s="34" t="s">
        <v>44</v>
      </c>
      <c r="J5" s="34" t="s">
        <v>42</v>
      </c>
      <c r="K5" s="33" t="s">
        <v>10</v>
      </c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27" t="s">
        <v>11</v>
      </c>
      <c r="X5" s="29" t="s">
        <v>12</v>
      </c>
      <c r="Y5" s="27" t="str">
        <f>"Phép năm nghỉ trong tháng " &amp; MONTH(A1)</f>
        <v>Phép năm nghỉ trong tháng 1</v>
      </c>
      <c r="Z5" s="27" t="str">
        <f>"Phép năm phát sinh trong tháng " &amp; MONTH(A1)</f>
        <v>Phép năm phát sinh trong tháng 1</v>
      </c>
    </row>
    <row r="6" spans="1:26" s="2" customFormat="1" ht="96" customHeight="1">
      <c r="A6" s="11"/>
      <c r="B6" s="28"/>
      <c r="C6" s="28"/>
      <c r="D6" s="32"/>
      <c r="E6" s="32"/>
      <c r="F6" s="32"/>
      <c r="G6" s="32"/>
      <c r="H6" s="22" t="s">
        <v>13</v>
      </c>
      <c r="I6" s="35"/>
      <c r="J6" s="35"/>
      <c r="K6" s="22" t="s">
        <v>14</v>
      </c>
      <c r="L6" s="22" t="s">
        <v>15</v>
      </c>
      <c r="M6" s="22" t="s">
        <v>16</v>
      </c>
      <c r="N6" s="22" t="s">
        <v>17</v>
      </c>
      <c r="O6" s="23" t="s">
        <v>18</v>
      </c>
      <c r="P6" s="24" t="s">
        <v>19</v>
      </c>
      <c r="Q6" s="24" t="s">
        <v>20</v>
      </c>
      <c r="R6" s="24" t="s">
        <v>21</v>
      </c>
      <c r="S6" s="24" t="s">
        <v>22</v>
      </c>
      <c r="T6" s="24" t="s">
        <v>23</v>
      </c>
      <c r="U6" s="24" t="s">
        <v>24</v>
      </c>
      <c r="V6" s="24" t="s">
        <v>25</v>
      </c>
      <c r="W6" s="28"/>
      <c r="X6" s="30"/>
      <c r="Y6" s="28"/>
      <c r="Z6" s="28"/>
    </row>
    <row r="7" spans="1:26">
      <c r="B7" s="18"/>
      <c r="C7" s="18"/>
      <c r="D7" s="18"/>
      <c r="E7" s="19"/>
      <c r="F7" s="21"/>
      <c r="G7" s="20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20"/>
      <c r="W7" s="18">
        <f>SUM(K7:V7)</f>
        <v>0</v>
      </c>
      <c r="X7" s="18"/>
      <c r="Y7" s="25"/>
      <c r="Z7" s="25"/>
    </row>
  </sheetData>
  <autoFilter ref="B6:X6" xr:uid="{00000000-0001-0000-0000-000000000000}"/>
  <mergeCells count="14">
    <mergeCell ref="Y5:Y6"/>
    <mergeCell ref="Z5:Z6"/>
    <mergeCell ref="B5:B6"/>
    <mergeCell ref="D5:D6"/>
    <mergeCell ref="E5:E6"/>
    <mergeCell ref="C5:C6"/>
    <mergeCell ref="B1:X1"/>
    <mergeCell ref="W5:W6"/>
    <mergeCell ref="X5:X6"/>
    <mergeCell ref="F5:F6"/>
    <mergeCell ref="G5:G6"/>
    <mergeCell ref="K5:V5"/>
    <mergeCell ref="J5:J6"/>
    <mergeCell ref="I5:I6"/>
  </mergeCells>
  <phoneticPr fontId="3" type="noConversion"/>
  <conditionalFormatting sqref="L5 L6:M6">
    <cfRule type="containsText" dxfId="0" priority="10" operator="containsText" text="no work">
      <formula>NOT(ISERROR(SEARCH("no work",L5)))</formula>
    </cfRule>
  </conditionalFormatting>
  <pageMargins left="0.43307086614173201" right="0.35433070866141703" top="0.31496062992126" bottom="0.27559055118110198" header="0.31496062992126" footer="0.31496062992126"/>
  <pageSetup paperSize="9" scale="4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"/>
  <sheetViews>
    <sheetView zoomScaleNormal="100" zoomScaleSheetLayoutView="100" workbookViewId="0">
      <pane xSplit="2" ySplit="5" topLeftCell="C39" activePane="bottomRight" state="frozen"/>
      <selection pane="topRight" activeCell="C1" sqref="C1"/>
      <selection pane="bottomLeft" activeCell="A6" sqref="A6"/>
      <selection pane="bottomRight" activeCell="E4" sqref="E4"/>
    </sheetView>
  </sheetViews>
  <sheetFormatPr defaultColWidth="9.140625" defaultRowHeight="15"/>
  <cols>
    <col min="1" max="1" width="6.85546875" customWidth="1"/>
    <col min="2" max="2" width="20.5703125" customWidth="1"/>
    <col min="3" max="3" width="10.7109375" customWidth="1"/>
    <col min="4" max="4" width="9.140625" customWidth="1"/>
    <col min="5" max="5" width="8.5703125" customWidth="1"/>
    <col min="6" max="6" width="7.5703125" customWidth="1"/>
    <col min="9" max="10" width="9.42578125" customWidth="1"/>
    <col min="11" max="11" width="12.5703125" customWidth="1"/>
    <col min="12" max="12" width="9.42578125" customWidth="1"/>
    <col min="13" max="13" width="16.5703125" bestFit="1" customWidth="1"/>
    <col min="14" max="14" width="13" customWidth="1"/>
    <col min="15" max="15" width="9" customWidth="1"/>
  </cols>
  <sheetData/>
  <phoneticPr fontId="3" type="noConversion"/>
  <pageMargins left="0.15748031496062992" right="0.15748031496062992" top="0.27559055118110237" bottom="0.39370078740157483" header="0.31496062992125984" footer="0.31496062992125984"/>
  <pageSetup paperSize="9" scale="4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Systerm</vt:lpstr>
      <vt:lpstr>Sheet1!Print_Area</vt:lpstr>
      <vt:lpstr>Systerm!Print_Area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2022-01-26T08:07:36Z</cp:lastPrinted>
  <dcterms:created xsi:type="dcterms:W3CDTF">2018-08-11T04:09:36Z</dcterms:created>
  <dcterms:modified xsi:type="dcterms:W3CDTF">2022-09-23T08:45:20Z</dcterms:modified>
</cp:coreProperties>
</file>