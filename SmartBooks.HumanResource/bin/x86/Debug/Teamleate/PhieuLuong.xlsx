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13_ncr:1_{496CA2F7-9593-4AAB-891A-FF65EC45D936}" xr6:coauthVersionLast="43" xr6:coauthVersionMax="43" xr10:uidLastSave="{00000000-0000-0000-0000-000000000000}"/>
  <bookViews>
    <workbookView xWindow="-120" yWindow="-120" windowWidth="20730" windowHeight="11160" xr2:uid="{71493B25-B393-4D91-8445-CB16FE0E01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9" i="1" l="1"/>
  <c r="H43" i="1"/>
  <c r="H40" i="1"/>
  <c r="H32" i="1"/>
  <c r="H20" i="1"/>
  <c r="H19" i="1" s="1"/>
</calcChain>
</file>

<file path=xl/sharedStrings.xml><?xml version="1.0" encoding="utf-8"?>
<sst xmlns="http://schemas.openxmlformats.org/spreadsheetml/2006/main" count="121" uniqueCount="120">
  <si>
    <t>B,C,D,E,G,H</t>
  </si>
  <si>
    <t>TieuDePhieLuong</t>
  </si>
  <si>
    <t>Mã nhân viên:</t>
  </si>
  <si>
    <t>Employee_ID</t>
  </si>
  <si>
    <t>Tổng giờ công làm việc:</t>
  </si>
  <si>
    <t>s6</t>
  </si>
  <si>
    <t>Họ và tên:</t>
  </si>
  <si>
    <t>FullName</t>
  </si>
  <si>
    <t>Chức vụ:</t>
  </si>
  <si>
    <t>PositionName</t>
  </si>
  <si>
    <t>Bộ phận:</t>
  </si>
  <si>
    <t>DepartmentName</t>
  </si>
  <si>
    <t>Ngày vào công ty:</t>
  </si>
  <si>
    <t>StartedDate</t>
  </si>
  <si>
    <t>THÔNG TIN LƯƠNG</t>
  </si>
  <si>
    <t>1. Lương cơ bản:</t>
  </si>
  <si>
    <t>s1</t>
  </si>
  <si>
    <t>5. Phụ cấp kĩ năng:</t>
  </si>
  <si>
    <t>s85</t>
  </si>
  <si>
    <t>2. Phụ cấp chức vụ:</t>
  </si>
  <si>
    <t>s77</t>
  </si>
  <si>
    <t>6. Phụ cấp độc hại:</t>
  </si>
  <si>
    <t>s83</t>
  </si>
  <si>
    <t>3. Phụ cấp công việc:</t>
  </si>
  <si>
    <t>s81</t>
  </si>
  <si>
    <t>7. Trợ cấp đời sống:</t>
  </si>
  <si>
    <t>s89</t>
  </si>
  <si>
    <t>4. Phụ cấp trách nhiệm:</t>
  </si>
  <si>
    <t>s79</t>
  </si>
  <si>
    <t>8. Thưởng chuyên cần:</t>
  </si>
  <si>
    <t>s93</t>
  </si>
  <si>
    <t>Tổng lương:</t>
  </si>
  <si>
    <t>Lương tính tăng ca:</t>
  </si>
  <si>
    <t>CÁC KHOẢN MỤC</t>
  </si>
  <si>
    <t>CT</t>
  </si>
  <si>
    <t>Số giờ</t>
  </si>
  <si>
    <t>Số tiền</t>
  </si>
  <si>
    <t>A. CÁC KHOẢN TĂNG THU NHẬP</t>
  </si>
  <si>
    <t>1. Tiền công</t>
  </si>
  <si>
    <t>1.1 Lương tính 50%</t>
  </si>
  <si>
    <t>s53</t>
  </si>
  <si>
    <t>s54</t>
  </si>
  <si>
    <t>1.2 Lương làm bình thường giờ ngày(08:00-17:00)</t>
  </si>
  <si>
    <t>s55</t>
  </si>
  <si>
    <t>s56</t>
  </si>
  <si>
    <t>1.3 Lương làm bình thường giờ đêm(22:00-05:00)</t>
  </si>
  <si>
    <t>s57</t>
  </si>
  <si>
    <t>s58</t>
  </si>
  <si>
    <t>1.4 Lương làm thêm giờ ngày(06:00-08:00 và 17:00-22:00)</t>
  </si>
  <si>
    <t>s59</t>
  </si>
  <si>
    <t>s60</t>
  </si>
  <si>
    <t>1.5 Lương làm thêm vào giờ đêm (05:00-06:00)</t>
  </si>
  <si>
    <t>s63</t>
  </si>
  <si>
    <t>s64</t>
  </si>
  <si>
    <t>1.6 Tổng tiền 200%(22H-&gt;)</t>
  </si>
  <si>
    <t>s61</t>
  </si>
  <si>
    <t>s62</t>
  </si>
  <si>
    <t>1.6 Lương làm thêm vào ngày chủ nhật</t>
  </si>
  <si>
    <t>s65</t>
  </si>
  <si>
    <t>s66</t>
  </si>
  <si>
    <t>1.7 Lương làm thêm vào đêm chủ nhật</t>
  </si>
  <si>
    <t>s67</t>
  </si>
  <si>
    <t>s68</t>
  </si>
  <si>
    <t>1.8 Lương làm thêm ngày lễ</t>
  </si>
  <si>
    <t>s69</t>
  </si>
  <si>
    <t>s70</t>
  </si>
  <si>
    <t>1.9 Lương làm thêm vào đêm ngày lễ</t>
  </si>
  <si>
    <t>s71</t>
  </si>
  <si>
    <t>s72</t>
  </si>
  <si>
    <t>1.10 Lương giờ nghỉ được hưởng( lễ, Tết, phép năm, cưới xin,….)</t>
  </si>
  <si>
    <t>s11</t>
  </si>
  <si>
    <t>s12</t>
  </si>
  <si>
    <t>2. Phụ cấp, trợ cấp nhận</t>
  </si>
  <si>
    <t>2.1 Phụ cấp chức vụ</t>
  </si>
  <si>
    <t>s78</t>
  </si>
  <si>
    <t>2.2 Phụ cấp công việc</t>
  </si>
  <si>
    <t>s82</t>
  </si>
  <si>
    <t>2.3 Phụ cấp trách nhiệm</t>
  </si>
  <si>
    <t>s80</t>
  </si>
  <si>
    <t>2.4 Phụ cấp kĩ năng</t>
  </si>
  <si>
    <t>s86</t>
  </si>
  <si>
    <t>2.5 Phụ cấp độc hại</t>
  </si>
  <si>
    <t>s84</t>
  </si>
  <si>
    <t>2.6 Trợ cấp đời sống</t>
  </si>
  <si>
    <t>s90</t>
  </si>
  <si>
    <t>2.7 Thưởng chuyên cần</t>
  </si>
  <si>
    <t>s94</t>
  </si>
  <si>
    <t>3. Thưởng</t>
  </si>
  <si>
    <t>3.1 Qùa ngày lễ, Tết,, Lì xì, giới thiệu CNV mới, thưởng hoàn thành công việc xuất sắc</t>
  </si>
  <si>
    <t>3.2 Thưởng đột xuất</t>
  </si>
  <si>
    <t>4. Các khoản thu nhập khác</t>
  </si>
  <si>
    <t>4.1 Mừng cưới, sinh con, sinh  nhật, thăm viếng</t>
  </si>
  <si>
    <t>4.2 Trả tiền BH cho người lao động</t>
  </si>
  <si>
    <t>4.3 Lương bổ sung</t>
  </si>
  <si>
    <t>4.4 Tiền cơm ca</t>
  </si>
  <si>
    <t>4.5 Tiền hoàn thuế TNCN</t>
  </si>
  <si>
    <t>s116</t>
  </si>
  <si>
    <t>B. CÁC KHOẢN GIẢM THU NHẬP</t>
  </si>
  <si>
    <t>1. Bảo hiểm 10,5%</t>
  </si>
  <si>
    <t>s106</t>
  </si>
  <si>
    <t>2.Truy thu bảo hiểm( đóng thiếu tiền bảo hiểm, truy thu do nghỉ KL 14 ngày……)</t>
  </si>
  <si>
    <t>3. Đoàn phí công đoàn</t>
  </si>
  <si>
    <t>4. Thuế TNCN phải nộp</t>
  </si>
  <si>
    <t>s113</t>
  </si>
  <si>
    <t>4.1 Khấu trừ thuế</t>
  </si>
  <si>
    <t>Cá nhân</t>
  </si>
  <si>
    <t>s108</t>
  </si>
  <si>
    <t>Gia đình</t>
  </si>
  <si>
    <t>s110</t>
  </si>
  <si>
    <t>4.2 Thu nhập miễn thuế</t>
  </si>
  <si>
    <t>s111</t>
  </si>
  <si>
    <t>4.3 Thu nhập chịu thuế</t>
  </si>
  <si>
    <t>s112</t>
  </si>
  <si>
    <t>5. Tạm ứng</t>
  </si>
  <si>
    <t>6. Phạt đi muộn, về sớm</t>
  </si>
  <si>
    <t>Số phút</t>
  </si>
  <si>
    <t>C. LƯƠNG ĐƯỢC NHẬN</t>
  </si>
  <si>
    <t>S117</t>
  </si>
  <si>
    <t>CÔNG TY TNHH TNHH TEST VIỆT NAM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</si>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</sst>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7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i/>
      <sz val="9"/>
      <color theme="1"/>
      <name val="Arial Narrow"/>
      <family val="2"/>
    </font>
    <font>
      <b/>
      <i/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hair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dotted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164" fontId="3" fillId="2" borderId="0" xfId="1" applyNumberFormat="1" applyFont="1" applyFill="1"/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/>
    </xf>
    <xf numFmtId="164" fontId="5" fillId="2" borderId="1" xfId="1" applyNumberFormat="1" applyFont="1" applyFill="1" applyBorder="1" applyAlignment="1">
      <alignment vertical="center"/>
    </xf>
    <xf numFmtId="164" fontId="5" fillId="2" borderId="2" xfId="1" applyNumberFormat="1" applyFont="1" applyFill="1" applyBorder="1" applyAlignment="1">
      <alignment vertical="top"/>
    </xf>
    <xf numFmtId="164" fontId="4" fillId="2" borderId="3" xfId="1" applyNumberFormat="1" applyFont="1" applyFill="1" applyBorder="1" applyAlignment="1">
      <alignment horizontal="left" vertical="top"/>
    </xf>
    <xf numFmtId="0" fontId="5" fillId="2" borderId="4" xfId="0" applyFont="1" applyFill="1" applyBorder="1" applyAlignment="1">
      <alignment vertical="top"/>
    </xf>
    <xf numFmtId="0" fontId="4" fillId="2" borderId="0" xfId="0" applyFont="1" applyFill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5" fillId="2" borderId="0" xfId="0" applyFont="1" applyFill="1" applyAlignment="1">
      <alignment vertical="top"/>
    </xf>
    <xf numFmtId="164" fontId="4" fillId="2" borderId="0" xfId="1" applyNumberFormat="1" applyFont="1" applyFill="1" applyAlignment="1">
      <alignment vertical="top"/>
    </xf>
    <xf numFmtId="0" fontId="0" fillId="0" borderId="0" xfId="0" applyBorder="1"/>
    <xf numFmtId="0" fontId="0" fillId="0" borderId="5" xfId="0" applyBorder="1"/>
    <xf numFmtId="0" fontId="6" fillId="2" borderId="4" xfId="0" applyFont="1" applyFill="1" applyBorder="1" applyAlignment="1">
      <alignment vertical="top"/>
    </xf>
    <xf numFmtId="164" fontId="6" fillId="2" borderId="0" xfId="1" applyNumberFormat="1" applyFont="1" applyFill="1" applyAlignment="1">
      <alignment vertical="top"/>
    </xf>
    <xf numFmtId="164" fontId="7" fillId="2" borderId="5" xfId="0" applyNumberFormat="1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14" fontId="4" fillId="2" borderId="7" xfId="0" applyNumberFormat="1" applyFont="1" applyFill="1" applyBorder="1" applyAlignment="1">
      <alignment vertical="top"/>
    </xf>
    <xf numFmtId="0" fontId="5" fillId="2" borderId="7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164" fontId="6" fillId="2" borderId="7" xfId="1" applyNumberFormat="1" applyFont="1" applyFill="1" applyBorder="1" applyAlignment="1">
      <alignment vertical="top"/>
    </xf>
    <xf numFmtId="164" fontId="7" fillId="2" borderId="8" xfId="1" applyNumberFormat="1" applyFont="1" applyFill="1" applyBorder="1" applyAlignment="1">
      <alignment vertical="top"/>
    </xf>
    <xf numFmtId="0" fontId="5" fillId="2" borderId="0" xfId="0" applyFont="1" applyFill="1"/>
    <xf numFmtId="164" fontId="5" fillId="2" borderId="0" xfId="1" applyNumberFormat="1" applyFont="1" applyFill="1"/>
    <xf numFmtId="165" fontId="4" fillId="2" borderId="13" xfId="1" applyNumberFormat="1" applyFont="1" applyFill="1" applyBorder="1"/>
    <xf numFmtId="165" fontId="1" fillId="0" borderId="0" xfId="1" applyNumberFormat="1" applyFont="1"/>
    <xf numFmtId="165" fontId="4" fillId="2" borderId="18" xfId="1" applyNumberFormat="1" applyFont="1" applyFill="1" applyBorder="1"/>
    <xf numFmtId="164" fontId="4" fillId="2" borderId="18" xfId="1" applyNumberFormat="1" applyFont="1" applyFill="1" applyBorder="1"/>
    <xf numFmtId="0" fontId="5" fillId="2" borderId="4" xfId="0" applyFont="1" applyFill="1" applyBorder="1"/>
    <xf numFmtId="0" fontId="5" fillId="2" borderId="20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4" xfId="0" applyFont="1" applyFill="1" applyBorder="1"/>
    <xf numFmtId="166" fontId="4" fillId="2" borderId="21" xfId="2" applyNumberFormat="1" applyFont="1" applyFill="1" applyBorder="1"/>
    <xf numFmtId="164" fontId="4" fillId="2" borderId="21" xfId="1" applyNumberFormat="1" applyFont="1" applyFill="1" applyBorder="1"/>
    <xf numFmtId="164" fontId="4" fillId="2" borderId="22" xfId="1" applyNumberFormat="1" applyFont="1" applyFill="1" applyBorder="1"/>
    <xf numFmtId="0" fontId="4" fillId="2" borderId="23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5" fillId="2" borderId="25" xfId="0" applyFont="1" applyFill="1" applyBorder="1" applyAlignment="1">
      <alignment vertical="center"/>
    </xf>
    <xf numFmtId="164" fontId="4" fillId="2" borderId="25" xfId="1" applyNumberFormat="1" applyFont="1" applyFill="1" applyBorder="1" applyAlignment="1">
      <alignment vertical="center"/>
    </xf>
    <xf numFmtId="165" fontId="4" fillId="2" borderId="26" xfId="1" applyNumberFormat="1" applyFont="1" applyFill="1" applyBorder="1" applyAlignment="1">
      <alignment vertical="center"/>
    </xf>
    <xf numFmtId="0" fontId="4" fillId="2" borderId="27" xfId="0" applyFont="1" applyFill="1" applyBorder="1"/>
    <xf numFmtId="0" fontId="4" fillId="2" borderId="20" xfId="0" applyFont="1" applyFill="1" applyBorder="1"/>
    <xf numFmtId="166" fontId="4" fillId="2" borderId="28" xfId="2" applyNumberFormat="1" applyFont="1" applyFill="1" applyBorder="1"/>
    <xf numFmtId="164" fontId="4" fillId="2" borderId="28" xfId="1" applyNumberFormat="1" applyFont="1" applyFill="1" applyBorder="1"/>
    <xf numFmtId="165" fontId="4" fillId="2" borderId="29" xfId="1" applyNumberFormat="1" applyFont="1" applyFill="1" applyBorder="1"/>
    <xf numFmtId="0" fontId="5" fillId="2" borderId="15" xfId="0" applyFont="1" applyFill="1" applyBorder="1" applyAlignment="1">
      <alignment vertical="top"/>
    </xf>
    <xf numFmtId="0" fontId="5" fillId="2" borderId="16" xfId="0" applyFont="1" applyFill="1" applyBorder="1" applyAlignment="1">
      <alignment vertical="top"/>
    </xf>
    <xf numFmtId="166" fontId="5" fillId="2" borderId="30" xfId="2" applyNumberFormat="1" applyFont="1" applyFill="1" applyBorder="1" applyAlignment="1">
      <alignment vertical="top"/>
    </xf>
    <xf numFmtId="164" fontId="5" fillId="2" borderId="30" xfId="1" applyNumberFormat="1" applyFont="1" applyFill="1" applyBorder="1" applyAlignment="1">
      <alignment vertical="top"/>
    </xf>
    <xf numFmtId="165" fontId="4" fillId="2" borderId="18" xfId="1" applyNumberFormat="1" applyFont="1" applyFill="1" applyBorder="1" applyAlignment="1">
      <alignment vertical="top"/>
    </xf>
    <xf numFmtId="165" fontId="5" fillId="2" borderId="18" xfId="1" applyNumberFormat="1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32" xfId="0" applyFont="1" applyFill="1" applyBorder="1" applyAlignment="1">
      <alignment vertical="top"/>
    </xf>
    <xf numFmtId="0" fontId="5" fillId="2" borderId="33" xfId="0" applyFont="1" applyFill="1" applyBorder="1" applyAlignment="1">
      <alignment vertical="top"/>
    </xf>
    <xf numFmtId="164" fontId="5" fillId="2" borderId="33" xfId="1" applyNumberFormat="1" applyFont="1" applyFill="1" applyBorder="1" applyAlignment="1">
      <alignment vertical="top"/>
    </xf>
    <xf numFmtId="165" fontId="5" fillId="2" borderId="34" xfId="1" applyNumberFormat="1" applyFont="1" applyFill="1" applyBorder="1" applyAlignment="1">
      <alignment vertical="top"/>
    </xf>
    <xf numFmtId="0" fontId="4" fillId="2" borderId="27" xfId="0" applyFont="1" applyFill="1" applyBorder="1" applyAlignment="1">
      <alignment vertical="top"/>
    </xf>
    <xf numFmtId="0" fontId="4" fillId="2" borderId="20" xfId="0" applyFont="1" applyFill="1" applyBorder="1" applyAlignment="1">
      <alignment vertical="top"/>
    </xf>
    <xf numFmtId="164" fontId="4" fillId="2" borderId="17" xfId="1" applyNumberFormat="1" applyFont="1" applyFill="1" applyBorder="1" applyAlignment="1">
      <alignment vertical="top"/>
    </xf>
    <xf numFmtId="164" fontId="5" fillId="2" borderId="17" xfId="1" applyNumberFormat="1" applyFont="1" applyFill="1" applyBorder="1" applyAlignment="1">
      <alignment vertical="top"/>
    </xf>
    <xf numFmtId="0" fontId="4" fillId="2" borderId="35" xfId="0" applyFont="1" applyFill="1" applyBorder="1" applyAlignment="1">
      <alignment vertical="top"/>
    </xf>
    <xf numFmtId="0" fontId="4" fillId="2" borderId="36" xfId="0" applyFont="1" applyFill="1" applyBorder="1" applyAlignment="1">
      <alignment vertical="top"/>
    </xf>
    <xf numFmtId="164" fontId="4" fillId="2" borderId="37" xfId="1" applyNumberFormat="1" applyFont="1" applyFill="1" applyBorder="1" applyAlignment="1">
      <alignment vertical="top"/>
    </xf>
    <xf numFmtId="164" fontId="4" fillId="2" borderId="38" xfId="1" applyNumberFormat="1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164" fontId="4" fillId="2" borderId="39" xfId="1" applyNumberFormat="1" applyFont="1" applyFill="1" applyBorder="1" applyAlignment="1">
      <alignment vertical="top"/>
    </xf>
    <xf numFmtId="164" fontId="5" fillId="2" borderId="18" xfId="1" applyNumberFormat="1" applyFont="1" applyFill="1" applyBorder="1" applyAlignment="1">
      <alignment vertical="top"/>
    </xf>
    <xf numFmtId="164" fontId="5" fillId="2" borderId="40" xfId="1" applyNumberFormat="1" applyFont="1" applyFill="1" applyBorder="1" applyAlignment="1">
      <alignment vertical="top"/>
    </xf>
    <xf numFmtId="164" fontId="4" fillId="2" borderId="41" xfId="1" applyNumberFormat="1" applyFont="1" applyFill="1" applyBorder="1" applyAlignment="1">
      <alignment vertical="top"/>
    </xf>
    <xf numFmtId="0" fontId="5" fillId="2" borderId="42" xfId="0" applyFont="1" applyFill="1" applyBorder="1" applyAlignment="1">
      <alignment vertical="top"/>
    </xf>
    <xf numFmtId="0" fontId="5" fillId="2" borderId="43" xfId="0" applyFont="1" applyFill="1" applyBorder="1" applyAlignment="1">
      <alignment vertical="top"/>
    </xf>
    <xf numFmtId="164" fontId="5" fillId="2" borderId="44" xfId="1" applyNumberFormat="1" applyFont="1" applyFill="1" applyBorder="1" applyAlignment="1">
      <alignment vertical="top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164" fontId="4" fillId="2" borderId="12" xfId="1" applyNumberFormat="1" applyFont="1" applyFill="1" applyBorder="1" applyAlignment="1">
      <alignment vertical="center"/>
    </xf>
    <xf numFmtId="165" fontId="4" fillId="2" borderId="13" xfId="1" applyNumberFormat="1" applyFont="1" applyFill="1" applyBorder="1" applyAlignment="1">
      <alignment vertical="center"/>
    </xf>
    <xf numFmtId="0" fontId="5" fillId="2" borderId="27" xfId="0" applyFont="1" applyFill="1" applyBorder="1" applyAlignment="1">
      <alignment vertical="top"/>
    </xf>
    <xf numFmtId="0" fontId="5" fillId="2" borderId="20" xfId="0" applyFont="1" applyFill="1" applyBorder="1" applyAlignment="1">
      <alignment vertical="top"/>
    </xf>
    <xf numFmtId="164" fontId="5" fillId="2" borderId="41" xfId="1" applyNumberFormat="1" applyFont="1" applyFill="1" applyBorder="1" applyAlignment="1">
      <alignment vertical="top"/>
    </xf>
    <xf numFmtId="165" fontId="4" fillId="2" borderId="29" xfId="1" applyNumberFormat="1" applyFont="1" applyFill="1" applyBorder="1" applyAlignment="1">
      <alignment vertical="top"/>
    </xf>
    <xf numFmtId="0" fontId="4" fillId="2" borderId="16" xfId="0" applyFont="1" applyFill="1" applyBorder="1" applyAlignment="1">
      <alignment vertical="top"/>
    </xf>
    <xf numFmtId="0" fontId="5" fillId="2" borderId="15" xfId="0" applyFont="1" applyFill="1" applyBorder="1" applyAlignment="1">
      <alignment horizontal="center" vertical="top"/>
    </xf>
    <xf numFmtId="0" fontId="4" fillId="2" borderId="15" xfId="0" applyFont="1" applyFill="1" applyBorder="1" applyAlignment="1">
      <alignment vertical="top"/>
    </xf>
    <xf numFmtId="165" fontId="5" fillId="2" borderId="45" xfId="1" applyNumberFormat="1" applyFont="1" applyFill="1" applyBorder="1" applyAlignment="1">
      <alignment vertical="top"/>
    </xf>
    <xf numFmtId="164" fontId="5" fillId="2" borderId="46" xfId="1" applyNumberFormat="1" applyFont="1" applyFill="1" applyBorder="1" applyAlignment="1">
      <alignment vertical="center"/>
    </xf>
    <xf numFmtId="165" fontId="4" fillId="2" borderId="26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vertical="top" wrapText="1"/>
    </xf>
    <xf numFmtId="0" fontId="5" fillId="2" borderId="15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165" fontId="4" fillId="2" borderId="17" xfId="1" applyNumberFormat="1" applyFont="1" applyFill="1" applyBorder="1" applyAlignment="1">
      <alignment horizontal="center"/>
    </xf>
    <xf numFmtId="165" fontId="4" fillId="2" borderId="18" xfId="1" applyNumberFormat="1" applyFont="1" applyFill="1" applyBorder="1" applyAlignment="1">
      <alignment horizontal="center"/>
    </xf>
    <xf numFmtId="0" fontId="5" fillId="2" borderId="19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165" fontId="4" fillId="2" borderId="12" xfId="1" applyNumberFormat="1" applyFont="1" applyFill="1" applyBorder="1" applyAlignment="1">
      <alignment horizontal="center"/>
    </xf>
    <xf numFmtId="165" fontId="4" fillId="2" borderId="13" xfId="1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49" fontId="4" fillId="2" borderId="2" xfId="0" applyNumberFormat="1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FBB0-CEAA-4F1F-A64E-3E9773633359}">
  <dimension ref="A1:I65"/>
  <sheetViews>
    <sheetView tabSelected="1" topLeftCell="B1" workbookViewId="0">
      <selection activeCell="B1" sqref="B1:H1"/>
    </sheetView>
  </sheetViews>
  <sheetFormatPr defaultRowHeight="12.95" customHeight="1" x14ac:dyDescent="0.25"/>
  <cols>
    <col min="1" max="1" width="9.140625" hidden="1" customWidth="1"/>
    <col min="8" max="8" width="23.140625" customWidth="1"/>
    <col min="9" max="9" width="10.5703125" bestFit="1" customWidth="1"/>
    <col min="257" max="257" width="0" hidden="1" customWidth="1"/>
    <col min="264" max="264" width="23.140625" customWidth="1"/>
    <col min="265" max="265" width="10.5703125" bestFit="1" customWidth="1"/>
    <col min="513" max="513" width="0" hidden="1" customWidth="1"/>
    <col min="520" max="520" width="23.140625" customWidth="1"/>
    <col min="521" max="521" width="10.5703125" bestFit="1" customWidth="1"/>
    <col min="769" max="769" width="0" hidden="1" customWidth="1"/>
    <col min="776" max="776" width="23.140625" customWidth="1"/>
    <col min="777" max="777" width="10.5703125" bestFit="1" customWidth="1"/>
    <col min="1025" max="1025" width="0" hidden="1" customWidth="1"/>
    <col min="1032" max="1032" width="23.140625" customWidth="1"/>
    <col min="1033" max="1033" width="10.5703125" bestFit="1" customWidth="1"/>
    <col min="1281" max="1281" width="0" hidden="1" customWidth="1"/>
    <col min="1288" max="1288" width="23.140625" customWidth="1"/>
    <col min="1289" max="1289" width="10.5703125" bestFit="1" customWidth="1"/>
    <col min="1537" max="1537" width="0" hidden="1" customWidth="1"/>
    <col min="1544" max="1544" width="23.140625" customWidth="1"/>
    <col min="1545" max="1545" width="10.5703125" bestFit="1" customWidth="1"/>
    <col min="1793" max="1793" width="0" hidden="1" customWidth="1"/>
    <col min="1800" max="1800" width="23.140625" customWidth="1"/>
    <col min="1801" max="1801" width="10.5703125" bestFit="1" customWidth="1"/>
    <col min="2049" max="2049" width="0" hidden="1" customWidth="1"/>
    <col min="2056" max="2056" width="23.140625" customWidth="1"/>
    <col min="2057" max="2057" width="10.5703125" bestFit="1" customWidth="1"/>
    <col min="2305" max="2305" width="0" hidden="1" customWidth="1"/>
    <col min="2312" max="2312" width="23.140625" customWidth="1"/>
    <col min="2313" max="2313" width="10.5703125" bestFit="1" customWidth="1"/>
    <col min="2561" max="2561" width="0" hidden="1" customWidth="1"/>
    <col min="2568" max="2568" width="23.140625" customWidth="1"/>
    <col min="2569" max="2569" width="10.5703125" bestFit="1" customWidth="1"/>
    <col min="2817" max="2817" width="0" hidden="1" customWidth="1"/>
    <col min="2824" max="2824" width="23.140625" customWidth="1"/>
    <col min="2825" max="2825" width="10.5703125" bestFit="1" customWidth="1"/>
    <col min="3073" max="3073" width="0" hidden="1" customWidth="1"/>
    <col min="3080" max="3080" width="23.140625" customWidth="1"/>
    <col min="3081" max="3081" width="10.5703125" bestFit="1" customWidth="1"/>
    <col min="3329" max="3329" width="0" hidden="1" customWidth="1"/>
    <col min="3336" max="3336" width="23.140625" customWidth="1"/>
    <col min="3337" max="3337" width="10.5703125" bestFit="1" customWidth="1"/>
    <col min="3585" max="3585" width="0" hidden="1" customWidth="1"/>
    <col min="3592" max="3592" width="23.140625" customWidth="1"/>
    <col min="3593" max="3593" width="10.5703125" bestFit="1" customWidth="1"/>
    <col min="3841" max="3841" width="0" hidden="1" customWidth="1"/>
    <col min="3848" max="3848" width="23.140625" customWidth="1"/>
    <col min="3849" max="3849" width="10.5703125" bestFit="1" customWidth="1"/>
    <col min="4097" max="4097" width="0" hidden="1" customWidth="1"/>
    <col min="4104" max="4104" width="23.140625" customWidth="1"/>
    <col min="4105" max="4105" width="10.5703125" bestFit="1" customWidth="1"/>
    <col min="4353" max="4353" width="0" hidden="1" customWidth="1"/>
    <col min="4360" max="4360" width="23.140625" customWidth="1"/>
    <col min="4361" max="4361" width="10.5703125" bestFit="1" customWidth="1"/>
    <col min="4609" max="4609" width="0" hidden="1" customWidth="1"/>
    <col min="4616" max="4616" width="23.140625" customWidth="1"/>
    <col min="4617" max="4617" width="10.5703125" bestFit="1" customWidth="1"/>
    <col min="4865" max="4865" width="0" hidden="1" customWidth="1"/>
    <col min="4872" max="4872" width="23.140625" customWidth="1"/>
    <col min="4873" max="4873" width="10.5703125" bestFit="1" customWidth="1"/>
    <col min="5121" max="5121" width="0" hidden="1" customWidth="1"/>
    <col min="5128" max="5128" width="23.140625" customWidth="1"/>
    <col min="5129" max="5129" width="10.5703125" bestFit="1" customWidth="1"/>
    <col min="5377" max="5377" width="0" hidden="1" customWidth="1"/>
    <col min="5384" max="5384" width="23.140625" customWidth="1"/>
    <col min="5385" max="5385" width="10.5703125" bestFit="1" customWidth="1"/>
    <col min="5633" max="5633" width="0" hidden="1" customWidth="1"/>
    <col min="5640" max="5640" width="23.140625" customWidth="1"/>
    <col min="5641" max="5641" width="10.5703125" bestFit="1" customWidth="1"/>
    <col min="5889" max="5889" width="0" hidden="1" customWidth="1"/>
    <col min="5896" max="5896" width="23.140625" customWidth="1"/>
    <col min="5897" max="5897" width="10.5703125" bestFit="1" customWidth="1"/>
    <col min="6145" max="6145" width="0" hidden="1" customWidth="1"/>
    <col min="6152" max="6152" width="23.140625" customWidth="1"/>
    <col min="6153" max="6153" width="10.5703125" bestFit="1" customWidth="1"/>
    <col min="6401" max="6401" width="0" hidden="1" customWidth="1"/>
    <col min="6408" max="6408" width="23.140625" customWidth="1"/>
    <col min="6409" max="6409" width="10.5703125" bestFit="1" customWidth="1"/>
    <col min="6657" max="6657" width="0" hidden="1" customWidth="1"/>
    <col min="6664" max="6664" width="23.140625" customWidth="1"/>
    <col min="6665" max="6665" width="10.5703125" bestFit="1" customWidth="1"/>
    <col min="6913" max="6913" width="0" hidden="1" customWidth="1"/>
    <col min="6920" max="6920" width="23.140625" customWidth="1"/>
    <col min="6921" max="6921" width="10.5703125" bestFit="1" customWidth="1"/>
    <col min="7169" max="7169" width="0" hidden="1" customWidth="1"/>
    <col min="7176" max="7176" width="23.140625" customWidth="1"/>
    <col min="7177" max="7177" width="10.5703125" bestFit="1" customWidth="1"/>
    <col min="7425" max="7425" width="0" hidden="1" customWidth="1"/>
    <col min="7432" max="7432" width="23.140625" customWidth="1"/>
    <col min="7433" max="7433" width="10.5703125" bestFit="1" customWidth="1"/>
    <col min="7681" max="7681" width="0" hidden="1" customWidth="1"/>
    <col min="7688" max="7688" width="23.140625" customWidth="1"/>
    <col min="7689" max="7689" width="10.5703125" bestFit="1" customWidth="1"/>
    <col min="7937" max="7937" width="0" hidden="1" customWidth="1"/>
    <col min="7944" max="7944" width="23.140625" customWidth="1"/>
    <col min="7945" max="7945" width="10.5703125" bestFit="1" customWidth="1"/>
    <col min="8193" max="8193" width="0" hidden="1" customWidth="1"/>
    <col min="8200" max="8200" width="23.140625" customWidth="1"/>
    <col min="8201" max="8201" width="10.5703125" bestFit="1" customWidth="1"/>
    <col min="8449" max="8449" width="0" hidden="1" customWidth="1"/>
    <col min="8456" max="8456" width="23.140625" customWidth="1"/>
    <col min="8457" max="8457" width="10.5703125" bestFit="1" customWidth="1"/>
    <col min="8705" max="8705" width="0" hidden="1" customWidth="1"/>
    <col min="8712" max="8712" width="23.140625" customWidth="1"/>
    <col min="8713" max="8713" width="10.5703125" bestFit="1" customWidth="1"/>
    <col min="8961" max="8961" width="0" hidden="1" customWidth="1"/>
    <col min="8968" max="8968" width="23.140625" customWidth="1"/>
    <col min="8969" max="8969" width="10.5703125" bestFit="1" customWidth="1"/>
    <col min="9217" max="9217" width="0" hidden="1" customWidth="1"/>
    <col min="9224" max="9224" width="23.140625" customWidth="1"/>
    <col min="9225" max="9225" width="10.5703125" bestFit="1" customWidth="1"/>
    <col min="9473" max="9473" width="0" hidden="1" customWidth="1"/>
    <col min="9480" max="9480" width="23.140625" customWidth="1"/>
    <col min="9481" max="9481" width="10.5703125" bestFit="1" customWidth="1"/>
    <col min="9729" max="9729" width="0" hidden="1" customWidth="1"/>
    <col min="9736" max="9736" width="23.140625" customWidth="1"/>
    <col min="9737" max="9737" width="10.5703125" bestFit="1" customWidth="1"/>
    <col min="9985" max="9985" width="0" hidden="1" customWidth="1"/>
    <col min="9992" max="9992" width="23.140625" customWidth="1"/>
    <col min="9993" max="9993" width="10.5703125" bestFit="1" customWidth="1"/>
    <col min="10241" max="10241" width="0" hidden="1" customWidth="1"/>
    <col min="10248" max="10248" width="23.140625" customWidth="1"/>
    <col min="10249" max="10249" width="10.5703125" bestFit="1" customWidth="1"/>
    <col min="10497" max="10497" width="0" hidden="1" customWidth="1"/>
    <col min="10504" max="10504" width="23.140625" customWidth="1"/>
    <col min="10505" max="10505" width="10.5703125" bestFit="1" customWidth="1"/>
    <col min="10753" max="10753" width="0" hidden="1" customWidth="1"/>
    <col min="10760" max="10760" width="23.140625" customWidth="1"/>
    <col min="10761" max="10761" width="10.5703125" bestFit="1" customWidth="1"/>
    <col min="11009" max="11009" width="0" hidden="1" customWidth="1"/>
    <col min="11016" max="11016" width="23.140625" customWidth="1"/>
    <col min="11017" max="11017" width="10.5703125" bestFit="1" customWidth="1"/>
    <col min="11265" max="11265" width="0" hidden="1" customWidth="1"/>
    <col min="11272" max="11272" width="23.140625" customWidth="1"/>
    <col min="11273" max="11273" width="10.5703125" bestFit="1" customWidth="1"/>
    <col min="11521" max="11521" width="0" hidden="1" customWidth="1"/>
    <col min="11528" max="11528" width="23.140625" customWidth="1"/>
    <col min="11529" max="11529" width="10.5703125" bestFit="1" customWidth="1"/>
    <col min="11777" max="11777" width="0" hidden="1" customWidth="1"/>
    <col min="11784" max="11784" width="23.140625" customWidth="1"/>
    <col min="11785" max="11785" width="10.5703125" bestFit="1" customWidth="1"/>
    <col min="12033" max="12033" width="0" hidden="1" customWidth="1"/>
    <col min="12040" max="12040" width="23.140625" customWidth="1"/>
    <col min="12041" max="12041" width="10.5703125" bestFit="1" customWidth="1"/>
    <col min="12289" max="12289" width="0" hidden="1" customWidth="1"/>
    <col min="12296" max="12296" width="23.140625" customWidth="1"/>
    <col min="12297" max="12297" width="10.5703125" bestFit="1" customWidth="1"/>
    <col min="12545" max="12545" width="0" hidden="1" customWidth="1"/>
    <col min="12552" max="12552" width="23.140625" customWidth="1"/>
    <col min="12553" max="12553" width="10.5703125" bestFit="1" customWidth="1"/>
    <col min="12801" max="12801" width="0" hidden="1" customWidth="1"/>
    <col min="12808" max="12808" width="23.140625" customWidth="1"/>
    <col min="12809" max="12809" width="10.5703125" bestFit="1" customWidth="1"/>
    <col min="13057" max="13057" width="0" hidden="1" customWidth="1"/>
    <col min="13064" max="13064" width="23.140625" customWidth="1"/>
    <col min="13065" max="13065" width="10.5703125" bestFit="1" customWidth="1"/>
    <col min="13313" max="13313" width="0" hidden="1" customWidth="1"/>
    <col min="13320" max="13320" width="23.140625" customWidth="1"/>
    <col min="13321" max="13321" width="10.5703125" bestFit="1" customWidth="1"/>
    <col min="13569" max="13569" width="0" hidden="1" customWidth="1"/>
    <col min="13576" max="13576" width="23.140625" customWidth="1"/>
    <col min="13577" max="13577" width="10.5703125" bestFit="1" customWidth="1"/>
    <col min="13825" max="13825" width="0" hidden="1" customWidth="1"/>
    <col min="13832" max="13832" width="23.140625" customWidth="1"/>
    <col min="13833" max="13833" width="10.5703125" bestFit="1" customWidth="1"/>
    <col min="14081" max="14081" width="0" hidden="1" customWidth="1"/>
    <col min="14088" max="14088" width="23.140625" customWidth="1"/>
    <col min="14089" max="14089" width="10.5703125" bestFit="1" customWidth="1"/>
    <col min="14337" max="14337" width="0" hidden="1" customWidth="1"/>
    <col min="14344" max="14344" width="23.140625" customWidth="1"/>
    <col min="14345" max="14345" width="10.5703125" bestFit="1" customWidth="1"/>
    <col min="14593" max="14593" width="0" hidden="1" customWidth="1"/>
    <col min="14600" max="14600" width="23.140625" customWidth="1"/>
    <col min="14601" max="14601" width="10.5703125" bestFit="1" customWidth="1"/>
    <col min="14849" max="14849" width="0" hidden="1" customWidth="1"/>
    <col min="14856" max="14856" width="23.140625" customWidth="1"/>
    <col min="14857" max="14857" width="10.5703125" bestFit="1" customWidth="1"/>
    <col min="15105" max="15105" width="0" hidden="1" customWidth="1"/>
    <col min="15112" max="15112" width="23.140625" customWidth="1"/>
    <col min="15113" max="15113" width="10.5703125" bestFit="1" customWidth="1"/>
    <col min="15361" max="15361" width="0" hidden="1" customWidth="1"/>
    <col min="15368" max="15368" width="23.140625" customWidth="1"/>
    <col min="15369" max="15369" width="10.5703125" bestFit="1" customWidth="1"/>
    <col min="15617" max="15617" width="0" hidden="1" customWidth="1"/>
    <col min="15624" max="15624" width="23.140625" customWidth="1"/>
    <col min="15625" max="15625" width="10.5703125" bestFit="1" customWidth="1"/>
    <col min="15873" max="15873" width="0" hidden="1" customWidth="1"/>
    <col min="15880" max="15880" width="23.140625" customWidth="1"/>
    <col min="15881" max="15881" width="10.5703125" bestFit="1" customWidth="1"/>
    <col min="16129" max="16129" width="0" hidden="1" customWidth="1"/>
    <col min="16136" max="16136" width="23.140625" customWidth="1"/>
    <col min="16137" max="16137" width="10.5703125" bestFit="1" customWidth="1"/>
  </cols>
  <sheetData>
    <row r="1" spans="1:9" ht="12.95" customHeight="1" x14ac:dyDescent="0.25">
      <c r="B1" s="108" t="s">
        <v>118</v>
      </c>
      <c r="C1" s="108"/>
      <c r="D1" s="108"/>
      <c r="E1" s="108"/>
      <c r="F1" s="108"/>
      <c r="G1" s="108"/>
      <c r="H1" s="108"/>
    </row>
    <row r="2" spans="1:9" ht="12.95" customHeight="1" x14ac:dyDescent="0.25">
      <c r="A2" t="s">
        <v>0</v>
      </c>
      <c r="B2" s="108" t="s">
        <v>119</v>
      </c>
      <c r="C2" s="108"/>
      <c r="D2" s="108"/>
      <c r="E2" s="108"/>
      <c r="F2" s="108"/>
      <c r="G2" s="108"/>
      <c r="H2" s="108"/>
    </row>
    <row r="3" spans="1:9" ht="12.95" customHeight="1" x14ac:dyDescent="0.25">
      <c r="A3">
        <v>66</v>
      </c>
      <c r="B3" s="1"/>
      <c r="C3" s="1"/>
      <c r="D3" s="1"/>
      <c r="E3" s="2"/>
      <c r="F3" s="1"/>
      <c r="G3" s="3"/>
      <c r="H3" s="3"/>
    </row>
    <row r="4" spans="1:9" ht="12.95" customHeight="1" x14ac:dyDescent="0.25">
      <c r="B4" s="109" t="s">
        <v>1</v>
      </c>
      <c r="C4" s="109"/>
      <c r="D4" s="109"/>
      <c r="E4" s="109"/>
      <c r="F4" s="109"/>
      <c r="G4" s="109"/>
      <c r="H4" s="109"/>
    </row>
    <row r="5" spans="1:9" ht="12.95" customHeight="1" x14ac:dyDescent="0.25">
      <c r="B5" s="1"/>
      <c r="C5" s="1"/>
      <c r="D5" s="1"/>
      <c r="E5" s="1"/>
      <c r="F5" s="1"/>
      <c r="G5" s="3"/>
      <c r="H5" s="3"/>
    </row>
    <row r="6" spans="1:9" ht="12.95" customHeight="1" x14ac:dyDescent="0.25">
      <c r="B6" s="4" t="s">
        <v>2</v>
      </c>
      <c r="C6" s="110" t="s">
        <v>3</v>
      </c>
      <c r="D6" s="110"/>
      <c r="E6" s="5"/>
      <c r="F6" s="6" t="s">
        <v>4</v>
      </c>
      <c r="G6" s="7"/>
      <c r="H6" s="8" t="s">
        <v>5</v>
      </c>
    </row>
    <row r="7" spans="1:9" ht="12.95" customHeight="1" x14ac:dyDescent="0.25">
      <c r="B7" s="9" t="s">
        <v>6</v>
      </c>
      <c r="C7" s="10" t="s">
        <v>7</v>
      </c>
      <c r="D7" s="10"/>
      <c r="E7" s="11"/>
      <c r="F7" s="12" t="s">
        <v>8</v>
      </c>
      <c r="G7" s="13" t="s">
        <v>9</v>
      </c>
      <c r="H7" s="11"/>
    </row>
    <row r="8" spans="1:9" ht="12.95" customHeight="1" x14ac:dyDescent="0.25">
      <c r="B8" s="9" t="s">
        <v>10</v>
      </c>
      <c r="C8" s="10" t="s">
        <v>11</v>
      </c>
      <c r="D8" s="14"/>
      <c r="E8" s="15"/>
      <c r="F8" s="16"/>
      <c r="G8" s="17"/>
      <c r="H8" s="18"/>
    </row>
    <row r="9" spans="1:9" ht="12.95" customHeight="1" x14ac:dyDescent="0.25">
      <c r="B9" s="19" t="s">
        <v>12</v>
      </c>
      <c r="C9" s="20" t="s">
        <v>13</v>
      </c>
      <c r="D9" s="21"/>
      <c r="E9" s="22"/>
      <c r="F9" s="23"/>
      <c r="G9" s="24"/>
      <c r="H9" s="25"/>
    </row>
    <row r="10" spans="1:9" ht="12.95" customHeight="1" x14ac:dyDescent="0.25">
      <c r="B10" s="26"/>
      <c r="C10" s="26"/>
      <c r="D10" s="26"/>
      <c r="E10" s="26"/>
      <c r="F10" s="26"/>
      <c r="G10" s="27"/>
      <c r="H10" s="27"/>
    </row>
    <row r="11" spans="1:9" ht="12.95" customHeight="1" x14ac:dyDescent="0.25">
      <c r="B11" s="111" t="s">
        <v>14</v>
      </c>
      <c r="C11" s="111"/>
      <c r="D11" s="111"/>
      <c r="E11" s="111"/>
      <c r="F11" s="111"/>
      <c r="G11" s="111"/>
      <c r="H11" s="111"/>
    </row>
    <row r="12" spans="1:9" ht="12.95" customHeight="1" x14ac:dyDescent="0.25">
      <c r="B12" s="103" t="s">
        <v>15</v>
      </c>
      <c r="C12" s="104"/>
      <c r="D12" s="105" t="s">
        <v>16</v>
      </c>
      <c r="E12" s="106"/>
      <c r="F12" s="103" t="s">
        <v>17</v>
      </c>
      <c r="G12" s="107"/>
      <c r="H12" s="28" t="s">
        <v>18</v>
      </c>
      <c r="I12" s="29"/>
    </row>
    <row r="13" spans="1:9" ht="12.95" customHeight="1" x14ac:dyDescent="0.25">
      <c r="B13" s="93" t="s">
        <v>19</v>
      </c>
      <c r="C13" s="94"/>
      <c r="D13" s="95" t="s">
        <v>20</v>
      </c>
      <c r="E13" s="96"/>
      <c r="F13" s="93" t="s">
        <v>21</v>
      </c>
      <c r="G13" s="97"/>
      <c r="H13" s="30" t="s">
        <v>22</v>
      </c>
      <c r="I13" s="29"/>
    </row>
    <row r="14" spans="1:9" ht="12.95" customHeight="1" x14ac:dyDescent="0.25">
      <c r="B14" s="93" t="s">
        <v>23</v>
      </c>
      <c r="C14" s="94"/>
      <c r="D14" s="95" t="s">
        <v>24</v>
      </c>
      <c r="E14" s="96"/>
      <c r="F14" s="93" t="s">
        <v>25</v>
      </c>
      <c r="G14" s="97"/>
      <c r="H14" s="30" t="s">
        <v>26</v>
      </c>
      <c r="I14" s="29"/>
    </row>
    <row r="15" spans="1:9" ht="12.95" customHeight="1" x14ac:dyDescent="0.25">
      <c r="B15" s="93" t="s">
        <v>27</v>
      </c>
      <c r="C15" s="94"/>
      <c r="D15" s="95" t="s">
        <v>28</v>
      </c>
      <c r="E15" s="96"/>
      <c r="F15" s="93" t="s">
        <v>29</v>
      </c>
      <c r="G15" s="97"/>
      <c r="H15" s="30" t="s">
        <v>30</v>
      </c>
      <c r="I15" s="29"/>
    </row>
    <row r="16" spans="1:9" ht="12.95" customHeight="1" x14ac:dyDescent="0.25">
      <c r="B16" s="98" t="s">
        <v>31</v>
      </c>
      <c r="C16" s="99"/>
      <c r="D16" s="100"/>
      <c r="E16" s="101"/>
      <c r="F16" s="98" t="s">
        <v>32</v>
      </c>
      <c r="G16" s="102"/>
      <c r="H16" s="31"/>
    </row>
    <row r="17" spans="2:9" ht="12.95" customHeight="1" x14ac:dyDescent="0.25">
      <c r="B17" s="32"/>
      <c r="C17" s="26"/>
      <c r="D17" s="26"/>
      <c r="E17" s="26"/>
      <c r="F17" s="33"/>
      <c r="G17" s="27"/>
      <c r="H17" s="27"/>
    </row>
    <row r="18" spans="2:9" ht="12.95" customHeight="1" x14ac:dyDescent="0.25">
      <c r="B18" s="34" t="s">
        <v>33</v>
      </c>
      <c r="C18" s="35"/>
      <c r="D18" s="35"/>
      <c r="E18" s="36"/>
      <c r="F18" s="37" t="s">
        <v>34</v>
      </c>
      <c r="G18" s="38" t="s">
        <v>35</v>
      </c>
      <c r="H18" s="39" t="s">
        <v>36</v>
      </c>
    </row>
    <row r="19" spans="2:9" ht="12.95" customHeight="1" x14ac:dyDescent="0.25">
      <c r="B19" s="40" t="s">
        <v>37</v>
      </c>
      <c r="C19" s="41"/>
      <c r="D19" s="41"/>
      <c r="E19" s="41"/>
      <c r="F19" s="42"/>
      <c r="G19" s="43"/>
      <c r="H19" s="44">
        <f>H20+H32+H40+H43</f>
        <v>0</v>
      </c>
      <c r="I19" s="29"/>
    </row>
    <row r="20" spans="2:9" ht="12.95" customHeight="1" x14ac:dyDescent="0.25">
      <c r="B20" s="45" t="s">
        <v>38</v>
      </c>
      <c r="C20" s="46"/>
      <c r="D20" s="46"/>
      <c r="E20" s="46"/>
      <c r="F20" s="47"/>
      <c r="G20" s="48"/>
      <c r="H20" s="49">
        <f>SUM(H21:H31)</f>
        <v>0</v>
      </c>
      <c r="I20" s="29"/>
    </row>
    <row r="21" spans="2:9" ht="12.95" customHeight="1" x14ac:dyDescent="0.25">
      <c r="B21" s="50" t="s">
        <v>39</v>
      </c>
      <c r="C21" s="51"/>
      <c r="D21" s="51"/>
      <c r="E21" s="51"/>
      <c r="F21" s="52">
        <v>0.5</v>
      </c>
      <c r="G21" s="53" t="s">
        <v>40</v>
      </c>
      <c r="H21" s="54" t="s">
        <v>41</v>
      </c>
      <c r="I21" s="29"/>
    </row>
    <row r="22" spans="2:9" ht="12.95" customHeight="1" x14ac:dyDescent="0.25">
      <c r="B22" s="50" t="s">
        <v>42</v>
      </c>
      <c r="C22" s="51"/>
      <c r="D22" s="51"/>
      <c r="E22" s="51"/>
      <c r="F22" s="52">
        <v>1</v>
      </c>
      <c r="G22" s="53" t="s">
        <v>43</v>
      </c>
      <c r="H22" s="55" t="s">
        <v>44</v>
      </c>
      <c r="I22" s="29"/>
    </row>
    <row r="23" spans="2:9" ht="12.95" customHeight="1" x14ac:dyDescent="0.25">
      <c r="B23" s="50" t="s">
        <v>45</v>
      </c>
      <c r="C23" s="51"/>
      <c r="D23" s="51"/>
      <c r="E23" s="51"/>
      <c r="F23" s="52">
        <v>1.3</v>
      </c>
      <c r="G23" s="53" t="s">
        <v>46</v>
      </c>
      <c r="H23" s="55" t="s">
        <v>47</v>
      </c>
      <c r="I23" s="29"/>
    </row>
    <row r="24" spans="2:9" ht="12.95" customHeight="1" x14ac:dyDescent="0.25">
      <c r="B24" s="50" t="s">
        <v>48</v>
      </c>
      <c r="C24" s="51"/>
      <c r="D24" s="51"/>
      <c r="E24" s="51"/>
      <c r="F24" s="52">
        <v>1.5</v>
      </c>
      <c r="G24" s="53" t="s">
        <v>49</v>
      </c>
      <c r="H24" s="55" t="s">
        <v>50</v>
      </c>
      <c r="I24" s="29"/>
    </row>
    <row r="25" spans="2:9" ht="12.95" customHeight="1" x14ac:dyDescent="0.25">
      <c r="B25" s="50" t="s">
        <v>51</v>
      </c>
      <c r="C25" s="51"/>
      <c r="D25" s="51"/>
      <c r="E25" s="51"/>
      <c r="F25" s="52">
        <v>2</v>
      </c>
      <c r="G25" s="53" t="s">
        <v>52</v>
      </c>
      <c r="H25" s="55" t="s">
        <v>53</v>
      </c>
      <c r="I25" s="29"/>
    </row>
    <row r="26" spans="2:9" ht="12.95" customHeight="1" x14ac:dyDescent="0.25">
      <c r="B26" s="50" t="s">
        <v>54</v>
      </c>
      <c r="C26" s="51"/>
      <c r="D26" s="51"/>
      <c r="E26" s="51"/>
      <c r="F26" s="52">
        <v>2</v>
      </c>
      <c r="G26" s="53" t="s">
        <v>55</v>
      </c>
      <c r="H26" s="55" t="s">
        <v>56</v>
      </c>
      <c r="I26" s="29"/>
    </row>
    <row r="27" spans="2:9" ht="12.95" customHeight="1" x14ac:dyDescent="0.25">
      <c r="B27" s="50" t="s">
        <v>57</v>
      </c>
      <c r="C27" s="51"/>
      <c r="D27" s="51"/>
      <c r="E27" s="51"/>
      <c r="F27" s="52">
        <v>2</v>
      </c>
      <c r="G27" s="53" t="s">
        <v>58</v>
      </c>
      <c r="H27" s="55" t="s">
        <v>59</v>
      </c>
      <c r="I27" s="29"/>
    </row>
    <row r="28" spans="2:9" ht="12.95" customHeight="1" x14ac:dyDescent="0.25">
      <c r="B28" s="50" t="s">
        <v>60</v>
      </c>
      <c r="C28" s="51"/>
      <c r="D28" s="51"/>
      <c r="E28" s="51"/>
      <c r="F28" s="52">
        <v>2.7</v>
      </c>
      <c r="G28" s="53" t="s">
        <v>61</v>
      </c>
      <c r="H28" s="55" t="s">
        <v>62</v>
      </c>
      <c r="I28" s="29"/>
    </row>
    <row r="29" spans="2:9" ht="12.95" customHeight="1" x14ac:dyDescent="0.25">
      <c r="B29" s="50" t="s">
        <v>63</v>
      </c>
      <c r="C29" s="51"/>
      <c r="D29" s="51"/>
      <c r="E29" s="51"/>
      <c r="F29" s="52">
        <v>3</v>
      </c>
      <c r="G29" s="53" t="s">
        <v>64</v>
      </c>
      <c r="H29" s="55" t="s">
        <v>65</v>
      </c>
      <c r="I29" s="29"/>
    </row>
    <row r="30" spans="2:9" ht="12.95" customHeight="1" x14ac:dyDescent="0.25">
      <c r="B30" s="50" t="s">
        <v>66</v>
      </c>
      <c r="C30" s="51"/>
      <c r="D30" s="51"/>
      <c r="E30" s="51"/>
      <c r="F30" s="52">
        <v>3.9</v>
      </c>
      <c r="G30" s="53" t="s">
        <v>67</v>
      </c>
      <c r="H30" s="55" t="s">
        <v>68</v>
      </c>
      <c r="I30" s="29"/>
    </row>
    <row r="31" spans="2:9" ht="12.95" customHeight="1" x14ac:dyDescent="0.25">
      <c r="B31" s="56" t="s">
        <v>69</v>
      </c>
      <c r="C31" s="57"/>
      <c r="D31" s="57"/>
      <c r="E31" s="57"/>
      <c r="F31" s="58"/>
      <c r="G31" s="59" t="s">
        <v>70</v>
      </c>
      <c r="H31" s="60" t="s">
        <v>71</v>
      </c>
      <c r="I31" s="29"/>
    </row>
    <row r="32" spans="2:9" ht="12.95" customHeight="1" x14ac:dyDescent="0.25">
      <c r="B32" s="61" t="s">
        <v>72</v>
      </c>
      <c r="C32" s="62"/>
      <c r="D32" s="62"/>
      <c r="E32" s="62"/>
      <c r="F32" s="62"/>
      <c r="G32" s="63"/>
      <c r="H32" s="54">
        <f>SUM(H33:H39)</f>
        <v>0</v>
      </c>
      <c r="I32" s="29"/>
    </row>
    <row r="33" spans="2:9" ht="12.95" customHeight="1" x14ac:dyDescent="0.25">
      <c r="B33" s="50" t="s">
        <v>73</v>
      </c>
      <c r="C33" s="51"/>
      <c r="D33" s="51"/>
      <c r="E33" s="51"/>
      <c r="F33" s="51"/>
      <c r="G33" s="64"/>
      <c r="H33" s="55" t="s">
        <v>74</v>
      </c>
      <c r="I33" s="29"/>
    </row>
    <row r="34" spans="2:9" ht="12.95" customHeight="1" x14ac:dyDescent="0.25">
      <c r="B34" s="50" t="s">
        <v>75</v>
      </c>
      <c r="C34" s="51"/>
      <c r="D34" s="51"/>
      <c r="E34" s="51"/>
      <c r="F34" s="51"/>
      <c r="G34" s="64"/>
      <c r="H34" s="55" t="s">
        <v>76</v>
      </c>
      <c r="I34" s="29"/>
    </row>
    <row r="35" spans="2:9" ht="12.95" customHeight="1" x14ac:dyDescent="0.25">
      <c r="B35" s="50" t="s">
        <v>77</v>
      </c>
      <c r="C35" s="51"/>
      <c r="D35" s="51"/>
      <c r="E35" s="51"/>
      <c r="F35" s="51"/>
      <c r="G35" s="64"/>
      <c r="H35" s="55" t="s">
        <v>78</v>
      </c>
      <c r="I35" s="29"/>
    </row>
    <row r="36" spans="2:9" ht="12.95" customHeight="1" x14ac:dyDescent="0.25">
      <c r="B36" s="50" t="s">
        <v>79</v>
      </c>
      <c r="C36" s="51"/>
      <c r="D36" s="51"/>
      <c r="E36" s="51"/>
      <c r="F36" s="51"/>
      <c r="G36" s="64"/>
      <c r="H36" s="55" t="s">
        <v>80</v>
      </c>
      <c r="I36" s="29"/>
    </row>
    <row r="37" spans="2:9" ht="12.95" customHeight="1" x14ac:dyDescent="0.25">
      <c r="B37" s="50" t="s">
        <v>81</v>
      </c>
      <c r="C37" s="51"/>
      <c r="D37" s="51"/>
      <c r="E37" s="51"/>
      <c r="F37" s="51"/>
      <c r="G37" s="64"/>
      <c r="H37" s="55" t="s">
        <v>82</v>
      </c>
      <c r="I37" s="29"/>
    </row>
    <row r="38" spans="2:9" ht="12.95" customHeight="1" x14ac:dyDescent="0.25">
      <c r="B38" s="50" t="s">
        <v>83</v>
      </c>
      <c r="C38" s="51"/>
      <c r="D38" s="51"/>
      <c r="E38" s="51"/>
      <c r="F38" s="51"/>
      <c r="G38" s="64"/>
      <c r="H38" s="55" t="s">
        <v>84</v>
      </c>
      <c r="I38" s="29"/>
    </row>
    <row r="39" spans="2:9" ht="12.95" customHeight="1" x14ac:dyDescent="0.25">
      <c r="B39" s="50" t="s">
        <v>85</v>
      </c>
      <c r="C39" s="51"/>
      <c r="D39" s="51"/>
      <c r="E39" s="51"/>
      <c r="F39" s="51"/>
      <c r="G39" s="64"/>
      <c r="H39" s="55" t="s">
        <v>86</v>
      </c>
      <c r="I39" s="29"/>
    </row>
    <row r="40" spans="2:9" ht="12.95" customHeight="1" x14ac:dyDescent="0.25">
      <c r="B40" s="65" t="s">
        <v>87</v>
      </c>
      <c r="C40" s="66"/>
      <c r="D40" s="66"/>
      <c r="E40" s="66"/>
      <c r="F40" s="66"/>
      <c r="G40" s="67"/>
      <c r="H40" s="68">
        <f>SUM(H42)</f>
        <v>0</v>
      </c>
    </row>
    <row r="41" spans="2:9" ht="12.95" customHeight="1" x14ac:dyDescent="0.25">
      <c r="B41" s="56" t="s">
        <v>88</v>
      </c>
      <c r="C41" s="69"/>
      <c r="D41" s="69"/>
      <c r="E41" s="69"/>
      <c r="F41" s="69"/>
      <c r="G41" s="70"/>
      <c r="H41" s="71"/>
    </row>
    <row r="42" spans="2:9" ht="12.95" customHeight="1" x14ac:dyDescent="0.25">
      <c r="B42" s="56" t="s">
        <v>89</v>
      </c>
      <c r="C42" s="57"/>
      <c r="D42" s="57"/>
      <c r="E42" s="57"/>
      <c r="F42" s="57"/>
      <c r="G42" s="72"/>
      <c r="H42" s="71"/>
    </row>
    <row r="43" spans="2:9" ht="12.95" customHeight="1" x14ac:dyDescent="0.25">
      <c r="B43" s="61" t="s">
        <v>90</v>
      </c>
      <c r="C43" s="62"/>
      <c r="D43" s="62"/>
      <c r="E43" s="62"/>
      <c r="F43" s="62"/>
      <c r="G43" s="73"/>
      <c r="H43" s="54">
        <f>SUM(H44:H48)</f>
        <v>0</v>
      </c>
      <c r="I43" s="29"/>
    </row>
    <row r="44" spans="2:9" ht="12.95" customHeight="1" x14ac:dyDescent="0.25">
      <c r="B44" s="50" t="s">
        <v>91</v>
      </c>
      <c r="C44" s="51"/>
      <c r="D44" s="51"/>
      <c r="E44" s="51"/>
      <c r="F44" s="51"/>
      <c r="G44" s="64"/>
      <c r="H44" s="55"/>
      <c r="I44" s="29"/>
    </row>
    <row r="45" spans="2:9" ht="12.95" customHeight="1" x14ac:dyDescent="0.25">
      <c r="B45" s="50" t="s">
        <v>92</v>
      </c>
      <c r="C45" s="51"/>
      <c r="D45" s="51"/>
      <c r="E45" s="51"/>
      <c r="F45" s="51"/>
      <c r="G45" s="64"/>
      <c r="H45" s="55"/>
      <c r="I45" s="29"/>
    </row>
    <row r="46" spans="2:9" ht="12.95" customHeight="1" x14ac:dyDescent="0.25">
      <c r="B46" s="50" t="s">
        <v>93</v>
      </c>
      <c r="C46" s="51"/>
      <c r="D46" s="51"/>
      <c r="E46" s="51"/>
      <c r="F46" s="51"/>
      <c r="G46" s="64"/>
      <c r="H46" s="55"/>
      <c r="I46" s="29"/>
    </row>
    <row r="47" spans="2:9" ht="12.95" customHeight="1" x14ac:dyDescent="0.25">
      <c r="B47" s="50" t="s">
        <v>94</v>
      </c>
      <c r="C47" s="51"/>
      <c r="D47" s="51"/>
      <c r="E47" s="51"/>
      <c r="F47" s="51"/>
      <c r="G47" s="64"/>
      <c r="H47" s="55"/>
      <c r="I47" s="29"/>
    </row>
    <row r="48" spans="2:9" ht="12.95" customHeight="1" x14ac:dyDescent="0.25">
      <c r="B48" s="74" t="s">
        <v>95</v>
      </c>
      <c r="C48" s="75"/>
      <c r="D48" s="75"/>
      <c r="E48" s="75"/>
      <c r="F48" s="75"/>
      <c r="G48" s="76"/>
      <c r="H48" s="55" t="s">
        <v>96</v>
      </c>
      <c r="I48" s="29"/>
    </row>
    <row r="49" spans="2:9" ht="12.95" customHeight="1" x14ac:dyDescent="0.25">
      <c r="B49" s="77" t="s">
        <v>97</v>
      </c>
      <c r="C49" s="78"/>
      <c r="D49" s="78"/>
      <c r="E49" s="78"/>
      <c r="F49" s="78"/>
      <c r="G49" s="79"/>
      <c r="H49" s="80" t="e">
        <f>H50+H51+H52+H53+H59+H60</f>
        <v>#VALUE!</v>
      </c>
      <c r="I49" s="29"/>
    </row>
    <row r="50" spans="2:9" ht="12.95" customHeight="1" x14ac:dyDescent="0.25">
      <c r="B50" s="81" t="s">
        <v>98</v>
      </c>
      <c r="C50" s="82"/>
      <c r="D50" s="82"/>
      <c r="E50" s="82"/>
      <c r="F50" s="82"/>
      <c r="G50" s="83"/>
      <c r="H50" s="84" t="s">
        <v>99</v>
      </c>
      <c r="I50" s="29"/>
    </row>
    <row r="51" spans="2:9" ht="12.95" customHeight="1" x14ac:dyDescent="0.25">
      <c r="B51" s="50" t="s">
        <v>100</v>
      </c>
      <c r="C51" s="85"/>
      <c r="D51" s="85"/>
      <c r="E51" s="85"/>
      <c r="F51" s="85"/>
      <c r="G51" s="63"/>
      <c r="H51" s="54"/>
      <c r="I51" s="29"/>
    </row>
    <row r="52" spans="2:9" ht="12.95" customHeight="1" x14ac:dyDescent="0.25">
      <c r="B52" s="50" t="s">
        <v>101</v>
      </c>
      <c r="C52" s="85"/>
      <c r="D52" s="85"/>
      <c r="E52" s="85"/>
      <c r="F52" s="85"/>
      <c r="G52" s="63"/>
      <c r="H52" s="54"/>
      <c r="I52" s="29"/>
    </row>
    <row r="53" spans="2:9" ht="12.95" customHeight="1" x14ac:dyDescent="0.25">
      <c r="B53" s="50" t="s">
        <v>102</v>
      </c>
      <c r="C53" s="85"/>
      <c r="D53" s="85"/>
      <c r="E53" s="85"/>
      <c r="F53" s="85"/>
      <c r="G53" s="63"/>
      <c r="H53" s="54" t="s">
        <v>103</v>
      </c>
      <c r="I53" s="29"/>
    </row>
    <row r="54" spans="2:9" ht="12.95" customHeight="1" x14ac:dyDescent="0.25">
      <c r="B54" s="50" t="s">
        <v>104</v>
      </c>
      <c r="C54" s="51"/>
      <c r="D54" s="51"/>
      <c r="E54" s="51"/>
      <c r="F54" s="51"/>
      <c r="G54" s="64"/>
      <c r="H54" s="55"/>
      <c r="I54" s="29"/>
    </row>
    <row r="55" spans="2:9" ht="12.95" customHeight="1" x14ac:dyDescent="0.25">
      <c r="B55" s="86" t="s">
        <v>105</v>
      </c>
      <c r="C55" s="51"/>
      <c r="D55" s="51"/>
      <c r="E55" s="51"/>
      <c r="F55" s="51"/>
      <c r="G55" s="64"/>
      <c r="H55" s="55" t="s">
        <v>106</v>
      </c>
      <c r="I55" s="29"/>
    </row>
    <row r="56" spans="2:9" ht="12.95" customHeight="1" x14ac:dyDescent="0.25">
      <c r="B56" s="86" t="s">
        <v>107</v>
      </c>
      <c r="C56" s="51"/>
      <c r="D56" s="51"/>
      <c r="E56" s="51"/>
      <c r="F56" s="51"/>
      <c r="G56" s="64"/>
      <c r="H56" s="55" t="s">
        <v>108</v>
      </c>
      <c r="I56" s="29"/>
    </row>
    <row r="57" spans="2:9" ht="12.95" customHeight="1" x14ac:dyDescent="0.25">
      <c r="B57" s="50" t="s">
        <v>109</v>
      </c>
      <c r="C57" s="51"/>
      <c r="D57" s="51"/>
      <c r="E57" s="51"/>
      <c r="F57" s="51"/>
      <c r="G57" s="64"/>
      <c r="H57" s="55" t="s">
        <v>110</v>
      </c>
      <c r="I57" s="29"/>
    </row>
    <row r="58" spans="2:9" ht="12.95" customHeight="1" x14ac:dyDescent="0.25">
      <c r="B58" s="50" t="s">
        <v>111</v>
      </c>
      <c r="C58" s="51"/>
      <c r="D58" s="51"/>
      <c r="E58" s="51"/>
      <c r="F58" s="51"/>
      <c r="G58" s="64"/>
      <c r="H58" s="55" t="s">
        <v>112</v>
      </c>
      <c r="I58" s="29"/>
    </row>
    <row r="59" spans="2:9" ht="12.95" customHeight="1" x14ac:dyDescent="0.25">
      <c r="B59" s="87" t="s">
        <v>113</v>
      </c>
      <c r="C59" s="85"/>
      <c r="D59" s="85"/>
      <c r="E59" s="85"/>
      <c r="F59" s="85"/>
      <c r="G59" s="63"/>
      <c r="H59" s="54"/>
      <c r="I59" s="29"/>
    </row>
    <row r="60" spans="2:9" ht="12.95" customHeight="1" x14ac:dyDescent="0.25">
      <c r="B60" s="87" t="s">
        <v>114</v>
      </c>
      <c r="C60" s="51"/>
      <c r="D60" s="51"/>
      <c r="E60" s="51"/>
      <c r="F60" s="51"/>
      <c r="G60" s="64"/>
      <c r="H60" s="54"/>
      <c r="I60" s="29"/>
    </row>
    <row r="61" spans="2:9" ht="12.95" customHeight="1" x14ac:dyDescent="0.25">
      <c r="B61" s="50" t="s">
        <v>115</v>
      </c>
      <c r="C61" s="51"/>
      <c r="D61" s="51"/>
      <c r="E61" s="51"/>
      <c r="F61" s="51"/>
      <c r="G61" s="64"/>
      <c r="H61" s="55"/>
      <c r="I61" s="29"/>
    </row>
    <row r="62" spans="2:9" ht="12.95" customHeight="1" x14ac:dyDescent="0.25">
      <c r="B62" s="74" t="s">
        <v>36</v>
      </c>
      <c r="C62" s="75"/>
      <c r="D62" s="75"/>
      <c r="E62" s="75"/>
      <c r="F62" s="75"/>
      <c r="G62" s="76"/>
      <c r="H62" s="88"/>
      <c r="I62" s="29"/>
    </row>
    <row r="63" spans="2:9" ht="12.95" customHeight="1" x14ac:dyDescent="0.25">
      <c r="B63" s="40" t="s">
        <v>116</v>
      </c>
      <c r="C63" s="41"/>
      <c r="D63" s="41"/>
      <c r="E63" s="41"/>
      <c r="F63" s="41"/>
      <c r="G63" s="89"/>
      <c r="H63" s="90" t="s">
        <v>117</v>
      </c>
      <c r="I63" s="29"/>
    </row>
    <row r="64" spans="2:9" ht="12.95" customHeight="1" x14ac:dyDescent="0.25">
      <c r="C64" s="91"/>
      <c r="D64" s="91"/>
      <c r="E64" s="91"/>
      <c r="F64" s="91"/>
      <c r="G64" s="91"/>
      <c r="H64" s="91"/>
    </row>
    <row r="65" spans="3:8" ht="12.95" customHeight="1" x14ac:dyDescent="0.25">
      <c r="C65" s="92"/>
      <c r="D65" s="92"/>
      <c r="E65" s="92"/>
      <c r="F65" s="92"/>
      <c r="G65" s="92"/>
      <c r="H65" s="92"/>
    </row>
  </sheetData>
  <mergeCells count="20">
    <mergeCell ref="B12:C12"/>
    <mergeCell ref="D12:E12"/>
    <mergeCell ref="F12:G12"/>
    <mergeCell ref="B1:H1"/>
    <mergeCell ref="B2:H2"/>
    <mergeCell ref="B4:H4"/>
    <mergeCell ref="C6:D6"/>
    <mergeCell ref="B11:H11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</mergeCells>
  <pageMargins left="1.3779527559055118" right="0" top="0" bottom="0" header="0" footer="0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cp:lastPrinted>2019-04-15T05:35:06Z</cp:lastPrinted>
  <dcterms:created xsi:type="dcterms:W3CDTF">2019-04-15T05:06:26Z</dcterms:created>
  <dcterms:modified xsi:type="dcterms:W3CDTF">2019-04-15T05:47:03Z</dcterms:modified>
</cp:coreProperties>
</file>