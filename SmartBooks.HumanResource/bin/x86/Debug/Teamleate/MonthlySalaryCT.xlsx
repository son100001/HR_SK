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BA1564C7-25F9-4ADB-8C94-11CD81FF920E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Sheet1!$A$12:$DO$12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P13" i="1"/>
  <c r="BL9" i="1"/>
  <c r="AB13" i="1"/>
  <c r="CP12" i="1"/>
  <c r="CA12" i="1"/>
  <c r="BS12" i="1"/>
  <c r="BH12" i="1"/>
  <c r="BI12" i="1" s="1"/>
  <c r="BJ12" i="1" s="1"/>
  <c r="BK12" i="1" s="1"/>
  <c r="BL12" i="1" s="1"/>
  <c r="BM12" i="1" s="1"/>
  <c r="AH12" i="1"/>
  <c r="AI12" i="1" s="1"/>
  <c r="AJ12" i="1" s="1"/>
  <c r="AK12" i="1" s="1"/>
  <c r="AL12" i="1" s="1"/>
  <c r="AM12" i="1" s="1"/>
  <c r="AN12" i="1" s="1"/>
  <c r="AO12" i="1" s="1"/>
  <c r="AT12" i="1" s="1"/>
  <c r="AU12" i="1" s="1"/>
  <c r="AV12" i="1" s="1"/>
  <c r="AW12" i="1" s="1"/>
  <c r="AX12" i="1" s="1"/>
  <c r="AY12" i="1" s="1"/>
  <c r="C12" i="1"/>
  <c r="D12" i="1" s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B12" i="1" s="1"/>
  <c r="AC12" i="1" s="1"/>
  <c r="AD12" i="1" s="1"/>
  <c r="F9" i="1"/>
  <c r="N13" i="1" l="1"/>
  <c r="Y13" i="1" s="1"/>
  <c r="BL13" i="1"/>
  <c r="BK13" i="1" l="1"/>
  <c r="G13" i="1"/>
  <c r="FY13" i="1" l="1"/>
  <c r="GK13" i="1" l="1"/>
  <c r="BY13" i="1"/>
  <c r="FF13" i="1" l="1"/>
  <c r="FG13" i="1" l="1"/>
  <c r="HH13" i="1" l="1"/>
  <c r="S13" i="1" l="1"/>
  <c r="U13" i="1" l="1"/>
  <c r="CZ13" i="1"/>
  <c r="CW13" i="1"/>
  <c r="CT13" i="1"/>
  <c r="CQ13" i="1"/>
  <c r="CN13" i="1"/>
  <c r="CK13" i="1"/>
  <c r="CH13" i="1"/>
  <c r="CE13" i="1"/>
  <c r="CB13" i="1"/>
  <c r="BW13" i="1"/>
  <c r="BT13" i="1"/>
  <c r="BQ13" i="1"/>
  <c r="BN13" i="1"/>
  <c r="O13" i="1" l="1"/>
  <c r="EN12" i="1" l="1"/>
  <c r="EN13" i="1" l="1"/>
  <c r="L13" i="1" l="1"/>
  <c r="EQ13" i="1" l="1"/>
  <c r="EP13" i="1"/>
  <c r="AP13" i="1" l="1"/>
  <c r="T13" i="1"/>
  <c r="AM13" i="1"/>
  <c r="AQ13" i="1" l="1"/>
  <c r="BA13" i="1" s="1"/>
  <c r="W13" i="1"/>
  <c r="V13" i="1"/>
  <c r="Z13" i="1"/>
  <c r="FQ13" i="1"/>
  <c r="GB13" i="1"/>
  <c r="FJ13" i="1"/>
  <c r="FS13" i="1"/>
  <c r="FI13" i="1"/>
  <c r="FR13" i="1"/>
  <c r="FH13" i="1"/>
  <c r="GA13" i="1"/>
  <c r="FO13" i="1"/>
  <c r="FP13" i="1"/>
  <c r="FN13" i="1"/>
  <c r="FK13" i="1"/>
  <c r="FM13" i="1"/>
  <c r="FL13" i="1"/>
  <c r="AZ13" i="1"/>
  <c r="AR13" i="1" l="1"/>
  <c r="BB13" i="1" s="1"/>
  <c r="AF13" i="1"/>
  <c r="AE13" i="1"/>
  <c r="GZ13" i="1"/>
  <c r="CU13" i="1" s="1"/>
  <c r="GR13" i="1"/>
  <c r="CI13" i="1" s="1"/>
  <c r="GP13" i="1"/>
  <c r="CF13" i="1" s="1"/>
  <c r="GN13" i="1"/>
  <c r="CC13" i="1" s="1"/>
  <c r="HD13" i="1"/>
  <c r="DA13" i="1" s="1"/>
  <c r="GL13" i="1"/>
  <c r="BZ13" i="1" s="1"/>
  <c r="HB13" i="1"/>
  <c r="CX13" i="1" s="1"/>
  <c r="GJ13" i="1"/>
  <c r="BX13" i="1" s="1"/>
  <c r="GX13" i="1"/>
  <c r="CR13" i="1" s="1"/>
  <c r="GH13" i="1"/>
  <c r="BU13" i="1" s="1"/>
  <c r="GV13" i="1"/>
  <c r="CO13" i="1" s="1"/>
  <c r="GD13" i="1"/>
  <c r="BO13" i="1" s="1"/>
  <c r="GF13" i="1"/>
  <c r="BR13" i="1" s="1"/>
  <c r="GT13" i="1"/>
  <c r="CL13" i="1" s="1"/>
  <c r="AC13" i="1" l="1"/>
  <c r="AD13" i="1" s="1"/>
  <c r="AS13" i="1"/>
  <c r="BC13" i="1" s="1"/>
  <c r="BD13" i="1" s="1"/>
  <c r="R13" i="1"/>
  <c r="AH13" i="1"/>
  <c r="AI13" i="1" s="1"/>
  <c r="AK13" i="1" l="1"/>
  <c r="AO13" i="1" l="1"/>
  <c r="AT13" i="1" s="1"/>
  <c r="AU13" i="1" s="1"/>
  <c r="AL13" i="1"/>
  <c r="AW13" i="1" l="1"/>
  <c r="AX13" i="1" s="1"/>
</calcChain>
</file>

<file path=xl/sharedStrings.xml><?xml version="1.0" encoding="utf-8"?>
<sst xmlns="http://schemas.openxmlformats.org/spreadsheetml/2006/main" count="603" uniqueCount="371">
  <si>
    <t>STT</t>
  </si>
  <si>
    <t>No</t>
  </si>
  <si>
    <t>Employee_ID</t>
  </si>
  <si>
    <t>FullName</t>
  </si>
  <si>
    <t>CD2</t>
  </si>
  <si>
    <t>CD3</t>
  </si>
  <si>
    <t>CD5</t>
  </si>
  <si>
    <t>thc_wt3</t>
  </si>
  <si>
    <t>thc_wt9</t>
  </si>
  <si>
    <t>thc_wt5</t>
  </si>
  <si>
    <t>CD6</t>
  </si>
  <si>
    <t>s1</t>
  </si>
  <si>
    <t>s2</t>
  </si>
  <si>
    <t>s3</t>
  </si>
  <si>
    <t>s4</t>
  </si>
  <si>
    <t>s5</t>
  </si>
  <si>
    <t>s6</t>
  </si>
  <si>
    <t>s7</t>
  </si>
  <si>
    <t>s9</t>
  </si>
  <si>
    <t>s11</t>
  </si>
  <si>
    <t>s13</t>
  </si>
  <si>
    <t>s14</t>
  </si>
  <si>
    <t>s15</t>
  </si>
  <si>
    <t>s16</t>
  </si>
  <si>
    <t>s21</t>
  </si>
  <si>
    <t>s22</t>
  </si>
  <si>
    <t>s23</t>
  </si>
  <si>
    <t>s24</t>
  </si>
  <si>
    <t>s25</t>
  </si>
  <si>
    <t>s26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</si>
  <si>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</si>
  <si>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</si>
  <si>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</si>
  <si>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</si>
  <si>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</si>
  <si>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</si>
  <si>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</si>
  <si>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</si>
  <si>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</si>
  <si>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</si>
  <si>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s53</t>
  </si>
  <si>
    <t>s54</t>
  </si>
  <si>
    <t>s55</t>
  </si>
  <si>
    <t>s56</t>
  </si>
  <si>
    <t xml:space="preserve">Họ và tên </t>
  </si>
  <si>
    <t>Mã NV</t>
  </si>
  <si>
    <t>Phòng ban</t>
  </si>
  <si>
    <t>Mức lương</t>
  </si>
  <si>
    <t>Lương thời gian</t>
  </si>
  <si>
    <t>Productivity Incentive (Khuyến khích NSLĐ)</t>
  </si>
  <si>
    <t>Work performance allowance
Phụ cấp công việc</t>
  </si>
  <si>
    <t xml:space="preserve">Evaluation criteria </t>
  </si>
  <si>
    <t>Full name</t>
  </si>
  <si>
    <t>Organization</t>
  </si>
  <si>
    <t>Lương 
cơ bản( Basic Salary)</t>
  </si>
  <si>
    <t>Life Allowance (Đời sống)</t>
  </si>
  <si>
    <t>Position (Chức vụ)</t>
  </si>
  <si>
    <t>Life allowance 2 OT</t>
  </si>
  <si>
    <t>Total</t>
  </si>
  <si>
    <t>BHTN (Unemployment In) 1%</t>
  </si>
  <si>
    <t>Thuế TNCN (PIT)</t>
  </si>
  <si>
    <t>Số tiền
(Net AMT)</t>
  </si>
  <si>
    <t>Ký nhận
(Sign)</t>
  </si>
  <si>
    <t>Giới tính</t>
  </si>
  <si>
    <t>Chuyên cần
Bonus</t>
  </si>
  <si>
    <t xml:space="preserve">Phụ cấp khác
Other allowances
</t>
  </si>
  <si>
    <t>Mã NV
(Employee ID)</t>
  </si>
  <si>
    <t>Sex</t>
  </si>
  <si>
    <t>Ca đêm 
(Night shift)</t>
  </si>
  <si>
    <t>Tăng ca 
Over time</t>
  </si>
  <si>
    <t>Giảm trừ 
gia cảnh
Deduction</t>
  </si>
  <si>
    <t>Các khoản trả thay</t>
  </si>
  <si>
    <t>BHXH
 (Social In.) 8%</t>
  </si>
  <si>
    <t>BHYT
 (Health In.) 1.5%</t>
  </si>
  <si>
    <t>Cộng
Total</t>
  </si>
  <si>
    <t>BHXH
 (Social In.) 17,5%</t>
  </si>
  <si>
    <t>BHYT
 (Health In.) 3%</t>
  </si>
  <si>
    <t>Kinh phí công đoàn 2%</t>
  </si>
  <si>
    <t>Hrs</t>
  </si>
  <si>
    <t>PositionNameEN</t>
  </si>
  <si>
    <t>BasicSalary</t>
  </si>
  <si>
    <t>CD7</t>
  </si>
  <si>
    <t>ThuongLamDu</t>
  </si>
  <si>
    <t>thc_wt2</t>
  </si>
  <si>
    <t>NgayCongTieuChuan</t>
  </si>
  <si>
    <t>thc_wt4</t>
  </si>
  <si>
    <t>thc_wt6</t>
  </si>
  <si>
    <t>thc_wt7</t>
  </si>
  <si>
    <t>thc_wt8</t>
  </si>
  <si>
    <t>thc_wt11</t>
  </si>
  <si>
    <t>thc_wt12</t>
  </si>
  <si>
    <t>thc_wt13</t>
  </si>
  <si>
    <t>thc_wt14</t>
  </si>
  <si>
    <t>thc_wt15</t>
  </si>
  <si>
    <t>thc_wt16</t>
  </si>
  <si>
    <t>ctv_wt3</t>
  </si>
  <si>
    <t>ctv_wt16</t>
  </si>
  <si>
    <t>thp_PhepHuongLuong</t>
  </si>
  <si>
    <t>ptv_PhepHuongLuong</t>
  </si>
  <si>
    <t>Gio85</t>
  </si>
  <si>
    <t>Phụ cấp cơ bản</t>
  </si>
  <si>
    <t xml:space="preserve">Tổng thu nhập chưa bao gồm tiền PN và lương thử việc
Total income </t>
  </si>
  <si>
    <t>Tổng TN miễn thuế</t>
  </si>
  <si>
    <t>Thuế (PIT)</t>
  </si>
  <si>
    <t>Các khoản khấu trừ lương (Deduction)</t>
  </si>
  <si>
    <t>Các khoản trích theo lương Công ty (Company expenses)</t>
  </si>
  <si>
    <t>Over Time</t>
  </si>
  <si>
    <t>Night time - Normal day</t>
  </si>
  <si>
    <t>Over Time - Sunday</t>
  </si>
  <si>
    <t>Over Time - Holiday</t>
  </si>
  <si>
    <t>Công đoàn phí
Union Fee
(Worker pay)</t>
  </si>
  <si>
    <t>thp_PhepNam</t>
  </si>
  <si>
    <t>ptv_PhepNam</t>
  </si>
  <si>
    <t>Ngày công tiêu chuẩn</t>
  </si>
  <si>
    <t>Công  ngày 150% - CT</t>
  </si>
  <si>
    <t>Công  ngày 150% - TV</t>
  </si>
  <si>
    <t>Công trừ thứ 7 văn phòng (-150%) - TV</t>
  </si>
  <si>
    <t>Phép hưởng lương - CT</t>
  </si>
  <si>
    <t>Phép hưởng lương - TV</t>
  </si>
  <si>
    <t>Phép năm - CT</t>
  </si>
  <si>
    <t>Phép năm - TV</t>
  </si>
  <si>
    <t>SalaryKey</t>
  </si>
  <si>
    <t>Salary_Month</t>
  </si>
  <si>
    <t>Salary_Year</t>
  </si>
  <si>
    <t>HT1</t>
  </si>
  <si>
    <t>HT2</t>
  </si>
  <si>
    <t>Chính thức</t>
  </si>
  <si>
    <t>Thử việc</t>
  </si>
  <si>
    <t>Ca đêm 100%
Night shift 100%
20:00 -22:00
Chính thức</t>
  </si>
  <si>
    <t>Ca đêm 130%
Night shift 130%
22:00 - 4:00
Chính thức</t>
  </si>
  <si>
    <t>Ca đêm 200%
Night shift 200%
4:00 - 6:00
Chính thức</t>
  </si>
  <si>
    <t>Ca đêm 150%
Nightshift 150%
6:00 - 8:00
Chính thức</t>
  </si>
  <si>
    <t>Normal day
Chính thức</t>
  </si>
  <si>
    <t>Weekly day 200%
20:00 -22:00
Chính thức</t>
  </si>
  <si>
    <t>Weekly day 230% 
22:00 - 4:00
Chính thức</t>
  </si>
  <si>
    <t>Weekly day 270% 
4:00 - 6:00
Chính thức</t>
  </si>
  <si>
    <t>Weekly day 200% 
6:00 - 8:00
Chính thức</t>
  </si>
  <si>
    <t>Holiday 300%
 20:00 - 22:00
06:00 - 08:00
Chính thức</t>
  </si>
  <si>
    <t>Holiday 330%
22:00 - 4:00
Chính thức</t>
  </si>
  <si>
    <t>Holiday 390%
4:00 - 6:00
Chính thức</t>
  </si>
  <si>
    <t>Holiday 300%
8:00-22h
Chính thức</t>
  </si>
  <si>
    <t>CD10</t>
  </si>
  <si>
    <t>PC 
Khuyến khích 
NSLĐ</t>
  </si>
  <si>
    <t>PC
Công việc</t>
  </si>
  <si>
    <t>DependentPerson</t>
  </si>
  <si>
    <t>Người
phụ
thuộc</t>
  </si>
  <si>
    <t>Thu nhập miễn thuế (Tax exemtion) Chính thức</t>
  </si>
  <si>
    <t>Ngày nghỉ hưởng lương</t>
  </si>
  <si>
    <t>s57</t>
  </si>
  <si>
    <t>s58</t>
  </si>
  <si>
    <t>s59</t>
  </si>
  <si>
    <t>s60</t>
  </si>
  <si>
    <t>s69</t>
  </si>
  <si>
    <t>s70</t>
  </si>
  <si>
    <t>s71</t>
  </si>
  <si>
    <t>s73</t>
  </si>
  <si>
    <t>s76</t>
  </si>
  <si>
    <t>s78</t>
  </si>
  <si>
    <t>s80</t>
  </si>
  <si>
    <t>s81</t>
  </si>
  <si>
    <t>s83</t>
  </si>
  <si>
    <t>s84</t>
  </si>
  <si>
    <t>s85</t>
  </si>
  <si>
    <t>s86</t>
  </si>
  <si>
    <t>s87</t>
  </si>
  <si>
    <t>s88</t>
  </si>
  <si>
    <t>s89</t>
  </si>
  <si>
    <t>s90</t>
  </si>
  <si>
    <t>s92</t>
  </si>
  <si>
    <t>s93</t>
  </si>
  <si>
    <t>s94</t>
  </si>
  <si>
    <t>s95</t>
  </si>
  <si>
    <t>s96</t>
  </si>
  <si>
    <t>s97</t>
  </si>
  <si>
    <t>s98</t>
  </si>
  <si>
    <t>s100</t>
  </si>
  <si>
    <t>s101</t>
  </si>
  <si>
    <t>s102</t>
  </si>
  <si>
    <t>s103</t>
  </si>
  <si>
    <t>s105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</si>
  <si>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</si>
  <si>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</si>
  <si>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</si>
  <si>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</si>
  <si>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</si>
  <si>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</si>
  <si>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</si>
  <si>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</si>
  <si>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</si>
  <si>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</si>
  <si>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</si>
  <si>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</si>
  <si>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</si>
  <si>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</si>
  <si>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</si>
  <si>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PcThamNien</t>
  </si>
  <si>
    <t>thc_wt10</t>
  </si>
  <si>
    <t>FactoryName</t>
  </si>
  <si>
    <t>Factory Name</t>
  </si>
  <si>
    <t>GS</t>
  </si>
  <si>
    <t>Giờ 100</t>
  </si>
  <si>
    <t>Giờ 85</t>
  </si>
  <si>
    <t>Thu nhập khác</t>
  </si>
  <si>
    <t>Thuế TNCN (PIT) 
Chính thức</t>
  </si>
  <si>
    <t>Cam kết 02</t>
  </si>
  <si>
    <t>HT3</t>
  </si>
  <si>
    <t>s125</t>
  </si>
  <si>
    <t>s126</t>
  </si>
  <si>
    <t>s127</t>
  </si>
  <si>
    <t>s128</t>
  </si>
  <si>
    <t>s129</t>
  </si>
  <si>
    <t>s130</t>
  </si>
  <si>
    <t>s131</t>
  </si>
  <si>
    <t>HT4</t>
  </si>
  <si>
    <t>HT5</t>
  </si>
  <si>
    <t>Chuyên cần - Thưởng làm đủ</t>
  </si>
  <si>
    <t>Ngày ký HĐ chính thức</t>
  </si>
  <si>
    <t>NgayDauKyLuong</t>
  </si>
  <si>
    <t>Ngày đầu kỳ lương</t>
  </si>
  <si>
    <t>NgayCuoiKyLuong</t>
  </si>
  <si>
    <t>Ngày cuối kỳ lương</t>
  </si>
  <si>
    <t>CD12</t>
  </si>
  <si>
    <t>Lương
Deal 
Chính thức</t>
  </si>
  <si>
    <t>Lương Deal 
Thử việc</t>
  </si>
  <si>
    <t>Phụ cấp khác
Thử việc</t>
  </si>
  <si>
    <t>Phụ cấp 
khác
Chính thức</t>
  </si>
  <si>
    <t>s133</t>
  </si>
  <si>
    <t>s134</t>
  </si>
  <si>
    <t>key</t>
  </si>
  <si>
    <t>Nghỉ không công</t>
  </si>
  <si>
    <t>Ngày 15</t>
  </si>
  <si>
    <t>Tổng thu nhập chịu thuê</t>
  </si>
  <si>
    <t>Số giờ công + phép hưởng lương</t>
  </si>
  <si>
    <t>s141</t>
  </si>
  <si>
    <t>s142</t>
  </si>
  <si>
    <t>s143</t>
  </si>
  <si>
    <t>s144</t>
  </si>
  <si>
    <t>s145</t>
  </si>
  <si>
    <t>s146</t>
  </si>
  <si>
    <t>Điều chỉnh khác có TC tiền công, tiền lương
Other adjustments</t>
  </si>
  <si>
    <t>Điều chỉnh khác không có TC tiền công tiền lương
Other adjustments</t>
  </si>
  <si>
    <t>CÔNG TY TNHH YOUNG DIECASTING VINA</t>
  </si>
  <si>
    <t>Lot CN2, Diem thuy IDZ, Diem Thuy commune, Phú Bình District, Thai Nguyen Province, Viet Nam</t>
  </si>
  <si>
    <t>Học việc</t>
  </si>
  <si>
    <t>chv_wt3</t>
  </si>
  <si>
    <t>chv_wt16</t>
  </si>
  <si>
    <t>phv_PhepHuongLuong</t>
  </si>
  <si>
    <t>phv_PhepNam</t>
  </si>
  <si>
    <t>GioHocViec</t>
  </si>
  <si>
    <t>NgayHetHanHDThuViec</t>
  </si>
  <si>
    <t>Phép hưởng lương - HV</t>
  </si>
  <si>
    <t>Phép năm - HV</t>
  </si>
  <si>
    <t>Giờ học việc</t>
  </si>
  <si>
    <t>Công  ngày 150% - HV</t>
  </si>
  <si>
    <t>Công trừ thứ 7 văn phòng (-150%)-CT</t>
  </si>
  <si>
    <t>Công trừ thứ 7 văn phòng (-150%) - HV</t>
  </si>
  <si>
    <t xml:space="preserve">Tổng thu nhập bao gồm chính thức - học việc - thử việc
Total income </t>
  </si>
  <si>
    <t>s147</t>
  </si>
  <si>
    <t>s148</t>
  </si>
  <si>
    <t>s149</t>
  </si>
  <si>
    <t>s187</t>
  </si>
  <si>
    <t>s189</t>
  </si>
  <si>
    <t>s190</t>
  </si>
  <si>
    <t>s191</t>
  </si>
  <si>
    <t>s192</t>
  </si>
  <si>
    <t>s193</t>
  </si>
  <si>
    <t>CD13</t>
  </si>
  <si>
    <t>Phụ cấp thâm niên - Phần mềm</t>
  </si>
  <si>
    <t>Phụ cấp thâm niên nhập</t>
  </si>
  <si>
    <t>Weekly day 200% 
8:00-20h
Chính thức</t>
  </si>
  <si>
    <t>Chính thức - cũ</t>
  </si>
  <si>
    <t>Lương Combo
Chính thức</t>
  </si>
  <si>
    <t>Lương Combo Thử việc</t>
  </si>
  <si>
    <t>CD17</t>
  </si>
  <si>
    <t>Công  ngày 150% - CT cũ</t>
  </si>
  <si>
    <t>Công trừ thứ 7 văn phòng (-150%)-CT cũ</t>
  </si>
  <si>
    <t>cttc_wt3</t>
  </si>
  <si>
    <t>cttc_wt16</t>
  </si>
  <si>
    <t>pttc_PhepHuongLuong</t>
  </si>
  <si>
    <t>Phép hưởng lương - CT cũ</t>
  </si>
  <si>
    <t>pttc_PhepNam</t>
  </si>
  <si>
    <t>Phép năm - CT cũ</t>
  </si>
  <si>
    <t>NgayChuyenLuong</t>
  </si>
  <si>
    <t>Ngày chuyển lương</t>
  </si>
  <si>
    <t>Phụ cấp cơ bản - cũ</t>
  </si>
  <si>
    <t>Life Allowance (Đời sống) cũ</t>
  </si>
  <si>
    <t>Position (Chức vụ) cũ</t>
  </si>
  <si>
    <t>Long service (Thâm niên) cũ</t>
  </si>
  <si>
    <t>Life allowance 2 OT cũ</t>
  </si>
  <si>
    <t>CDDT2</t>
  </si>
  <si>
    <t>CDDT3</t>
  </si>
  <si>
    <t>CDDT5</t>
  </si>
  <si>
    <t>Giờ 100 cũ</t>
  </si>
  <si>
    <t>Gio100CT</t>
  </si>
  <si>
    <t>Gio100CTDT</t>
  </si>
  <si>
    <t>CDDT1</t>
  </si>
  <si>
    <t>Đơn giá lương ngày thường đi làm đầy đủ
CT - cũ</t>
  </si>
  <si>
    <t>Lương thời gian CT - cũ</t>
  </si>
  <si>
    <t>Over Time CT - cũ</t>
  </si>
  <si>
    <t>OT - Sunday - CT cũ</t>
  </si>
  <si>
    <t>OT - Holiday - CT cũ</t>
  </si>
  <si>
    <t>Khuyến khích NSLĐ
CT - cũ</t>
  </si>
  <si>
    <t>Phụ cấp công việc CT - cũ</t>
  </si>
  <si>
    <t>Phụ cấp khác
CT - cũ</t>
  </si>
  <si>
    <t xml:space="preserve">Night time - Normal day </t>
  </si>
  <si>
    <t>cttc_wt2</t>
  </si>
  <si>
    <t>cttc_wt9</t>
  </si>
  <si>
    <t>cttc_wt5</t>
  </si>
  <si>
    <t>cttc_wt10</t>
  </si>
  <si>
    <t>cttc_wt11</t>
  </si>
  <si>
    <t>cttc_wt12</t>
  </si>
  <si>
    <t>cttc_wt6</t>
  </si>
  <si>
    <t>cttc_wt13</t>
  </si>
  <si>
    <t>cttc_wt4</t>
  </si>
  <si>
    <t>cttc_wt15</t>
  </si>
  <si>
    <t>cttc_wt14</t>
  </si>
  <si>
    <t>cttc_wt8</t>
  </si>
  <si>
    <t>cttc_wt7</t>
  </si>
  <si>
    <t>Lương Combo
Chính thức
Cũ</t>
  </si>
  <si>
    <t>CDDT6</t>
  </si>
  <si>
    <t>CDDT7</t>
  </si>
  <si>
    <t>Lương deal
CT - cũ</t>
  </si>
  <si>
    <t>CDDT10</t>
  </si>
  <si>
    <t>NgayKyHDChinhThuc</t>
  </si>
  <si>
    <t>Ngày hết hạn hợp đồng thử việc</t>
  </si>
  <si>
    <t>Công trừ đêm thứ 7 công nhân CT</t>
  </si>
  <si>
    <t>Công trừ đêm thứ 7 công nhân CT cũ</t>
  </si>
  <si>
    <t>Công trừ đêm thứ 7 công nhân HV</t>
  </si>
  <si>
    <t>Công trừ đêm thứ 7 công nhân TV</t>
  </si>
  <si>
    <t>thc_wt17</t>
  </si>
  <si>
    <t>cttc_wt17</t>
  </si>
  <si>
    <t>chv_wt17</t>
  </si>
  <si>
    <t>ctv_wt17</t>
  </si>
  <si>
    <t>s194</t>
  </si>
  <si>
    <t>s195</t>
  </si>
  <si>
    <t>s196</t>
  </si>
  <si>
    <t>s197</t>
  </si>
  <si>
    <t>PhepNamConLaiDenHienTai</t>
  </si>
  <si>
    <t>Phép năm tồn còn lại đến hiện tại</t>
  </si>
  <si>
    <t>s198</t>
  </si>
  <si>
    <t>Tháng 5</t>
  </si>
  <si>
    <t>Covid</t>
  </si>
  <si>
    <t>Nghỉ covid theo công ty</t>
  </si>
  <si>
    <t>Nghỉ covid theo địa phương</t>
  </si>
  <si>
    <t>thp_NghiDichTheoCongTy</t>
  </si>
  <si>
    <t>thp_NghiDichTheoDiaPhuong</t>
  </si>
  <si>
    <t>ptv_NghiDichTheoCongTy</t>
  </si>
  <si>
    <t>ptv_NghiDichTheoDiaPhuong</t>
  </si>
  <si>
    <t>phv_NghiDichTheoCongTy</t>
  </si>
  <si>
    <t>phv_NghiDichTheoDiaPhuong</t>
  </si>
  <si>
    <t>LuongToiThieuVung</t>
  </si>
  <si>
    <t>Lương tối thiểu vùng</t>
  </si>
  <si>
    <t>s200</t>
  </si>
  <si>
    <t>s201</t>
  </si>
  <si>
    <t>Life Allowance</t>
  </si>
  <si>
    <t>Position</t>
  </si>
  <si>
    <t>Long service</t>
  </si>
  <si>
    <t>Giờ công tiêu chuẩn/tháng</t>
  </si>
  <si>
    <t>Total OT</t>
  </si>
  <si>
    <t>Thu nhập tính thuế TNCN</t>
  </si>
  <si>
    <t>Đơn giá lương ngày thường đi làm đầy đủ</t>
  </si>
  <si>
    <t xml:space="preserve">Phép sử dung </t>
  </si>
  <si>
    <t xml:space="preserve">Thu nhập chịu thuế TNCN
</t>
  </si>
  <si>
    <t>Tiền Nữ ngày có kinh nghuyệt năm 2021</t>
  </si>
  <si>
    <t>CDDT17</t>
  </si>
  <si>
    <t>CD19</t>
  </si>
  <si>
    <t>Bonus
Thưởng</t>
  </si>
  <si>
    <t>s199</t>
  </si>
  <si>
    <t>HT11</t>
  </si>
  <si>
    <t>NgayTinhLuongTangCa</t>
  </si>
  <si>
    <t>Ngày tính lương tăng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</si>
</sst>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0"/>
      <color indexed="36"/>
      <name val="Arial"/>
      <family val="2"/>
    </font>
    <font>
      <b/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Font="0">
      <alignment vertical="top"/>
      <protection locked="0"/>
    </xf>
    <xf numFmtId="9" fontId="1" fillId="0" borderId="0" applyFont="0" applyFill="0" applyBorder="0" applyAlignment="0" applyProtection="0"/>
    <xf numFmtId="0" fontId="2" fillId="0" borderId="0"/>
  </cellStyleXfs>
  <cellXfs count="108">
    <xf numFmtId="0" fontId="0" fillId="0" borderId="0" xfId="0"/>
    <xf numFmtId="0" fontId="4" fillId="2" borderId="4" xfId="2" applyNumberFormat="1" applyFont="1" applyFill="1" applyBorder="1" applyAlignment="1" applyProtection="1">
      <alignment horizontal="center" vertical="center" wrapText="1"/>
    </xf>
    <xf numFmtId="0" fontId="4" fillId="2" borderId="2" xfId="2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0" fontId="6" fillId="0" borderId="0" xfId="1" applyNumberFormat="1" applyFont="1" applyBorder="1" applyAlignment="1">
      <alignment vertical="center" wrapText="1"/>
    </xf>
    <xf numFmtId="0" fontId="5" fillId="0" borderId="0" xfId="0" applyNumberFormat="1" applyFont="1" applyAlignment="1">
      <alignment horizontal="center"/>
    </xf>
    <xf numFmtId="0" fontId="6" fillId="0" borderId="0" xfId="1" applyNumberFormat="1" applyFont="1" applyBorder="1" applyAlignment="1">
      <alignment horizontal="center" vertical="center" wrapText="1"/>
    </xf>
    <xf numFmtId="0" fontId="5" fillId="0" borderId="0" xfId="1" applyNumberFormat="1" applyFont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Alignment="1">
      <alignment vertical="center"/>
    </xf>
    <xf numFmtId="0" fontId="5" fillId="0" borderId="0" xfId="1" applyNumberFormat="1" applyFont="1" applyFill="1" applyAlignment="1">
      <alignment vertical="center"/>
    </xf>
    <xf numFmtId="0" fontId="5" fillId="0" borderId="0" xfId="1" applyNumberFormat="1" applyFont="1" applyAlignment="1">
      <alignment horizontal="center" vertical="center"/>
    </xf>
    <xf numFmtId="0" fontId="5" fillId="0" borderId="0" xfId="0" applyNumberFormat="1" applyFont="1"/>
    <xf numFmtId="0" fontId="5" fillId="0" borderId="0" xfId="1" applyNumberFormat="1" applyFont="1" applyBorder="1" applyAlignment="1">
      <alignment horizontal="center" vertical="center" wrapText="1"/>
    </xf>
    <xf numFmtId="0" fontId="6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Alignment="1">
      <alignment vertical="center"/>
    </xf>
    <xf numFmtId="0" fontId="7" fillId="0" borderId="0" xfId="0" applyNumberFormat="1" applyFont="1" applyAlignment="1"/>
    <xf numFmtId="0" fontId="5" fillId="0" borderId="0" xfId="0" applyNumberFormat="1" applyFont="1" applyFill="1" applyBorder="1" applyProtection="1"/>
    <xf numFmtId="0" fontId="5" fillId="0" borderId="0" xfId="1" applyNumberFormat="1" applyFont="1" applyFill="1" applyBorder="1" applyAlignment="1" applyProtection="1">
      <alignment horizontal="center" vertical="center"/>
    </xf>
    <xf numFmtId="0" fontId="5" fillId="0" borderId="0" xfId="1" applyNumberFormat="1" applyFont="1" applyFill="1" applyBorder="1" applyAlignment="1" applyProtection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6" fillId="0" borderId="0" xfId="1" applyNumberFormat="1" applyFont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Protection="1"/>
    <xf numFmtId="0" fontId="5" fillId="0" borderId="0" xfId="1" applyNumberFormat="1" applyFont="1" applyFill="1" applyBorder="1" applyAlignment="1" applyProtection="1">
      <alignment vertical="center"/>
    </xf>
    <xf numFmtId="0" fontId="5" fillId="0" borderId="0" xfId="0" applyNumberFormat="1" applyFont="1" applyAlignment="1"/>
    <xf numFmtId="3" fontId="5" fillId="0" borderId="0" xfId="0" applyNumberFormat="1" applyFont="1" applyAlignment="1"/>
    <xf numFmtId="0" fontId="6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NumberFormat="1" applyFont="1" applyAlignment="1">
      <alignment wrapText="1"/>
    </xf>
    <xf numFmtId="0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0" fontId="4" fillId="2" borderId="8" xfId="2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Alignment="1">
      <alignment horizontal="center" wrapText="1"/>
    </xf>
    <xf numFmtId="0" fontId="7" fillId="0" borderId="0" xfId="0" applyNumberFormat="1" applyFont="1" applyAlignment="1">
      <alignment horizontal="center" vertical="center" wrapText="1"/>
    </xf>
    <xf numFmtId="0" fontId="8" fillId="0" borderId="0" xfId="0" applyNumberFormat="1" applyFont="1" applyAlignment="1">
      <alignment horizontal="center" vertical="center" wrapText="1"/>
    </xf>
    <xf numFmtId="0" fontId="4" fillId="2" borderId="10" xfId="2" applyNumberFormat="1" applyFont="1" applyFill="1" applyBorder="1" applyAlignment="1" applyProtection="1">
      <alignment horizontal="center" vertical="center" wrapText="1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0" borderId="0" xfId="4" applyNumberFormat="1" applyFont="1" applyAlignment="1">
      <alignment horizontal="center" vertical="center" wrapText="1"/>
    </xf>
    <xf numFmtId="0" fontId="5" fillId="0" borderId="0" xfId="0" applyNumberFormat="1" applyFont="1" applyAlignment="1">
      <alignment horizontal="center" wrapText="1"/>
    </xf>
    <xf numFmtId="0" fontId="4" fillId="2" borderId="1" xfId="2" applyNumberFormat="1" applyFont="1" applyFill="1" applyBorder="1" applyAlignment="1" applyProtection="1">
      <alignment horizontal="center" vertical="center"/>
    </xf>
    <xf numFmtId="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/>
    <xf numFmtId="14" fontId="5" fillId="0" borderId="0" xfId="0" applyNumberFormat="1" applyFont="1"/>
    <xf numFmtId="10" fontId="4" fillId="2" borderId="1" xfId="3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1" xfId="0" applyNumberFormat="1" applyFont="1" applyBorder="1"/>
    <xf numFmtId="3" fontId="5" fillId="0" borderId="1" xfId="0" applyNumberFormat="1" applyFont="1" applyBorder="1" applyAlignment="1"/>
    <xf numFmtId="0" fontId="5" fillId="0" borderId="1" xfId="0" applyNumberFormat="1" applyFont="1" applyBorder="1" applyAlignment="1"/>
    <xf numFmtId="164" fontId="5" fillId="0" borderId="1" xfId="0" applyNumberFormat="1" applyFont="1" applyBorder="1" applyAlignment="1"/>
    <xf numFmtId="14" fontId="7" fillId="0" borderId="0" xfId="0" applyNumberFormat="1" applyFont="1"/>
    <xf numFmtId="0" fontId="7" fillId="0" borderId="0" xfId="0" applyFont="1"/>
    <xf numFmtId="3" fontId="5" fillId="0" borderId="0" xfId="0" applyNumberFormat="1" applyFont="1"/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164" fontId="5" fillId="0" borderId="0" xfId="0" applyNumberFormat="1" applyFont="1" applyAlignment="1"/>
    <xf numFmtId="164" fontId="5" fillId="0" borderId="0" xfId="0" applyNumberFormat="1" applyFont="1" applyAlignment="1">
      <alignment horizontal="center"/>
    </xf>
    <xf numFmtId="0" fontId="5" fillId="0" borderId="0" xfId="0" applyFont="1" applyAlignment="1"/>
    <xf numFmtId="0" fontId="4" fillId="2" borderId="5" xfId="2" applyNumberFormat="1" applyFont="1" applyFill="1" applyBorder="1" applyAlignment="1" applyProtection="1">
      <alignment vertical="center" wrapText="1"/>
    </xf>
    <xf numFmtId="0" fontId="4" fillId="2" borderId="13" xfId="2" applyNumberFormat="1" applyFont="1" applyFill="1" applyBorder="1" applyAlignment="1" applyProtection="1">
      <alignment horizontal="center" vertical="center" wrapText="1"/>
    </xf>
    <xf numFmtId="0" fontId="4" fillId="2" borderId="15" xfId="2" applyNumberFormat="1" applyFont="1" applyFill="1" applyBorder="1" applyAlignment="1" applyProtection="1">
      <alignment horizontal="center" vertical="center" wrapText="1"/>
    </xf>
    <xf numFmtId="0" fontId="4" fillId="2" borderId="3" xfId="1" applyNumberFormat="1" applyFont="1" applyFill="1" applyBorder="1" applyAlignment="1" applyProtection="1">
      <alignment horizontal="center" vertical="center" wrapText="1"/>
    </xf>
    <xf numFmtId="3" fontId="5" fillId="0" borderId="3" xfId="0" applyNumberFormat="1" applyFont="1" applyBorder="1" applyAlignment="1"/>
    <xf numFmtId="0" fontId="5" fillId="0" borderId="15" xfId="0" applyNumberFormat="1" applyFont="1" applyBorder="1" applyAlignment="1">
      <alignment horizontal="center"/>
    </xf>
    <xf numFmtId="3" fontId="5" fillId="0" borderId="16" xfId="0" applyNumberFormat="1" applyFont="1" applyBorder="1" applyAlignment="1"/>
    <xf numFmtId="0" fontId="9" fillId="0" borderId="0" xfId="0" applyNumberFormat="1" applyFont="1" applyAlignment="1">
      <alignment horizontal="left" vertical="center"/>
    </xf>
    <xf numFmtId="0" fontId="10" fillId="0" borderId="0" xfId="1" applyNumberFormat="1" applyFont="1" applyAlignment="1">
      <alignment vertical="center"/>
    </xf>
    <xf numFmtId="0" fontId="1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vertical="center" wrapText="1"/>
    </xf>
    <xf numFmtId="0" fontId="2" fillId="0" borderId="0" xfId="0" applyNumberFormat="1" applyFont="1" applyAlignment="1">
      <alignment horizont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10" fillId="0" borderId="0" xfId="1" applyNumberFormat="1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4" fillId="2" borderId="15" xfId="2" applyFont="1" applyFill="1" applyBorder="1" applyAlignment="1" applyProtection="1">
      <alignment horizontal="center" vertical="center"/>
    </xf>
    <xf numFmtId="0" fontId="4" fillId="2" borderId="1" xfId="2" quotePrefix="1" applyFont="1" applyFill="1" applyBorder="1" applyAlignment="1" applyProtection="1">
      <alignment horizontal="center" vertical="center"/>
    </xf>
    <xf numFmtId="165" fontId="4" fillId="2" borderId="1" xfId="2" quotePrefix="1" applyNumberFormat="1" applyFont="1" applyFill="1" applyBorder="1" applyAlignment="1" applyProtection="1">
      <alignment horizontal="center" vertical="center"/>
    </xf>
    <xf numFmtId="9" fontId="4" fillId="2" borderId="1" xfId="2" quotePrefix="1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/>
    </xf>
    <xf numFmtId="0" fontId="11" fillId="2" borderId="1" xfId="2" applyFont="1" applyFill="1" applyBorder="1" applyAlignment="1" applyProtection="1">
      <alignment horizontal="center" vertical="center"/>
    </xf>
    <xf numFmtId="0" fontId="11" fillId="2" borderId="1" xfId="3" applyNumberFormat="1" applyFont="1" applyFill="1" applyBorder="1" applyAlignment="1">
      <alignment horizontal="center" vertical="center"/>
    </xf>
    <xf numFmtId="0" fontId="12" fillId="0" borderId="0" xfId="1" applyNumberFormat="1" applyFont="1" applyAlignment="1">
      <alignment vertical="center"/>
    </xf>
    <xf numFmtId="0" fontId="4" fillId="2" borderId="4" xfId="2" applyNumberFormat="1" applyFont="1" applyFill="1" applyBorder="1" applyAlignment="1" applyProtection="1">
      <alignment horizontal="center" vertic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/>
    </xf>
    <xf numFmtId="0" fontId="4" fillId="2" borderId="4" xfId="2" applyNumberFormat="1" applyFont="1" applyFill="1" applyBorder="1" applyAlignment="1" applyProtection="1">
      <alignment horizontal="center" vertical="center" wrapText="1"/>
    </xf>
    <xf numFmtId="0" fontId="4" fillId="2" borderId="1" xfId="2" applyNumberFormat="1" applyFont="1" applyFill="1" applyBorder="1" applyAlignment="1" applyProtection="1">
      <alignment horizontal="center" vertical="center" wrapText="1"/>
    </xf>
    <xf numFmtId="0" fontId="4" fillId="2" borderId="4" xfId="1" applyNumberFormat="1" applyFont="1" applyFill="1" applyBorder="1" applyAlignment="1" applyProtection="1">
      <alignment horizontal="center" vertical="center" wrapText="1"/>
    </xf>
    <xf numFmtId="0" fontId="4" fillId="2" borderId="17" xfId="2" applyNumberFormat="1" applyFont="1" applyFill="1" applyBorder="1" applyAlignment="1" applyProtection="1">
      <alignment horizontal="center" vertical="center" wrapText="1"/>
    </xf>
    <xf numFmtId="0" fontId="4" fillId="2" borderId="18" xfId="2" applyNumberFormat="1" applyFont="1" applyFill="1" applyBorder="1" applyAlignment="1" applyProtection="1">
      <alignment horizontal="center" vertical="center" wrapText="1"/>
    </xf>
    <xf numFmtId="0" fontId="4" fillId="2" borderId="14" xfId="2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0" fontId="6" fillId="2" borderId="6" xfId="4" applyNumberFormat="1" applyFont="1" applyFill="1" applyBorder="1" applyAlignment="1">
      <alignment horizontal="center" wrapText="1"/>
    </xf>
    <xf numFmtId="0" fontId="6" fillId="2" borderId="7" xfId="4" applyNumberFormat="1" applyFont="1" applyFill="1" applyBorder="1" applyAlignment="1">
      <alignment horizontal="center" wrapText="1"/>
    </xf>
    <xf numFmtId="0" fontId="6" fillId="2" borderId="5" xfId="4" applyNumberFormat="1" applyFont="1" applyFill="1" applyBorder="1" applyAlignment="1">
      <alignment horizontal="center" wrapText="1"/>
    </xf>
    <xf numFmtId="0" fontId="4" fillId="2" borderId="1" xfId="1" applyNumberFormat="1" applyFont="1" applyFill="1" applyBorder="1" applyAlignment="1" applyProtection="1">
      <alignment horizontal="center" vertical="center" wrapText="1"/>
    </xf>
    <xf numFmtId="0" fontId="4" fillId="2" borderId="16" xfId="2" applyNumberFormat="1" applyFont="1" applyFill="1" applyBorder="1" applyAlignment="1" applyProtection="1">
      <alignment horizontal="center" vertical="center" wrapText="1"/>
    </xf>
    <xf numFmtId="0" fontId="4" fillId="2" borderId="12" xfId="2" applyNumberFormat="1" applyFont="1" applyFill="1" applyBorder="1" applyAlignment="1" applyProtection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4" fillId="2" borderId="6" xfId="2" applyNumberFormat="1" applyFont="1" applyFill="1" applyBorder="1" applyAlignment="1" applyProtection="1">
      <alignment horizontal="center" vertical="center" wrapText="1"/>
    </xf>
    <xf numFmtId="0" fontId="4" fillId="2" borderId="7" xfId="2" applyNumberFormat="1" applyFont="1" applyFill="1" applyBorder="1" applyAlignment="1" applyProtection="1">
      <alignment horizontal="center" vertical="center" wrapText="1"/>
    </xf>
    <xf numFmtId="0" fontId="4" fillId="2" borderId="5" xfId="2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2" borderId="9" xfId="2" applyNumberFormat="1" applyFont="1" applyFill="1" applyBorder="1" applyAlignment="1" applyProtection="1">
      <alignment horizontal="center" vertical="center" wrapText="1"/>
    </xf>
    <xf numFmtId="0" fontId="4" fillId="2" borderId="3" xfId="2" applyNumberFormat="1" applyFont="1" applyFill="1" applyBorder="1" applyAlignment="1" applyProtection="1">
      <alignment horizontal="center" vertical="center" wrapText="1"/>
    </xf>
  </cellXfs>
  <cellStyles count="5">
    <cellStyle name="Comma" xfId="1" builtinId="3"/>
    <cellStyle name="Followed Hyperlink" xfId="2" builtinId="9"/>
    <cellStyle name="Normal" xfId="0" builtinId="0"/>
    <cellStyle name="Normal 3" xfId="4" xr:uid="{00000000-0005-0000-0000-000003000000}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2B2B2"/>
      <color rgb="FFEAEAEA"/>
      <color rgb="FFC0C0C0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322034</xdr:colOff>
      <xdr:row>0</xdr:row>
      <xdr:rowOff>108856</xdr:rowOff>
    </xdr:from>
    <xdr:to>
      <xdr:col>4</xdr:col>
      <xdr:colOff>571499</xdr:colOff>
      <xdr:row>2</xdr:row>
      <xdr:rowOff>146217</xdr:rowOff>
    </xdr:to>
    <xdr:pic>
      <xdr:nvPicPr>
        <xdr:cNvPr id="3" name="Picture 2" descr="C:\Users\admin\AppData\Local\ZaloPC\1575417454408407730\ZaloDownloads\picture\3250383014799336564\z2538376182934_b07c634b6067987fea370405dbc9685b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034" y="108856"/>
          <a:ext cx="1233715" cy="735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59</xdr:col>
      <xdr:colOff>147409</xdr:colOff>
      <xdr:row>0</xdr:row>
      <xdr:rowOff>108857</xdr:rowOff>
    </xdr:from>
    <xdr:ext cx="1344841" cy="805441"/>
    <xdr:pic>
      <xdr:nvPicPr>
        <xdr:cNvPr id="4" name="Picture 3" descr="C:\Users\admin\AppData\Local\ZaloPC\1575417454408407730\ZaloDownloads\picture\3250383014799336564\z2538376182934_b07c634b6067987fea370405dbc9685b.jpg">
          <a:extLst>
            <a:ext uri="{FF2B5EF4-FFF2-40B4-BE49-F238E27FC236}">
              <a16:creationId xmlns:a16="http://schemas.microsoft.com/office/drawing/2014/main" id="{29DF0ACB-C067-42B5-969A-1AD951C9D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40784" y="108857"/>
          <a:ext cx="1344841" cy="805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20"/>
  <sheetViews>
    <sheetView showZeros="0" tabSelected="1" topLeftCell="B1" zoomScale="85" zoomScaleNormal="85" workbookViewId="0">
      <selection activeCell="Q13" sqref="Q13"/>
    </sheetView>
  </sheetViews>
  <sheetFormatPr defaultRowHeight="11.25" x14ac:dyDescent="0.2"/>
  <cols>
    <col min="1" max="1" width="9.140625" style="3" hidden="1" customWidth="1"/>
    <col min="2" max="2" width="5.140625" style="56" customWidth="1"/>
    <col min="3" max="3" width="3.42578125" style="56" customWidth="1"/>
    <col min="4" max="4" width="6.28515625" style="56" customWidth="1"/>
    <col min="5" max="5" width="15.28515625" style="3" customWidth="1"/>
    <col min="6" max="6" width="4" style="56" customWidth="1"/>
    <col min="7" max="7" width="3" style="56" customWidth="1"/>
    <col min="8" max="8" width="14" style="57" customWidth="1"/>
    <col min="9" max="9" width="9.42578125" style="26" customWidth="1"/>
    <col min="10" max="10" width="8.5703125" style="26" customWidth="1"/>
    <col min="11" max="13" width="8.42578125" style="26" customWidth="1"/>
    <col min="14" max="15" width="3.5703125" style="58" customWidth="1"/>
    <col min="16" max="16" width="7.42578125" style="58" customWidth="1"/>
    <col min="17" max="18" width="9.5703125" style="26" customWidth="1"/>
    <col min="19" max="19" width="3" style="58" customWidth="1"/>
    <col min="20" max="20" width="9.42578125" style="26" customWidth="1"/>
    <col min="21" max="21" width="3" style="25" customWidth="1"/>
    <col min="22" max="22" width="9" style="26" customWidth="1"/>
    <col min="23" max="23" width="9.42578125" style="26" customWidth="1"/>
    <col min="24" max="24" width="4.28515625" style="60" hidden="1" customWidth="1"/>
    <col min="25" max="25" width="9.140625" style="26" customWidth="1"/>
    <col min="26" max="26" width="9" style="26" customWidth="1"/>
    <col min="27" max="28" width="7.85546875" style="26" customWidth="1"/>
    <col min="29" max="29" width="9.85546875" style="26" customWidth="1"/>
    <col min="30" max="30" width="15.42578125" style="26" hidden="1" customWidth="1"/>
    <col min="31" max="31" width="10.140625" style="26" hidden="1" customWidth="1"/>
    <col min="32" max="34" width="10.28515625" style="26" hidden="1" customWidth="1"/>
    <col min="35" max="35" width="9.28515625" style="26" customWidth="1"/>
    <col min="36" max="36" width="7.85546875" style="26" customWidth="1"/>
    <col min="37" max="49" width="9" style="26" customWidth="1"/>
    <col min="50" max="50" width="9.85546875" style="26" customWidth="1"/>
    <col min="51" max="56" width="15.7109375" style="26" hidden="1" customWidth="1"/>
    <col min="57" max="57" width="17.42578125" style="3" hidden="1" customWidth="1"/>
    <col min="58" max="58" width="17.42578125" style="3" customWidth="1"/>
    <col min="59" max="59" width="5.140625" style="56" customWidth="1"/>
    <col min="60" max="60" width="3.42578125" style="56" customWidth="1"/>
    <col min="61" max="61" width="6.28515625" style="56" customWidth="1"/>
    <col min="62" max="62" width="15.28515625" style="3" customWidth="1"/>
    <col min="63" max="63" width="9.5703125" style="26" customWidth="1"/>
    <col min="64" max="64" width="4.140625" style="58" customWidth="1"/>
    <col min="65" max="65" width="6.5703125" style="59" hidden="1" customWidth="1"/>
    <col min="66" max="66" width="6.5703125" style="59" customWidth="1"/>
    <col min="67" max="67" width="9.5703125" style="26" customWidth="1"/>
    <col min="68" max="68" width="6.5703125" style="59" hidden="1" customWidth="1"/>
    <col min="69" max="69" width="6.5703125" style="59" customWidth="1"/>
    <col min="70" max="70" width="9.5703125" style="26" customWidth="1"/>
    <col min="71" max="71" width="6.5703125" style="59" hidden="1" customWidth="1"/>
    <col min="72" max="72" width="6.5703125" style="59" customWidth="1"/>
    <col min="73" max="73" width="11.140625" style="26" customWidth="1"/>
    <col min="74" max="74" width="6.5703125" style="59" hidden="1" customWidth="1"/>
    <col min="75" max="75" width="6.5703125" style="59" customWidth="1"/>
    <col min="76" max="76" width="10.140625" style="26" customWidth="1"/>
    <col min="77" max="77" width="6.7109375" style="59" customWidth="1"/>
    <col min="78" max="78" width="10" style="26" customWidth="1"/>
    <col min="79" max="79" width="6.7109375" style="59" hidden="1" customWidth="1"/>
    <col min="80" max="80" width="6.7109375" style="59" customWidth="1"/>
    <col min="81" max="81" width="11" style="26" customWidth="1"/>
    <col min="82" max="82" width="6.7109375" style="59" hidden="1" customWidth="1"/>
    <col min="83" max="83" width="6.7109375" style="59" customWidth="1"/>
    <col min="84" max="84" width="11" style="26" customWidth="1"/>
    <col min="85" max="85" width="6.7109375" style="59" hidden="1" customWidth="1"/>
    <col min="86" max="86" width="6.7109375" style="59" customWidth="1"/>
    <col min="87" max="87" width="11" style="26" customWidth="1"/>
    <col min="88" max="88" width="6.7109375" style="59" hidden="1" customWidth="1"/>
    <col min="89" max="89" width="6.7109375" style="59" customWidth="1"/>
    <col min="90" max="90" width="11" style="26" customWidth="1"/>
    <col min="91" max="91" width="6.7109375" style="59" hidden="1" customWidth="1"/>
    <col min="92" max="92" width="6.7109375" style="59" customWidth="1"/>
    <col min="93" max="93" width="11" style="26" customWidth="1"/>
    <col min="94" max="94" width="6.7109375" style="59" hidden="1" customWidth="1"/>
    <col min="95" max="95" width="6.7109375" style="59" customWidth="1"/>
    <col min="96" max="96" width="11" style="26" customWidth="1"/>
    <col min="97" max="97" width="6.7109375" style="59" hidden="1" customWidth="1"/>
    <col min="98" max="98" width="6.7109375" style="59" customWidth="1"/>
    <col min="99" max="99" width="11.42578125" style="26" customWidth="1"/>
    <col min="100" max="100" width="6.7109375" style="59" hidden="1" customWidth="1"/>
    <col min="101" max="101" width="6.7109375" style="59" customWidth="1"/>
    <col min="102" max="102" width="11" style="26" customWidth="1"/>
    <col min="103" max="103" width="6.7109375" style="59" hidden="1" customWidth="1"/>
    <col min="104" max="104" width="6.7109375" style="59" customWidth="1"/>
    <col min="105" max="105" width="11" style="26" customWidth="1"/>
    <col min="106" max="106" width="11.85546875" style="3" hidden="1" customWidth="1"/>
    <col min="107" max="114" width="10.42578125" style="3" hidden="1" customWidth="1"/>
    <col min="115" max="116" width="17.42578125" style="3" hidden="1" customWidth="1"/>
    <col min="117" max="117" width="17.85546875" style="3" hidden="1" customWidth="1"/>
    <col min="118" max="118" width="13" style="3" hidden="1" customWidth="1"/>
    <col min="119" max="120" width="9.140625" style="3" hidden="1" customWidth="1"/>
    <col min="121" max="121" width="13" style="3" hidden="1" customWidth="1"/>
    <col min="122" max="124" width="9.140625" style="3" hidden="1" customWidth="1"/>
    <col min="125" max="126" width="11.7109375" style="3" hidden="1" customWidth="1"/>
    <col min="127" max="129" width="9.140625" style="3" hidden="1" customWidth="1"/>
    <col min="130" max="132" width="21.42578125" style="3" hidden="1" customWidth="1"/>
    <col min="133" max="133" width="21.5703125" style="3" hidden="1" customWidth="1"/>
    <col min="134" max="136" width="14.140625" style="3" hidden="1" customWidth="1"/>
    <col min="137" max="140" width="9.140625" style="3" hidden="1" customWidth="1"/>
    <col min="141" max="141" width="10" style="3" hidden="1" customWidth="1"/>
    <col min="142" max="142" width="9.140625" style="3" hidden="1" customWidth="1"/>
    <col min="143" max="145" width="10.5703125" style="3" hidden="1" customWidth="1"/>
    <col min="146" max="146" width="10.42578125" style="3" hidden="1" customWidth="1"/>
    <col min="147" max="155" width="9.140625" style="3" hidden="1" customWidth="1"/>
    <col min="156" max="161" width="10.140625" style="46" hidden="1" customWidth="1"/>
    <col min="162" max="163" width="10.140625" style="3" hidden="1" customWidth="1"/>
    <col min="164" max="175" width="9.140625" style="3" hidden="1" customWidth="1"/>
    <col min="176" max="176" width="12.140625" style="3" hidden="1" customWidth="1"/>
    <col min="177" max="182" width="9.140625" style="3" hidden="1" customWidth="1"/>
    <col min="183" max="183" width="9.42578125" style="3" hidden="1" customWidth="1"/>
    <col min="184" max="212" width="9.140625" style="3" hidden="1" customWidth="1"/>
    <col min="213" max="213" width="11.5703125" style="3" hidden="1" customWidth="1"/>
    <col min="214" max="216" width="9.140625" style="3" hidden="1" customWidth="1"/>
    <col min="217" max="16384" width="9.140625" style="3"/>
  </cols>
  <sheetData>
    <row r="1" spans="1:217" ht="30" customHeight="1" x14ac:dyDescent="0.25">
      <c r="A1" s="3">
        <v>1</v>
      </c>
      <c r="B1" s="4"/>
      <c r="C1" s="5"/>
      <c r="E1" s="4"/>
      <c r="F1" s="70" t="s">
        <v>241</v>
      </c>
      <c r="G1" s="4"/>
      <c r="I1" s="4"/>
      <c r="J1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7"/>
      <c r="Z1" s="7"/>
      <c r="AA1" s="7"/>
      <c r="AB1" s="4"/>
      <c r="AC1" s="4"/>
      <c r="AD1" s="4"/>
      <c r="AE1" s="7"/>
      <c r="AF1" s="4"/>
      <c r="AG1" s="4"/>
      <c r="AH1" s="4"/>
      <c r="AI1" s="4"/>
      <c r="AJ1" s="4"/>
      <c r="AK1" s="8"/>
      <c r="AL1" s="8"/>
      <c r="AM1" s="7"/>
      <c r="AN1" s="9"/>
      <c r="AO1" s="4"/>
      <c r="AP1" s="10"/>
      <c r="AQ1" s="9"/>
      <c r="AR1" s="9"/>
      <c r="AS1" s="9"/>
      <c r="AT1" s="9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1"/>
      <c r="BF1" s="11"/>
      <c r="BG1" s="71"/>
      <c r="BH1" s="72"/>
      <c r="BJ1" s="4"/>
      <c r="BK1" s="4"/>
      <c r="BL1" s="70" t="s">
        <v>241</v>
      </c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6"/>
      <c r="CQ1" s="6"/>
      <c r="CR1" s="4"/>
      <c r="CS1" s="6"/>
      <c r="CT1" s="6"/>
      <c r="CU1" s="4"/>
      <c r="CV1" s="6"/>
      <c r="CW1" s="6"/>
      <c r="CX1" s="4"/>
      <c r="CY1" s="6"/>
      <c r="CZ1" s="6"/>
      <c r="DA1" s="4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2"/>
      <c r="DP1" s="12"/>
      <c r="DQ1" s="11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Z1" s="12"/>
      <c r="FA1" s="12"/>
      <c r="FB1" s="12"/>
      <c r="FC1" s="12"/>
      <c r="FD1" s="12"/>
      <c r="FE1" s="12"/>
      <c r="FF1" s="12"/>
    </row>
    <row r="2" spans="1:217" ht="24.75" customHeight="1" x14ac:dyDescent="0.2">
      <c r="A2" s="3">
        <v>2</v>
      </c>
      <c r="B2" s="4"/>
      <c r="C2" s="4"/>
      <c r="E2" s="4"/>
      <c r="F2" s="68" t="s">
        <v>242</v>
      </c>
      <c r="G2" s="4"/>
      <c r="I2" s="4"/>
      <c r="J2" s="4"/>
      <c r="K2" s="4"/>
      <c r="L2" s="4"/>
      <c r="M2" s="4"/>
      <c r="N2" s="4"/>
      <c r="O2" s="4"/>
      <c r="P2" s="4"/>
      <c r="Q2" s="4"/>
      <c r="R2" s="4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4"/>
      <c r="AG2" s="4"/>
      <c r="AH2" s="4"/>
      <c r="AI2" s="7"/>
      <c r="AJ2" s="7"/>
      <c r="AK2" s="14"/>
      <c r="AL2" s="14"/>
      <c r="AM2" s="7"/>
      <c r="AN2" s="7"/>
      <c r="AO2" s="7"/>
      <c r="AP2" s="14"/>
      <c r="AQ2" s="7"/>
      <c r="AR2" s="9"/>
      <c r="AS2" s="9"/>
      <c r="AT2" s="9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1"/>
      <c r="BF2" s="11"/>
      <c r="BG2" s="71"/>
      <c r="BH2" s="71"/>
      <c r="BJ2" s="4"/>
      <c r="BK2" s="4"/>
      <c r="BL2" s="68" t="s">
        <v>242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7"/>
      <c r="CP2" s="13"/>
      <c r="CQ2" s="13"/>
      <c r="CR2" s="7"/>
      <c r="CS2" s="13"/>
      <c r="CT2" s="13"/>
      <c r="CU2" s="7"/>
      <c r="CV2" s="13"/>
      <c r="CW2" s="13"/>
      <c r="CX2" s="7"/>
      <c r="CY2" s="13"/>
      <c r="CZ2" s="13"/>
      <c r="DA2" s="7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2"/>
      <c r="DP2" s="12"/>
      <c r="DQ2" s="11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Z2" s="12"/>
      <c r="FA2" s="12"/>
      <c r="FB2" s="12"/>
      <c r="FC2" s="12"/>
      <c r="FD2" s="12"/>
      <c r="FE2" s="12"/>
      <c r="FF2" s="12"/>
    </row>
    <row r="3" spans="1:217" ht="14.25" x14ac:dyDescent="0.2">
      <c r="A3" s="3">
        <v>3</v>
      </c>
      <c r="B3" s="15"/>
      <c r="C3" s="15"/>
      <c r="D3" s="15"/>
      <c r="E3" s="15"/>
      <c r="F3" s="11"/>
      <c r="G3" s="11"/>
      <c r="H3" s="11"/>
      <c r="I3" s="16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10"/>
      <c r="AQ3" s="9"/>
      <c r="AR3" s="9"/>
      <c r="AS3" s="9"/>
      <c r="AT3" s="9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1"/>
      <c r="BF3" s="11"/>
      <c r="BG3" s="69"/>
      <c r="BH3" s="69"/>
      <c r="BI3" s="69"/>
      <c r="BJ3" s="15"/>
      <c r="BK3" s="9"/>
      <c r="BL3" s="9"/>
      <c r="BM3" s="11"/>
      <c r="BN3" s="11"/>
      <c r="BO3" s="9"/>
      <c r="BP3" s="11"/>
      <c r="BQ3" s="11"/>
      <c r="BR3" s="9"/>
      <c r="BS3" s="11"/>
      <c r="BT3" s="11"/>
      <c r="BU3" s="9"/>
      <c r="BV3" s="11"/>
      <c r="BW3" s="11"/>
      <c r="BX3" s="9"/>
      <c r="BY3" s="11"/>
      <c r="BZ3" s="9"/>
      <c r="CA3" s="11"/>
      <c r="CB3" s="11"/>
      <c r="CC3" s="9"/>
      <c r="CD3" s="11"/>
      <c r="CE3" s="11"/>
      <c r="CF3" s="9"/>
      <c r="CG3" s="11"/>
      <c r="CH3" s="11"/>
      <c r="CI3" s="9"/>
      <c r="CJ3" s="11"/>
      <c r="CK3" s="11"/>
      <c r="CL3" s="9"/>
      <c r="CM3" s="11"/>
      <c r="CN3" s="11"/>
      <c r="CO3" s="9"/>
      <c r="CP3" s="11"/>
      <c r="CQ3" s="11"/>
      <c r="CR3" s="9"/>
      <c r="CS3" s="11"/>
      <c r="CT3" s="11"/>
      <c r="CU3" s="9"/>
      <c r="CV3" s="11"/>
      <c r="CW3" s="11"/>
      <c r="CX3" s="9"/>
      <c r="CY3" s="11"/>
      <c r="CZ3" s="11"/>
      <c r="DA3" s="9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2"/>
      <c r="DP3" s="12"/>
      <c r="DQ3" s="11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Z3" s="12"/>
      <c r="FA3" s="12"/>
      <c r="FB3" s="12"/>
      <c r="FC3" s="12"/>
      <c r="FD3" s="12"/>
      <c r="FE3" s="12"/>
      <c r="FF3" s="12"/>
    </row>
    <row r="4" spans="1:217" s="17" customFormat="1" ht="15" hidden="1" x14ac:dyDescent="0.25">
      <c r="A4" s="17">
        <v>4</v>
      </c>
      <c r="B4" s="18" t="s">
        <v>197</v>
      </c>
      <c r="C4" s="5" t="s">
        <v>1</v>
      </c>
      <c r="D4" s="18" t="s">
        <v>2</v>
      </c>
      <c r="E4" s="19" t="s">
        <v>3</v>
      </c>
      <c r="F4" s="18" t="s">
        <v>67</v>
      </c>
      <c r="H4" s="18" t="s">
        <v>79</v>
      </c>
      <c r="I4" s="18" t="s">
        <v>11</v>
      </c>
      <c r="J4" s="18" t="s">
        <v>12</v>
      </c>
      <c r="K4" s="18" t="s">
        <v>13</v>
      </c>
      <c r="L4" s="18" t="s">
        <v>14</v>
      </c>
      <c r="M4" s="18" t="s">
        <v>15</v>
      </c>
      <c r="N4" s="18" t="s">
        <v>16</v>
      </c>
      <c r="O4" s="18" t="s">
        <v>17</v>
      </c>
      <c r="P4" s="18" t="s">
        <v>18</v>
      </c>
      <c r="Q4" s="18" t="s">
        <v>19</v>
      </c>
      <c r="R4" s="18"/>
      <c r="S4" s="18" t="s">
        <v>152</v>
      </c>
      <c r="T4" s="18" t="s">
        <v>353</v>
      </c>
      <c r="U4" s="18" t="s">
        <v>153</v>
      </c>
      <c r="V4" s="18" t="s">
        <v>154</v>
      </c>
      <c r="W4" s="18" t="s">
        <v>155</v>
      </c>
      <c r="X4" s="18"/>
      <c r="Y4" s="18" t="s">
        <v>156</v>
      </c>
      <c r="Z4" s="18" t="s">
        <v>157</v>
      </c>
      <c r="AA4" s="18"/>
      <c r="AB4" s="18" t="s">
        <v>158</v>
      </c>
      <c r="AC4" s="18" t="s">
        <v>159</v>
      </c>
      <c r="AD4" s="18" t="s">
        <v>160</v>
      </c>
      <c r="AE4" s="18" t="s">
        <v>161</v>
      </c>
      <c r="AF4" s="18" t="s">
        <v>162</v>
      </c>
      <c r="AG4" s="18" t="s">
        <v>163</v>
      </c>
      <c r="AH4" s="18" t="s">
        <v>164</v>
      </c>
      <c r="AI4" s="18" t="s">
        <v>165</v>
      </c>
      <c r="AJ4" s="18" t="s">
        <v>166</v>
      </c>
      <c r="AK4" s="18" t="s">
        <v>167</v>
      </c>
      <c r="AL4" s="18" t="s">
        <v>260</v>
      </c>
      <c r="AM4" s="18" t="s">
        <v>168</v>
      </c>
      <c r="AN4" s="18" t="s">
        <v>169</v>
      </c>
      <c r="AO4" s="18" t="s">
        <v>170</v>
      </c>
      <c r="AP4" s="18" t="s">
        <v>171</v>
      </c>
      <c r="AQ4" s="18" t="s">
        <v>172</v>
      </c>
      <c r="AR4" s="18" t="s">
        <v>173</v>
      </c>
      <c r="AS4" s="18" t="s">
        <v>174</v>
      </c>
      <c r="AT4" s="18" t="s">
        <v>175</v>
      </c>
      <c r="AU4" s="18" t="s">
        <v>176</v>
      </c>
      <c r="AV4" s="18" t="s">
        <v>177</v>
      </c>
      <c r="AW4" s="18" t="s">
        <v>178</v>
      </c>
      <c r="AX4" s="18" t="s">
        <v>179</v>
      </c>
      <c r="AY4" s="18"/>
      <c r="AZ4" s="18" t="s">
        <v>180</v>
      </c>
      <c r="BA4" s="18" t="s">
        <v>181</v>
      </c>
      <c r="BB4" s="18" t="s">
        <v>182</v>
      </c>
      <c r="BC4" s="18" t="s">
        <v>183</v>
      </c>
      <c r="BD4" s="18" t="s">
        <v>184</v>
      </c>
      <c r="BE4" s="18"/>
      <c r="BF4" s="18"/>
      <c r="BG4" s="73" t="s">
        <v>197</v>
      </c>
      <c r="BH4" s="72" t="s">
        <v>1</v>
      </c>
      <c r="BI4" s="73" t="s">
        <v>2</v>
      </c>
      <c r="BJ4" s="19" t="s">
        <v>3</v>
      </c>
      <c r="BK4" s="18" t="s">
        <v>19</v>
      </c>
      <c r="BL4" s="18" t="s">
        <v>352</v>
      </c>
      <c r="BN4" s="18" t="s">
        <v>20</v>
      </c>
      <c r="BO4" s="18" t="s">
        <v>21</v>
      </c>
      <c r="BQ4" s="18" t="s">
        <v>22</v>
      </c>
      <c r="BR4" s="18" t="s">
        <v>23</v>
      </c>
      <c r="BT4" s="18" t="s">
        <v>24</v>
      </c>
      <c r="BU4" s="18" t="s">
        <v>25</v>
      </c>
      <c r="BW4" s="18" t="s">
        <v>26</v>
      </c>
      <c r="BX4" s="18" t="s">
        <v>27</v>
      </c>
      <c r="BY4" s="18" t="s">
        <v>28</v>
      </c>
      <c r="BZ4" s="18" t="s">
        <v>29</v>
      </c>
      <c r="CB4" s="18" t="s">
        <v>30</v>
      </c>
      <c r="CC4" s="18" t="s">
        <v>31</v>
      </c>
      <c r="CE4" s="18" t="s">
        <v>32</v>
      </c>
      <c r="CF4" s="18" t="s">
        <v>33</v>
      </c>
      <c r="CH4" s="18" t="s">
        <v>34</v>
      </c>
      <c r="CI4" s="18" t="s">
        <v>35</v>
      </c>
      <c r="CK4" s="18" t="s">
        <v>36</v>
      </c>
      <c r="CL4" s="18" t="s">
        <v>37</v>
      </c>
      <c r="CN4" s="18" t="s">
        <v>38</v>
      </c>
      <c r="CO4" s="18" t="s">
        <v>39</v>
      </c>
      <c r="CQ4" s="18" t="s">
        <v>40</v>
      </c>
      <c r="CR4" s="18" t="s">
        <v>41</v>
      </c>
      <c r="CT4" s="18" t="s">
        <v>42</v>
      </c>
      <c r="CU4" s="18" t="s">
        <v>43</v>
      </c>
      <c r="CW4" s="18" t="s">
        <v>148</v>
      </c>
      <c r="CX4" s="18" t="s">
        <v>149</v>
      </c>
      <c r="CZ4" s="18" t="s">
        <v>150</v>
      </c>
      <c r="DA4" s="18" t="s">
        <v>151</v>
      </c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 t="s">
        <v>339</v>
      </c>
      <c r="DM4" s="18" t="s">
        <v>186</v>
      </c>
      <c r="DN4" s="18" t="s">
        <v>187</v>
      </c>
      <c r="DO4" s="18" t="s">
        <v>188</v>
      </c>
      <c r="DP4" s="18"/>
      <c r="DQ4" s="18"/>
      <c r="DR4" s="18"/>
      <c r="DS4" s="18"/>
      <c r="DT4" s="18" t="s">
        <v>261</v>
      </c>
      <c r="DU4" s="18" t="s">
        <v>262</v>
      </c>
      <c r="DV4" s="18"/>
      <c r="DW4" s="18" t="s">
        <v>189</v>
      </c>
      <c r="DX4" s="18" t="s">
        <v>190</v>
      </c>
      <c r="DY4" s="18"/>
      <c r="DZ4" s="18" t="s">
        <v>191</v>
      </c>
      <c r="EA4" s="18"/>
      <c r="EB4" s="18" t="s">
        <v>185</v>
      </c>
      <c r="EC4" s="18" t="s">
        <v>192</v>
      </c>
      <c r="ED4" s="18" t="s">
        <v>193</v>
      </c>
      <c r="EE4" s="18"/>
      <c r="EF4" s="18" t="s">
        <v>263</v>
      </c>
      <c r="EG4" s="18" t="s">
        <v>194</v>
      </c>
      <c r="EH4" s="18" t="s">
        <v>228</v>
      </c>
      <c r="EI4" s="17" t="s">
        <v>122</v>
      </c>
      <c r="EJ4" s="17" t="s">
        <v>123</v>
      </c>
      <c r="EK4" s="18" t="s">
        <v>206</v>
      </c>
      <c r="EL4" s="18" t="s">
        <v>207</v>
      </c>
      <c r="EM4" s="18"/>
      <c r="EN4" s="18"/>
      <c r="EO4" s="18"/>
      <c r="EP4" s="18" t="s">
        <v>208</v>
      </c>
      <c r="EQ4" s="18" t="s">
        <v>209</v>
      </c>
      <c r="ER4" s="18" t="s">
        <v>210</v>
      </c>
      <c r="ES4" s="18" t="s">
        <v>211</v>
      </c>
      <c r="ET4" s="18" t="s">
        <v>212</v>
      </c>
      <c r="EU4" s="18" t="s">
        <v>264</v>
      </c>
      <c r="EV4" s="18"/>
      <c r="EW4" s="18" t="s">
        <v>265</v>
      </c>
      <c r="EX4" s="18" t="s">
        <v>226</v>
      </c>
      <c r="EY4" s="18" t="s">
        <v>227</v>
      </c>
      <c r="EZ4" s="18"/>
      <c r="FA4" s="18"/>
      <c r="FB4" s="18"/>
      <c r="FC4" s="18"/>
      <c r="FD4" s="18"/>
      <c r="FE4" s="18"/>
      <c r="FF4" s="18"/>
      <c r="FG4" s="18"/>
      <c r="FH4" s="18" t="s">
        <v>233</v>
      </c>
      <c r="FI4" s="18" t="s">
        <v>234</v>
      </c>
      <c r="FJ4" s="18" t="s">
        <v>235</v>
      </c>
      <c r="FK4" s="18" t="s">
        <v>236</v>
      </c>
      <c r="FL4" s="18" t="s">
        <v>237</v>
      </c>
      <c r="FM4" s="18" t="s">
        <v>238</v>
      </c>
      <c r="FN4" s="18" t="s">
        <v>257</v>
      </c>
      <c r="FO4" s="18" t="s">
        <v>258</v>
      </c>
      <c r="FP4" s="18" t="s">
        <v>259</v>
      </c>
      <c r="FQ4" s="18" t="s">
        <v>333</v>
      </c>
      <c r="FR4" s="18" t="s">
        <v>334</v>
      </c>
      <c r="FS4" s="18" t="s">
        <v>335</v>
      </c>
      <c r="GB4" s="17" t="s">
        <v>336</v>
      </c>
    </row>
    <row r="5" spans="1:217" ht="14.25" hidden="1" x14ac:dyDescent="0.2">
      <c r="A5" s="3">
        <v>5</v>
      </c>
      <c r="B5" s="20" t="s">
        <v>199</v>
      </c>
      <c r="C5" s="20"/>
      <c r="D5" s="20">
        <v>2</v>
      </c>
      <c r="E5" s="21">
        <v>2</v>
      </c>
      <c r="F5" s="11">
        <v>2</v>
      </c>
      <c r="G5" s="11"/>
      <c r="H5" s="11">
        <v>2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/>
      <c r="O5" s="9"/>
      <c r="P5" s="9"/>
      <c r="Q5" s="20"/>
      <c r="R5" s="27"/>
      <c r="S5" s="11">
        <v>1</v>
      </c>
      <c r="T5" s="11">
        <v>1</v>
      </c>
      <c r="U5" s="9">
        <v>1</v>
      </c>
      <c r="V5" s="11">
        <v>1</v>
      </c>
      <c r="W5" s="11">
        <v>1</v>
      </c>
      <c r="X5" s="11">
        <v>1</v>
      </c>
      <c r="Y5" s="11">
        <v>1</v>
      </c>
      <c r="Z5" s="11">
        <v>1</v>
      </c>
      <c r="AA5" s="11"/>
      <c r="AB5" s="11">
        <v>1</v>
      </c>
      <c r="AC5" s="9">
        <v>1</v>
      </c>
      <c r="AD5" s="9">
        <v>1</v>
      </c>
      <c r="AE5" s="11">
        <v>1</v>
      </c>
      <c r="AF5" s="11">
        <v>1</v>
      </c>
      <c r="AG5" s="9">
        <v>1</v>
      </c>
      <c r="AH5" s="11">
        <v>1</v>
      </c>
      <c r="AI5" s="11">
        <v>1</v>
      </c>
      <c r="AJ5" s="9">
        <v>1</v>
      </c>
      <c r="AK5" s="11">
        <v>1</v>
      </c>
      <c r="AL5" s="11">
        <v>1</v>
      </c>
      <c r="AM5" s="11">
        <v>1</v>
      </c>
      <c r="AN5" s="9">
        <v>1</v>
      </c>
      <c r="AO5" s="11">
        <v>1</v>
      </c>
      <c r="AP5" s="11">
        <v>1</v>
      </c>
      <c r="AQ5" s="9">
        <v>1</v>
      </c>
      <c r="AR5" s="11">
        <v>1</v>
      </c>
      <c r="AS5" s="11">
        <v>1</v>
      </c>
      <c r="AT5" s="11">
        <v>1</v>
      </c>
      <c r="AU5" s="9">
        <v>1</v>
      </c>
      <c r="AV5" s="11">
        <v>1</v>
      </c>
      <c r="AW5" s="11">
        <v>1</v>
      </c>
      <c r="AX5" s="9">
        <v>1</v>
      </c>
      <c r="AY5" s="11">
        <v>1</v>
      </c>
      <c r="AZ5" s="11">
        <v>1</v>
      </c>
      <c r="BA5" s="9">
        <v>1</v>
      </c>
      <c r="BB5" s="11">
        <v>1</v>
      </c>
      <c r="BC5" s="11">
        <v>1</v>
      </c>
      <c r="BD5" s="9">
        <v>1</v>
      </c>
      <c r="BE5" s="11"/>
      <c r="BF5" s="11"/>
      <c r="BG5" s="74" t="s">
        <v>199</v>
      </c>
      <c r="BH5" s="74"/>
      <c r="BI5" s="74">
        <v>2</v>
      </c>
      <c r="BJ5" s="21">
        <v>2</v>
      </c>
      <c r="BK5" s="27"/>
      <c r="BL5" s="11">
        <v>1</v>
      </c>
      <c r="BM5" s="21">
        <v>1</v>
      </c>
      <c r="BN5" s="21">
        <v>1</v>
      </c>
      <c r="BO5" s="11">
        <v>1</v>
      </c>
      <c r="BP5" s="11">
        <v>1</v>
      </c>
      <c r="BQ5" s="11">
        <v>1</v>
      </c>
      <c r="BR5" s="11">
        <v>1</v>
      </c>
      <c r="BS5" s="11">
        <v>1</v>
      </c>
      <c r="BT5" s="11">
        <v>1</v>
      </c>
      <c r="BU5" s="11">
        <v>1</v>
      </c>
      <c r="BV5" s="11">
        <v>1</v>
      </c>
      <c r="BW5" s="11">
        <v>1</v>
      </c>
      <c r="BX5" s="11">
        <v>1</v>
      </c>
      <c r="BY5" s="11">
        <v>1</v>
      </c>
      <c r="BZ5" s="11">
        <v>1</v>
      </c>
      <c r="CA5" s="11">
        <v>1</v>
      </c>
      <c r="CB5" s="11">
        <v>1</v>
      </c>
      <c r="CC5" s="11">
        <v>1</v>
      </c>
      <c r="CD5" s="11">
        <v>1</v>
      </c>
      <c r="CE5" s="11">
        <v>1</v>
      </c>
      <c r="CF5" s="11">
        <v>1</v>
      </c>
      <c r="CG5" s="11">
        <v>1</v>
      </c>
      <c r="CH5" s="11">
        <v>1</v>
      </c>
      <c r="CI5" s="11">
        <v>1</v>
      </c>
      <c r="CJ5" s="11">
        <v>1</v>
      </c>
      <c r="CK5" s="11">
        <v>1</v>
      </c>
      <c r="CL5" s="11">
        <v>1</v>
      </c>
      <c r="CM5" s="11">
        <v>1</v>
      </c>
      <c r="CN5" s="11">
        <v>1</v>
      </c>
      <c r="CO5" s="11">
        <v>1</v>
      </c>
      <c r="CP5" s="11">
        <v>1</v>
      </c>
      <c r="CQ5" s="11">
        <v>1</v>
      </c>
      <c r="CR5" s="11">
        <v>1</v>
      </c>
      <c r="CS5" s="11">
        <v>1</v>
      </c>
      <c r="CT5" s="11">
        <v>1</v>
      </c>
      <c r="CU5" s="11">
        <v>1</v>
      </c>
      <c r="CV5" s="11">
        <v>1</v>
      </c>
      <c r="CW5" s="11">
        <v>1</v>
      </c>
      <c r="CX5" s="11">
        <v>1</v>
      </c>
      <c r="CY5" s="11">
        <v>1</v>
      </c>
      <c r="CZ5" s="11">
        <v>1</v>
      </c>
      <c r="DA5" s="11">
        <v>1</v>
      </c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Z5" s="12"/>
      <c r="FA5" s="12"/>
      <c r="FB5" s="12"/>
      <c r="FC5" s="12"/>
      <c r="FD5" s="12"/>
      <c r="FE5" s="12"/>
      <c r="FF5" s="12"/>
    </row>
    <row r="6" spans="1:217" s="17" customFormat="1" ht="15" hidden="1" x14ac:dyDescent="0.25">
      <c r="B6" s="22"/>
      <c r="C6" s="22"/>
      <c r="D6" s="22" t="s">
        <v>2</v>
      </c>
      <c r="F6" s="22"/>
      <c r="G6" s="22"/>
      <c r="H6" s="22"/>
      <c r="BE6" s="23"/>
      <c r="BF6" s="23"/>
      <c r="BG6" s="75"/>
      <c r="BH6" s="75"/>
      <c r="BI6" s="75" t="s">
        <v>2</v>
      </c>
      <c r="BM6" s="22"/>
      <c r="BN6" s="22"/>
      <c r="BP6" s="22"/>
      <c r="BQ6" s="22"/>
      <c r="BS6" s="22"/>
      <c r="BT6" s="22"/>
      <c r="BV6" s="22"/>
      <c r="BW6" s="22"/>
      <c r="BY6" s="22"/>
      <c r="CA6" s="22"/>
      <c r="CB6" s="22"/>
      <c r="CD6" s="22"/>
      <c r="CE6" s="22"/>
      <c r="CG6" s="22"/>
      <c r="CH6" s="22"/>
      <c r="CJ6" s="22"/>
      <c r="CK6" s="22"/>
      <c r="CM6" s="22"/>
      <c r="CN6" s="22"/>
      <c r="CP6" s="22"/>
      <c r="CQ6" s="22"/>
      <c r="CS6" s="22"/>
      <c r="CT6" s="22"/>
      <c r="CV6" s="22"/>
      <c r="CW6" s="22"/>
      <c r="CY6" s="22"/>
      <c r="CZ6" s="22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EH6" s="18" t="s">
        <v>228</v>
      </c>
      <c r="EI6" s="17" t="s">
        <v>122</v>
      </c>
      <c r="EJ6" s="17" t="s">
        <v>123</v>
      </c>
    </row>
    <row r="7" spans="1:217" ht="15" hidden="1" x14ac:dyDescent="0.25">
      <c r="B7" s="18" t="s">
        <v>197</v>
      </c>
      <c r="C7" s="5" t="s">
        <v>1</v>
      </c>
      <c r="D7" s="18" t="s">
        <v>2</v>
      </c>
      <c r="E7" s="19" t="s">
        <v>3</v>
      </c>
      <c r="F7" s="18" t="s">
        <v>67</v>
      </c>
      <c r="G7" s="18"/>
      <c r="H7" s="18" t="s">
        <v>79</v>
      </c>
      <c r="I7" s="24" t="s">
        <v>80</v>
      </c>
      <c r="J7" s="24" t="s">
        <v>4</v>
      </c>
      <c r="K7" s="24" t="s">
        <v>5</v>
      </c>
      <c r="L7" s="25"/>
      <c r="M7" s="24" t="s">
        <v>6</v>
      </c>
      <c r="N7" s="24"/>
      <c r="O7" s="24"/>
      <c r="P7" s="24"/>
      <c r="Q7" s="24"/>
      <c r="R7" s="24"/>
      <c r="S7" s="24"/>
      <c r="T7" s="24"/>
      <c r="U7" s="24"/>
      <c r="V7" s="24"/>
      <c r="W7" s="17"/>
      <c r="X7" s="24"/>
      <c r="Y7" s="25"/>
      <c r="Z7" s="24"/>
      <c r="AA7" s="24" t="s">
        <v>368</v>
      </c>
      <c r="AB7" s="24"/>
      <c r="AC7" s="24"/>
      <c r="AD7" s="24"/>
      <c r="AE7" s="24"/>
      <c r="AF7" s="24"/>
      <c r="AG7" s="24" t="s">
        <v>213</v>
      </c>
      <c r="AH7" s="24"/>
      <c r="AI7" s="24"/>
      <c r="AJ7" s="24" t="s">
        <v>125</v>
      </c>
      <c r="AK7" s="24"/>
      <c r="AL7" s="24"/>
      <c r="AM7" s="24"/>
      <c r="AN7" s="24" t="s">
        <v>214</v>
      </c>
      <c r="AO7" s="24"/>
      <c r="AP7" s="24"/>
      <c r="AQ7" s="24"/>
      <c r="AR7" s="24"/>
      <c r="AS7" s="24"/>
      <c r="AT7" s="24"/>
      <c r="AU7" s="24"/>
      <c r="AV7" s="24" t="s">
        <v>124</v>
      </c>
      <c r="AW7" s="24"/>
      <c r="AX7" s="24"/>
      <c r="AY7" s="24"/>
      <c r="AZ7" s="24"/>
      <c r="BA7" s="24"/>
      <c r="BB7" s="24"/>
      <c r="BC7" s="24"/>
      <c r="BD7" s="24"/>
      <c r="BE7" s="18"/>
      <c r="BF7" s="18"/>
      <c r="BG7" s="73" t="s">
        <v>197</v>
      </c>
      <c r="BH7" s="72" t="s">
        <v>1</v>
      </c>
      <c r="BI7" s="73" t="s">
        <v>2</v>
      </c>
      <c r="BJ7" s="19" t="s">
        <v>3</v>
      </c>
      <c r="BK7" s="24"/>
      <c r="BL7" s="24"/>
      <c r="BM7" s="18" t="s">
        <v>83</v>
      </c>
      <c r="BN7" s="18"/>
      <c r="BO7" s="24"/>
      <c r="BP7" s="18" t="s">
        <v>8</v>
      </c>
      <c r="BQ7" s="18"/>
      <c r="BR7" s="24"/>
      <c r="BS7" s="18" t="s">
        <v>9</v>
      </c>
      <c r="BT7" s="18"/>
      <c r="BU7" s="24"/>
      <c r="BV7" s="18" t="s">
        <v>196</v>
      </c>
      <c r="BW7" s="18"/>
      <c r="BX7" s="24"/>
      <c r="BY7" s="18"/>
      <c r="BZ7" s="24"/>
      <c r="CA7" s="18" t="s">
        <v>89</v>
      </c>
      <c r="CB7" s="18"/>
      <c r="CC7" s="24"/>
      <c r="CD7" s="18" t="s">
        <v>90</v>
      </c>
      <c r="CE7" s="18"/>
      <c r="CF7" s="24"/>
      <c r="CG7" s="18" t="s">
        <v>86</v>
      </c>
      <c r="CH7" s="18"/>
      <c r="CI7" s="24"/>
      <c r="CJ7" s="18" t="s">
        <v>91</v>
      </c>
      <c r="CK7" s="18"/>
      <c r="CL7" s="24"/>
      <c r="CM7" s="18" t="s">
        <v>85</v>
      </c>
      <c r="CN7" s="18"/>
      <c r="CO7" s="24"/>
      <c r="CP7" s="18" t="s">
        <v>93</v>
      </c>
      <c r="CQ7" s="18"/>
      <c r="CR7" s="24"/>
      <c r="CS7" s="18" t="s">
        <v>92</v>
      </c>
      <c r="CT7" s="18"/>
      <c r="CU7" s="24"/>
      <c r="CV7" s="18" t="s">
        <v>88</v>
      </c>
      <c r="CW7" s="18"/>
      <c r="CX7" s="24"/>
      <c r="CY7" s="18" t="s">
        <v>87</v>
      </c>
      <c r="CZ7" s="18"/>
      <c r="DA7" s="24"/>
      <c r="DB7" s="18" t="s">
        <v>350</v>
      </c>
      <c r="DC7" s="18" t="s">
        <v>344</v>
      </c>
      <c r="DD7" s="18" t="s">
        <v>345</v>
      </c>
      <c r="DE7" s="18"/>
      <c r="DF7" s="18"/>
      <c r="DG7" s="18" t="s">
        <v>346</v>
      </c>
      <c r="DH7" s="18" t="s">
        <v>347</v>
      </c>
      <c r="DI7" s="18" t="s">
        <v>348</v>
      </c>
      <c r="DJ7" s="18" t="s">
        <v>349</v>
      </c>
      <c r="DK7" s="18"/>
      <c r="DL7" s="18" t="s">
        <v>337</v>
      </c>
      <c r="DM7" s="18" t="s">
        <v>84</v>
      </c>
      <c r="DN7" s="18" t="s">
        <v>7</v>
      </c>
      <c r="DO7" s="17" t="s">
        <v>94</v>
      </c>
      <c r="DP7" s="17" t="s">
        <v>329</v>
      </c>
      <c r="DQ7" s="18" t="s">
        <v>276</v>
      </c>
      <c r="DR7" s="17" t="s">
        <v>277</v>
      </c>
      <c r="DS7" s="17" t="s">
        <v>330</v>
      </c>
      <c r="DT7" s="18" t="s">
        <v>244</v>
      </c>
      <c r="DU7" s="17" t="s">
        <v>245</v>
      </c>
      <c r="DV7" s="17" t="s">
        <v>331</v>
      </c>
      <c r="DW7" s="17" t="s">
        <v>95</v>
      </c>
      <c r="DX7" s="17" t="s">
        <v>96</v>
      </c>
      <c r="DY7" s="17" t="s">
        <v>332</v>
      </c>
      <c r="DZ7" s="17" t="s">
        <v>97</v>
      </c>
      <c r="EA7" s="17" t="s">
        <v>278</v>
      </c>
      <c r="EB7" s="17" t="s">
        <v>246</v>
      </c>
      <c r="EC7" s="17" t="s">
        <v>98</v>
      </c>
      <c r="ED7" s="17" t="s">
        <v>111</v>
      </c>
      <c r="EE7" s="17" t="s">
        <v>280</v>
      </c>
      <c r="EF7" s="17" t="s">
        <v>247</v>
      </c>
      <c r="EG7" s="17" t="s">
        <v>112</v>
      </c>
      <c r="EH7" s="17" t="s">
        <v>121</v>
      </c>
      <c r="EI7" s="17" t="s">
        <v>122</v>
      </c>
      <c r="EJ7" s="17" t="s">
        <v>123</v>
      </c>
      <c r="EK7" s="17" t="s">
        <v>141</v>
      </c>
      <c r="EL7" s="17" t="s">
        <v>221</v>
      </c>
      <c r="EM7" s="17" t="s">
        <v>273</v>
      </c>
      <c r="EN7" s="17" t="s">
        <v>365</v>
      </c>
      <c r="EO7" s="17" t="s">
        <v>364</v>
      </c>
      <c r="EP7" s="17"/>
      <c r="EQ7" s="17"/>
      <c r="ER7" s="18" t="s">
        <v>10</v>
      </c>
      <c r="ES7" s="18" t="s">
        <v>81</v>
      </c>
      <c r="ET7" s="17" t="s">
        <v>144</v>
      </c>
      <c r="EU7" s="17" t="s">
        <v>293</v>
      </c>
      <c r="EV7" s="17" t="s">
        <v>294</v>
      </c>
      <c r="EW7" s="17" t="s">
        <v>248</v>
      </c>
      <c r="EX7" s="3" t="s">
        <v>99</v>
      </c>
      <c r="EY7" s="3" t="s">
        <v>205</v>
      </c>
      <c r="EZ7" s="24" t="s">
        <v>82</v>
      </c>
      <c r="FA7" s="24" t="s">
        <v>249</v>
      </c>
      <c r="FB7" s="12" t="s">
        <v>323</v>
      </c>
      <c r="FC7" s="12" t="s">
        <v>282</v>
      </c>
      <c r="FD7" s="12" t="s">
        <v>217</v>
      </c>
      <c r="FE7" s="12" t="s">
        <v>219</v>
      </c>
      <c r="FF7" s="12"/>
      <c r="FT7" s="24" t="s">
        <v>195</v>
      </c>
      <c r="FU7" s="3" t="s">
        <v>266</v>
      </c>
      <c r="FV7" s="3" t="s">
        <v>295</v>
      </c>
      <c r="FW7" s="24" t="s">
        <v>289</v>
      </c>
      <c r="FX7" s="24" t="s">
        <v>290</v>
      </c>
      <c r="FY7" s="26"/>
      <c r="FZ7" s="24" t="s">
        <v>291</v>
      </c>
      <c r="GC7" s="18" t="s">
        <v>305</v>
      </c>
      <c r="GD7" s="24"/>
      <c r="GE7" s="18" t="s">
        <v>306</v>
      </c>
      <c r="GG7" s="18" t="s">
        <v>307</v>
      </c>
      <c r="GH7" s="24"/>
      <c r="GI7" s="18" t="s">
        <v>308</v>
      </c>
      <c r="GJ7" s="24"/>
      <c r="GK7" s="18"/>
      <c r="GL7" s="24"/>
      <c r="GM7" s="18" t="s">
        <v>309</v>
      </c>
      <c r="GN7" s="24"/>
      <c r="GO7" s="18" t="s">
        <v>310</v>
      </c>
      <c r="GP7" s="24"/>
      <c r="GQ7" s="18" t="s">
        <v>311</v>
      </c>
      <c r="GR7" s="24"/>
      <c r="GS7" s="18" t="s">
        <v>312</v>
      </c>
      <c r="GT7" s="24"/>
      <c r="GU7" s="18" t="s">
        <v>313</v>
      </c>
      <c r="GW7" s="18" t="s">
        <v>314</v>
      </c>
      <c r="GX7" s="24"/>
      <c r="GY7" s="18" t="s">
        <v>315</v>
      </c>
      <c r="GZ7" s="24"/>
      <c r="HA7" s="18" t="s">
        <v>316</v>
      </c>
      <c r="HB7" s="24"/>
      <c r="HC7" s="18" t="s">
        <v>317</v>
      </c>
      <c r="HD7" s="24"/>
      <c r="HE7" s="18" t="s">
        <v>319</v>
      </c>
      <c r="HF7" s="18" t="s">
        <v>320</v>
      </c>
      <c r="HG7" s="18" t="s">
        <v>322</v>
      </c>
      <c r="HI7" s="3" t="s">
        <v>369</v>
      </c>
    </row>
    <row r="8" spans="1:217" s="17" customFormat="1" ht="15" hidden="1" x14ac:dyDescent="0.2">
      <c r="B8" s="18"/>
      <c r="C8" s="18"/>
      <c r="D8" s="18" t="s">
        <v>2</v>
      </c>
      <c r="E8" s="19"/>
      <c r="I8" s="18" t="s">
        <v>11</v>
      </c>
      <c r="J8" s="18" t="s">
        <v>12</v>
      </c>
      <c r="K8" s="18" t="s">
        <v>13</v>
      </c>
      <c r="L8" s="18" t="s">
        <v>14</v>
      </c>
      <c r="M8" s="18" t="s">
        <v>15</v>
      </c>
      <c r="N8" s="18" t="s">
        <v>16</v>
      </c>
      <c r="O8" s="18" t="s">
        <v>17</v>
      </c>
      <c r="P8" s="18" t="s">
        <v>18</v>
      </c>
      <c r="Q8" s="18" t="s">
        <v>19</v>
      </c>
      <c r="R8" s="18"/>
      <c r="S8" s="18" t="s">
        <v>152</v>
      </c>
      <c r="T8" s="18" t="s">
        <v>353</v>
      </c>
      <c r="U8" s="18" t="s">
        <v>153</v>
      </c>
      <c r="V8" s="18" t="s">
        <v>154</v>
      </c>
      <c r="W8" s="18" t="s">
        <v>155</v>
      </c>
      <c r="X8" s="18"/>
      <c r="Y8" s="18" t="s">
        <v>156</v>
      </c>
      <c r="Z8" s="18" t="s">
        <v>157</v>
      </c>
      <c r="AA8" s="18" t="s">
        <v>367</v>
      </c>
      <c r="AB8" s="18" t="s">
        <v>158</v>
      </c>
      <c r="AC8" s="18" t="s">
        <v>159</v>
      </c>
      <c r="AD8" s="18" t="s">
        <v>160</v>
      </c>
      <c r="AE8" s="18" t="s">
        <v>161</v>
      </c>
      <c r="AF8" s="18" t="s">
        <v>162</v>
      </c>
      <c r="AG8" s="18" t="s">
        <v>163</v>
      </c>
      <c r="AH8" s="18" t="s">
        <v>164</v>
      </c>
      <c r="AI8" s="18" t="s">
        <v>165</v>
      </c>
      <c r="AJ8" s="18" t="s">
        <v>166</v>
      </c>
      <c r="AK8" s="18" t="s">
        <v>167</v>
      </c>
      <c r="AL8" s="18" t="s">
        <v>260</v>
      </c>
      <c r="AM8" s="18" t="s">
        <v>168</v>
      </c>
      <c r="AN8" s="18" t="s">
        <v>169</v>
      </c>
      <c r="AO8" s="18" t="s">
        <v>170</v>
      </c>
      <c r="AP8" s="18" t="s">
        <v>171</v>
      </c>
      <c r="AQ8" s="18" t="s">
        <v>172</v>
      </c>
      <c r="AR8" s="18" t="s">
        <v>173</v>
      </c>
      <c r="AS8" s="18" t="s">
        <v>174</v>
      </c>
      <c r="AT8" s="18" t="s">
        <v>175</v>
      </c>
      <c r="AU8" s="18" t="s">
        <v>176</v>
      </c>
      <c r="AV8" s="18" t="s">
        <v>177</v>
      </c>
      <c r="AW8" s="18" t="s">
        <v>178</v>
      </c>
      <c r="AX8" s="18" t="s">
        <v>179</v>
      </c>
      <c r="AY8" s="18"/>
      <c r="AZ8" s="18" t="s">
        <v>180</v>
      </c>
      <c r="BA8" s="18" t="s">
        <v>181</v>
      </c>
      <c r="BB8" s="18" t="s">
        <v>182</v>
      </c>
      <c r="BC8" s="18" t="s">
        <v>183</v>
      </c>
      <c r="BD8" s="18" t="s">
        <v>184</v>
      </c>
      <c r="BE8" s="18"/>
      <c r="BF8" s="18"/>
      <c r="BG8" s="73"/>
      <c r="BH8" s="73"/>
      <c r="BI8" s="73" t="s">
        <v>2</v>
      </c>
      <c r="BJ8" s="19"/>
      <c r="BK8" s="18" t="s">
        <v>19</v>
      </c>
      <c r="BL8" s="18" t="s">
        <v>352</v>
      </c>
      <c r="BN8" s="18" t="s">
        <v>20</v>
      </c>
      <c r="BO8" s="18" t="s">
        <v>21</v>
      </c>
      <c r="BQ8" s="18" t="s">
        <v>22</v>
      </c>
      <c r="BR8" s="18" t="s">
        <v>23</v>
      </c>
      <c r="BT8" s="18" t="s">
        <v>24</v>
      </c>
      <c r="BU8" s="18" t="s">
        <v>25</v>
      </c>
      <c r="BW8" s="18" t="s">
        <v>26</v>
      </c>
      <c r="BX8" s="18" t="s">
        <v>27</v>
      </c>
      <c r="BY8" s="18" t="s">
        <v>28</v>
      </c>
      <c r="BZ8" s="18" t="s">
        <v>29</v>
      </c>
      <c r="CB8" s="18" t="s">
        <v>30</v>
      </c>
      <c r="CC8" s="18" t="s">
        <v>31</v>
      </c>
      <c r="CE8" s="18" t="s">
        <v>32</v>
      </c>
      <c r="CF8" s="18" t="s">
        <v>33</v>
      </c>
      <c r="CH8" s="18" t="s">
        <v>34</v>
      </c>
      <c r="CI8" s="18" t="s">
        <v>35</v>
      </c>
      <c r="CK8" s="18" t="s">
        <v>36</v>
      </c>
      <c r="CL8" s="18" t="s">
        <v>37</v>
      </c>
      <c r="CN8" s="18" t="s">
        <v>38</v>
      </c>
      <c r="CO8" s="18" t="s">
        <v>39</v>
      </c>
      <c r="CQ8" s="18" t="s">
        <v>40</v>
      </c>
      <c r="CR8" s="18" t="s">
        <v>41</v>
      </c>
      <c r="CT8" s="18" t="s">
        <v>42</v>
      </c>
      <c r="CU8" s="18" t="s">
        <v>43</v>
      </c>
      <c r="CW8" s="18" t="s">
        <v>148</v>
      </c>
      <c r="CX8" s="18" t="s">
        <v>149</v>
      </c>
      <c r="CZ8" s="18" t="s">
        <v>150</v>
      </c>
      <c r="DA8" s="18" t="s">
        <v>151</v>
      </c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 t="s">
        <v>339</v>
      </c>
      <c r="DM8" s="18" t="s">
        <v>186</v>
      </c>
      <c r="DN8" s="18" t="s">
        <v>187</v>
      </c>
      <c r="DO8" s="18" t="s">
        <v>188</v>
      </c>
      <c r="DP8" s="18"/>
      <c r="DQ8" s="18"/>
      <c r="DR8" s="18"/>
      <c r="DS8" s="18"/>
      <c r="DT8" s="18" t="s">
        <v>261</v>
      </c>
      <c r="DU8" s="18" t="s">
        <v>262</v>
      </c>
      <c r="DV8" s="18"/>
      <c r="DW8" s="18" t="s">
        <v>189</v>
      </c>
      <c r="DX8" s="18" t="s">
        <v>190</v>
      </c>
      <c r="DY8" s="18"/>
      <c r="DZ8" s="18" t="s">
        <v>191</v>
      </c>
      <c r="EA8" s="18"/>
      <c r="EB8" s="18" t="s">
        <v>185</v>
      </c>
      <c r="EC8" s="18" t="s">
        <v>192</v>
      </c>
      <c r="ED8" s="18" t="s">
        <v>193</v>
      </c>
      <c r="EE8" s="18"/>
      <c r="EF8" s="18" t="s">
        <v>263</v>
      </c>
      <c r="EG8" s="18" t="s">
        <v>194</v>
      </c>
      <c r="EH8" s="18" t="s">
        <v>228</v>
      </c>
      <c r="EI8" s="17" t="s">
        <v>122</v>
      </c>
      <c r="EJ8" s="17" t="s">
        <v>123</v>
      </c>
      <c r="EK8" s="18" t="s">
        <v>206</v>
      </c>
      <c r="EL8" s="18" t="s">
        <v>207</v>
      </c>
      <c r="EM8" s="18"/>
      <c r="EN8" s="18"/>
      <c r="EO8" s="18"/>
      <c r="EP8" s="18" t="s">
        <v>208</v>
      </c>
      <c r="EQ8" s="18" t="s">
        <v>209</v>
      </c>
      <c r="ER8" s="18" t="s">
        <v>210</v>
      </c>
      <c r="ES8" s="18" t="s">
        <v>211</v>
      </c>
      <c r="ET8" s="18" t="s">
        <v>212</v>
      </c>
      <c r="EU8" s="18" t="s">
        <v>264</v>
      </c>
      <c r="EV8" s="18"/>
      <c r="EW8" s="18" t="s">
        <v>265</v>
      </c>
      <c r="EX8" s="18" t="s">
        <v>226</v>
      </c>
      <c r="EY8" s="18" t="s">
        <v>227</v>
      </c>
      <c r="EZ8" s="18"/>
      <c r="FA8" s="18"/>
      <c r="FB8" s="18"/>
      <c r="FC8" s="18"/>
      <c r="FD8" s="18"/>
      <c r="FE8" s="18"/>
      <c r="FF8" s="18"/>
      <c r="FG8" s="18"/>
      <c r="FH8" s="18" t="s">
        <v>233</v>
      </c>
      <c r="FI8" s="18" t="s">
        <v>234</v>
      </c>
      <c r="FJ8" s="18" t="s">
        <v>235</v>
      </c>
      <c r="FK8" s="18" t="s">
        <v>236</v>
      </c>
      <c r="FL8" s="18" t="s">
        <v>237</v>
      </c>
      <c r="FM8" s="18" t="s">
        <v>238</v>
      </c>
      <c r="FN8" s="18" t="s">
        <v>257</v>
      </c>
      <c r="FO8" s="18" t="s">
        <v>258</v>
      </c>
      <c r="FP8" s="18" t="s">
        <v>259</v>
      </c>
      <c r="FQ8" s="18" t="s">
        <v>333</v>
      </c>
      <c r="FR8" s="18" t="s">
        <v>334</v>
      </c>
      <c r="FS8" s="18" t="s">
        <v>335</v>
      </c>
      <c r="GB8" s="17" t="s">
        <v>336</v>
      </c>
    </row>
    <row r="9" spans="1:217" ht="26.25" thickBot="1" x14ac:dyDescent="0.25">
      <c r="C9" s="15"/>
      <c r="D9" s="15"/>
      <c r="E9" s="15"/>
      <c r="F9" s="83" t="str">
        <f>"BẢNG LƯƠNG CHÍNH THỨC THÁNG " &amp; A4 &amp; "." &amp; A5</f>
        <v>BẢNG LƯƠNG CHÍNH THỨC THÁNG 4.5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H9" s="69"/>
      <c r="BI9" s="69"/>
      <c r="BJ9" s="15"/>
      <c r="BK9" s="15"/>
      <c r="BL9" s="83" t="str">
        <f>"BẢNG LƯƠNG OT CHÍNH THỨC THÁNG " &amp; A4 &amp; "." &amp; A5</f>
        <v>BẢNG LƯƠNG OT CHÍNH THỨC THÁNG 4.5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Z9" s="12"/>
      <c r="FA9" s="12"/>
      <c r="FB9" s="12"/>
      <c r="FC9" s="12"/>
      <c r="FD9" s="12"/>
      <c r="FE9" s="12"/>
      <c r="FF9" s="12"/>
    </row>
    <row r="10" spans="1:217" s="28" customFormat="1" ht="62.25" customHeight="1" thickTop="1" x14ac:dyDescent="0.2">
      <c r="B10" s="84" t="s">
        <v>46</v>
      </c>
      <c r="C10" s="1" t="s">
        <v>0</v>
      </c>
      <c r="D10" s="1" t="s">
        <v>45</v>
      </c>
      <c r="E10" s="1" t="s">
        <v>44</v>
      </c>
      <c r="F10" s="1" t="s">
        <v>63</v>
      </c>
      <c r="G10" s="87" t="s">
        <v>204</v>
      </c>
      <c r="H10" s="1" t="s">
        <v>46</v>
      </c>
      <c r="I10" s="1" t="s">
        <v>47</v>
      </c>
      <c r="J10" s="87" t="s">
        <v>100</v>
      </c>
      <c r="K10" s="87"/>
      <c r="L10" s="87"/>
      <c r="M10" s="87"/>
      <c r="N10" s="87" t="s">
        <v>357</v>
      </c>
      <c r="O10" s="87" t="s">
        <v>232</v>
      </c>
      <c r="P10" s="87" t="s">
        <v>360</v>
      </c>
      <c r="Q10" s="87" t="s">
        <v>48</v>
      </c>
      <c r="R10" s="87" t="s">
        <v>358</v>
      </c>
      <c r="S10" s="87" t="s">
        <v>361</v>
      </c>
      <c r="T10" s="87" t="s">
        <v>341</v>
      </c>
      <c r="U10" s="87" t="s">
        <v>147</v>
      </c>
      <c r="V10" s="87" t="s">
        <v>49</v>
      </c>
      <c r="W10" s="87" t="s">
        <v>50</v>
      </c>
      <c r="X10" s="87" t="s">
        <v>51</v>
      </c>
      <c r="Y10" s="87" t="s">
        <v>64</v>
      </c>
      <c r="Z10" s="87" t="s">
        <v>65</v>
      </c>
      <c r="AA10" s="90" t="s">
        <v>366</v>
      </c>
      <c r="AB10" s="87" t="s">
        <v>363</v>
      </c>
      <c r="AC10" s="87" t="s">
        <v>101</v>
      </c>
      <c r="AD10" s="87" t="s">
        <v>256</v>
      </c>
      <c r="AE10" s="89" t="s">
        <v>146</v>
      </c>
      <c r="AF10" s="89"/>
      <c r="AG10" s="89"/>
      <c r="AH10" s="89"/>
      <c r="AI10" s="89" t="s">
        <v>102</v>
      </c>
      <c r="AJ10" s="87" t="s">
        <v>239</v>
      </c>
      <c r="AK10" s="87" t="s">
        <v>103</v>
      </c>
      <c r="AL10" s="87"/>
      <c r="AM10" s="87"/>
      <c r="AN10" s="87"/>
      <c r="AO10" s="87"/>
      <c r="AP10" s="87" t="s">
        <v>104</v>
      </c>
      <c r="AQ10" s="87"/>
      <c r="AR10" s="87"/>
      <c r="AS10" s="87"/>
      <c r="AT10" s="87"/>
      <c r="AU10" s="87"/>
      <c r="AV10" s="87"/>
      <c r="AW10" s="87"/>
      <c r="AX10" s="87" t="s">
        <v>61</v>
      </c>
      <c r="AY10" s="61"/>
      <c r="AZ10" s="94" t="s">
        <v>105</v>
      </c>
      <c r="BA10" s="95"/>
      <c r="BB10" s="95"/>
      <c r="BC10" s="95"/>
      <c r="BD10" s="96"/>
      <c r="BE10" s="29"/>
      <c r="BF10" s="29"/>
      <c r="BG10" s="62" t="s">
        <v>46</v>
      </c>
      <c r="BH10" s="1" t="s">
        <v>0</v>
      </c>
      <c r="BI10" s="1" t="s">
        <v>45</v>
      </c>
      <c r="BJ10" s="1" t="s">
        <v>44</v>
      </c>
      <c r="BK10" s="87" t="s">
        <v>48</v>
      </c>
      <c r="BL10" s="87" t="s">
        <v>341</v>
      </c>
      <c r="BM10" s="87" t="s">
        <v>107</v>
      </c>
      <c r="BN10" s="87"/>
      <c r="BO10" s="87"/>
      <c r="BP10" s="87"/>
      <c r="BQ10" s="87"/>
      <c r="BR10" s="87"/>
      <c r="BS10" s="87" t="s">
        <v>106</v>
      </c>
      <c r="BT10" s="87"/>
      <c r="BU10" s="87"/>
      <c r="BV10" s="87"/>
      <c r="BW10" s="87"/>
      <c r="BX10" s="87"/>
      <c r="BY10" s="87"/>
      <c r="BZ10" s="87"/>
      <c r="CA10" s="87" t="s">
        <v>108</v>
      </c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 t="s">
        <v>109</v>
      </c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92"/>
      <c r="DB10" s="29"/>
      <c r="DC10" s="93" t="s">
        <v>126</v>
      </c>
      <c r="DD10" s="93"/>
      <c r="DE10" s="93" t="s">
        <v>270</v>
      </c>
      <c r="DF10" s="93"/>
      <c r="DG10" s="93" t="s">
        <v>243</v>
      </c>
      <c r="DH10" s="93"/>
      <c r="DI10" s="93" t="s">
        <v>127</v>
      </c>
      <c r="DJ10" s="93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Z10" s="30"/>
      <c r="FA10" s="30"/>
      <c r="FB10" s="30"/>
      <c r="FC10" s="30"/>
      <c r="FD10" s="30"/>
      <c r="FE10" s="30"/>
      <c r="FF10" s="30"/>
      <c r="FH10" s="104" t="s">
        <v>126</v>
      </c>
      <c r="FI10" s="104"/>
      <c r="FJ10" s="104"/>
      <c r="FK10" s="104" t="s">
        <v>127</v>
      </c>
      <c r="FL10" s="104"/>
      <c r="FM10" s="104"/>
      <c r="FN10" s="104" t="s">
        <v>243</v>
      </c>
      <c r="FO10" s="104"/>
      <c r="FP10" s="104"/>
      <c r="FQ10" s="104" t="s">
        <v>270</v>
      </c>
      <c r="FR10" s="104"/>
      <c r="FS10" s="104"/>
      <c r="FV10" s="99" t="s">
        <v>54</v>
      </c>
      <c r="FW10" s="101" t="s">
        <v>284</v>
      </c>
      <c r="FX10" s="102"/>
      <c r="FY10" s="102"/>
      <c r="FZ10" s="103"/>
      <c r="GA10" s="100" t="s">
        <v>296</v>
      </c>
      <c r="GB10" s="105" t="s">
        <v>297</v>
      </c>
      <c r="GC10" s="104" t="s">
        <v>304</v>
      </c>
      <c r="GD10" s="104"/>
      <c r="GE10" s="104"/>
      <c r="GF10" s="104"/>
      <c r="GG10" s="104" t="s">
        <v>298</v>
      </c>
      <c r="GH10" s="104"/>
      <c r="GI10" s="104"/>
      <c r="GJ10" s="104"/>
      <c r="GK10" s="104"/>
      <c r="GL10" s="104"/>
      <c r="GM10" s="104" t="s">
        <v>299</v>
      </c>
      <c r="GN10" s="104"/>
      <c r="GO10" s="104"/>
      <c r="GP10" s="104"/>
      <c r="GQ10" s="104"/>
      <c r="GR10" s="104"/>
      <c r="GS10" s="104"/>
      <c r="GT10" s="104"/>
      <c r="GU10" s="104"/>
      <c r="GV10" s="104"/>
      <c r="GW10" s="104" t="s">
        <v>300</v>
      </c>
      <c r="GX10" s="104"/>
      <c r="GY10" s="104"/>
      <c r="GZ10" s="104"/>
      <c r="HA10" s="104"/>
      <c r="HB10" s="104"/>
      <c r="HC10" s="104"/>
      <c r="HD10" s="104"/>
      <c r="HE10" s="105" t="s">
        <v>301</v>
      </c>
      <c r="HF10" s="105" t="s">
        <v>302</v>
      </c>
      <c r="HG10" s="105" t="s">
        <v>321</v>
      </c>
      <c r="HH10" s="105" t="s">
        <v>303</v>
      </c>
      <c r="HI10" s="105" t="s">
        <v>370</v>
      </c>
    </row>
    <row r="11" spans="1:217" s="31" customFormat="1" ht="64.5" customHeight="1" x14ac:dyDescent="0.2">
      <c r="B11" s="85" t="s">
        <v>198</v>
      </c>
      <c r="C11" s="32" t="s">
        <v>1</v>
      </c>
      <c r="D11" s="32" t="s">
        <v>66</v>
      </c>
      <c r="E11" s="32" t="s">
        <v>52</v>
      </c>
      <c r="F11" s="32" t="s">
        <v>67</v>
      </c>
      <c r="G11" s="88"/>
      <c r="H11" s="32" t="s">
        <v>53</v>
      </c>
      <c r="I11" s="32" t="s">
        <v>54</v>
      </c>
      <c r="J11" s="32" t="s">
        <v>354</v>
      </c>
      <c r="K11" s="32" t="s">
        <v>355</v>
      </c>
      <c r="L11" s="32" t="s">
        <v>356</v>
      </c>
      <c r="M11" s="32" t="s">
        <v>57</v>
      </c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91"/>
      <c r="AB11" s="88"/>
      <c r="AC11" s="88"/>
      <c r="AD11" s="88"/>
      <c r="AE11" s="44" t="s">
        <v>68</v>
      </c>
      <c r="AF11" s="44" t="s">
        <v>69</v>
      </c>
      <c r="AG11" s="44" t="s">
        <v>202</v>
      </c>
      <c r="AH11" s="44" t="s">
        <v>58</v>
      </c>
      <c r="AI11" s="97"/>
      <c r="AJ11" s="88"/>
      <c r="AK11" s="32" t="s">
        <v>362</v>
      </c>
      <c r="AL11" s="32" t="s">
        <v>231</v>
      </c>
      <c r="AM11" s="32" t="s">
        <v>70</v>
      </c>
      <c r="AN11" s="32" t="s">
        <v>71</v>
      </c>
      <c r="AO11" s="32" t="s">
        <v>359</v>
      </c>
      <c r="AP11" s="32" t="s">
        <v>72</v>
      </c>
      <c r="AQ11" s="32" t="s">
        <v>73</v>
      </c>
      <c r="AR11" s="32" t="s">
        <v>59</v>
      </c>
      <c r="AS11" s="32" t="s">
        <v>110</v>
      </c>
      <c r="AT11" s="32" t="s">
        <v>203</v>
      </c>
      <c r="AU11" s="44" t="s">
        <v>60</v>
      </c>
      <c r="AV11" s="44" t="s">
        <v>240</v>
      </c>
      <c r="AW11" s="32" t="s">
        <v>74</v>
      </c>
      <c r="AX11" s="88"/>
      <c r="AY11" s="33" t="s">
        <v>62</v>
      </c>
      <c r="AZ11" s="2" t="s">
        <v>75</v>
      </c>
      <c r="BA11" s="2" t="s">
        <v>76</v>
      </c>
      <c r="BB11" s="2" t="s">
        <v>59</v>
      </c>
      <c r="BC11" s="2" t="s">
        <v>77</v>
      </c>
      <c r="BD11" s="32" t="s">
        <v>58</v>
      </c>
      <c r="BE11" s="34"/>
      <c r="BF11" s="34"/>
      <c r="BG11" s="63" t="s">
        <v>198</v>
      </c>
      <c r="BH11" s="32" t="s">
        <v>1</v>
      </c>
      <c r="BI11" s="32" t="s">
        <v>66</v>
      </c>
      <c r="BJ11" s="32" t="s">
        <v>52</v>
      </c>
      <c r="BK11" s="88"/>
      <c r="BL11" s="88"/>
      <c r="BM11" s="88" t="s">
        <v>128</v>
      </c>
      <c r="BN11" s="88"/>
      <c r="BO11" s="88"/>
      <c r="BP11" s="88" t="s">
        <v>129</v>
      </c>
      <c r="BQ11" s="88"/>
      <c r="BR11" s="88"/>
      <c r="BS11" s="88" t="s">
        <v>130</v>
      </c>
      <c r="BT11" s="88"/>
      <c r="BU11" s="88"/>
      <c r="BV11" s="88" t="s">
        <v>131</v>
      </c>
      <c r="BW11" s="88"/>
      <c r="BX11" s="88"/>
      <c r="BY11" s="88" t="s">
        <v>132</v>
      </c>
      <c r="BZ11" s="88"/>
      <c r="CA11" s="88" t="s">
        <v>133</v>
      </c>
      <c r="CB11" s="88"/>
      <c r="CC11" s="88"/>
      <c r="CD11" s="88" t="s">
        <v>134</v>
      </c>
      <c r="CE11" s="88"/>
      <c r="CF11" s="88"/>
      <c r="CG11" s="88" t="s">
        <v>135</v>
      </c>
      <c r="CH11" s="88"/>
      <c r="CI11" s="88"/>
      <c r="CJ11" s="88" t="s">
        <v>136</v>
      </c>
      <c r="CK11" s="88"/>
      <c r="CL11" s="88"/>
      <c r="CM11" s="88" t="s">
        <v>269</v>
      </c>
      <c r="CN11" s="88"/>
      <c r="CO11" s="88"/>
      <c r="CP11" s="88" t="s">
        <v>137</v>
      </c>
      <c r="CQ11" s="88"/>
      <c r="CR11" s="88"/>
      <c r="CS11" s="88" t="s">
        <v>138</v>
      </c>
      <c r="CT11" s="88"/>
      <c r="CU11" s="88"/>
      <c r="CV11" s="88" t="s">
        <v>139</v>
      </c>
      <c r="CW11" s="88"/>
      <c r="CX11" s="88"/>
      <c r="CY11" s="88" t="s">
        <v>140</v>
      </c>
      <c r="CZ11" s="88"/>
      <c r="DA11" s="98"/>
      <c r="DB11" s="35" t="s">
        <v>351</v>
      </c>
      <c r="DC11" s="35" t="s">
        <v>342</v>
      </c>
      <c r="DD11" s="35" t="s">
        <v>343</v>
      </c>
      <c r="DE11" s="35" t="s">
        <v>342</v>
      </c>
      <c r="DF11" s="35" t="s">
        <v>343</v>
      </c>
      <c r="DG11" s="35" t="s">
        <v>342</v>
      </c>
      <c r="DH11" s="35" t="s">
        <v>343</v>
      </c>
      <c r="DI11" s="35" t="s">
        <v>342</v>
      </c>
      <c r="DJ11" s="35" t="s">
        <v>343</v>
      </c>
      <c r="DK11" s="34" t="s">
        <v>340</v>
      </c>
      <c r="DL11" s="36" t="s">
        <v>338</v>
      </c>
      <c r="DM11" s="37" t="s">
        <v>113</v>
      </c>
      <c r="DN11" s="37" t="s">
        <v>114</v>
      </c>
      <c r="DO11" s="37" t="s">
        <v>254</v>
      </c>
      <c r="DP11" s="37" t="s">
        <v>325</v>
      </c>
      <c r="DQ11" s="37" t="s">
        <v>274</v>
      </c>
      <c r="DR11" s="37" t="s">
        <v>275</v>
      </c>
      <c r="DS11" s="37" t="s">
        <v>326</v>
      </c>
      <c r="DT11" s="37" t="s">
        <v>253</v>
      </c>
      <c r="DU11" s="37" t="s">
        <v>255</v>
      </c>
      <c r="DV11" s="37" t="s">
        <v>327</v>
      </c>
      <c r="DW11" s="37" t="s">
        <v>115</v>
      </c>
      <c r="DX11" s="37" t="s">
        <v>116</v>
      </c>
      <c r="DY11" s="38" t="s">
        <v>328</v>
      </c>
      <c r="DZ11" s="39" t="s">
        <v>117</v>
      </c>
      <c r="EA11" s="39" t="s">
        <v>279</v>
      </c>
      <c r="EB11" s="39" t="s">
        <v>250</v>
      </c>
      <c r="EC11" s="39" t="s">
        <v>118</v>
      </c>
      <c r="ED11" s="39" t="s">
        <v>119</v>
      </c>
      <c r="EE11" s="39" t="s">
        <v>281</v>
      </c>
      <c r="EF11" s="39" t="s">
        <v>251</v>
      </c>
      <c r="EG11" s="39" t="s">
        <v>120</v>
      </c>
      <c r="EH11" s="39" t="s">
        <v>121</v>
      </c>
      <c r="EI11" s="39" t="s">
        <v>122</v>
      </c>
      <c r="EJ11" s="39" t="s">
        <v>123</v>
      </c>
      <c r="EK11" s="30" t="s">
        <v>222</v>
      </c>
      <c r="EL11" s="30" t="s">
        <v>223</v>
      </c>
      <c r="EM11" s="30" t="s">
        <v>271</v>
      </c>
      <c r="EN11" s="30" t="s">
        <v>272</v>
      </c>
      <c r="EO11" s="30" t="s">
        <v>318</v>
      </c>
      <c r="EP11" s="30" t="s">
        <v>225</v>
      </c>
      <c r="EQ11" s="30" t="s">
        <v>224</v>
      </c>
      <c r="ER11" s="30" t="s">
        <v>142</v>
      </c>
      <c r="ES11" s="30" t="s">
        <v>143</v>
      </c>
      <c r="ET11" s="30" t="s">
        <v>145</v>
      </c>
      <c r="EU11" s="30" t="s">
        <v>200</v>
      </c>
      <c r="EV11" s="30" t="s">
        <v>292</v>
      </c>
      <c r="EW11" s="30" t="s">
        <v>252</v>
      </c>
      <c r="EX11" s="28" t="s">
        <v>201</v>
      </c>
      <c r="EY11" s="28" t="s">
        <v>204</v>
      </c>
      <c r="EZ11" s="40" t="s">
        <v>215</v>
      </c>
      <c r="FA11" s="30" t="s">
        <v>324</v>
      </c>
      <c r="FB11" s="30" t="s">
        <v>216</v>
      </c>
      <c r="FC11" s="30" t="s">
        <v>283</v>
      </c>
      <c r="FD11" s="30" t="s">
        <v>218</v>
      </c>
      <c r="FE11" s="30" t="s">
        <v>220</v>
      </c>
      <c r="FF11" s="30" t="s">
        <v>229</v>
      </c>
      <c r="FG11" s="28" t="s">
        <v>230</v>
      </c>
      <c r="FH11" s="2" t="s">
        <v>55</v>
      </c>
      <c r="FI11" s="2" t="s">
        <v>56</v>
      </c>
      <c r="FJ11" s="2" t="s">
        <v>57</v>
      </c>
      <c r="FK11" s="2" t="s">
        <v>55</v>
      </c>
      <c r="FL11" s="2" t="s">
        <v>56</v>
      </c>
      <c r="FM11" s="2" t="s">
        <v>57</v>
      </c>
      <c r="FN11" s="2" t="s">
        <v>55</v>
      </c>
      <c r="FO11" s="2" t="s">
        <v>56</v>
      </c>
      <c r="FP11" s="2" t="s">
        <v>57</v>
      </c>
      <c r="FQ11" s="2" t="s">
        <v>55</v>
      </c>
      <c r="FR11" s="2" t="s">
        <v>56</v>
      </c>
      <c r="FS11" s="2" t="s">
        <v>57</v>
      </c>
      <c r="FT11" s="28" t="s">
        <v>267</v>
      </c>
      <c r="FU11" s="28" t="s">
        <v>268</v>
      </c>
      <c r="FV11" s="99"/>
      <c r="FW11" s="2" t="s">
        <v>285</v>
      </c>
      <c r="FX11" s="2" t="s">
        <v>286</v>
      </c>
      <c r="FY11" s="2" t="s">
        <v>287</v>
      </c>
      <c r="FZ11" s="2" t="s">
        <v>288</v>
      </c>
      <c r="GA11" s="100"/>
      <c r="GB11" s="105"/>
      <c r="GC11" s="106" t="s">
        <v>128</v>
      </c>
      <c r="GD11" s="107"/>
      <c r="GE11" s="106" t="s">
        <v>129</v>
      </c>
      <c r="GF11" s="107"/>
      <c r="GG11" s="106" t="s">
        <v>130</v>
      </c>
      <c r="GH11" s="107"/>
      <c r="GI11" s="106" t="s">
        <v>131</v>
      </c>
      <c r="GJ11" s="107"/>
      <c r="GK11" s="106" t="s">
        <v>132</v>
      </c>
      <c r="GL11" s="107"/>
      <c r="GM11" s="106" t="s">
        <v>133</v>
      </c>
      <c r="GN11" s="107"/>
      <c r="GO11" s="106" t="s">
        <v>134</v>
      </c>
      <c r="GP11" s="107"/>
      <c r="GQ11" s="106" t="s">
        <v>135</v>
      </c>
      <c r="GR11" s="107"/>
      <c r="GS11" s="106" t="s">
        <v>136</v>
      </c>
      <c r="GT11" s="107"/>
      <c r="GU11" s="106" t="s">
        <v>269</v>
      </c>
      <c r="GV11" s="107"/>
      <c r="GW11" s="106" t="s">
        <v>137</v>
      </c>
      <c r="GX11" s="107"/>
      <c r="GY11" s="106" t="s">
        <v>138</v>
      </c>
      <c r="GZ11" s="107"/>
      <c r="HA11" s="106" t="s">
        <v>139</v>
      </c>
      <c r="HB11" s="107"/>
      <c r="HC11" s="106" t="s">
        <v>140</v>
      </c>
      <c r="HD11" s="107"/>
      <c r="HE11" s="105"/>
      <c r="HF11" s="105"/>
      <c r="HG11" s="105"/>
      <c r="HH11" s="105"/>
      <c r="HI11" s="105"/>
    </row>
    <row r="12" spans="1:217" ht="12" x14ac:dyDescent="0.2">
      <c r="B12" s="86">
        <v>1</v>
      </c>
      <c r="C12" s="77">
        <f>B12+1</f>
        <v>2</v>
      </c>
      <c r="D12" s="77">
        <f t="shared" ref="D12:AX12" si="0">C12+1</f>
        <v>3</v>
      </c>
      <c r="E12" s="77">
        <f t="shared" si="0"/>
        <v>4</v>
      </c>
      <c r="F12" s="77">
        <f t="shared" si="0"/>
        <v>5</v>
      </c>
      <c r="G12" s="77">
        <f t="shared" si="0"/>
        <v>6</v>
      </c>
      <c r="H12" s="77">
        <f t="shared" si="0"/>
        <v>7</v>
      </c>
      <c r="I12" s="77">
        <f t="shared" si="0"/>
        <v>8</v>
      </c>
      <c r="J12" s="77">
        <f t="shared" si="0"/>
        <v>9</v>
      </c>
      <c r="K12" s="77">
        <f t="shared" si="0"/>
        <v>10</v>
      </c>
      <c r="L12" s="77">
        <f t="shared" si="0"/>
        <v>11</v>
      </c>
      <c r="M12" s="77">
        <f t="shared" si="0"/>
        <v>12</v>
      </c>
      <c r="N12" s="77">
        <f t="shared" si="0"/>
        <v>13</v>
      </c>
      <c r="O12" s="77">
        <f t="shared" si="0"/>
        <v>14</v>
      </c>
      <c r="P12" s="77">
        <f t="shared" si="0"/>
        <v>15</v>
      </c>
      <c r="Q12" s="77">
        <f t="shared" si="0"/>
        <v>16</v>
      </c>
      <c r="R12" s="77">
        <f t="shared" si="0"/>
        <v>17</v>
      </c>
      <c r="S12" s="77">
        <f t="shared" si="0"/>
        <v>18</v>
      </c>
      <c r="T12" s="77">
        <f t="shared" si="0"/>
        <v>19</v>
      </c>
      <c r="U12" s="77">
        <f t="shared" si="0"/>
        <v>20</v>
      </c>
      <c r="V12" s="77">
        <f t="shared" si="0"/>
        <v>21</v>
      </c>
      <c r="W12" s="77">
        <f t="shared" si="0"/>
        <v>22</v>
      </c>
      <c r="X12" s="77">
        <f t="shared" si="0"/>
        <v>23</v>
      </c>
      <c r="Y12" s="77">
        <f t="shared" si="0"/>
        <v>24</v>
      </c>
      <c r="Z12" s="77">
        <f t="shared" si="0"/>
        <v>25</v>
      </c>
      <c r="AA12" s="77"/>
      <c r="AB12" s="77">
        <f>Z12+1</f>
        <v>26</v>
      </c>
      <c r="AC12" s="77">
        <f t="shared" si="0"/>
        <v>27</v>
      </c>
      <c r="AD12" s="77">
        <f t="shared" si="0"/>
        <v>28</v>
      </c>
      <c r="AE12" s="77">
        <v>1</v>
      </c>
      <c r="AF12" s="77">
        <v>1</v>
      </c>
      <c r="AG12" s="77">
        <v>29</v>
      </c>
      <c r="AH12" s="77">
        <f t="shared" si="0"/>
        <v>30</v>
      </c>
      <c r="AI12" s="77">
        <f t="shared" si="0"/>
        <v>31</v>
      </c>
      <c r="AJ12" s="77">
        <f t="shared" si="0"/>
        <v>32</v>
      </c>
      <c r="AK12" s="77">
        <f t="shared" si="0"/>
        <v>33</v>
      </c>
      <c r="AL12" s="77">
        <f t="shared" si="0"/>
        <v>34</v>
      </c>
      <c r="AM12" s="77">
        <f t="shared" si="0"/>
        <v>35</v>
      </c>
      <c r="AN12" s="77">
        <f t="shared" si="0"/>
        <v>36</v>
      </c>
      <c r="AO12" s="77">
        <f t="shared" si="0"/>
        <v>37</v>
      </c>
      <c r="AP12" s="78">
        <v>0.08</v>
      </c>
      <c r="AQ12" s="78">
        <v>1.4999999999999999E-2</v>
      </c>
      <c r="AR12" s="78">
        <v>0.01</v>
      </c>
      <c r="AS12" s="79">
        <v>0.01</v>
      </c>
      <c r="AT12" s="77">
        <f>AO12+1</f>
        <v>38</v>
      </c>
      <c r="AU12" s="77">
        <f t="shared" si="0"/>
        <v>39</v>
      </c>
      <c r="AV12" s="77">
        <f t="shared" si="0"/>
        <v>40</v>
      </c>
      <c r="AW12" s="77">
        <f t="shared" si="0"/>
        <v>41</v>
      </c>
      <c r="AX12" s="77">
        <f t="shared" si="0"/>
        <v>42</v>
      </c>
      <c r="AY12" s="64">
        <f>AX12+1</f>
        <v>43</v>
      </c>
      <c r="AZ12" s="43">
        <v>0.17499999999999999</v>
      </c>
      <c r="BA12" s="43">
        <v>0.03</v>
      </c>
      <c r="BB12" s="43">
        <v>0.01</v>
      </c>
      <c r="BC12" s="43">
        <v>0.02</v>
      </c>
      <c r="BD12" s="80">
        <v>114</v>
      </c>
      <c r="BE12" s="54"/>
      <c r="BF12" s="54"/>
      <c r="BG12" s="76">
        <v>1</v>
      </c>
      <c r="BH12" s="77">
        <f>BG12+1</f>
        <v>2</v>
      </c>
      <c r="BI12" s="77">
        <f t="shared" ref="BI12:CP12" si="1">BH12+1</f>
        <v>3</v>
      </c>
      <c r="BJ12" s="77">
        <f t="shared" si="1"/>
        <v>4</v>
      </c>
      <c r="BK12" s="77">
        <f t="shared" si="1"/>
        <v>5</v>
      </c>
      <c r="BL12" s="77">
        <f t="shared" si="1"/>
        <v>6</v>
      </c>
      <c r="BM12" s="77">
        <f t="shared" si="1"/>
        <v>7</v>
      </c>
      <c r="BN12" s="81" t="s">
        <v>78</v>
      </c>
      <c r="BO12" s="82">
        <v>1</v>
      </c>
      <c r="BP12" s="81" t="s">
        <v>78</v>
      </c>
      <c r="BQ12" s="81" t="s">
        <v>78</v>
      </c>
      <c r="BR12" s="82">
        <v>1.3</v>
      </c>
      <c r="BS12" s="77">
        <f t="shared" si="1"/>
        <v>2.2999999999999998</v>
      </c>
      <c r="BT12" s="81" t="s">
        <v>78</v>
      </c>
      <c r="BU12" s="82">
        <v>2</v>
      </c>
      <c r="BV12" s="81" t="s">
        <v>78</v>
      </c>
      <c r="BW12" s="81" t="s">
        <v>78</v>
      </c>
      <c r="BX12" s="82">
        <v>1.5</v>
      </c>
      <c r="BY12" s="81" t="s">
        <v>78</v>
      </c>
      <c r="BZ12" s="82">
        <v>1.5</v>
      </c>
      <c r="CA12" s="77">
        <f t="shared" si="1"/>
        <v>2.5</v>
      </c>
      <c r="CB12" s="81" t="s">
        <v>78</v>
      </c>
      <c r="CC12" s="82">
        <v>2</v>
      </c>
      <c r="CD12" s="81" t="s">
        <v>78</v>
      </c>
      <c r="CE12" s="81" t="s">
        <v>78</v>
      </c>
      <c r="CF12" s="82">
        <v>2.2999999999999998</v>
      </c>
      <c r="CG12" s="82" t="s">
        <v>78</v>
      </c>
      <c r="CH12" s="81" t="s">
        <v>78</v>
      </c>
      <c r="CI12" s="82">
        <v>2.7</v>
      </c>
      <c r="CJ12" s="81" t="s">
        <v>78</v>
      </c>
      <c r="CK12" s="81" t="s">
        <v>78</v>
      </c>
      <c r="CL12" s="82">
        <v>2</v>
      </c>
      <c r="CM12" s="81" t="s">
        <v>78</v>
      </c>
      <c r="CN12" s="81" t="s">
        <v>78</v>
      </c>
      <c r="CO12" s="82">
        <v>2</v>
      </c>
      <c r="CP12" s="77">
        <f t="shared" si="1"/>
        <v>3</v>
      </c>
      <c r="CQ12" s="81" t="s">
        <v>78</v>
      </c>
      <c r="CR12" s="82">
        <v>3</v>
      </c>
      <c r="CS12" s="82" t="s">
        <v>78</v>
      </c>
      <c r="CT12" s="81" t="s">
        <v>78</v>
      </c>
      <c r="CU12" s="82">
        <v>3.3</v>
      </c>
      <c r="CV12" s="82" t="s">
        <v>78</v>
      </c>
      <c r="CW12" s="81" t="s">
        <v>78</v>
      </c>
      <c r="CX12" s="82">
        <v>3.9</v>
      </c>
      <c r="CY12" s="81" t="s">
        <v>78</v>
      </c>
      <c r="CZ12" s="81" t="s">
        <v>78</v>
      </c>
      <c r="DA12" s="82">
        <v>3</v>
      </c>
      <c r="DB12" s="82">
        <v>3</v>
      </c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>
        <f>EM12*85%</f>
        <v>0</v>
      </c>
      <c r="EO12" s="12"/>
      <c r="EP12" s="12"/>
      <c r="EQ12" s="12"/>
      <c r="ER12" s="12"/>
      <c r="ES12" s="12"/>
      <c r="ET12" s="12"/>
      <c r="EU12" s="12"/>
      <c r="EV12" s="12"/>
      <c r="EW12" s="12"/>
      <c r="GC12" s="41" t="s">
        <v>78</v>
      </c>
      <c r="GD12" s="47">
        <v>1</v>
      </c>
      <c r="GE12" s="41" t="s">
        <v>78</v>
      </c>
      <c r="GF12" s="47">
        <v>1.3</v>
      </c>
      <c r="GG12" s="41" t="s">
        <v>78</v>
      </c>
      <c r="GH12" s="47">
        <v>2</v>
      </c>
      <c r="GI12" s="41" t="s">
        <v>78</v>
      </c>
      <c r="GJ12" s="47">
        <v>1.5</v>
      </c>
      <c r="GK12" s="41" t="s">
        <v>78</v>
      </c>
      <c r="GL12" s="47">
        <v>1.5</v>
      </c>
      <c r="GM12" s="41" t="s">
        <v>78</v>
      </c>
      <c r="GN12" s="47">
        <v>2</v>
      </c>
      <c r="GO12" s="41" t="s">
        <v>78</v>
      </c>
      <c r="GP12" s="47">
        <v>2.2999999999999998</v>
      </c>
      <c r="GQ12" s="42" t="s">
        <v>78</v>
      </c>
      <c r="GR12" s="47">
        <v>2.7</v>
      </c>
      <c r="GS12" s="41" t="s">
        <v>78</v>
      </c>
      <c r="GT12" s="47">
        <v>2</v>
      </c>
      <c r="GU12" s="41" t="s">
        <v>78</v>
      </c>
      <c r="GV12" s="47">
        <v>2</v>
      </c>
      <c r="GW12" s="42" t="s">
        <v>78</v>
      </c>
      <c r="GX12" s="47">
        <v>3</v>
      </c>
      <c r="GY12" s="42" t="s">
        <v>78</v>
      </c>
      <c r="GZ12" s="47">
        <v>3.3</v>
      </c>
      <c r="HA12" s="42" t="s">
        <v>78</v>
      </c>
      <c r="HB12" s="47">
        <v>3.9</v>
      </c>
      <c r="HC12" s="42" t="s">
        <v>78</v>
      </c>
      <c r="HD12" s="47">
        <v>3</v>
      </c>
    </row>
    <row r="13" spans="1:217" x14ac:dyDescent="0.2">
      <c r="B13" s="48"/>
      <c r="C13" s="48"/>
      <c r="D13" s="48"/>
      <c r="E13" s="49"/>
      <c r="F13" s="48"/>
      <c r="G13" s="48" t="str">
        <f>IF(EY13 &gt; 0,"Ký","")</f>
        <v/>
      </c>
      <c r="H13" s="48"/>
      <c r="I13" s="50">
        <v>0</v>
      </c>
      <c r="J13" s="50">
        <v>0</v>
      </c>
      <c r="K13" s="50">
        <v>0</v>
      </c>
      <c r="L13" s="50">
        <f>IF(FU13 = "",FT13,FU13)</f>
        <v>0</v>
      </c>
      <c r="M13" s="50">
        <v>0</v>
      </c>
      <c r="N13" s="51">
        <f>DM13*8</f>
        <v>0</v>
      </c>
      <c r="O13" s="51">
        <f>EU13+DZ13+EA13+EV13</f>
        <v>0</v>
      </c>
      <c r="P13" s="52" t="e">
        <f>SUM(I13:M13)/(HI13*8)</f>
        <v>#DIV/0!</v>
      </c>
      <c r="Q13" s="50" t="e">
        <f>I13/N13*(EU13+DZ13)</f>
        <v>#DIV/0!</v>
      </c>
      <c r="R13" s="50" t="e">
        <f>BU13+BX13+BZ13+CC13+CF13+CI13+CL13+CO13+CR13+CU13+CX13+DA13</f>
        <v>#DIV/0!</v>
      </c>
      <c r="S13" s="51">
        <f>ED13+EG13+EE13+EF13</f>
        <v>0</v>
      </c>
      <c r="T13" s="50" t="e">
        <f>IF(AND(EM13&gt;0,FG13&gt;DK13),P13*(DC13+DD13)+GA13*(DE13+DF13),(MAX(DB13,I13*0.75)*DD13 + MAX(DB13,I13)*DC13 + MAX(DB13,FV13*0.75)*DF13 + MAX(DB13,FV13)*DE13)/N13)</f>
        <v>#DIV/0!</v>
      </c>
      <c r="U13" s="51">
        <f>(DZ13+EC13+EA13+EB13)/8</f>
        <v>0</v>
      </c>
      <c r="V13" s="50" t="e">
        <f>ER13/N13*(DZ13+EU13) + HE13/N13*(EV13+EA13)</f>
        <v>#DIV/0!</v>
      </c>
      <c r="W13" s="50" t="e">
        <f>ES13/N13*(DZ13+EU13) + HF13/N13*(EA13+EV13)</f>
        <v>#DIV/0!</v>
      </c>
      <c r="X13" s="51"/>
      <c r="Y13" s="51" t="e">
        <f>EZ13/N13*(EU13+DZ13+EA13+EV13)</f>
        <v>#DIV/0!</v>
      </c>
      <c r="Z13" s="50" t="e">
        <f>EP13/N13*(DZ13+EU13) + HH13/N13*(EA13+EV13)</f>
        <v>#DIV/0!</v>
      </c>
      <c r="AA13" s="50"/>
      <c r="AB13" s="50">
        <f>IF(AND(F13="Nữ",OR(EU13 &gt; 0,EV13&gt;0)),I13/N13*1.5,0)</f>
        <v>0</v>
      </c>
      <c r="AC13" s="50" t="e">
        <f>IF(EM13&gt;0,(EM13/N13*(DZ13+EU13)+L13+Y13+T13+IF(FB13&gt;FE13,0,AB13+AJ13+AA13)) +(EO13/N13*(EA13+EV13)),(I13/N13*(EU13+DZ13)+FH13+FI13+FJ13+L13+BR13+BU13+BX13+BZ13+CC13+CF13+CI13+CL13+CO13+CR13+CU13+CX13+DA13+V13+W13+Y13+Z13+T13+IF(FB13&gt;FE13,0,AB13+AJ13+AA13)) + (GB13+FQ13+FR13+FS13))</f>
        <v>#DIV/0!</v>
      </c>
      <c r="AD13" s="50" t="e">
        <f>AC13</f>
        <v>#DIV/0!</v>
      </c>
      <c r="AE13" s="50" t="e">
        <f>(P13*BP13 + GA13*GE13)*($BR$12-1)</f>
        <v>#DIV/0!</v>
      </c>
      <c r="AF13" s="50" t="e">
        <f>IF(AND(EM13&gt;0,FG13&gt;DK13),0,P13*(BS13*($BU$12-$AF$12)+BV13*($BX$12-$AF$12)+BY13*($BZ$12-$AF$12)+CA13*($CC$12-$AF$12)+CD13*($CF$12-$AF$12)+CG13*($CI$12-$AF$12)+CJ13*($CL$12-$AF$12)+CM13*($CO$12-$AF$12)+CP13*($CR$12-$AF$12)+CS13*($CU$12-$AF$12)+CV13*($CX$12-$AF$12)+CY13*($DA$12-$AF$12))  +  GA13*(GG13*($GH$12-$AF$12)+GI13*($GJ$12-$AF$12)+GK13*($GL$12-$AF$12)+GM13*($GN$12-$AF$12)+GO13*($GP$12-$AF$12)+GQ13*($GR$12-$AF$12)+GS13*($GT$12-$AF$12)+GU13*($GV$12-$AF$12)+GW13*($GX$12-$AF$12)+GY13*($GZ$12-$AF$12)+HA13*($HB$12-$AF$12)+HC13*($HD$12-$AF$12)))</f>
        <v>#DIV/0!</v>
      </c>
      <c r="AG13" s="50"/>
      <c r="AH13" s="50" t="e">
        <f>AE13+AF13+AG13</f>
        <v>#DIV/0!</v>
      </c>
      <c r="AI13" s="50" t="e">
        <f>AH13</f>
        <v>#DIV/0!</v>
      </c>
      <c r="AJ13" s="50"/>
      <c r="AK13" s="50" t="e">
        <f>AC13-AI13+AN13</f>
        <v>#DIV/0!</v>
      </c>
      <c r="AL13" s="50" t="e">
        <f>AK13</f>
        <v>#DIV/0!</v>
      </c>
      <c r="AM13" s="50">
        <f>11000000 + ET13 * 4400000</f>
        <v>11000000</v>
      </c>
      <c r="AN13" s="50"/>
      <c r="AO13" s="50" t="e">
        <f>MAX(AK13-AM13-SUM(AP13:AR13),0)</f>
        <v>#DIV/0!</v>
      </c>
      <c r="AP13" s="50">
        <f>IF(AND(FB13&lt;FG13,FF13&lt;=14),IF(FC13&lt;FG13,ROUND((SUM(I13:L13)*$AP$12),0),ROUND(SUM(FV13:FY13)*$AP$12,0)),0)</f>
        <v>0</v>
      </c>
      <c r="AQ13" s="50">
        <f>IF(AND(FB13&lt;FG13,FF13&lt;=14),IF(FC13&lt;FG13,ROUND((SUM(I13:L13)*$AQ$12),0),ROUND(SUM(FV13:FY13)*$AQ$12,0)),0)</f>
        <v>0</v>
      </c>
      <c r="AR13" s="50">
        <f>IF(AND(FB13&lt;FG13,FF13&lt;=14),IF(FC13&lt;FG13,ROUND((SUM(I13:L13)*$AR$12),0),ROUND(SUM(FV13:FY13)*$AR$12,0)),0)</f>
        <v>0</v>
      </c>
      <c r="AS13" s="50">
        <f>IF(AND(FB13&lt;FG13,FF13&lt;=14),IF(FC13&lt;FG13,ROUND((SUM(I13:L13)*$AS$12),0),ROUND(SUM(FV13:FY13)*$AS$12,0)),0)</f>
        <v>0</v>
      </c>
      <c r="AT13" s="50" t="e">
        <f>SUMPRODUCT((AO13&gt;={0,5,10,18,32,52,80}*1000000)*(AO13-{0,5,10,18,32,52,80}*1000000))*5%</f>
        <v>#DIV/0!</v>
      </c>
      <c r="AU13" s="50" t="e">
        <f>AT13</f>
        <v>#DIV/0!</v>
      </c>
      <c r="AV13" s="50"/>
      <c r="AW13" s="50" t="e">
        <f>SUM(AP13:AT13) + AV13</f>
        <v>#DIV/0!</v>
      </c>
      <c r="AX13" s="50" t="e">
        <f>ROUND(AD13-AW13,0)</f>
        <v>#DIV/0!</v>
      </c>
      <c r="AY13" s="65"/>
      <c r="AZ13" s="50">
        <f>AP13*$AZ$12/$AP$12</f>
        <v>0</v>
      </c>
      <c r="BA13" s="50">
        <f>AQ13*$BA$12/$AQ$12</f>
        <v>0</v>
      </c>
      <c r="BB13" s="50">
        <f>AR13*$BB$12/$AR$12</f>
        <v>0</v>
      </c>
      <c r="BC13" s="50">
        <f>AS13*$BC$12/$AS$12</f>
        <v>0</v>
      </c>
      <c r="BD13" s="50">
        <f>SUM(AZ13:BC13)</f>
        <v>0</v>
      </c>
      <c r="BE13" s="45"/>
      <c r="BF13" s="45"/>
      <c r="BG13" s="66"/>
      <c r="BH13" s="48"/>
      <c r="BI13" s="48"/>
      <c r="BJ13" s="49"/>
      <c r="BK13" s="50" t="e">
        <f>I13/N13*(EU13+DZ13)</f>
        <v>#DIV/0!</v>
      </c>
      <c r="BL13" s="51">
        <f>DC13+DD13+DE13+DF13</f>
        <v>0</v>
      </c>
      <c r="BM13" s="48">
        <v>0</v>
      </c>
      <c r="BN13" s="48">
        <f>BM13+GC13</f>
        <v>0</v>
      </c>
      <c r="BO13" s="50" t="e">
        <f>P13*$BO$12*BM13+GD13</f>
        <v>#DIV/0!</v>
      </c>
      <c r="BP13" s="48">
        <v>0</v>
      </c>
      <c r="BQ13" s="48">
        <f>BP13+GE13</f>
        <v>0</v>
      </c>
      <c r="BR13" s="50" t="e">
        <f>P13*($BR$12-1)*BP13+GF13</f>
        <v>#DIV/0!</v>
      </c>
      <c r="BS13" s="48">
        <v>0</v>
      </c>
      <c r="BT13" s="48">
        <f>BS13+GG13</f>
        <v>0</v>
      </c>
      <c r="BU13" s="50" t="e">
        <f>IF(AND(EM13&gt;0,FG13&gt;DK13),0,P13*$BU$12*BS13+GH13)</f>
        <v>#DIV/0!</v>
      </c>
      <c r="BV13" s="48">
        <v>0</v>
      </c>
      <c r="BW13" s="48">
        <f>BV13+GI13</f>
        <v>0</v>
      </c>
      <c r="BX13" s="50" t="e">
        <f>IF(AND(EM13&gt;0,FG13&gt;DK13),0,P13*$BX$12*BV13+GJ13)</f>
        <v>#DIV/0!</v>
      </c>
      <c r="BY13" s="48">
        <f>DN13-DO13/1.5-DP13/1.5+DQ13-DR13/1.5-DS13/1.5</f>
        <v>0</v>
      </c>
      <c r="BZ13" s="50" t="e">
        <f>IF(AND(EM13&gt;0,FG13&gt;DK13),0,P13*$BZ$12*(DN13-DO13/1.5-DP13/1.5)+GL13)</f>
        <v>#DIV/0!</v>
      </c>
      <c r="CA13" s="48">
        <v>0</v>
      </c>
      <c r="CB13" s="48">
        <f>CA13+GM13</f>
        <v>0</v>
      </c>
      <c r="CC13" s="50" t="e">
        <f>IF(AND(EM13&gt;0,FG13&gt;DK13),0,P13*$CC$12*CA13+GN13)</f>
        <v>#DIV/0!</v>
      </c>
      <c r="CD13" s="48">
        <v>0</v>
      </c>
      <c r="CE13" s="48">
        <f>CD13+GO13</f>
        <v>0</v>
      </c>
      <c r="CF13" s="50" t="e">
        <f>IF(AND(EM13&gt;0,FG13&gt;DK13),0,P13*$CF$12*CD13+GP13)</f>
        <v>#DIV/0!</v>
      </c>
      <c r="CG13" s="48">
        <v>0</v>
      </c>
      <c r="CH13" s="48">
        <f>CG13+GQ13</f>
        <v>0</v>
      </c>
      <c r="CI13" s="50" t="e">
        <f>IF(AND(EM13&gt;0,FG13&gt;DK13),0,P13*$CI$12*CG13+GR13)</f>
        <v>#DIV/0!</v>
      </c>
      <c r="CJ13" s="48">
        <v>0</v>
      </c>
      <c r="CK13" s="48">
        <f>CJ13+GS13</f>
        <v>0</v>
      </c>
      <c r="CL13" s="50" t="e">
        <f>IF(AND(EM13&gt;0,FG13&gt;DK13),0,P13*$CL$12*CJ13+GT13)</f>
        <v>#DIV/0!</v>
      </c>
      <c r="CM13" s="48">
        <v>0</v>
      </c>
      <c r="CN13" s="48">
        <f>CM13+GU13</f>
        <v>0</v>
      </c>
      <c r="CO13" s="50" t="e">
        <f>IF(AND(EM13&gt;0,FG13&gt;DK13),0,P13*$CO$12*CM13+GV13)</f>
        <v>#DIV/0!</v>
      </c>
      <c r="CP13" s="48">
        <v>0</v>
      </c>
      <c r="CQ13" s="48">
        <f>CP13+GW13</f>
        <v>0</v>
      </c>
      <c r="CR13" s="50" t="e">
        <f>IF(AND(EM13&gt;0,FG13&gt;DK13),0,P13*$CR$12*CP13+GX13)</f>
        <v>#DIV/0!</v>
      </c>
      <c r="CS13" s="48">
        <v>0</v>
      </c>
      <c r="CT13" s="48">
        <f>CS13+GY13</f>
        <v>0</v>
      </c>
      <c r="CU13" s="50" t="e">
        <f>IF(AND(EM13&gt;0,FG13&gt;DK13),0,P13*($CU$12-130%)*CS13+GZ13)</f>
        <v>#DIV/0!</v>
      </c>
      <c r="CV13" s="48">
        <v>0</v>
      </c>
      <c r="CW13" s="48">
        <f>CV13+HA13</f>
        <v>0</v>
      </c>
      <c r="CX13" s="50" t="e">
        <f>IF(AND(EM13&gt;0,FG13&gt;DK13),0,P13*$CX$12*CV13+HB13)</f>
        <v>#DIV/0!</v>
      </c>
      <c r="CY13" s="48">
        <v>0</v>
      </c>
      <c r="CZ13" s="48">
        <f>CY13+HC13</f>
        <v>0</v>
      </c>
      <c r="DA13" s="67" t="e">
        <f>IF(AND(EM13&gt;0,FG13&gt;DK13),0,P13*$DA$12*CY13+HD13)</f>
        <v>#DIV/0!</v>
      </c>
      <c r="DB13" s="45"/>
      <c r="DC13" s="45"/>
      <c r="DD13" s="45"/>
      <c r="DE13" s="45"/>
      <c r="DF13" s="45"/>
      <c r="DG13" s="45"/>
      <c r="DH13" s="45"/>
      <c r="DI13" s="45"/>
      <c r="DJ13" s="45"/>
      <c r="DK13" s="53">
        <v>44317</v>
      </c>
      <c r="DL13" s="45"/>
      <c r="DM13" s="45"/>
      <c r="DN13" s="45"/>
      <c r="DO13" s="54"/>
      <c r="DP13" s="54"/>
      <c r="DQ13" s="54"/>
      <c r="DR13" s="54"/>
      <c r="DS13" s="54"/>
      <c r="DT13" s="54"/>
      <c r="DU13" s="54"/>
      <c r="DV13" s="54"/>
      <c r="DW13" s="54"/>
      <c r="EN13" s="3">
        <f>EM13*85%</f>
        <v>0</v>
      </c>
      <c r="EP13" s="55">
        <f>EK13-I13-J13-K13-M13-ER13-ES13</f>
        <v>0</v>
      </c>
      <c r="EQ13" s="55">
        <f>EL13-(I13+J13+K13+M13+ER13+ES13)*85%</f>
        <v>0</v>
      </c>
      <c r="FF13" s="3">
        <f>(DM13*8-DZ13-EA13-EU13-EV13)/8</f>
        <v>0</v>
      </c>
      <c r="FG13" s="46">
        <f>DATE($A$5,$A$4,15)</f>
        <v>1932</v>
      </c>
      <c r="FH13" s="3" t="e">
        <f>(DZ13+EU13)/N13*J13</f>
        <v>#DIV/0!</v>
      </c>
      <c r="FI13" s="3" t="e">
        <f>(DZ13+EU13)/N13*K13</f>
        <v>#DIV/0!</v>
      </c>
      <c r="FJ13" s="3" t="e">
        <f>(DZ13+EU13)/N13*M13</f>
        <v>#DIV/0!</v>
      </c>
      <c r="FK13" s="3" t="e">
        <f>85%*#REF!/N13*J13</f>
        <v>#REF!</v>
      </c>
      <c r="FL13" s="3" t="e">
        <f>85%*#REF!/N13*K13</f>
        <v>#REF!</v>
      </c>
      <c r="FM13" s="3" t="e">
        <f>85%*#REF!/N13*M13</f>
        <v>#REF!</v>
      </c>
      <c r="FN13" s="3" t="e">
        <f>#REF!/N13*J13</f>
        <v>#REF!</v>
      </c>
      <c r="FO13" s="3" t="e">
        <f>#REF!/N13*K13</f>
        <v>#REF!</v>
      </c>
      <c r="FP13" s="3" t="e">
        <f>#REF!/N13*M13</f>
        <v>#REF!</v>
      </c>
      <c r="FQ13" s="3" t="e">
        <f>(EA13+EV13)/N13*FW13</f>
        <v>#DIV/0!</v>
      </c>
      <c r="FR13" s="3" t="e">
        <f>(EA13+EV13)/N13*FX13</f>
        <v>#DIV/0!</v>
      </c>
      <c r="FS13" s="3" t="e">
        <f>(EA13+EV13)/N13*FZ13</f>
        <v>#DIV/0!</v>
      </c>
      <c r="FV13" s="3">
        <v>0</v>
      </c>
      <c r="FW13" s="3">
        <v>0</v>
      </c>
      <c r="FX13" s="3">
        <v>0</v>
      </c>
      <c r="FY13" s="3">
        <f>IF(FU13 = "",FT13,FU13)</f>
        <v>0</v>
      </c>
      <c r="FZ13" s="3">
        <v>0</v>
      </c>
      <c r="GA13" s="3" t="e">
        <f>SUM(FV13:FZ13)/N13</f>
        <v>#DIV/0!</v>
      </c>
      <c r="GB13" s="3" t="e">
        <f>FV13/N13*(EA13+EV13)</f>
        <v>#DIV/0!</v>
      </c>
      <c r="GC13" s="3">
        <v>0</v>
      </c>
      <c r="GD13" s="3" t="e">
        <f>GC13*$GD$12*GA13</f>
        <v>#DIV/0!</v>
      </c>
      <c r="GE13" s="3">
        <v>0</v>
      </c>
      <c r="GF13" s="3" t="e">
        <f>GA13*GE13*($GF$12-1)</f>
        <v>#DIV/0!</v>
      </c>
      <c r="GG13" s="3">
        <v>0</v>
      </c>
      <c r="GH13" s="3" t="e">
        <f>GA13*GG13*$GH$12</f>
        <v>#DIV/0!</v>
      </c>
      <c r="GI13" s="3">
        <v>0</v>
      </c>
      <c r="GJ13" s="3" t="e">
        <f>GA13*GI13*$GJ$12</f>
        <v>#DIV/0!</v>
      </c>
      <c r="GK13" s="3">
        <f>DQ13-DR13/1.5-DS13/1.5</f>
        <v>0</v>
      </c>
      <c r="GL13" s="3" t="e">
        <f>GA13*GK13*$GL$12</f>
        <v>#DIV/0!</v>
      </c>
      <c r="GM13" s="3">
        <v>0</v>
      </c>
      <c r="GN13" s="3" t="e">
        <f>GA13*GM13*$GN$12</f>
        <v>#DIV/0!</v>
      </c>
      <c r="GO13" s="3">
        <v>0</v>
      </c>
      <c r="GP13" s="3" t="e">
        <f>GA13*GO13*$GP$12</f>
        <v>#DIV/0!</v>
      </c>
      <c r="GQ13" s="3">
        <v>0</v>
      </c>
      <c r="GR13" s="3" t="e">
        <f>GA13*GQ13*$GR$12</f>
        <v>#DIV/0!</v>
      </c>
      <c r="GS13" s="3">
        <v>0</v>
      </c>
      <c r="GT13" s="3" t="e">
        <f>GA13*GS13*$GT$12</f>
        <v>#DIV/0!</v>
      </c>
      <c r="GU13" s="3">
        <v>0</v>
      </c>
      <c r="GV13" s="3" t="e">
        <f>GA13*GU13*$GV$12</f>
        <v>#DIV/0!</v>
      </c>
      <c r="GW13" s="3">
        <v>0</v>
      </c>
      <c r="GX13" s="3" t="e">
        <f>GA13*GW13*$GX$12</f>
        <v>#DIV/0!</v>
      </c>
      <c r="GY13" s="3">
        <v>0</v>
      </c>
      <c r="GZ13" s="3" t="e">
        <f>GA13*GY13*($GZ$12-130%)</f>
        <v>#DIV/0!</v>
      </c>
      <c r="HA13" s="3">
        <v>0</v>
      </c>
      <c r="HB13" s="3" t="e">
        <f>GA13*HA13*$HB$12</f>
        <v>#DIV/0!</v>
      </c>
      <c r="HC13" s="3">
        <v>0</v>
      </c>
      <c r="HD13" s="3" t="e">
        <f>GA13*HC13*$HD$12</f>
        <v>#DIV/0!</v>
      </c>
      <c r="HE13" s="3">
        <v>0</v>
      </c>
      <c r="HF13" s="3">
        <v>0</v>
      </c>
      <c r="HG13" s="3">
        <v>0</v>
      </c>
      <c r="HH13" s="3">
        <f>HG13-FV13-FW13-FX13-FZ13-HF13-HE13</f>
        <v>0</v>
      </c>
    </row>
    <row r="15" spans="1:217" customFormat="1" ht="15" x14ac:dyDescent="0.25">
      <c r="AP15" s="55"/>
    </row>
    <row r="16" spans="1:217" customFormat="1" ht="15" x14ac:dyDescent="0.25"/>
    <row r="17" customFormat="1" ht="15" x14ac:dyDescent="0.25"/>
    <row r="18" customFormat="1" ht="15" x14ac:dyDescent="0.25"/>
    <row r="19" customFormat="1" ht="15" x14ac:dyDescent="0.25"/>
    <row r="20" customFormat="1" ht="15" x14ac:dyDescent="0.25"/>
  </sheetData>
  <autoFilter ref="A12:DO12" xr:uid="{00000000-0009-0000-0000-000000000000}"/>
  <mergeCells count="81">
    <mergeCell ref="HI10:HI11"/>
    <mergeCell ref="GM11:GN11"/>
    <mergeCell ref="GO11:GP11"/>
    <mergeCell ref="HG10:HG11"/>
    <mergeCell ref="HF10:HF11"/>
    <mergeCell ref="HH10:HH11"/>
    <mergeCell ref="GY11:GZ11"/>
    <mergeCell ref="HA11:HB11"/>
    <mergeCell ref="HC11:HD11"/>
    <mergeCell ref="GW10:HD10"/>
    <mergeCell ref="HE10:HE11"/>
    <mergeCell ref="GQ11:GR11"/>
    <mergeCell ref="GS11:GT11"/>
    <mergeCell ref="GU11:GV11"/>
    <mergeCell ref="GM10:GV10"/>
    <mergeCell ref="GW11:GX11"/>
    <mergeCell ref="GB10:GB11"/>
    <mergeCell ref="GG11:GH11"/>
    <mergeCell ref="FQ10:FS10"/>
    <mergeCell ref="GK11:GL11"/>
    <mergeCell ref="GG10:GL10"/>
    <mergeCell ref="GC11:GD11"/>
    <mergeCell ref="GE11:GF11"/>
    <mergeCell ref="GC10:GF10"/>
    <mergeCell ref="GI11:GJ11"/>
    <mergeCell ref="DG10:DH10"/>
    <mergeCell ref="DI10:DJ10"/>
    <mergeCell ref="DE10:DF10"/>
    <mergeCell ref="FV10:FV11"/>
    <mergeCell ref="GA10:GA11"/>
    <mergeCell ref="FW10:FZ10"/>
    <mergeCell ref="FN10:FP10"/>
    <mergeCell ref="FH10:FJ10"/>
    <mergeCell ref="FK10:FM10"/>
    <mergeCell ref="DC10:DD10"/>
    <mergeCell ref="AC10:AC11"/>
    <mergeCell ref="S10:S11"/>
    <mergeCell ref="X10:X11"/>
    <mergeCell ref="AD10:AD11"/>
    <mergeCell ref="AZ10:BD10"/>
    <mergeCell ref="AP10:AW10"/>
    <mergeCell ref="AI10:AI11"/>
    <mergeCell ref="CP11:CR11"/>
    <mergeCell ref="CM11:CO11"/>
    <mergeCell ref="BM11:BO11"/>
    <mergeCell ref="AK10:AO10"/>
    <mergeCell ref="CV11:CX11"/>
    <mergeCell ref="CY11:DA11"/>
    <mergeCell ref="CS11:CU11"/>
    <mergeCell ref="V10:V11"/>
    <mergeCell ref="G10:G11"/>
    <mergeCell ref="CP10:DA10"/>
    <mergeCell ref="J10:M10"/>
    <mergeCell ref="N10:N11"/>
    <mergeCell ref="CA10:CO10"/>
    <mergeCell ref="CJ11:CL11"/>
    <mergeCell ref="BV11:BX11"/>
    <mergeCell ref="BY11:BZ11"/>
    <mergeCell ref="CA11:CC11"/>
    <mergeCell ref="T10:T11"/>
    <mergeCell ref="BP11:BR11"/>
    <mergeCell ref="BS10:BZ10"/>
    <mergeCell ref="BS11:BU11"/>
    <mergeCell ref="BM10:BR10"/>
    <mergeCell ref="CG11:CI11"/>
    <mergeCell ref="CD11:CF11"/>
    <mergeCell ref="W10:W11"/>
    <mergeCell ref="Y10:Y11"/>
    <mergeCell ref="Z10:Z11"/>
    <mergeCell ref="BL10:BL11"/>
    <mergeCell ref="AX10:AX11"/>
    <mergeCell ref="AB10:AB11"/>
    <mergeCell ref="AJ10:AJ11"/>
    <mergeCell ref="AE10:AH10"/>
    <mergeCell ref="BK10:BK11"/>
    <mergeCell ref="AA10:AA11"/>
    <mergeCell ref="O10:O11"/>
    <mergeCell ref="P10:P11"/>
    <mergeCell ref="Q10:Q11"/>
    <mergeCell ref="R10:R11"/>
    <mergeCell ref="U10:U11"/>
  </mergeCells>
  <conditionalFormatting sqref="AK13:AL14 AK21:AL2871">
    <cfRule type="cellIs" dxfId="0" priority="1" operator="greaterThan">
      <formula>11000000</formula>
    </cfRule>
  </conditionalFormatting>
  <pageMargins left="0.19685039370078741" right="0.19685039370078741" top="0.11811023622047245" bottom="0.11811023622047245" header="0" footer="0"/>
  <pageSetup paperSize="8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2021-10-07T08:52:09Z</dcterms:modified>
</cp:coreProperties>
</file>