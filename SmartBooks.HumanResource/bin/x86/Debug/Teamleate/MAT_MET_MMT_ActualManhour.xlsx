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D:\SourceCodeHR\Myongshin\SmartBooks.HumanResource\bin\x86\Debug\Teamleate\"/>
    </mc:Choice>
  </mc:AlternateContent>
  <xr:revisionPtr revIDLastSave="0" documentId="13_ncr:1_{049CCAB9-EB8F-40E0-95DE-A4CA53EE44D1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Sheet1" sheetId="1" state="hidden" r:id="rId1"/>
    <sheet name="Summary" sheetId="3" r:id="rId2"/>
  </sheets>
  <externalReferences>
    <externalReference r:id="rId3"/>
    <externalReference r:id="rId4"/>
  </externalReferences>
  <definedNames>
    <definedName name="_11m7_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_8EV1_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_Fill" hidden="1">#REF!</definedName>
    <definedName name="_xlnm._FilterDatabase" hidden="1">#REF!</definedName>
    <definedName name="_Order1" hidden="1">255</definedName>
    <definedName name="_Order2" hidden="1">255</definedName>
    <definedName name="_Sort" hidden="1">#REF!</definedName>
    <definedName name="_Table1_In1" hidden="1">[1]노동부!#REF!</definedName>
    <definedName name="_Table1_Out" hidden="1">[1]노동부!#REF!</definedName>
    <definedName name="_Table2_In1" hidden="1">[1]노동부!#REF!</definedName>
    <definedName name="_Table2_In2" hidden="1">[1]노동부!#REF!</definedName>
    <definedName name="_Table2_Out" hidden="1">[1]노동부!#REF!</definedName>
    <definedName name="aa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aaa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aaaaa" hidden="1">#REF!</definedName>
    <definedName name="AccessDatabase" hidden="1">"C:\pch\99ACTION PALN.mdb"</definedName>
    <definedName name="agenda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Agenda2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agenda3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BB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BDC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CADCAE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CO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cri" hidden="1">{#N/A,#N/A,FALSE,"1.CRITERIA";#N/A,#N/A,FALSE,"2.IS";#N/A,#N/A,FALSE,"3.BS";#N/A,#N/A,FALSE,"4.PER PL";#N/A,#N/A,FALSE,"5.INVESTMENT";#N/A,#N/A,FALSE,"6.공문";#N/A,#N/A,FALSE,"7.netinvest"}</definedName>
    <definedName name="cria" hidden="1">{#N/A,#N/A,FALSE,"1.CRITERIA";#N/A,#N/A,FALSE,"2.IS";#N/A,#N/A,FALSE,"3.BS";#N/A,#N/A,FALSE,"4.PER PL";#N/A,#N/A,FALSE,"5.INVESTMENT";#N/A,#N/A,FALSE,"6.공문";#N/A,#N/A,FALSE,"7.netinvest"}</definedName>
    <definedName name="criteria1" hidden="1">{#N/A,#N/A,FALSE,"1.CRITERIA";#N/A,#N/A,FALSE,"2.IS";#N/A,#N/A,FALSE,"3.BS";#N/A,#N/A,FALSE,"4.PER PL";#N/A,#N/A,FALSE,"5.INVESTMENT";#N/A,#N/A,FALSE,"6.공문";#N/A,#N/A,FALSE,"7.netinvest"}</definedName>
    <definedName name="criteriai" hidden="1">{#N/A,#N/A,FALSE,"1.CRITERIA";#N/A,#N/A,FALSE,"2.IS";#N/A,#N/A,FALSE,"3.BS";#N/A,#N/A,FALSE,"4.PER PL";#N/A,#N/A,FALSE,"5.INVESTMENT";#N/A,#N/A,FALSE,"6.공문";#N/A,#N/A,FALSE,"7.netinvest"}</definedName>
    <definedName name="D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dd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dividend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E" hidden="1">{#N/A,#N/A,FALSE,"1.CRITERIA";#N/A,#N/A,FALSE,"2.IS";#N/A,#N/A,FALSE,"3.BS";#N/A,#N/A,FALSE,"4.PER PL";#N/A,#N/A,FALSE,"5.INVESTMENT";#N/A,#N/A,FALSE,"6.공문";#N/A,#N/A,FALSE,"7.netinvest"}</definedName>
    <definedName name="ignition" hidden="1">{#N/A,#N/A,FALSE,"1.CRITERIA";#N/A,#N/A,FALSE,"2.IS";#N/A,#N/A,FALSE,"3.BS";#N/A,#N/A,FALSE,"4.PER PL";#N/A,#N/A,FALSE,"5.INVESTMENT";#N/A,#N/A,FALSE,"6.공문";#N/A,#N/A,FALSE,"7.netinvest"}</definedName>
    <definedName name="invest1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q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summary2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tdtf" hidden="1">{#N/A,#N/A,FALSE,"1.CRITERIA";#N/A,#N/A,FALSE,"2.IS";#N/A,#N/A,FALSE,"3.BS";#N/A,#N/A,FALSE,"4.PER PL";#N/A,#N/A,FALSE,"5.INVESTMENT";#N/A,#N/A,FALSE,"6.공문";#N/A,#N/A,FALSE,"7.netinvest"}</definedName>
    <definedName name="Travel_비용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Q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rn.BPDATA.96.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wrn.criteria.95p." hidden="1">{#N/A,#N/A,FALSE,"1.CRITERIA";#N/A,#N/A,FALSE,"2.IS";#N/A,#N/A,FALSE,"3.BS";#N/A,#N/A,FALSE,"4.PER PL";#N/A,#N/A,FALSE,"5.INVESTMENT";#N/A,#N/A,FALSE,"6.공문";#N/A,#N/A,FALSE,"7.netinvest"}</definedName>
    <definedName name="wrn.criteriai.95p." hidden="1">{#N/A,#N/A,FALSE,"1.CRITERIA";#N/A,#N/A,FALSE,"2.IS";#N/A,#N/A,FALSE,"3.BS";#N/A,#N/A,FALSE,"4.PER PL";#N/A,#N/A,FALSE,"5.INVESTMENT";#N/A,#N/A,FALSE,"6.공문";#N/A,#N/A,FALSE,"7.netinvest"}</definedName>
    <definedName name="wrn.Invest.678.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wrn.mapsen.fsm.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wrn.mapsens.fsm.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wwasqw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Z_E8FEE9A5_163A_11D2_AED0_0000E81DA68C_.wvu.Rows" hidden="1">#REF!</definedName>
    <definedName name="ㄱ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ㄱㄱㄱ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ㄱㄱㄱㄱ" hidden="1">{#N/A,#N/A,FALSE,"1.CRITERIA";#N/A,#N/A,FALSE,"2.IS";#N/A,#N/A,FALSE,"3.BS";#N/A,#N/A,FALSE,"4.PER PL";#N/A,#N/A,FALSE,"5.INVESTMENT";#N/A,#N/A,FALSE,"6.공문";#N/A,#N/A,FALSE,"7.netinvest"}</definedName>
    <definedName name="가라" hidden="1">{#N/A,#N/A,FALSE,"1.CRITERIA";#N/A,#N/A,FALSE,"2.IS";#N/A,#N/A,FALSE,"3.BS";#N/A,#N/A,FALSE,"4.PER PL";#N/A,#N/A,FALSE,"5.INVESTMENT";#N/A,#N/A,FALSE,"6.공문";#N/A,#N/A,FALSE,"7.netinvest"}</definedName>
    <definedName name="가아차" hidden="1">{#N/A,#N/A,FALSE,"1.CRITERIA";#N/A,#N/A,FALSE,"2.IS";#N/A,#N/A,FALSE,"3.BS";#N/A,#N/A,FALSE,"4.PER PL";#N/A,#N/A,FALSE,"5.INVESTMENT";#N/A,#N/A,FALSE,"6.공문";#N/A,#N/A,FALSE,"7.netinvest"}</definedName>
    <definedName name="강" hidden="1">{#N/A,#N/A,FALSE,"1.CRITERIA";#N/A,#N/A,FALSE,"2.IS";#N/A,#N/A,FALSE,"3.BS";#N/A,#N/A,FALSE,"4.PER PL";#N/A,#N/A,FALSE,"5.INVESTMENT";#N/A,#N/A,FALSE,"6.공문";#N/A,#N/A,FALSE,"7.netinvest"}</definedName>
    <definedName name="거" hidden="1">{#N/A,#N/A,FALSE,"1.CRITERIA";#N/A,#N/A,FALSE,"2.IS";#N/A,#N/A,FALSE,"3.BS";#N/A,#N/A,FALSE,"4.PER PL";#N/A,#N/A,FALSE,"5.INVESTMENT";#N/A,#N/A,FALSE,"6.공문";#N/A,#N/A,FALSE,"7.netinvest"}</definedName>
    <definedName name="거이" hidden="1">{#N/A,#N/A,FALSE,"1.CRITERIA";#N/A,#N/A,FALSE,"2.IS";#N/A,#N/A,FALSE,"3.BS";#N/A,#N/A,FALSE,"4.PER PL";#N/A,#N/A,FALSE,"5.INVESTMENT";#N/A,#N/A,FALSE,"6.공문";#N/A,#N/A,FALSE,"7.netinvest"}</definedName>
    <definedName name="계산" hidden="1">{#N/A,#N/A,FALSE,"1.CRITERIA";#N/A,#N/A,FALSE,"2.IS";#N/A,#N/A,FALSE,"3.BS";#N/A,#N/A,FALSE,"4.PER PL";#N/A,#N/A,FALSE,"5.INVESTMENT";#N/A,#N/A,FALSE,"6.공문";#N/A,#N/A,FALSE,"7.netinvest"}</definedName>
    <definedName name="고객만족" hidden="1">{#N/A,#N/A,FALSE,"1.CRITERIA";#N/A,#N/A,FALSE,"2.IS";#N/A,#N/A,FALSE,"3.BS";#N/A,#N/A,FALSE,"4.PER PL";#N/A,#N/A,FALSE,"5.INVESTMENT";#N/A,#N/A,FALSE,"6.공문";#N/A,#N/A,FALSE,"7.netinvest"}</definedName>
    <definedName name="기본agenda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기아" hidden="1">{#N/A,#N/A,FALSE,"1.CRITERIA";#N/A,#N/A,FALSE,"2.IS";#N/A,#N/A,FALSE,"3.BS";#N/A,#N/A,FALSE,"4.PER PL";#N/A,#N/A,FALSE,"5.INVESTMENT";#N/A,#N/A,FALSE,"6.공문";#N/A,#N/A,FALSE,"7.netinvest"}</definedName>
    <definedName name="기아차" hidden="1">{#N/A,#N/A,FALSE,"1.CRITERIA";#N/A,#N/A,FALSE,"2.IS";#N/A,#N/A,FALSE,"3.BS";#N/A,#N/A,FALSE,"4.PER PL";#N/A,#N/A,FALSE,"5.INVESTMENT";#N/A,#N/A,FALSE,"6.공문";#N/A,#N/A,FALSE,"7.netinvest"}</definedName>
    <definedName name="깅이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ㄴ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ㄴㄴ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ㄴㄹㅊㄴㅊ" hidden="1">{#N/A,#N/A,FALSE,"1.CRITERIA";#N/A,#N/A,FALSE,"2.IS";#N/A,#N/A,FALSE,"3.BS";#N/A,#N/A,FALSE,"4.PER PL";#N/A,#N/A,FALSE,"5.INVESTMENT";#N/A,#N/A,FALSE,"6.공문";#N/A,#N/A,FALSE,"7.netinvest"}</definedName>
    <definedName name="나" hidden="1">{#N/A,#N/A,FALSE,"1.CRITERIA";#N/A,#N/A,FALSE,"2.IS";#N/A,#N/A,FALSE,"3.BS";#N/A,#N/A,FALSE,"4.PER PL";#N/A,#N/A,FALSE,"5.INVESTMENT";#N/A,#N/A,FALSE,"6.공문";#N/A,#N/A,FALSE,"7.netinvest"}</definedName>
    <definedName name="나라" hidden="1">{#N/A,#N/A,FALSE,"1.CRITERIA";#N/A,#N/A,FALSE,"2.IS";#N/A,#N/A,FALSE,"3.BS";#N/A,#N/A,FALSE,"4.PER PL";#N/A,#N/A,FALSE,"5.INVESTMENT";#N/A,#N/A,FALSE,"6.공문";#N/A,#N/A,FALSE,"7.netinvest"}</definedName>
    <definedName name="너" hidden="1">{#N/A,#N/A,FALSE,"1.CRITERIA";#N/A,#N/A,FALSE,"2.IS";#N/A,#N/A,FALSE,"3.BS";#N/A,#N/A,FALSE,"4.PER PL";#N/A,#N/A,FALSE,"5.INVESTMENT";#N/A,#N/A,FALSE,"6.공문";#N/A,#N/A,FALSE,"7.netinvest"}</definedName>
    <definedName name="다" hidden="1">{#N/A,#N/A,FALSE,"1.CRITERIA";#N/A,#N/A,FALSE,"2.IS";#N/A,#N/A,FALSE,"3.BS";#N/A,#N/A,FALSE,"4.PER PL";#N/A,#N/A,FALSE,"5.INVESTMENT";#N/A,#N/A,FALSE,"6.공문";#N/A,#N/A,FALSE,"7.netinvest"}</definedName>
    <definedName name="ㄹㄹ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라" hidden="1">{#N/A,#N/A,FALSE,"1.CRITERIA";#N/A,#N/A,FALSE,"2.IS";#N/A,#N/A,FALSE,"3.BS";#N/A,#N/A,FALSE,"4.PER PL";#N/A,#N/A,FALSE,"5.INVESTMENT";#N/A,#N/A,FALSE,"6.공문";#N/A,#N/A,FALSE,"7.netinvest"}</definedName>
    <definedName name="ㅁ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ㅁㅁ" hidden="1">{#N/A,#N/A,FALSE,"1.CRITERIA";#N/A,#N/A,FALSE,"2.IS";#N/A,#N/A,FALSE,"3.BS";#N/A,#N/A,FALSE,"4.PER PL";#N/A,#N/A,FALSE,"5.INVESTMENT";#N/A,#N/A,FALSE,"6.공문";#N/A,#N/A,FALSE,"7.netinvest"}</definedName>
    <definedName name="ㅁㅁㅁ" hidden="1">{#N/A,#N/A,FALSE,"1.CRITERIA";#N/A,#N/A,FALSE,"2.IS";#N/A,#N/A,FALSE,"3.BS";#N/A,#N/A,FALSE,"4.PER PL";#N/A,#N/A,FALSE,"5.INVESTMENT";#N/A,#N/A,FALSE,"6.공문";#N/A,#N/A,FALSE,"7.netinvest"}</definedName>
    <definedName name="마마" hidden="1">{#N/A,#N/A,FALSE,"1.CRITERIA";#N/A,#N/A,FALSE,"2.IS";#N/A,#N/A,FALSE,"3.BS";#N/A,#N/A,FALSE,"4.PER PL";#N/A,#N/A,FALSE,"5.INVESTMENT";#N/A,#N/A,FALSE,"6.공문";#N/A,#N/A,FALSE,"7.netinvest"}</definedName>
    <definedName name="마마오" hidden="1">{#N/A,#N/A,FALSE,"1.CRITERIA";#N/A,#N/A,FALSE,"2.IS";#N/A,#N/A,FALSE,"3.BS";#N/A,#N/A,FALSE,"4.PER PL";#N/A,#N/A,FALSE,"5.INVESTMENT";#N/A,#N/A,FALSE,"6.공문";#N/A,#N/A,FALSE,"7.netinvest"}</definedName>
    <definedName name="마마이" hidden="1">{#N/A,#N/A,FALSE,"1.CRITERIA";#N/A,#N/A,FALSE,"2.IS";#N/A,#N/A,FALSE,"3.BS";#N/A,#N/A,FALSE,"4.PER PL";#N/A,#N/A,FALSE,"5.INVESTMENT";#N/A,#N/A,FALSE,"6.공문";#N/A,#N/A,FALSE,"7.netinvest"}</definedName>
    <definedName name="마아" hidden="1">{#N/A,#N/A,FALSE,"1.CRITERIA";#N/A,#N/A,FALSE,"2.IS";#N/A,#N/A,FALSE,"3.BS";#N/A,#N/A,FALSE,"4.PER PL";#N/A,#N/A,FALSE,"5.INVESTMENT";#N/A,#N/A,FALSE,"6.공문";#N/A,#N/A,FALSE,"7.netinvest"}</definedName>
    <definedName name="매축액2" hidden="1">{#N/A,#N/A,FALSE,"1.CRITERIA";#N/A,#N/A,FALSE,"2.IS";#N/A,#N/A,FALSE,"3.BS";#N/A,#N/A,FALSE,"4.PER PL";#N/A,#N/A,FALSE,"5.INVESTMENT";#N/A,#N/A,FALSE,"6.공문";#N/A,#N/A,FALSE,"7.netinvest"}</definedName>
    <definedName name="매출액2" hidden="1">{#N/A,#N/A,FALSE,"1.CRITERIA";#N/A,#N/A,FALSE,"2.IS";#N/A,#N/A,FALSE,"3.BS";#N/A,#N/A,FALSE,"4.PER PL";#N/A,#N/A,FALSE,"5.INVESTMENT";#N/A,#N/A,FALSE,"6.공문";#N/A,#N/A,FALSE,"7.netinvest"}</definedName>
    <definedName name="머머" hidden="1">{#N/A,#N/A,FALSE,"1.CRITERIA";#N/A,#N/A,FALSE,"2.IS";#N/A,#N/A,FALSE,"3.BS";#N/A,#N/A,FALSE,"4.PER PL";#N/A,#N/A,FALSE,"5.INVESTMENT";#N/A,#N/A,FALSE,"6.공문";#N/A,#N/A,FALSE,"7.netinvest"}</definedName>
    <definedName name="며며" hidden="1">{#N/A,#N/A,FALSE,"1.CRITERIA";#N/A,#N/A,FALSE,"2.IS";#N/A,#N/A,FALSE,"3.BS";#N/A,#N/A,FALSE,"4.PER PL";#N/A,#N/A,FALSE,"5.INVESTMENT";#N/A,#N/A,FALSE,"6.공문";#N/A,#N/A,FALSE,"7.netinvest"}</definedName>
    <definedName name="모모" hidden="1">{#N/A,#N/A,FALSE,"1.CRITERIA";#N/A,#N/A,FALSE,"2.IS";#N/A,#N/A,FALSE,"3.BS";#N/A,#N/A,FALSE,"4.PER PL";#N/A,#N/A,FALSE,"5.INVESTMENT";#N/A,#N/A,FALSE,"6.공문";#N/A,#N/A,FALSE,"7.netinvest"}</definedName>
    <definedName name="무무" hidden="1">{#N/A,#N/A,FALSE,"1.CRITERIA";#N/A,#N/A,FALSE,"2.IS";#N/A,#N/A,FALSE,"3.BS";#N/A,#N/A,FALSE,"4.PER PL";#N/A,#N/A,FALSE,"5.INVESTMENT";#N/A,#N/A,FALSE,"6.공문";#N/A,#N/A,FALSE,"7.netinvest"}</definedName>
    <definedName name="뮤뮤" hidden="1">{#N/A,#N/A,FALSE,"1.CRITERIA";#N/A,#N/A,FALSE,"2.IS";#N/A,#N/A,FALSE,"3.BS";#N/A,#N/A,FALSE,"4.PER PL";#N/A,#N/A,FALSE,"5.INVESTMENT";#N/A,#N/A,FALSE,"6.공문";#N/A,#N/A,FALSE,"7.netinvest"}</definedName>
    <definedName name="미미" hidden="1">{#N/A,#N/A,FALSE,"1.CRITERIA";#N/A,#N/A,FALSE,"2.IS";#N/A,#N/A,FALSE,"3.BS";#N/A,#N/A,FALSE,"4.PER PL";#N/A,#N/A,FALSE,"5.INVESTMENT";#N/A,#N/A,FALSE,"6.공문";#N/A,#N/A,FALSE,"7.netinvest"}</definedName>
    <definedName name="미수금" hidden="1">{#N/A,#N/A,FALSE,"1.CRITERIA";#N/A,#N/A,FALSE,"2.IS";#N/A,#N/A,FALSE,"3.BS";#N/A,#N/A,FALSE,"4.PER PL";#N/A,#N/A,FALSE,"5.INVESTMENT";#N/A,#N/A,FALSE,"6.공문";#N/A,#N/A,FALSE,"7.netinvest"}</definedName>
    <definedName name="ㅂㅂㅂ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바" hidden="1">{#N/A,#N/A,FALSE,"1.CRITERIA";#N/A,#N/A,FALSE,"2.IS";#N/A,#N/A,FALSE,"3.BS";#N/A,#N/A,FALSE,"4.PER PL";#N/A,#N/A,FALSE,"5.INVESTMENT";#N/A,#N/A,FALSE,"6.공문";#N/A,#N/A,FALSE,"7.netinvest"}</definedName>
    <definedName name="바라" hidden="1">{#N/A,#N/A,FALSE,"1.CRITERIA";#N/A,#N/A,FALSE,"2.IS";#N/A,#N/A,FALSE,"3.BS";#N/A,#N/A,FALSE,"4.PER PL";#N/A,#N/A,FALSE,"5.INVESTMENT";#N/A,#N/A,FALSE,"6.공문";#N/A,#N/A,FALSE,"7.netinvest"}</definedName>
    <definedName name="바바" hidden="1">{#N/A,#N/A,FALSE,"1.CRITERIA";#N/A,#N/A,FALSE,"2.IS";#N/A,#N/A,FALSE,"3.BS";#N/A,#N/A,FALSE,"4.PER PL";#N/A,#N/A,FALSE,"5.INVESTMENT";#N/A,#N/A,FALSE,"6.공문";#N/A,#N/A,FALSE,"7.netinvest"}</definedName>
    <definedName name="바이" hidden="1">{#N/A,#N/A,FALSE,"1.CRITERIA";#N/A,#N/A,FALSE,"2.IS";#N/A,#N/A,FALSE,"3.BS";#N/A,#N/A,FALSE,"4.PER PL";#N/A,#N/A,FALSE,"5.INVESTMENT";#N/A,#N/A,FALSE,"6.공문";#N/A,#N/A,FALSE,"7.netinvest"}</definedName>
    <definedName name="배당" hidden="1">{#N/A,#N/A,FALSE,"A.Criteria";#N/A,#N/A,FALSE,"B.Summary";#N/A,#N/A,FALSE,"C.1)procedure";#N/A,#N/A,FALSE,"C.2)Labor cost";#N/A,#N/A,FALSE,"C.3)Cash flow";#N/A,#N/A,FALSE,"C.4)Depreciation";#N/A,#N/A,FALSE,"D.fs income statement";#N/A,#N/A,FALSE,"E.LABOR COST(MONTHLY WAGES)";#N/A,#N/A,FALSE,"F.Unit price";#N/A,#N/A,FALSE,"G.Compar";#N/A,#N/A,FALSE,"H.Marginal"}</definedName>
    <definedName name="보라차" hidden="1">{#N/A,#N/A,FALSE,"1.CRITERIA";#N/A,#N/A,FALSE,"2.IS";#N/A,#N/A,FALSE,"3.BS";#N/A,#N/A,FALSE,"4.PER PL";#N/A,#N/A,FALSE,"5.INVESTMENT";#N/A,#N/A,FALSE,"6.공문";#N/A,#N/A,FALSE,"7.netinvest"}</definedName>
    <definedName name="보아리" hidden="1">{#N/A,#N/A,FALSE,"1.CRITERIA";#N/A,#N/A,FALSE,"2.IS";#N/A,#N/A,FALSE,"3.BS";#N/A,#N/A,FALSE,"4.PER PL";#N/A,#N/A,FALSE,"5.INVESTMENT";#N/A,#N/A,FALSE,"6.공문";#N/A,#N/A,FALSE,"7.netinvest"}</definedName>
    <definedName name="보이" hidden="1">{#N/A,#N/A,FALSE,"1.CRITERIA";#N/A,#N/A,FALSE,"2.IS";#N/A,#N/A,FALSE,"3.BS";#N/A,#N/A,FALSE,"4.PER PL";#N/A,#N/A,FALSE,"5.INVESTMENT";#N/A,#N/A,FALSE,"6.공문";#N/A,#N/A,FALSE,"7.netinvest"}</definedName>
    <definedName name="보이아" hidden="1">{#N/A,#N/A,FALSE,"1.CRITERIA";#N/A,#N/A,FALSE,"2.IS";#N/A,#N/A,FALSE,"3.BS";#N/A,#N/A,FALSE,"4.PER PL";#N/A,#N/A,FALSE,"5.INVESTMENT";#N/A,#N/A,FALSE,"6.공문";#N/A,#N/A,FALSE,"7.netinvest"}</definedName>
    <definedName name="빙수" hidden="1">{#N/A,#N/A,FALSE,"1.CRITERIA";#N/A,#N/A,FALSE,"2.IS";#N/A,#N/A,FALSE,"3.BS";#N/A,#N/A,FALSE,"4.PER PL";#N/A,#N/A,FALSE,"5.INVESTMENT";#N/A,#N/A,FALSE,"6.공문";#N/A,#N/A,FALSE,"7.netinvest"}</definedName>
    <definedName name="ㅅ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ㅅㅅㅅ" hidden="1">{#N/A,#N/A,FALSE,"1.CRITERIA";#N/A,#N/A,FALSE,"2.IS";#N/A,#N/A,FALSE,"3.BS";#N/A,#N/A,FALSE,"4.PER PL";#N/A,#N/A,FALSE,"5.INVESTMENT";#N/A,#N/A,FALSE,"6.공문";#N/A,#N/A,FALSE,"7.netinvest"}</definedName>
    <definedName name="ㅅㅅㅅㅅㅅ" hidden="1">{#N/A,#N/A,FALSE,"1.CRITERIA";#N/A,#N/A,FALSE,"2.IS";#N/A,#N/A,FALSE,"3.BS";#N/A,#N/A,FALSE,"4.PER PL";#N/A,#N/A,FALSE,"5.INVESTMENT";#N/A,#N/A,FALSE,"6.공문";#N/A,#N/A,FALSE,"7.netinvest"}</definedName>
    <definedName name="사" hidden="1">{#N/A,#N/A,FALSE,"1.CRITERIA";#N/A,#N/A,FALSE,"2.IS";#N/A,#N/A,FALSE,"3.BS";#N/A,#N/A,FALSE,"4.PER PL";#N/A,#N/A,FALSE,"5.INVESTMENT";#N/A,#N/A,FALSE,"6.공문";#N/A,#N/A,FALSE,"7.netinvest"}</definedName>
    <definedName name="사원미지급" hidden="1">{#N/A,#N/A,FALSE,"1.CRITERIA";#N/A,#N/A,FALSE,"2.IS";#N/A,#N/A,FALSE,"3.BS";#N/A,#N/A,FALSE,"4.PER PL";#N/A,#N/A,FALSE,"5.INVESTMENT";#N/A,#N/A,FALSE,"6.공문";#N/A,#N/A,FALSE,"7.netinvest"}</definedName>
    <definedName name="생산2부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생산기술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서이" hidden="1">{#N/A,#N/A,FALSE,"1.CRITERIA";#N/A,#N/A,FALSE,"2.IS";#N/A,#N/A,FALSE,"3.BS";#N/A,#N/A,FALSE,"4.PER PL";#N/A,#N/A,FALSE,"5.INVESTMENT";#N/A,#N/A,FALSE,"6.공문";#N/A,#N/A,FALSE,"7.netinvest"}</definedName>
    <definedName name="선급금" hidden="1">{#N/A,#N/A,FALSE,"1.CRITERIA";#N/A,#N/A,FALSE,"2.IS";#N/A,#N/A,FALSE,"3.BS";#N/A,#N/A,FALSE,"4.PER PL";#N/A,#N/A,FALSE,"5.INVESTMENT";#N/A,#N/A,FALSE,"6.공문";#N/A,#N/A,FALSE,"7.netinvest"}</definedName>
    <definedName name="세목별집계표2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손실" hidden="1">{#N/A,#N/A,FALSE,"1.CRITERIA";#N/A,#N/A,FALSE,"2.IS";#N/A,#N/A,FALSE,"3.BS";#N/A,#N/A,FALSE,"4.PER PL";#N/A,#N/A,FALSE,"5.INVESTMENT";#N/A,#N/A,FALSE,"6.공문";#N/A,#N/A,FALSE,"7.netinvest"}</definedName>
    <definedName name="수정영문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ㅇ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ㅇㅇㅇ" hidden="1">{#N/A,#N/A,FALSE,"1.CRITERIA";#N/A,#N/A,FALSE,"2.IS";#N/A,#N/A,FALSE,"3.BS";#N/A,#N/A,FALSE,"4.PER PL";#N/A,#N/A,FALSE,"5.INVESTMENT";#N/A,#N/A,FALSE,"6.공문";#N/A,#N/A,FALSE,"7.netinvest"}</definedName>
    <definedName name="ㅇㅇㅇㅇ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아" hidden="1">{#N/A,#N/A,FALSE,"1.CRITERIA";#N/A,#N/A,FALSE,"2.IS";#N/A,#N/A,FALSE,"3.BS";#N/A,#N/A,FALSE,"4.PER PL";#N/A,#N/A,FALSE,"5.INVESTMENT";#N/A,#N/A,FALSE,"6.공문";#N/A,#N/A,FALSE,"7.netinvest"}</definedName>
    <definedName name="아아" hidden="1">{#N/A,#N/A,FALSE,"1.CRITERIA";#N/A,#N/A,FALSE,"2.IS";#N/A,#N/A,FALSE,"3.BS";#N/A,#N/A,FALSE,"4.PER PL";#N/A,#N/A,FALSE,"5.INVESTMENT";#N/A,#N/A,FALSE,"6.공문";#N/A,#N/A,FALSE,"7.netinvest"}</definedName>
    <definedName name="아아아" hidden="1">{#N/A,#N/A,FALSE,"1.CRITERIA";#N/A,#N/A,FALSE,"2.IS";#N/A,#N/A,FALSE,"3.BS";#N/A,#N/A,FALSE,"4.PER PL";#N/A,#N/A,FALSE,"5.INVESTMENT";#N/A,#N/A,FALSE,"6.공문";#N/A,#N/A,FALSE,"7.netinvest"}</definedName>
    <definedName name="아이" hidden="1">{#N/A,#N/A,FALSE,"1.CRITERIA";#N/A,#N/A,FALSE,"2.IS";#N/A,#N/A,FALSE,"3.BS";#N/A,#N/A,FALSE,"4.PER PL";#N/A,#N/A,FALSE,"5.INVESTMENT";#N/A,#N/A,FALSE,"6.공문";#N/A,#N/A,FALSE,"7.netinvest"}</definedName>
    <definedName name="양식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어어" hidden="1">{#N/A,#N/A,FALSE,"1.CRITERIA";#N/A,#N/A,FALSE,"2.IS";#N/A,#N/A,FALSE,"3.BS";#N/A,#N/A,FALSE,"4.PER PL";#N/A,#N/A,FALSE,"5.INVESTMENT";#N/A,#N/A,FALSE,"6.공문";#N/A,#N/A,FALSE,"7.netinvest"}</definedName>
    <definedName name="여이" hidden="1">{#N/A,#N/A,FALSE,"1.CRITERIA";#N/A,#N/A,FALSE,"2.IS";#N/A,#N/A,FALSE,"3.BS";#N/A,#N/A,FALSE,"4.PER PL";#N/A,#N/A,FALSE,"5.INVESTMENT";#N/A,#N/A,FALSE,"6.공문";#N/A,#N/A,FALSE,"7.netinvest"}</definedName>
    <definedName name="영" hidden="1">{#N/A,#N/A,FALSE,"1.CRITERIA";#N/A,#N/A,FALSE,"2.IS";#N/A,#N/A,FALSE,"3.BS";#N/A,#N/A,FALSE,"4.PER PL";#N/A,#N/A,FALSE,"5.INVESTMENT";#N/A,#N/A,FALSE,"6.공문";#N/A,#N/A,FALSE,"7.netinvest"}</definedName>
    <definedName name="영업" hidden="1">{#N/A,#N/A,FALSE,"1.CRITERIA";#N/A,#N/A,FALSE,"2.IS";#N/A,#N/A,FALSE,"3.BS";#N/A,#N/A,FALSE,"4.PER PL";#N/A,#N/A,FALSE,"5.INVESTMENT";#N/A,#N/A,FALSE,"6.공문";#N/A,#N/A,FALSE,"7.netinvest"}</definedName>
    <definedName name="영업수" hidden="1">{#N/A,#N/A,FALSE,"1.CRITERIA";#N/A,#N/A,FALSE,"2.IS";#N/A,#N/A,FALSE,"3.BS";#N/A,#N/A,FALSE,"4.PER PL";#N/A,#N/A,FALSE,"5.INVESTMENT";#N/A,#N/A,FALSE,"6.공문";#N/A,#N/A,FALSE,"7.netinvest"}</definedName>
    <definedName name="영업수익" hidden="1">{#N/A,#N/A,FALSE,"1.CRITERIA";#N/A,#N/A,FALSE,"2.IS";#N/A,#N/A,FALSE,"3.BS";#N/A,#N/A,FALSE,"4.PER PL";#N/A,#N/A,FALSE,"5.INVESTMENT";#N/A,#N/A,FALSE,"6.공문";#N/A,#N/A,FALSE,"7.netinvest"}</definedName>
    <definedName name="영업외" hidden="1">{#N/A,#N/A,FALSE,"1.CRITERIA";#N/A,#N/A,FALSE,"2.IS";#N/A,#N/A,FALSE,"3.BS";#N/A,#N/A,FALSE,"4.PER PL";#N/A,#N/A,FALSE,"5.INVESTMENT";#N/A,#N/A,FALSE,"6.공문";#N/A,#N/A,FALSE,"7.netinvest"}</definedName>
    <definedName name="영업외수익" hidden="1">{#N/A,#N/A,FALSE,"1.CRITERIA";#N/A,#N/A,FALSE,"2.IS";#N/A,#N/A,FALSE,"3.BS";#N/A,#N/A,FALSE,"4.PER PL";#N/A,#N/A,FALSE,"5.INVESTMENT";#N/A,#N/A,FALSE,"6.공문";#N/A,#N/A,FALSE,"7.netinvest"}</definedName>
    <definedName name="예금" hidden="1">{#N/A,#N/A,FALSE,"1.CRITERIA";#N/A,#N/A,FALSE,"2.IS";#N/A,#N/A,FALSE,"3.BS";#N/A,#N/A,FALSE,"4.PER PL";#N/A,#N/A,FALSE,"5.INVESTMENT";#N/A,#N/A,FALSE,"6.공문";#N/A,#N/A,FALSE,"7.netinvest"}</definedName>
    <definedName name="완제품" hidden="1">{#N/A,#N/A,FALSE,"1.CRITERIA";#N/A,#N/A,FALSE,"2.IS";#N/A,#N/A,FALSE,"3.BS";#N/A,#N/A,FALSE,"4.PER PL";#N/A,#N/A,FALSE,"5.INVESTMENT";#N/A,#N/A,FALSE,"6.공문";#N/A,#N/A,FALSE,"7.netinvest"}</definedName>
    <definedName name="외예금" hidden="1">{#N/A,#N/A,FALSE,"1.CRITERIA";#N/A,#N/A,FALSE,"2.IS";#N/A,#N/A,FALSE,"3.BS";#N/A,#N/A,FALSE,"4.PER PL";#N/A,#N/A,FALSE,"5.INVESTMENT";#N/A,#N/A,FALSE,"6.공문";#N/A,#N/A,FALSE,"7.netinvest"}</definedName>
    <definedName name="울산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원가" hidden="1">{#N/A,#N/A,FALSE,"1.CRITERIA";#N/A,#N/A,FALSE,"2.IS";#N/A,#N/A,FALSE,"3.BS";#N/A,#N/A,FALSE,"4.PER PL";#N/A,#N/A,FALSE,"5.INVESTMENT";#N/A,#N/A,FALSE,"6.공문";#N/A,#N/A,FALSE,"7.netinvest"}</definedName>
    <definedName name="원가분석" hidden="1">{#N/A,#N/A,FALSE,"1.CRITERIA";#N/A,#N/A,FALSE,"2.IS";#N/A,#N/A,FALSE,"3.BS";#N/A,#N/A,FALSE,"4.PER PL";#N/A,#N/A,FALSE,"5.INVESTMENT";#N/A,#N/A,FALSE,"6.공문";#N/A,#N/A,FALSE,"7.netinvest"}</definedName>
    <definedName name="월" hidden="1">{#N/A,#N/A,FALSE,"1.CRITERIA";#N/A,#N/A,FALSE,"2.IS";#N/A,#N/A,FALSE,"3.BS";#N/A,#N/A,FALSE,"4.PER PL";#N/A,#N/A,FALSE,"5.INVESTMENT";#N/A,#N/A,FALSE,"6.공문";#N/A,#N/A,FALSE,"7.netinvest"}</definedName>
    <definedName name="월말" hidden="1">{#N/A,#N/A,FALSE,"1.CRITERIA";#N/A,#N/A,FALSE,"2.IS";#N/A,#N/A,FALSE,"3.BS";#N/A,#N/A,FALSE,"4.PER PL";#N/A,#N/A,FALSE,"5.INVESTMENT";#N/A,#N/A,FALSE,"6.공문";#N/A,#N/A,FALSE,"7.netinvest"}</definedName>
    <definedName name="월별" hidden="1">{#N/A,#N/A,FALSE,"1.CRITERIA";#N/A,#N/A,FALSE,"2.IS";#N/A,#N/A,FALSE,"3.BS";#N/A,#N/A,FALSE,"4.PER PL";#N/A,#N/A,FALSE,"5.INVESTMENT";#N/A,#N/A,FALSE,"6.공문";#N/A,#N/A,FALSE,"7.netinvest"}</definedName>
    <definedName name="월별영업비용" hidden="1">{#N/A,#N/A,FALSE,"1.CRITERIA";#N/A,#N/A,FALSE,"2.IS";#N/A,#N/A,FALSE,"3.BS";#N/A,#N/A,FALSE,"4.PER PL";#N/A,#N/A,FALSE,"5.INVESTMENT";#N/A,#N/A,FALSE,"6.공문";#N/A,#N/A,FALSE,"7.netinvest"}</definedName>
    <definedName name="유이" hidden="1">{#N/A,#N/A,FALSE,"1.CRITERIA";#N/A,#N/A,FALSE,"2.IS";#N/A,#N/A,FALSE,"3.BS";#N/A,#N/A,FALSE,"4.PER PL";#N/A,#N/A,FALSE,"5.INVESTMENT";#N/A,#N/A,FALSE,"6.공문";#N/A,#N/A,FALSE,"7.netinvest"}</definedName>
    <definedName name="이사님.수정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ㅈㅈㅈ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ㅈㅈㅈㅈㅈㅈㅈㅈㅈㅈㅈㅈㅈㅈㅈㅈㅈㅈㅈ" hidden="1">{#N/A,#N/A,FALSE,"1.CRITERIA";#N/A,#N/A,FALSE,"2.IS";#N/A,#N/A,FALSE,"3.BS";#N/A,#N/A,FALSE,"4.PER PL";#N/A,#N/A,FALSE,"5.INVESTMENT";#N/A,#N/A,FALSE,"6.공문";#N/A,#N/A,FALSE,"7.netinvest"}</definedName>
    <definedName name="ㅈㅈㅈㅈㅈㅈㅈㅈㅈㅈㅈㅈㅈㅈㅈㅈㅈㅈㅈㅈㅈ" hidden="1">{#N/A,#N/A,FALSE,"1.CRITERIA";#N/A,#N/A,FALSE,"2.IS";#N/A,#N/A,FALSE,"3.BS";#N/A,#N/A,FALSE,"4.PER PL";#N/A,#N/A,FALSE,"5.INVESTMENT";#N/A,#N/A,FALSE,"6.공문";#N/A,#N/A,FALSE,"7.netinvest"}</definedName>
    <definedName name="잡손실" hidden="1">{#N/A,#N/A,FALSE,"1.CRITERIA";#N/A,#N/A,FALSE,"2.IS";#N/A,#N/A,FALSE,"3.BS";#N/A,#N/A,FALSE,"4.PER PL";#N/A,#N/A,FALSE,"5.INVESTMENT";#N/A,#N/A,FALSE,"6.공문";#N/A,#N/A,FALSE,"7.netinvest"}</definedName>
    <definedName name="잡이익" hidden="1">{#N/A,#N/A,FALSE,"1.CRITERIA";#N/A,#N/A,FALSE,"2.IS";#N/A,#N/A,FALSE,"3.BS";#N/A,#N/A,FALSE,"4.PER PL";#N/A,#N/A,FALSE,"5.INVESTMENT";#N/A,#N/A,FALSE,"6.공문";#N/A,#N/A,FALSE,"7.netinvest"}</definedName>
    <definedName name="제조" hidden="1">{#N/A,#N/A,FALSE,"1.CRITERIA";#N/A,#N/A,FALSE,"2.IS";#N/A,#N/A,FALSE,"3.BS";#N/A,#N/A,FALSE,"4.PER PL";#N/A,#N/A,FALSE,"5.INVESTMENT";#N/A,#N/A,FALSE,"6.공문";#N/A,#N/A,FALSE,"7.netinvest"}</definedName>
    <definedName name="차" hidden="1">{#N/A,#N/A,FALSE,"1.CRITERIA";#N/A,#N/A,FALSE,"2.IS";#N/A,#N/A,FALSE,"3.BS";#N/A,#N/A,FALSE,"4.PER PL";#N/A,#N/A,FALSE,"5.INVESTMENT";#N/A,#N/A,FALSE,"6.공문";#N/A,#N/A,FALSE,"7.netinvest"}</definedName>
    <definedName name="최신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커머" hidden="1">{#N/A,#N/A,FALSE,"1.CRITERIA";#N/A,#N/A,FALSE,"2.IS";#N/A,#N/A,FALSE,"3.BS";#N/A,#N/A,FALSE,"4.PER PL";#N/A,#N/A,FALSE,"5.INVESTMENT";#N/A,#N/A,FALSE,"6.공문";#N/A,#N/A,FALSE,"7.netinvest"}</definedName>
    <definedName name="컼커" hidden="1">{#N/A,#N/A,FALSE,"1.CRITERIA";#N/A,#N/A,FALSE,"2.IS";#N/A,#N/A,FALSE,"3.BS";#N/A,#N/A,FALSE,"4.PER PL";#N/A,#N/A,FALSE,"5.INVESTMENT";#N/A,#N/A,FALSE,"6.공문";#N/A,#N/A,FALSE,"7.netinvest"}</definedName>
    <definedName name="쿠자심의요청서_Immobilizer2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통합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Immobilizer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immobilizer3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심의요청서_TPMS2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투자우선순위고려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특정" hidden="1">{#N/A,#N/A,FALSE,"1.CRITERIA";#N/A,#N/A,FALSE,"2.IS";#N/A,#N/A,FALSE,"3.BS";#N/A,#N/A,FALSE,"4.PER PL";#N/A,#N/A,FALSE,"5.INVESTMENT";#N/A,#N/A,FALSE,"6.공문";#N/A,#N/A,FALSE,"7.netinvest"}</definedName>
    <definedName name="파하" hidden="1">{#N/A,#N/A,FALSE,"1.CRITERIA";#N/A,#N/A,FALSE,"2.IS";#N/A,#N/A,FALSE,"3.BS";#N/A,#N/A,FALSE,"4.PER PL";#N/A,#N/A,FALSE,"5.INVESTMENT";#N/A,#N/A,FALSE,"6.공문";#N/A,#N/A,FALSE,"7.netinvest"}</definedName>
    <definedName name="품질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ㅎㅎㅎ" hidden="1">{#N/A,#N/A,FALSE,"1.PRODT1";#N/A,#N/A,FALSE,"2.PRODT2";#N/A,#N/A,FALSE,"3.PRODT3";#N/A,#N/A,FALSE,"4.PRODCTL";#N/A,#N/A,FALSE,"5.KETI";#N/A,#N/A,FALSE,"6..QA1";#N/A,#N/A,FALSE,"7.QA2";#N/A,#N/A,FALSE,"8.MAINTE";#N/A,#N/A,FALSE,"9.SHE";#N/A,#N/A,FALSE,"10.APLCAT";#N/A,#N/A,FALSE,"11GA";#N/A,#N/A,FALSE,"12.FINANCE";#N/A,#N/A,FALSE,"13.ACCOUNT";#N/A,#N/A,FALSE,"14.PROCUR.";#N/A,#N/A,FALSE,"15.SE";#N/A,#N/A,FALSE,"16.SC";#N/A,#N/A,FALSE,"17.P&amp;I";#N/A,#N/A,FALSE,"18.MANUCOM";#N/A,#N/A,FALSE,"19.SACOM";#N/A,#N/A,FALSE,"20.INVEST.TOTAL";#N/A,#N/A,FALSE,"21.건가 증감현황";#N/A,#N/A,FALSE,"22.1.Depre1";#N/A,#N/A,FALSE,"23.Accum.Depre";#N/A,#N/A,FALSE,"24.INVEST.NET";#N/A,#N/A,FALSE,"25.Insure";#N/A,#N/A,FALSE,"26.Dep.All"}</definedName>
    <definedName name="하" hidden="1">{#N/A,#N/A,FALSE,"1.CRITERIA";#N/A,#N/A,FALSE,"2.IS";#N/A,#N/A,FALSE,"3.BS";#N/A,#N/A,FALSE,"4.PER PL";#N/A,#N/A,FALSE,"5.INVESTMENT";#N/A,#N/A,FALSE,"6.공문";#N/A,#N/A,FALSE,"7.netinvest"}</definedName>
    <definedName name="호" hidden="1">{#N/A,#N/A,FALSE,"1.CRITERIA";#N/A,#N/A,FALSE,"2.IS";#N/A,#N/A,FALSE,"3.BS";#N/A,#N/A,FALSE,"4.PER PL";#N/A,#N/A,FALSE,"5.INVESTMENT";#N/A,#N/A,FALSE,"6.공문";#N/A,#N/A,FALSE,"7.netinvest"}</definedName>
    <definedName name="혼ㅇㄹ호" hidden="1">{#N/A,#N/A,FALSE,"1.criteria";#N/A,#N/A,FALSE,"4.INVEST";#N/A,#N/A,FALSE,"5.Inspection";#N/A,#N/A,FALSE,"6.Toolscons";#N/A,#N/A,FALSE,"7.Repair&amp;maint";#N/A,#N/A,FALSE,"8.Light&amp;heating";#N/A,#N/A,FALSE,"9.Normal R&amp;D";#N/A,#N/A,FALSE,"10.TRAINING";#N/A,#N/A,FALSE,"11.Travel";#N/A,#N/A,FALSE,"12.Number of person";#N/A,#N/A,FALSE,"13.공문"}</definedName>
    <definedName name="ㅛㅕ" hidden="1">{#N/A,#N/A,FALSE,"1.CRITERIA";#N/A,#N/A,FALSE,"2.IS";#N/A,#N/A,FALSE,"3.BS";#N/A,#N/A,FALSE,"4.PER PL";#N/A,#N/A,FALSE,"5.INVESTMENT";#N/A,#N/A,FALSE,"6.공문";#N/A,#N/A,FALSE,"7.netinvest"}</definedName>
    <definedName name="ㅛㅛㅛㅛ" hidden="1">{#N/A,#N/A,FALSE,"1.CRITERIA";#N/A,#N/A,FALSE,"2.IS";#N/A,#N/A,FALSE,"3.BS";#N/A,#N/A,FALSE,"4.PER PL";#N/A,#N/A,FALSE,"5.INVESTMENT";#N/A,#N/A,FALSE,"6.공문";#N/A,#N/A,FALSE,"7.netinvest"}</definedName>
    <definedName name="ㅣㅣㅣ" hidden="1">{#N/A,#N/A,FALSE,"1.CRITERIA";#N/A,#N/A,FALSE,"2.IS";#N/A,#N/A,FALSE,"3.BS";#N/A,#N/A,FALSE,"4.PER PL";#N/A,#N/A,FALSE,"5.INVESTMENT";#N/A,#N/A,FALSE,"6.공문";#N/A,#N/A,FALSE,"7.netinvest"}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3" l="1"/>
  <c r="T30" i="3" l="1"/>
  <c r="K34" i="3"/>
  <c r="J34" i="3" l="1"/>
  <c r="K30" i="3"/>
  <c r="F27" i="3"/>
  <c r="AM9" i="3" l="1"/>
  <c r="AM8" i="3"/>
  <c r="AH9" i="3"/>
  <c r="AH8" i="3"/>
  <c r="AG9" i="3"/>
  <c r="AG8" i="3"/>
  <c r="AD9" i="3"/>
  <c r="AD8" i="3"/>
  <c r="AC9" i="3"/>
  <c r="AC8" i="3"/>
  <c r="Z9" i="3"/>
  <c r="Z8" i="3"/>
  <c r="Y9" i="3"/>
  <c r="Y8" i="3"/>
  <c r="V9" i="3"/>
  <c r="W9" i="3" s="1"/>
  <c r="V8" i="3"/>
  <c r="U9" i="3"/>
  <c r="U8" i="3"/>
  <c r="R9" i="3"/>
  <c r="R8" i="3"/>
  <c r="Q9" i="3"/>
  <c r="Q8" i="3"/>
  <c r="N9" i="3"/>
  <c r="O9" i="3" s="1"/>
  <c r="N8" i="3"/>
  <c r="M9" i="3"/>
  <c r="M8" i="3"/>
  <c r="J9" i="3"/>
  <c r="J8" i="3"/>
  <c r="I9" i="3"/>
  <c r="I8" i="3"/>
  <c r="G9" i="3"/>
  <c r="G8" i="3"/>
  <c r="F9" i="3"/>
  <c r="F8" i="3"/>
  <c r="C9" i="3"/>
  <c r="C8" i="3"/>
  <c r="L34" i="3"/>
  <c r="L33" i="3"/>
  <c r="T24" i="3"/>
  <c r="K24" i="3"/>
  <c r="S21" i="3"/>
  <c r="K21" i="3"/>
  <c r="J20" i="3"/>
  <c r="H20" i="3"/>
  <c r="K20" i="3" s="1"/>
  <c r="V22" i="3" s="1"/>
  <c r="J19" i="3"/>
  <c r="I19" i="3"/>
  <c r="H19" i="3"/>
  <c r="G19" i="3"/>
  <c r="K19" i="3" s="1"/>
  <c r="AM11" i="3"/>
  <c r="Y11" i="3"/>
  <c r="D11" i="3"/>
  <c r="AB10" i="3"/>
  <c r="P21" i="3" s="1"/>
  <c r="T21" i="3" s="1"/>
  <c r="Z10" i="3"/>
  <c r="X10" i="3"/>
  <c r="R19" i="3" s="1"/>
  <c r="T10" i="3"/>
  <c r="S20" i="3" s="1"/>
  <c r="P10" i="3"/>
  <c r="S10" i="3" s="1"/>
  <c r="L10" i="3"/>
  <c r="O10" i="3" s="1"/>
  <c r="H10" i="3"/>
  <c r="Q19" i="3" s="1"/>
  <c r="E10" i="3"/>
  <c r="P19" i="3" s="1"/>
  <c r="AI9" i="3"/>
  <c r="AF9" i="3"/>
  <c r="AB9" i="3"/>
  <c r="AE9" i="3" s="1"/>
  <c r="AA9" i="3"/>
  <c r="S9" i="3"/>
  <c r="K9" i="3"/>
  <c r="AF8" i="3"/>
  <c r="AJ8" i="3" s="1"/>
  <c r="X11" i="3"/>
  <c r="R17" i="3" s="1"/>
  <c r="R23" i="3" s="1"/>
  <c r="L11" i="3"/>
  <c r="H11" i="3"/>
  <c r="Q17" i="3" s="1"/>
  <c r="B11" i="3"/>
  <c r="P11" i="3" l="1"/>
  <c r="S17" i="3" s="1"/>
  <c r="AB11" i="3"/>
  <c r="P22" i="3" s="1"/>
  <c r="E11" i="3"/>
  <c r="P17" i="3" s="1"/>
  <c r="O27" i="3" s="1"/>
  <c r="T11" i="3"/>
  <c r="S18" i="3" s="1"/>
  <c r="AJ9" i="3"/>
  <c r="AA10" i="3"/>
  <c r="AK9" i="3"/>
  <c r="AL9" i="3" s="1"/>
  <c r="Z11" i="3"/>
  <c r="I17" i="3" s="1"/>
  <c r="AA8" i="3"/>
  <c r="F11" i="3"/>
  <c r="AK8" i="3"/>
  <c r="AL8" i="3" s="1"/>
  <c r="J11" i="3"/>
  <c r="K8" i="3"/>
  <c r="I11" i="3"/>
  <c r="N11" i="3"/>
  <c r="O8" i="3"/>
  <c r="O11" i="3" s="1"/>
  <c r="O12" i="3" s="1"/>
  <c r="M11" i="3"/>
  <c r="R11" i="3"/>
  <c r="S8" i="3"/>
  <c r="S11" i="3" s="1"/>
  <c r="S12" i="3" s="1"/>
  <c r="Q11" i="3"/>
  <c r="V11" i="3"/>
  <c r="W8" i="3"/>
  <c r="U11" i="3"/>
  <c r="G11" i="3"/>
  <c r="C11" i="3"/>
  <c r="AD11" i="3"/>
  <c r="G22" i="3" s="1"/>
  <c r="AC11" i="3"/>
  <c r="AE8" i="3"/>
  <c r="AE11" i="3" s="1"/>
  <c r="AH11" i="3"/>
  <c r="I22" i="3" s="1"/>
  <c r="AG11" i="3"/>
  <c r="AI8" i="3"/>
  <c r="AI11" i="3" s="1"/>
  <c r="F33" i="3"/>
  <c r="O26" i="3"/>
  <c r="T17" i="3"/>
  <c r="T29" i="3"/>
  <c r="Q18" i="3"/>
  <c r="L12" i="3"/>
  <c r="AJ10" i="3"/>
  <c r="AJ11" i="3" s="1"/>
  <c r="AK10" i="3"/>
  <c r="AF11" i="3"/>
  <c r="S22" i="3" s="1"/>
  <c r="T22" i="3" s="1"/>
  <c r="S19" i="3"/>
  <c r="T19" i="3" s="1"/>
  <c r="Q20" i="3"/>
  <c r="T20" i="3" s="1"/>
  <c r="K10" i="3"/>
  <c r="W10" i="3"/>
  <c r="T18" i="3" l="1"/>
  <c r="P23" i="3"/>
  <c r="AA11" i="3"/>
  <c r="K22" i="3"/>
  <c r="AL10" i="3"/>
  <c r="H18" i="3"/>
  <c r="K18" i="3" s="1"/>
  <c r="K36" i="3" s="1"/>
  <c r="N12" i="3"/>
  <c r="W11" i="3"/>
  <c r="W12" i="3" s="1"/>
  <c r="R12" i="3"/>
  <c r="J17" i="3"/>
  <c r="J23" i="3" s="1"/>
  <c r="AK11" i="3"/>
  <c r="AL11" i="3" s="1"/>
  <c r="G17" i="3"/>
  <c r="K29" i="3"/>
  <c r="Q23" i="3"/>
  <c r="T23" i="3"/>
  <c r="G33" i="3"/>
  <c r="H33" i="3" s="1"/>
  <c r="F26" i="3"/>
  <c r="V12" i="3"/>
  <c r="J18" i="3"/>
  <c r="K11" i="3"/>
  <c r="S23" i="3"/>
  <c r="H17" i="3"/>
  <c r="H23" i="3" s="1"/>
  <c r="J12" i="3"/>
  <c r="I23" i="3"/>
  <c r="L35" i="3" l="1"/>
  <c r="K17" i="3"/>
  <c r="G23" i="3"/>
  <c r="O28" i="3"/>
  <c r="T25" i="3"/>
  <c r="F35" i="3" s="1"/>
  <c r="J36" i="3" l="1"/>
  <c r="L36" i="3" s="1"/>
  <c r="K23" i="3"/>
  <c r="U23" i="3" l="1"/>
  <c r="L23" i="3"/>
  <c r="K25" i="3"/>
  <c r="T26" i="3" l="1"/>
  <c r="L25" i="3"/>
  <c r="F28" i="3"/>
  <c r="G35" i="3"/>
  <c r="H3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MVP-HR-Hoa</author>
  </authors>
  <commentList>
    <comment ref="B7" authorId="0" shapeId="0" xr:uid="{842A69A7-5481-4D6E-98AE-F9B7A893DC05}">
      <text>
        <r>
          <rPr>
            <b/>
            <sz val="9"/>
            <color indexed="81"/>
            <rFont val="Tahoma"/>
            <family val="2"/>
          </rPr>
          <t>Labor cost Plan_13th
(Accounting reported)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7" authorId="0" shapeId="0" xr:uid="{80B27995-6C77-432D-9089-B214CDCA4353}">
      <text>
        <r>
          <rPr>
            <b/>
            <sz val="9"/>
            <color indexed="81"/>
            <rFont val="Tahoma"/>
            <family val="2"/>
          </rPr>
          <t>include night shilf (normal working hour)</t>
        </r>
      </text>
    </comment>
  </commentList>
</comments>
</file>

<file path=xl/sharedStrings.xml><?xml version="1.0" encoding="utf-8"?>
<sst xmlns="http://schemas.openxmlformats.org/spreadsheetml/2006/main" count="125" uniqueCount="68">
  <si>
    <t>DepartmentCode1</t>
  </si>
  <si>
    <t>CountEmp</t>
  </si>
  <si>
    <t>thc_wt1</t>
  </si>
  <si>
    <t>thc_wt9</t>
  </si>
  <si>
    <t>thc_wt3</t>
  </si>
  <si>
    <t>thc_wt4</t>
  </si>
  <si>
    <t>thc_wt5</t>
  </si>
  <si>
    <t>thc_wt6</t>
  </si>
  <si>
    <t>thc_wt7</t>
  </si>
  <si>
    <t>thc_wt8</t>
  </si>
  <si>
    <t>Row Labels</t>
  </si>
  <si>
    <t>M/P</t>
  </si>
  <si>
    <t>Day Actual 
(A)</t>
  </si>
  <si>
    <t>Night - Actual</t>
  </si>
  <si>
    <t>Diff</t>
  </si>
  <si>
    <t>Plan</t>
  </si>
  <si>
    <t>Actual</t>
  </si>
  <si>
    <t>Quited job</t>
  </si>
  <si>
    <t>Plan convert
(A)</t>
  </si>
  <si>
    <t>Actual origin</t>
  </si>
  <si>
    <t>Actual convert
(B)</t>
  </si>
  <si>
    <t>Diff
(B-A)</t>
  </si>
  <si>
    <t>Actual convert</t>
  </si>
  <si>
    <t>Temporary worker</t>
  </si>
  <si>
    <t>Grand Total</t>
  </si>
  <si>
    <t>ACTUAL CONVERTED</t>
  </si>
  <si>
    <t>Class</t>
  </si>
  <si>
    <t>Normal</t>
  </si>
  <si>
    <t>Overtime</t>
  </si>
  <si>
    <t>Holiday</t>
  </si>
  <si>
    <t>Other</t>
  </si>
  <si>
    <t>Total</t>
  </si>
  <si>
    <t>Manpower</t>
  </si>
  <si>
    <t>Man total</t>
  </si>
  <si>
    <t>Man hour</t>
  </si>
  <si>
    <t>Working day</t>
  </si>
  <si>
    <t>Ternimated</t>
  </si>
  <si>
    <t>I. MAT/MET OT</t>
  </si>
  <si>
    <t>Normal working hour</t>
  </si>
  <si>
    <t>Unit : converted hour</t>
  </si>
  <si>
    <t>Normal working hour (Day&amp; night)
(Plan)</t>
  </si>
  <si>
    <t>30% allowance for night shift</t>
  </si>
  <si>
    <t>Total plan
(A)</t>
  </si>
  <si>
    <t>Total Actual
(B)</t>
  </si>
  <si>
    <t>Plan convert</t>
  </si>
  <si>
    <t>MET /MMT Worker</t>
  </si>
  <si>
    <t>MAT worker</t>
  </si>
  <si>
    <t>Normal hour ( not convrt)</t>
  </si>
  <si>
    <t>day</t>
    <phoneticPr fontId="11" type="noConversion"/>
  </si>
  <si>
    <t>night</t>
    <phoneticPr fontId="11" type="noConversion"/>
  </si>
  <si>
    <t>계</t>
    <phoneticPr fontId="11" type="noConversion"/>
  </si>
  <si>
    <t>Normal day &amp; night</t>
  </si>
  <si>
    <t>30% night</t>
  </si>
  <si>
    <t>M/H 계산</t>
    <phoneticPr fontId="11" type="noConversion"/>
  </si>
  <si>
    <t>a.M/H 계산</t>
  </si>
  <si>
    <t>Saturday</t>
  </si>
  <si>
    <t>Temporary (a)</t>
  </si>
  <si>
    <t>sum</t>
    <phoneticPr fontId="11" type="noConversion"/>
  </si>
  <si>
    <t>Suspension (b)</t>
  </si>
  <si>
    <t>b. Other</t>
  </si>
  <si>
    <t>Total (a+b)</t>
  </si>
  <si>
    <t>Item</t>
  </si>
  <si>
    <t>Plan
(1)</t>
  </si>
  <si>
    <t>Actual
(2)</t>
  </si>
  <si>
    <t>Rate
(2:1)</t>
  </si>
  <si>
    <t>Detail m/h</t>
  </si>
  <si>
    <t>On week</t>
  </si>
  <si>
    <t>Manhour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</si>
</sst>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-* #,##0_-;\-* #,##0_-;_-* &quot;-&quot;_-;_-@_-"/>
  </numFmts>
  <fonts count="22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sz val="11"/>
      <color theme="1"/>
      <name val="Times New Roman"/>
      <family val="2"/>
    </font>
    <font>
      <sz val="10"/>
      <color theme="1"/>
      <name val="Times New Roman"/>
      <family val="1"/>
    </font>
    <font>
      <b/>
      <sz val="12"/>
      <color theme="1"/>
      <name val="Times New Roman"/>
      <family val="2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theme="1"/>
      <name val="현대하모니 L"/>
      <family val="1"/>
      <charset val="129"/>
    </font>
    <font>
      <b/>
      <sz val="10"/>
      <color theme="1"/>
      <name val="현대하모니 L"/>
      <family val="1"/>
      <charset val="129"/>
    </font>
    <font>
      <sz val="11"/>
      <color theme="1"/>
      <name val="Calibri"/>
      <family val="2"/>
      <charset val="129"/>
      <scheme val="minor"/>
    </font>
    <font>
      <sz val="12"/>
      <color rgb="FFFF0000"/>
      <name val="Times New Roman"/>
      <family val="2"/>
    </font>
    <font>
      <b/>
      <sz val="12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rgb="FFFF0000"/>
      <name val="Times New Roman"/>
      <family val="1"/>
      <charset val="163"/>
    </font>
    <font>
      <sz val="10"/>
      <color rgb="FFFF0000"/>
      <name val="Times New Roman"/>
      <family val="1"/>
      <charset val="163"/>
    </font>
    <font>
      <b/>
      <sz val="11"/>
      <color theme="1"/>
      <name val="Times New Roman"/>
      <family val="2"/>
    </font>
    <font>
      <b/>
      <sz val="10"/>
      <color rgb="FFFF0000"/>
      <name val="Times New Roman"/>
      <family val="1"/>
      <charset val="163"/>
    </font>
    <font>
      <sz val="11"/>
      <color theme="1"/>
      <name val="현대하모니 L"/>
    </font>
    <font>
      <b/>
      <sz val="11"/>
      <color theme="1"/>
      <name val="현대하모니 L"/>
    </font>
    <font>
      <sz val="12"/>
      <color rgb="FF2021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0" tint="-0.499984740745262"/>
      </left>
      <right style="thin">
        <color theme="0" tint="-0.499984740745262"/>
      </right>
      <top/>
      <bottom style="dashed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dashed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dashed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dashed">
        <color theme="0" tint="-0.499984740745262"/>
      </top>
      <bottom style="dashed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dashed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ashed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dashed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dashed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dashed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dashed">
        <color theme="0" tint="-0.499984740745262"/>
      </top>
      <bottom/>
      <diagonal/>
    </border>
    <border>
      <left style="thin">
        <color theme="0" tint="-0.499984740745262"/>
      </left>
      <right/>
      <top style="dashed">
        <color theme="0" tint="-0.499984740745262"/>
      </top>
      <bottom style="dashed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6" fontId="10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</cellStyleXfs>
  <cellXfs count="132">
    <xf numFmtId="0" fontId="0" fillId="0" borderId="0" xfId="0"/>
    <xf numFmtId="0" fontId="2" fillId="0" borderId="0" xfId="1" applyFont="1" applyAlignment="1">
      <alignment horizontal="center" vertical="center"/>
    </xf>
    <xf numFmtId="0" fontId="1" fillId="0" borderId="0" xfId="1"/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vertical="center"/>
    </xf>
    <xf numFmtId="0" fontId="3" fillId="0" borderId="3" xfId="1" applyFont="1" applyBorder="1" applyAlignment="1">
      <alignment horizontal="center" vertical="center"/>
    </xf>
    <xf numFmtId="0" fontId="1" fillId="0" borderId="3" xfId="1" applyBorder="1" applyAlignment="1">
      <alignment horizontal="center" vertical="center" wrapText="1"/>
    </xf>
    <xf numFmtId="0" fontId="2" fillId="0" borderId="0" xfId="1" applyFont="1"/>
    <xf numFmtId="166" fontId="1" fillId="0" borderId="0" xfId="1" applyNumberFormat="1"/>
    <xf numFmtId="164" fontId="1" fillId="0" borderId="0" xfId="1" applyNumberFormat="1"/>
    <xf numFmtId="0" fontId="8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43" fontId="1" fillId="0" borderId="0" xfId="1" applyNumberFormat="1"/>
    <xf numFmtId="165" fontId="1" fillId="0" borderId="0" xfId="1" applyNumberFormat="1"/>
    <xf numFmtId="166" fontId="4" fillId="0" borderId="0" xfId="3" applyFont="1" applyFill="1">
      <alignment vertical="center"/>
    </xf>
    <xf numFmtId="166" fontId="8" fillId="0" borderId="0" xfId="1" applyNumberFormat="1" applyFont="1" applyAlignment="1">
      <alignment vertical="center"/>
    </xf>
    <xf numFmtId="166" fontId="2" fillId="0" borderId="12" xfId="1" applyNumberFormat="1" applyFont="1" applyBorder="1"/>
    <xf numFmtId="0" fontId="8" fillId="0" borderId="0" xfId="1" applyFont="1" applyAlignment="1">
      <alignment vertical="center"/>
    </xf>
    <xf numFmtId="0" fontId="0" fillId="2" borderId="0" xfId="0" applyFill="1"/>
    <xf numFmtId="0" fontId="15" fillId="0" borderId="3" xfId="1" applyFont="1" applyBorder="1" applyAlignment="1">
      <alignment horizontal="center" vertical="center" wrapText="1"/>
    </xf>
    <xf numFmtId="0" fontId="3" fillId="0" borderId="17" xfId="1" applyFont="1" applyBorder="1"/>
    <xf numFmtId="164" fontId="4" fillId="0" borderId="18" xfId="2" applyNumberFormat="1" applyFont="1" applyFill="1" applyBorder="1" applyAlignment="1">
      <alignment horizontal="right"/>
    </xf>
    <xf numFmtId="164" fontId="4" fillId="0" borderId="18" xfId="2" applyNumberFormat="1" applyFont="1" applyFill="1" applyBorder="1" applyAlignment="1"/>
    <xf numFmtId="164" fontId="16" fillId="0" borderId="18" xfId="2" applyNumberFormat="1" applyFont="1" applyFill="1" applyBorder="1" applyAlignment="1"/>
    <xf numFmtId="0" fontId="1" fillId="0" borderId="19" xfId="1" applyBorder="1"/>
    <xf numFmtId="0" fontId="3" fillId="0" borderId="20" xfId="1" applyFont="1" applyBorder="1"/>
    <xf numFmtId="164" fontId="4" fillId="0" borderId="21" xfId="2" applyNumberFormat="1" applyFont="1" applyFill="1" applyBorder="1" applyAlignment="1">
      <alignment horizontal="right"/>
    </xf>
    <xf numFmtId="164" fontId="16" fillId="0" borderId="21" xfId="2" applyNumberFormat="1" applyFont="1" applyFill="1" applyBorder="1" applyAlignment="1"/>
    <xf numFmtId="164" fontId="4" fillId="0" borderId="21" xfId="2" applyNumberFormat="1" applyFont="1" applyFill="1" applyBorder="1" applyAlignment="1"/>
    <xf numFmtId="0" fontId="1" fillId="0" borderId="22" xfId="1" applyBorder="1"/>
    <xf numFmtId="0" fontId="17" fillId="0" borderId="20" xfId="1" applyFont="1" applyBorder="1"/>
    <xf numFmtId="164" fontId="6" fillId="0" borderId="21" xfId="2" applyNumberFormat="1" applyFont="1" applyFill="1" applyBorder="1" applyAlignment="1">
      <alignment horizontal="right"/>
    </xf>
    <xf numFmtId="164" fontId="6" fillId="0" borderId="21" xfId="2" applyNumberFormat="1" applyFont="1" applyFill="1" applyBorder="1" applyAlignment="1"/>
    <xf numFmtId="164" fontId="18" fillId="0" borderId="21" xfId="2" applyNumberFormat="1" applyFont="1" applyFill="1" applyBorder="1" applyAlignment="1"/>
    <xf numFmtId="164" fontId="7" fillId="0" borderId="21" xfId="2" applyNumberFormat="1" applyFont="1" applyFill="1" applyBorder="1" applyAlignment="1"/>
    <xf numFmtId="164" fontId="6" fillId="0" borderId="22" xfId="2" applyNumberFormat="1" applyFont="1" applyFill="1" applyBorder="1" applyAlignment="1"/>
    <xf numFmtId="0" fontId="5" fillId="0" borderId="0" xfId="1" applyFont="1"/>
    <xf numFmtId="164" fontId="6" fillId="0" borderId="24" xfId="2" applyNumberFormat="1" applyFont="1" applyFill="1" applyBorder="1" applyAlignment="1">
      <alignment horizontal="right"/>
    </xf>
    <xf numFmtId="164" fontId="6" fillId="0" borderId="24" xfId="2" applyNumberFormat="1" applyFont="1" applyFill="1" applyBorder="1" applyAlignment="1">
      <alignment horizontal="right" vertical="center"/>
    </xf>
    <xf numFmtId="166" fontId="6" fillId="0" borderId="24" xfId="3" applyFont="1" applyFill="1" applyBorder="1" applyAlignment="1">
      <alignment horizontal="right" vertical="center"/>
    </xf>
    <xf numFmtId="0" fontId="2" fillId="0" borderId="25" xfId="1" applyFont="1" applyBorder="1"/>
    <xf numFmtId="0" fontId="8" fillId="0" borderId="21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 wrapText="1"/>
    </xf>
    <xf numFmtId="164" fontId="0" fillId="0" borderId="0" xfId="2" applyNumberFormat="1" applyFont="1" applyFill="1"/>
    <xf numFmtId="0" fontId="8" fillId="0" borderId="21" xfId="1" applyFont="1" applyBorder="1" applyAlignment="1">
      <alignment vertical="center"/>
    </xf>
    <xf numFmtId="166" fontId="4" fillId="0" borderId="21" xfId="3" applyFont="1" applyFill="1" applyBorder="1">
      <alignment vertical="center"/>
    </xf>
    <xf numFmtId="166" fontId="4" fillId="0" borderId="22" xfId="3" applyFont="1" applyFill="1" applyBorder="1">
      <alignment vertical="center"/>
    </xf>
    <xf numFmtId="0" fontId="8" fillId="0" borderId="29" xfId="1" applyFont="1" applyBorder="1" applyAlignment="1">
      <alignment vertical="center"/>
    </xf>
    <xf numFmtId="166" fontId="4" fillId="0" borderId="29" xfId="3" applyFont="1" applyFill="1" applyBorder="1">
      <alignment vertical="center"/>
    </xf>
    <xf numFmtId="166" fontId="4" fillId="0" borderId="30" xfId="3" applyFont="1" applyFill="1" applyBorder="1">
      <alignment vertical="center"/>
    </xf>
    <xf numFmtId="0" fontId="8" fillId="0" borderId="26" xfId="1" applyFont="1" applyBorder="1" applyAlignment="1">
      <alignment vertical="center"/>
    </xf>
    <xf numFmtId="166" fontId="4" fillId="0" borderId="27" xfId="3" applyFont="1" applyFill="1" applyBorder="1">
      <alignment vertical="center"/>
    </xf>
    <xf numFmtId="166" fontId="4" fillId="0" borderId="28" xfId="3" applyFont="1" applyFill="1" applyBorder="1">
      <alignment vertical="center"/>
    </xf>
    <xf numFmtId="0" fontId="8" fillId="0" borderId="20" xfId="1" applyFont="1" applyBorder="1" applyAlignment="1">
      <alignment vertical="center"/>
    </xf>
    <xf numFmtId="0" fontId="8" fillId="0" borderId="23" xfId="1" applyFont="1" applyBorder="1" applyAlignment="1">
      <alignment vertical="center"/>
    </xf>
    <xf numFmtId="166" fontId="4" fillId="0" borderId="24" xfId="3" applyFont="1" applyFill="1" applyBorder="1">
      <alignment vertical="center"/>
    </xf>
    <xf numFmtId="166" fontId="4" fillId="0" borderId="25" xfId="3" applyFont="1" applyFill="1" applyBorder="1">
      <alignment vertical="center"/>
    </xf>
    <xf numFmtId="0" fontId="8" fillId="0" borderId="18" xfId="1" applyFont="1" applyBorder="1" applyAlignment="1">
      <alignment vertical="center"/>
    </xf>
    <xf numFmtId="166" fontId="4" fillId="0" borderId="18" xfId="3" applyFont="1" applyFill="1" applyBorder="1">
      <alignment vertical="center"/>
    </xf>
    <xf numFmtId="166" fontId="4" fillId="0" borderId="19" xfId="3" applyFont="1" applyFill="1" applyBorder="1">
      <alignment vertical="center"/>
    </xf>
    <xf numFmtId="0" fontId="8" fillId="0" borderId="24" xfId="1" applyFont="1" applyBorder="1" applyAlignment="1">
      <alignment vertical="center"/>
    </xf>
    <xf numFmtId="166" fontId="1" fillId="0" borderId="25" xfId="1" applyNumberFormat="1" applyBorder="1"/>
    <xf numFmtId="166" fontId="1" fillId="0" borderId="22" xfId="1" applyNumberFormat="1" applyBorder="1"/>
    <xf numFmtId="166" fontId="12" fillId="0" borderId="32" xfId="1" applyNumberFormat="1" applyFont="1" applyBorder="1"/>
    <xf numFmtId="166" fontId="5" fillId="0" borderId="25" xfId="1" applyNumberFormat="1" applyFont="1" applyBorder="1"/>
    <xf numFmtId="0" fontId="19" fillId="0" borderId="7" xfId="1" applyFont="1" applyBorder="1" applyAlignment="1">
      <alignment horizontal="center" vertical="center"/>
    </xf>
    <xf numFmtId="164" fontId="19" fillId="0" borderId="7" xfId="2" applyNumberFormat="1" applyFont="1" applyFill="1" applyBorder="1" applyAlignment="1">
      <alignment horizontal="center" vertical="center"/>
    </xf>
    <xf numFmtId="164" fontId="20" fillId="0" borderId="8" xfId="2" applyNumberFormat="1" applyFont="1" applyFill="1" applyBorder="1" applyAlignment="1">
      <alignment horizontal="center" vertical="center"/>
    </xf>
    <xf numFmtId="164" fontId="21" fillId="0" borderId="0" xfId="2" applyNumberFormat="1" applyFont="1" applyFill="1"/>
    <xf numFmtId="0" fontId="19" fillId="0" borderId="3" xfId="1" applyFont="1" applyBorder="1" applyAlignment="1">
      <alignment horizontal="center" vertical="center"/>
    </xf>
    <xf numFmtId="164" fontId="19" fillId="0" borderId="3" xfId="2" applyNumberFormat="1" applyFont="1" applyFill="1" applyBorder="1" applyAlignment="1">
      <alignment horizontal="center" vertical="center"/>
    </xf>
    <xf numFmtId="164" fontId="20" fillId="0" borderId="4" xfId="2" applyNumberFormat="1" applyFont="1" applyFill="1" applyBorder="1" applyAlignment="1">
      <alignment horizontal="center" vertical="center"/>
    </xf>
    <xf numFmtId="164" fontId="0" fillId="0" borderId="0" xfId="2" applyNumberFormat="1" applyFont="1" applyFill="1" applyAlignment="1"/>
    <xf numFmtId="3" fontId="1" fillId="0" borderId="0" xfId="1" applyNumberFormat="1"/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64" fontId="19" fillId="0" borderId="7" xfId="1" applyNumberFormat="1" applyFont="1" applyBorder="1" applyAlignment="1">
      <alignment horizontal="center" vertical="center"/>
    </xf>
    <xf numFmtId="9" fontId="19" fillId="0" borderId="7" xfId="4" applyFont="1" applyFill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166" fontId="19" fillId="0" borderId="7" xfId="1" applyNumberFormat="1" applyFont="1" applyBorder="1" applyAlignment="1">
      <alignment horizontal="center" vertical="center"/>
    </xf>
    <xf numFmtId="0" fontId="19" fillId="0" borderId="3" xfId="1" applyFont="1" applyBorder="1" applyAlignment="1">
      <alignment horizontal="center" vertical="center"/>
    </xf>
    <xf numFmtId="9" fontId="19" fillId="0" borderId="3" xfId="4" applyFont="1" applyFill="1" applyBorder="1" applyAlignment="1">
      <alignment horizontal="center" vertical="center"/>
    </xf>
    <xf numFmtId="0" fontId="1" fillId="0" borderId="13" xfId="1" applyBorder="1" applyAlignment="1">
      <alignment horizontal="center"/>
    </xf>
    <xf numFmtId="0" fontId="8" fillId="0" borderId="5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9" fillId="0" borderId="32" xfId="1" applyFont="1" applyBorder="1" applyAlignment="1">
      <alignment horizontal="left" vertical="center"/>
    </xf>
    <xf numFmtId="0" fontId="9" fillId="0" borderId="23" xfId="1" applyFont="1" applyBorder="1" applyAlignment="1">
      <alignment horizontal="left" vertical="center"/>
    </xf>
    <xf numFmtId="0" fontId="9" fillId="0" borderId="24" xfId="1" applyFont="1" applyBorder="1" applyAlignment="1">
      <alignment horizontal="left" vertical="center"/>
    </xf>
    <xf numFmtId="0" fontId="1" fillId="0" borderId="0" xfId="1" applyAlignment="1">
      <alignment horizontal="center"/>
    </xf>
    <xf numFmtId="0" fontId="2" fillId="0" borderId="10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9" fillId="0" borderId="21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/>
    </xf>
    <xf numFmtId="0" fontId="8" fillId="0" borderId="31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166" fontId="4" fillId="0" borderId="24" xfId="3" applyFont="1" applyFill="1" applyBorder="1" applyAlignment="1">
      <alignment horizontal="center" vertical="center"/>
    </xf>
    <xf numFmtId="166" fontId="4" fillId="0" borderId="21" xfId="3" applyFont="1" applyFill="1" applyBorder="1" applyAlignment="1">
      <alignment horizontal="center" vertical="center"/>
    </xf>
    <xf numFmtId="164" fontId="6" fillId="0" borderId="21" xfId="2" applyNumberFormat="1" applyFont="1" applyFill="1" applyBorder="1" applyAlignment="1"/>
    <xf numFmtId="0" fontId="2" fillId="0" borderId="23" xfId="1" applyFont="1" applyBorder="1" applyAlignment="1">
      <alignment horizontal="center"/>
    </xf>
    <xf numFmtId="0" fontId="2" fillId="0" borderId="24" xfId="1" applyFont="1" applyBorder="1" applyAlignment="1">
      <alignment horizontal="center"/>
    </xf>
    <xf numFmtId="166" fontId="6" fillId="0" borderId="24" xfId="3" applyFont="1" applyFill="1" applyBorder="1" applyAlignment="1">
      <alignment horizontal="center"/>
    </xf>
    <xf numFmtId="164" fontId="6" fillId="0" borderId="24" xfId="2" applyNumberFormat="1" applyFont="1" applyFill="1" applyBorder="1" applyAlignment="1">
      <alignment horizontal="center"/>
    </xf>
    <xf numFmtId="0" fontId="1" fillId="0" borderId="26" xfId="1" applyBorder="1" applyAlignment="1">
      <alignment horizontal="center"/>
    </xf>
    <xf numFmtId="0" fontId="1" fillId="0" borderId="27" xfId="1" applyBorder="1" applyAlignment="1">
      <alignment horizontal="center"/>
    </xf>
    <xf numFmtId="0" fontId="1" fillId="0" borderId="28" xfId="1" applyBorder="1" applyAlignment="1">
      <alignment horizontal="center"/>
    </xf>
    <xf numFmtId="0" fontId="2" fillId="0" borderId="1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1" fillId="0" borderId="2" xfId="1" applyBorder="1" applyAlignment="1">
      <alignment horizontal="center" vertical="center" wrapText="1"/>
    </xf>
    <xf numFmtId="0" fontId="1" fillId="0" borderId="4" xfId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/>
    </xf>
    <xf numFmtId="164" fontId="4" fillId="0" borderId="18" xfId="2" applyNumberFormat="1" applyFont="1" applyFill="1" applyBorder="1" applyAlignment="1"/>
    <xf numFmtId="9" fontId="1" fillId="0" borderId="1" xfId="1" applyNumberForma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4" xfId="1" applyFont="1" applyBorder="1" applyAlignment="1">
      <alignment horizontal="center" vertical="center"/>
    </xf>
    <xf numFmtId="0" fontId="2" fillId="0" borderId="15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15" fillId="0" borderId="1" xfId="1" applyFont="1" applyBorder="1" applyAlignment="1">
      <alignment horizontal="center" wrapText="1"/>
    </xf>
    <xf numFmtId="0" fontId="15" fillId="0" borderId="3" xfId="1" applyFont="1" applyBorder="1" applyAlignment="1">
      <alignment horizontal="center" wrapText="1"/>
    </xf>
    <xf numFmtId="0" fontId="1" fillId="0" borderId="3" xfId="1" applyBorder="1" applyAlignment="1">
      <alignment horizontal="center" vertical="center" wrapText="1"/>
    </xf>
  </cellXfs>
  <cellStyles count="5">
    <cellStyle name="Comma [0] 2" xfId="3" xr:uid="{14D1C69E-CEE3-4B30-A1F6-009D2BA173F1}"/>
    <cellStyle name="Comma 2" xfId="2" xr:uid="{D1F2DC58-42AF-46EC-9BBF-3BE755997EB2}"/>
    <cellStyle name="Normal" xfId="0" builtinId="0"/>
    <cellStyle name="Normal 2" xfId="1" xr:uid="{BF51C51B-263E-4542-89D3-1C961AFB681D}"/>
    <cellStyle name="Percent 2" xfId="4" xr:uid="{B4EB072A-4380-4BBA-9971-CE913E93DA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649;&#51228;&#44060;&#54200;.&#51473;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ourceCodeHR\Myongshin\Documents\New%20folder%20(1)\10.%20MAT%20MET%20MMT_Jan's%20actual%20manhour_ok.xlsx" TargetMode="External"/><Relationship Id="rId1" Type="http://schemas.openxmlformats.org/officeDocument/2006/relationships/externalLinkPath" Target="/SourceCodeHR/Myongshin/Documents/New%20folder%20(1)/10.%20MAT%20MET%20MMT_Jan's%20actual%20manhour_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노동부"/>
      <sheetName val="RB"/>
      <sheetName val="CAUDIT"/>
      <sheetName val="대외공문"/>
      <sheetName val="판매46"/>
      <sheetName val="13역무손익"/>
      <sheetName val="장가항 DS"/>
      <sheetName val="출하원인"/>
      <sheetName val="1월"/>
      <sheetName val="첨부3.전체계정"/>
      <sheetName val="공통비"/>
      <sheetName val="TB-FASSON"/>
      <sheetName val="수정시산표"/>
      <sheetName val="직제개편"/>
      <sheetName val="18년 계획 기준"/>
      <sheetName val="히든"/>
      <sheetName val="DATA"/>
      <sheetName val="마스터"/>
      <sheetName val="SALE AUG-KVP (2)"/>
      <sheetName val="SALE AUG-KVP"/>
      <sheetName val="BUYBACK-MSP"/>
      <sheetName val="5 months 29.May.19"/>
      <sheetName val="6 months 22.June.19"/>
      <sheetName val="Compare"/>
      <sheetName val="6 month-Business Plan"/>
      <sheetName val="6 months sale KVPdata"/>
      <sheetName val="PROCESSING FEE JULY"/>
      <sheetName val="PROCESSING FEE AUG"/>
      <sheetName val="Cách làm BC tuần"/>
      <sheetName val="1.SALES(KVP)"/>
      <sheetName val="2.Compare(1WEEK)"/>
      <sheetName val="2.SALES(BUY BACK)"/>
      <sheetName val="3.Compare"/>
      <sheetName val="6 months PLAN 2"/>
      <sheetName val="6 months PLAN 3"/>
      <sheetName val="6 months sale Korea data"/>
      <sheetName val="PROCESSING FEE"/>
      <sheetName val="2.Compare (3)"/>
      <sheetName val="2.Compare (2)"/>
      <sheetName val="BUY-BACK PLAN"/>
      <sheetName val="수리결과"/>
      <sheetName val="A2"/>
      <sheetName val="A1"/>
      <sheetName val="수불부"/>
      <sheetName val="수금 "/>
      <sheetName val="12월정산수금현황"/>
      <sheetName val="분류박스"/>
      <sheetName val="업무분장 "/>
      <sheetName val="공통"/>
      <sheetName val="대차대조표"/>
      <sheetName val="조정명세서"/>
      <sheetName val="업체손실공수.xls"/>
      <sheetName val="25.보증금(임차보증금외)"/>
      <sheetName val="Balance sheet"/>
      <sheetName val="점유면적"/>
      <sheetName val="#REF"/>
      <sheetName val="Common Wheat"/>
      <sheetName val="제조원가"/>
      <sheetName val="감소-ERP"/>
      <sheetName val="SO416"/>
      <sheetName val="ITS Assumptions"/>
      <sheetName val="Krw"/>
      <sheetName val="980731"/>
      <sheetName val="구성비"/>
      <sheetName val="B053 (990701)공정실적PP%계산"/>
      <sheetName val="내역서"/>
      <sheetName val="갑지"/>
      <sheetName val="EP0618"/>
      <sheetName val="업무분장"/>
      <sheetName val="산자사 운전용품"/>
      <sheetName val="시설이용권명세서"/>
      <sheetName val="Sheet3"/>
      <sheetName val=""/>
      <sheetName val="Specs"/>
      <sheetName val="GB-IC Villingen GG"/>
      <sheetName val="Laskelmat"/>
      <sheetName val="SpecsTxt"/>
      <sheetName val="Perustiedot"/>
      <sheetName val="매립"/>
      <sheetName val="업무분장_"/>
      <sheetName val="25_보증금(임차보증금외)"/>
      <sheetName val="장가항_DS"/>
      <sheetName val="Common_Wheat"/>
      <sheetName val="첨부3_전체계정"/>
      <sheetName val="B053_(990701)공정실적PP%계산"/>
      <sheetName val="GB-IC_Villingen_GG"/>
      <sheetName val="업체손실공수_xls"/>
      <sheetName val="수금_"/>
      <sheetName val="Balance_sheet"/>
      <sheetName val="97년"/>
      <sheetName val="진행 DATA (2)"/>
      <sheetName val="SG"/>
      <sheetName val="Kalkdaten"/>
      <sheetName val="Anlauf"/>
      <sheetName val="Daten"/>
      <sheetName val="JP_GP_UP통합"/>
      <sheetName val="Summary"/>
      <sheetName val="Ca_Scatter"/>
      <sheetName val="VPC"/>
      <sheetName val="F_Axle_Grip"/>
      <sheetName val="R_Axle_Grip"/>
      <sheetName val="Front"/>
      <sheetName val="Rear"/>
      <sheetName val="TB(BS)"/>
      <sheetName val="TB(PL)"/>
      <sheetName val="XREF"/>
      <sheetName val="AR-Con"/>
      <sheetName val="가수금대체"/>
      <sheetName val="8"/>
      <sheetName val="9"/>
      <sheetName val="CJE"/>
      <sheetName val="graph"/>
      <sheetName val="9-1차이내역"/>
      <sheetName val="문서처리전"/>
      <sheetName val="B:\직제개편.중"/>
      <sheetName val="초임연봉"/>
      <sheetName val="의왕"/>
      <sheetName val="산자사_운전용품"/>
      <sheetName val="저하요인"/>
      <sheetName val="LIST"/>
      <sheetName val="협력사"/>
      <sheetName val="생산저하요인"/>
      <sheetName val="업무분장_1"/>
      <sheetName val="Common_Wheat1"/>
      <sheetName val="25_보증금(임차보증금외)1"/>
      <sheetName val="장가항_DS1"/>
      <sheetName val="B053_(990701)공정실적PP%계산1"/>
      <sheetName val="첨부3_전체계정1"/>
      <sheetName val="GB-IC_Villingen_GG1"/>
      <sheetName val="업체손실공수_xls1"/>
      <sheetName val="수금_1"/>
      <sheetName val="Balance_sheet1"/>
      <sheetName val="M1master"/>
      <sheetName val="二.POSITION.XLS"/>
      <sheetName val="Product"/>
      <sheetName val="Division"/>
      <sheetName val="Part"/>
      <sheetName val="Subject"/>
      <sheetName val="Cos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 refreshError="1"/>
      <sheetData sheetId="119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TOTAL MH Plan"/>
      <sheetName val="MATMMTMET actual OT "/>
      <sheetName val="Sheet1"/>
      <sheetName val="Privot"/>
      <sheetName val="JAN_Total"/>
    </sheetNames>
    <sheetDataSet>
      <sheetData sheetId="0"/>
      <sheetData sheetId="1">
        <row r="4">
          <cell r="A4" t="str">
            <v>MET /MMT Worker</v>
          </cell>
          <cell r="B4">
            <v>10</v>
          </cell>
          <cell r="C4">
            <v>1367.9999999999998</v>
          </cell>
          <cell r="D4">
            <v>1367.9999999999998</v>
          </cell>
          <cell r="E4">
            <v>164.15999999999997</v>
          </cell>
          <cell r="F4">
            <v>743.84999999999991</v>
          </cell>
          <cell r="G4">
            <v>947.15000000000009</v>
          </cell>
          <cell r="H4">
            <v>215.46</v>
          </cell>
          <cell r="I4">
            <v>461.70000000000005</v>
          </cell>
          <cell r="J4">
            <v>0</v>
          </cell>
          <cell r="K4">
            <v>0</v>
          </cell>
        </row>
        <row r="5">
          <cell r="A5" t="str">
            <v>MAT worker</v>
          </cell>
          <cell r="B5">
            <v>148</v>
          </cell>
          <cell r="C5">
            <v>23242.319999999945</v>
          </cell>
          <cell r="D5">
            <v>20246.399999999947</v>
          </cell>
          <cell r="E5">
            <v>2995.9199999999992</v>
          </cell>
          <cell r="F5">
            <v>10478.024999999994</v>
          </cell>
          <cell r="G5">
            <v>11828.450000000003</v>
          </cell>
          <cell r="H5">
            <v>3932.145000000005</v>
          </cell>
          <cell r="I5">
            <v>7541.1</v>
          </cell>
          <cell r="J5">
            <v>0</v>
          </cell>
          <cell r="K5">
            <v>0</v>
          </cell>
        </row>
        <row r="6">
          <cell r="A6" t="str">
            <v>Temporary worker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B7">
            <v>158</v>
          </cell>
          <cell r="C7">
            <v>24610.319999999945</v>
          </cell>
          <cell r="D7">
            <v>21614.399999999947</v>
          </cell>
          <cell r="E7">
            <v>3160.079999999999</v>
          </cell>
          <cell r="F7">
            <v>11221.874999999995</v>
          </cell>
          <cell r="G7">
            <v>12775.600000000002</v>
          </cell>
          <cell r="H7">
            <v>4147.605000000005</v>
          </cell>
          <cell r="I7">
            <v>8002.8</v>
          </cell>
          <cell r="J7">
            <v>0</v>
          </cell>
          <cell r="K7">
            <v>0</v>
          </cell>
          <cell r="L7">
            <v>60922.35999999995</v>
          </cell>
        </row>
      </sheetData>
      <sheetData sheetId="2"/>
      <sheetData sheetId="3"/>
      <sheetData sheetId="4">
        <row r="4">
          <cell r="A4" t="str">
            <v>MAT worker</v>
          </cell>
          <cell r="B4">
            <v>151</v>
          </cell>
          <cell r="C4">
            <v>17838</v>
          </cell>
          <cell r="D4">
            <v>9191.5</v>
          </cell>
          <cell r="E4">
            <v>8646.5</v>
          </cell>
          <cell r="F4">
            <v>2593.9499999999966</v>
          </cell>
        </row>
        <row r="5">
          <cell r="A5" t="str">
            <v>MET worker</v>
          </cell>
          <cell r="B5">
            <v>2</v>
          </cell>
          <cell r="C5">
            <v>280</v>
          </cell>
          <cell r="D5">
            <v>136</v>
          </cell>
          <cell r="E5">
            <v>144</v>
          </cell>
          <cell r="F5">
            <v>43.199999999999996</v>
          </cell>
        </row>
        <row r="6">
          <cell r="A6" t="str">
            <v>MMT worker</v>
          </cell>
          <cell r="B6">
            <v>7</v>
          </cell>
          <cell r="C6">
            <v>942.5</v>
          </cell>
          <cell r="D6">
            <v>540</v>
          </cell>
          <cell r="E6">
            <v>402.5</v>
          </cell>
          <cell r="F6">
            <v>120.74999999999999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workbookViewId="0">
      <selection activeCell="B7" sqref="B7"/>
    </sheetView>
  </sheetViews>
  <sheetFormatPr defaultRowHeight="15"/>
  <cols>
    <col min="2" max="2" width="17.5703125" bestFit="1" customWidth="1"/>
    <col min="3" max="3" width="10.140625" bestFit="1" customWidth="1"/>
    <col min="4" max="11" width="8" bestFit="1" customWidth="1"/>
  </cols>
  <sheetData>
    <row r="1" spans="1:12">
      <c r="A1">
        <v>1</v>
      </c>
    </row>
    <row r="2" spans="1:12">
      <c r="A2">
        <v>2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</row>
    <row r="3" spans="1:12">
      <c r="A3">
        <v>3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36</v>
      </c>
    </row>
    <row r="4" spans="1:12" ht="15.75" customHeight="1">
      <c r="A4">
        <v>4</v>
      </c>
    </row>
    <row r="6" spans="1:12" s="18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6BA81-840A-4AC9-A447-D9D7095A6A63}">
  <sheetPr>
    <tabColor theme="5" tint="0.39997558519241921"/>
  </sheetPr>
  <dimension ref="A1:AM41"/>
  <sheetViews>
    <sheetView tabSelected="1" zoomScaleNormal="100" workbookViewId="0">
      <pane ySplit="3" topLeftCell="A4" activePane="bottomLeft" state="frozen"/>
      <selection pane="bottomLeft" activeCell="A3" sqref="A3"/>
    </sheetView>
  </sheetViews>
  <sheetFormatPr defaultRowHeight="15.75"/>
  <cols>
    <col min="1" max="1" width="25.42578125" style="2" bestFit="1" customWidth="1"/>
    <col min="2" max="2" width="8.42578125" style="2" customWidth="1"/>
    <col min="3" max="4" width="4.28515625" style="2" customWidth="1"/>
    <col min="5" max="7" width="10" style="2" customWidth="1"/>
    <col min="8" max="8" width="9" style="2" customWidth="1"/>
    <col min="9" max="10" width="9.5703125" style="2" customWidth="1"/>
    <col min="11" max="11" width="10.42578125" style="2" customWidth="1"/>
    <col min="12" max="12" width="12.28515625" style="2" customWidth="1"/>
    <col min="13" max="14" width="7.5703125" style="2" customWidth="1"/>
    <col min="15" max="20" width="9.85546875" style="2" customWidth="1"/>
    <col min="21" max="21" width="10.85546875" style="2" customWidth="1"/>
    <col min="22" max="31" width="7.28515625" style="2" customWidth="1"/>
    <col min="32" max="35" width="7.28515625" style="2" hidden="1" customWidth="1"/>
    <col min="36" max="36" width="9.140625" style="2" customWidth="1"/>
    <col min="37" max="37" width="10.5703125" style="2" customWidth="1"/>
    <col min="38" max="38" width="10.140625" style="2" customWidth="1"/>
    <col min="39" max="16384" width="9.140625" style="2"/>
  </cols>
  <sheetData>
    <row r="1" spans="1:39">
      <c r="A1" s="122" t="str">
        <f>"MAT/MMT/MET ACTUAL &amp; PLAN MAN HOUR COMPARISON OF " &amp; UPPER(TEXT(DATE(Sheet1!A2,Sheet1!A1,1),"MMM yyyy")) &amp;" (1-" &amp; DAY(EOMONTH(DATE(Sheet1!A2,Sheet1!A1,1),0))&amp; ")"</f>
        <v>MAT/MMT/MET ACTUAL &amp; PLAN MAN HOUR COMPARISON OF JAN 1902 (1-31)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</row>
    <row r="2" spans="1:39">
      <c r="A2" s="122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</row>
    <row r="3" spans="1:39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9" ht="16.5" thickBo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9" ht="16.5" thickBot="1">
      <c r="A5" s="4" t="s">
        <v>37</v>
      </c>
      <c r="B5" s="4"/>
      <c r="C5" s="4"/>
      <c r="D5" s="4"/>
      <c r="E5" s="123" t="s">
        <v>38</v>
      </c>
      <c r="F5" s="124"/>
      <c r="G5" s="125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Y5" s="4"/>
      <c r="Z5" s="4"/>
      <c r="AA5" s="4"/>
      <c r="AC5" s="4"/>
      <c r="AD5" s="4"/>
      <c r="AE5" s="4"/>
      <c r="AG5" s="4"/>
      <c r="AH5" s="4"/>
      <c r="AI5" s="4"/>
      <c r="AJ5" s="4" t="s">
        <v>39</v>
      </c>
    </row>
    <row r="6" spans="1:39" ht="27.75" customHeight="1">
      <c r="A6" s="126" t="s">
        <v>10</v>
      </c>
      <c r="B6" s="128" t="s">
        <v>11</v>
      </c>
      <c r="C6" s="128"/>
      <c r="D6" s="128"/>
      <c r="E6" s="129" t="s">
        <v>40</v>
      </c>
      <c r="F6" s="128" t="s">
        <v>12</v>
      </c>
      <c r="G6" s="128" t="s">
        <v>13</v>
      </c>
      <c r="H6" s="120">
        <v>1.5</v>
      </c>
      <c r="I6" s="120"/>
      <c r="J6" s="120"/>
      <c r="K6" s="120"/>
      <c r="L6" s="120">
        <v>2</v>
      </c>
      <c r="M6" s="120"/>
      <c r="N6" s="120"/>
      <c r="O6" s="120"/>
      <c r="P6" s="120">
        <v>2.1</v>
      </c>
      <c r="Q6" s="120"/>
      <c r="R6" s="120"/>
      <c r="S6" s="120"/>
      <c r="T6" s="120">
        <v>2.7</v>
      </c>
      <c r="U6" s="120"/>
      <c r="V6" s="120"/>
      <c r="W6" s="120"/>
      <c r="X6" s="120" t="s">
        <v>41</v>
      </c>
      <c r="Y6" s="120"/>
      <c r="Z6" s="120"/>
      <c r="AA6" s="120"/>
      <c r="AB6" s="120">
        <v>3</v>
      </c>
      <c r="AC6" s="120"/>
      <c r="AD6" s="120"/>
      <c r="AE6" s="120"/>
      <c r="AF6" s="120">
        <v>3.9</v>
      </c>
      <c r="AG6" s="120"/>
      <c r="AH6" s="120"/>
      <c r="AI6" s="120"/>
      <c r="AJ6" s="114" t="s">
        <v>42</v>
      </c>
      <c r="AK6" s="114" t="s">
        <v>43</v>
      </c>
      <c r="AL6" s="114" t="s">
        <v>21</v>
      </c>
      <c r="AM6" s="116" t="s">
        <v>17</v>
      </c>
    </row>
    <row r="7" spans="1:39" ht="78.75" customHeight="1" thickBot="1">
      <c r="A7" s="127"/>
      <c r="B7" s="5" t="s">
        <v>15</v>
      </c>
      <c r="C7" s="118" t="s">
        <v>16</v>
      </c>
      <c r="D7" s="118"/>
      <c r="E7" s="130"/>
      <c r="F7" s="131"/>
      <c r="G7" s="131"/>
      <c r="H7" s="19" t="s">
        <v>18</v>
      </c>
      <c r="I7" s="6" t="s">
        <v>19</v>
      </c>
      <c r="J7" s="6" t="s">
        <v>20</v>
      </c>
      <c r="K7" s="6" t="s">
        <v>21</v>
      </c>
      <c r="L7" s="19" t="s">
        <v>44</v>
      </c>
      <c r="M7" s="6" t="s">
        <v>19</v>
      </c>
      <c r="N7" s="6" t="s">
        <v>22</v>
      </c>
      <c r="O7" s="6" t="s">
        <v>14</v>
      </c>
      <c r="P7" s="19" t="s">
        <v>44</v>
      </c>
      <c r="Q7" s="6" t="s">
        <v>19</v>
      </c>
      <c r="R7" s="6" t="s">
        <v>22</v>
      </c>
      <c r="S7" s="6" t="s">
        <v>14</v>
      </c>
      <c r="T7" s="19" t="s">
        <v>44</v>
      </c>
      <c r="U7" s="6" t="s">
        <v>19</v>
      </c>
      <c r="V7" s="6" t="s">
        <v>22</v>
      </c>
      <c r="W7" s="6" t="s">
        <v>14</v>
      </c>
      <c r="X7" s="19" t="s">
        <v>44</v>
      </c>
      <c r="Y7" s="6" t="s">
        <v>19</v>
      </c>
      <c r="Z7" s="6" t="s">
        <v>22</v>
      </c>
      <c r="AA7" s="6" t="s">
        <v>14</v>
      </c>
      <c r="AB7" s="6" t="s">
        <v>44</v>
      </c>
      <c r="AC7" s="6" t="s">
        <v>19</v>
      </c>
      <c r="AD7" s="6" t="s">
        <v>22</v>
      </c>
      <c r="AE7" s="6" t="s">
        <v>14</v>
      </c>
      <c r="AF7" s="6" t="s">
        <v>44</v>
      </c>
      <c r="AG7" s="6" t="s">
        <v>19</v>
      </c>
      <c r="AH7" s="6" t="s">
        <v>22</v>
      </c>
      <c r="AI7" s="6" t="s">
        <v>14</v>
      </c>
      <c r="AJ7" s="115"/>
      <c r="AK7" s="121"/>
      <c r="AL7" s="115"/>
      <c r="AM7" s="117"/>
    </row>
    <row r="8" spans="1:39" ht="39.75" customHeight="1">
      <c r="A8" s="20" t="s">
        <v>45</v>
      </c>
      <c r="B8" s="21"/>
      <c r="C8" s="119">
        <f>Sheet1!C7+Sheet1!C8</f>
        <v>0</v>
      </c>
      <c r="D8" s="119"/>
      <c r="E8" s="23"/>
      <c r="F8" s="22">
        <f>Sheet1!D7+Sheet1!C8</f>
        <v>0</v>
      </c>
      <c r="G8" s="22">
        <f>Sheet1!E7+Sheet1!E8</f>
        <v>0</v>
      </c>
      <c r="H8" s="23"/>
      <c r="I8" s="22">
        <f>Sheet1!F7+Sheet1!F8</f>
        <v>0</v>
      </c>
      <c r="J8" s="22">
        <f>I8*1.5</f>
        <v>0</v>
      </c>
      <c r="K8" s="22">
        <f>+J8-H8</f>
        <v>0</v>
      </c>
      <c r="L8" s="23"/>
      <c r="M8" s="22">
        <f>Sheet1!G7+Sheet1!G8</f>
        <v>0</v>
      </c>
      <c r="N8" s="22">
        <f>M8*2</f>
        <v>0</v>
      </c>
      <c r="O8" s="22">
        <f>+N8-L8</f>
        <v>0</v>
      </c>
      <c r="P8" s="23"/>
      <c r="Q8" s="22">
        <f>Sheet1!H7+Sheet1!H8</f>
        <v>0</v>
      </c>
      <c r="R8" s="22">
        <f>Q8*2.1</f>
        <v>0</v>
      </c>
      <c r="S8" s="22">
        <f>+R8-P8</f>
        <v>0</v>
      </c>
      <c r="T8" s="23"/>
      <c r="U8" s="22">
        <f>Sheet1!I7+Sheet1!I8</f>
        <v>0</v>
      </c>
      <c r="V8" s="22">
        <f>U8*2.7</f>
        <v>0</v>
      </c>
      <c r="W8" s="22">
        <f>+V8-T8</f>
        <v>0</v>
      </c>
      <c r="X8" s="23"/>
      <c r="Y8" s="22">
        <f>G8</f>
        <v>0</v>
      </c>
      <c r="Z8" s="22">
        <f>Y8*0.3</f>
        <v>0</v>
      </c>
      <c r="AA8" s="22">
        <f>+Z8-X8</f>
        <v>0</v>
      </c>
      <c r="AB8" s="22"/>
      <c r="AC8" s="22">
        <f>Sheet1!J7+Sheet1!J8</f>
        <v>0</v>
      </c>
      <c r="AD8" s="22">
        <f>AC8*3</f>
        <v>0</v>
      </c>
      <c r="AE8" s="22">
        <f>+AD8-AB8</f>
        <v>0</v>
      </c>
      <c r="AF8" s="22">
        <f>VLOOKUP(A8,'[2]TOTAL MH Plan'!$A$4:$K$6,11,0)</f>
        <v>0</v>
      </c>
      <c r="AG8" s="22">
        <f>Sheet1!K7+Sheet1!K8</f>
        <v>0</v>
      </c>
      <c r="AH8" s="22">
        <f>AG8*3.9</f>
        <v>0</v>
      </c>
      <c r="AI8" s="22">
        <f>+AH8-AF8</f>
        <v>0</v>
      </c>
      <c r="AJ8" s="22">
        <f>+H8+L8+P8+T8+X8+AF8+E8+AB8</f>
        <v>0</v>
      </c>
      <c r="AK8" s="22">
        <f>F8+G8+J8+N8+R8+V8+Z8+AD8+AH8</f>
        <v>0</v>
      </c>
      <c r="AL8" s="21">
        <f>+AK8-AJ8</f>
        <v>0</v>
      </c>
      <c r="AM8" s="24">
        <f>Sheet1!L7+Sheet1!L8</f>
        <v>0</v>
      </c>
    </row>
    <row r="9" spans="1:39" ht="39.75" customHeight="1">
      <c r="A9" s="25" t="s">
        <v>46</v>
      </c>
      <c r="B9" s="26"/>
      <c r="C9" s="119">
        <f>Sheet1!C6</f>
        <v>0</v>
      </c>
      <c r="D9" s="119"/>
      <c r="E9" s="27"/>
      <c r="F9" s="28">
        <f>Sheet1!D6</f>
        <v>0</v>
      </c>
      <c r="G9" s="28">
        <f>Sheet1!E6</f>
        <v>0</v>
      </c>
      <c r="H9" s="27"/>
      <c r="I9" s="28">
        <f>Sheet1!F6</f>
        <v>0</v>
      </c>
      <c r="J9" s="22">
        <f>I9*1.5</f>
        <v>0</v>
      </c>
      <c r="K9" s="28">
        <f>+J9-H9</f>
        <v>0</v>
      </c>
      <c r="L9" s="27"/>
      <c r="M9" s="28">
        <f>Sheet1!G6</f>
        <v>0</v>
      </c>
      <c r="N9" s="22">
        <f>M9*2</f>
        <v>0</v>
      </c>
      <c r="O9" s="28">
        <f>+N9-L9</f>
        <v>0</v>
      </c>
      <c r="P9" s="27"/>
      <c r="Q9" s="28">
        <f>Sheet1!H6</f>
        <v>0</v>
      </c>
      <c r="R9" s="22">
        <f>Q9*2.1</f>
        <v>0</v>
      </c>
      <c r="S9" s="28">
        <f>+R9-P9</f>
        <v>0</v>
      </c>
      <c r="T9" s="27"/>
      <c r="U9" s="28">
        <f>Sheet1!I6</f>
        <v>0</v>
      </c>
      <c r="V9" s="22">
        <f>U9*2.7</f>
        <v>0</v>
      </c>
      <c r="W9" s="28">
        <f>+V9-T9</f>
        <v>0</v>
      </c>
      <c r="X9" s="27"/>
      <c r="Y9" s="22">
        <f>G9</f>
        <v>0</v>
      </c>
      <c r="Z9" s="22">
        <f>Y9*0.3</f>
        <v>0</v>
      </c>
      <c r="AA9" s="28">
        <f>+Z9-X9</f>
        <v>0</v>
      </c>
      <c r="AB9" s="28">
        <f>+VLOOKUP(A9,'[2]TOTAL MH Plan'!$A$4:$K$6,10,0)</f>
        <v>0</v>
      </c>
      <c r="AC9" s="28">
        <f>Sheet1!J6</f>
        <v>0</v>
      </c>
      <c r="AD9" s="22">
        <f>AC9*3</f>
        <v>0</v>
      </c>
      <c r="AE9" s="28">
        <f>+AD9-AB9</f>
        <v>0</v>
      </c>
      <c r="AF9" s="28">
        <f>VLOOKUP(A9,'[2]TOTAL MH Plan'!$A$4:$K$6,11,0)</f>
        <v>0</v>
      </c>
      <c r="AG9" s="28">
        <f>Sheet1!K6</f>
        <v>0</v>
      </c>
      <c r="AH9" s="22">
        <f>AG9*3.9</f>
        <v>0</v>
      </c>
      <c r="AI9" s="28">
        <f>+AH9-AF9</f>
        <v>0</v>
      </c>
      <c r="AJ9" s="28">
        <f t="shared" ref="AJ9:AJ10" si="0">+H9+L9+P9+T9+X9+AF9+E9+AB9</f>
        <v>0</v>
      </c>
      <c r="AK9" s="28">
        <f>+F9+G9+J9+N9+R9+V9+Z9+AD9+AH9</f>
        <v>0</v>
      </c>
      <c r="AL9" s="26">
        <f>+AK9-AJ9</f>
        <v>0</v>
      </c>
      <c r="AM9" s="29">
        <f>Sheet1!L6</f>
        <v>0</v>
      </c>
    </row>
    <row r="10" spans="1:39" ht="39.75" customHeight="1">
      <c r="A10" s="25" t="s">
        <v>23</v>
      </c>
      <c r="B10" s="26"/>
      <c r="C10" s="119"/>
      <c r="D10" s="119"/>
      <c r="E10" s="27">
        <f>+VLOOKUP(A10,'[2]TOTAL MH Plan'!$A$6:$D$6,4,0)</f>
        <v>0</v>
      </c>
      <c r="F10" s="28"/>
      <c r="G10" s="28"/>
      <c r="H10" s="27">
        <f>IFERROR(VLOOKUP(A10,'[2]TOTAL MH Plan'!$A$4:$L$7,6,0),0)</f>
        <v>0</v>
      </c>
      <c r="I10" s="28"/>
      <c r="J10" s="28"/>
      <c r="K10" s="28">
        <f>+J10-H10</f>
        <v>0</v>
      </c>
      <c r="L10" s="27">
        <f>+IFERROR(VLOOKUP(A10,'[2]TOTAL MH Plan'!$A$4:$K$6,7,0),0)</f>
        <v>0</v>
      </c>
      <c r="M10" s="28"/>
      <c r="N10" s="28"/>
      <c r="O10" s="28">
        <f>+N10-L10</f>
        <v>0</v>
      </c>
      <c r="P10" s="27">
        <f>+IFERROR(VLOOKUP(A10,'[2]TOTAL MH Plan'!$A$4:$K$7,8,0),0)</f>
        <v>0</v>
      </c>
      <c r="Q10" s="28"/>
      <c r="R10" s="28"/>
      <c r="S10" s="28">
        <f>+R10-P10</f>
        <v>0</v>
      </c>
      <c r="T10" s="27">
        <f>IFERROR(VLOOKUP(A10,'[2]TOTAL MH Plan'!$A$4:$K$6,9,0),0)</f>
        <v>0</v>
      </c>
      <c r="U10" s="28"/>
      <c r="V10" s="28"/>
      <c r="W10" s="28">
        <f>+V10-T10</f>
        <v>0</v>
      </c>
      <c r="X10" s="27">
        <f>IFERROR(VLOOKUP(A10,'[2]TOTAL MH Plan'!$A$4:$E$6,5,0),0)</f>
        <v>0</v>
      </c>
      <c r="Y10" s="28"/>
      <c r="Z10" s="28">
        <f>IFERROR(VLOOKUP(A10,[2]Privot!$A$4:$F$6,6,0),0)</f>
        <v>0</v>
      </c>
      <c r="AA10" s="28">
        <f>+Z10-X10</f>
        <v>0</v>
      </c>
      <c r="AB10" s="28">
        <f>+VLOOKUP(A10,'[2]TOTAL MH Plan'!$A$4:$K$6,10,0)</f>
        <v>0</v>
      </c>
      <c r="AC10" s="28"/>
      <c r="AD10" s="28"/>
      <c r="AE10" s="28"/>
      <c r="AF10" s="28"/>
      <c r="AG10" s="28"/>
      <c r="AH10" s="28"/>
      <c r="AI10" s="28"/>
      <c r="AJ10" s="28">
        <f t="shared" si="0"/>
        <v>0</v>
      </c>
      <c r="AK10" s="28">
        <f>+F10+G10+J10+N10+R10+V10+Z10+AD10+AH10</f>
        <v>0</v>
      </c>
      <c r="AL10" s="26">
        <f>+AK10-AJ10</f>
        <v>0</v>
      </c>
      <c r="AM10" s="29"/>
    </row>
    <row r="11" spans="1:39" s="36" customFormat="1" ht="39.75" customHeight="1">
      <c r="A11" s="30" t="s">
        <v>24</v>
      </c>
      <c r="B11" s="31">
        <f>SUM(B8:B10)</f>
        <v>0</v>
      </c>
      <c r="C11" s="106">
        <f>SUM(C8:C10)</f>
        <v>0</v>
      </c>
      <c r="D11" s="106">
        <f t="shared" ref="D11:AI11" si="1">SUM(D8:D10)</f>
        <v>0</v>
      </c>
      <c r="E11" s="33">
        <f t="shared" si="1"/>
        <v>0</v>
      </c>
      <c r="F11" s="34">
        <f t="shared" si="1"/>
        <v>0</v>
      </c>
      <c r="G11" s="34">
        <f t="shared" si="1"/>
        <v>0</v>
      </c>
      <c r="H11" s="33">
        <f t="shared" si="1"/>
        <v>0</v>
      </c>
      <c r="I11" s="32">
        <f t="shared" si="1"/>
        <v>0</v>
      </c>
      <c r="J11" s="34">
        <f t="shared" si="1"/>
        <v>0</v>
      </c>
      <c r="K11" s="32">
        <f t="shared" si="1"/>
        <v>0</v>
      </c>
      <c r="L11" s="33">
        <f t="shared" si="1"/>
        <v>0</v>
      </c>
      <c r="M11" s="32">
        <f t="shared" si="1"/>
        <v>0</v>
      </c>
      <c r="N11" s="34">
        <f t="shared" si="1"/>
        <v>0</v>
      </c>
      <c r="O11" s="32">
        <f t="shared" si="1"/>
        <v>0</v>
      </c>
      <c r="P11" s="33">
        <f t="shared" si="1"/>
        <v>0</v>
      </c>
      <c r="Q11" s="32">
        <f t="shared" si="1"/>
        <v>0</v>
      </c>
      <c r="R11" s="34">
        <f t="shared" si="1"/>
        <v>0</v>
      </c>
      <c r="S11" s="32">
        <f t="shared" si="1"/>
        <v>0</v>
      </c>
      <c r="T11" s="33">
        <f t="shared" si="1"/>
        <v>0</v>
      </c>
      <c r="U11" s="32">
        <f t="shared" si="1"/>
        <v>0</v>
      </c>
      <c r="V11" s="34">
        <f t="shared" si="1"/>
        <v>0</v>
      </c>
      <c r="W11" s="32">
        <f t="shared" si="1"/>
        <v>0</v>
      </c>
      <c r="X11" s="27">
        <f t="shared" si="1"/>
        <v>0</v>
      </c>
      <c r="Y11" s="32">
        <f t="shared" si="1"/>
        <v>0</v>
      </c>
      <c r="Z11" s="34">
        <f>SUM(Z8:Z10)</f>
        <v>0</v>
      </c>
      <c r="AA11" s="32">
        <f t="shared" si="1"/>
        <v>0</v>
      </c>
      <c r="AB11" s="28">
        <f t="shared" si="1"/>
        <v>0</v>
      </c>
      <c r="AC11" s="32">
        <f t="shared" si="1"/>
        <v>0</v>
      </c>
      <c r="AD11" s="32">
        <f t="shared" si="1"/>
        <v>0</v>
      </c>
      <c r="AE11" s="32">
        <f t="shared" si="1"/>
        <v>0</v>
      </c>
      <c r="AF11" s="28">
        <f t="shared" si="1"/>
        <v>0</v>
      </c>
      <c r="AG11" s="32">
        <f t="shared" si="1"/>
        <v>0</v>
      </c>
      <c r="AH11" s="32">
        <f t="shared" si="1"/>
        <v>0</v>
      </c>
      <c r="AI11" s="32">
        <f t="shared" si="1"/>
        <v>0</v>
      </c>
      <c r="AJ11" s="32">
        <f>SUM(AJ8:AJ10)</f>
        <v>0</v>
      </c>
      <c r="AK11" s="28">
        <f>+F11+G11+J11+N11+R11+V11+Z11</f>
        <v>0</v>
      </c>
      <c r="AL11" s="31">
        <f>+AK11-AJ11</f>
        <v>0</v>
      </c>
      <c r="AM11" s="35">
        <f>SUM(AM8:AM10)</f>
        <v>0</v>
      </c>
    </row>
    <row r="12" spans="1:39" s="7" customFormat="1" ht="16.5" thickBot="1">
      <c r="A12" s="107" t="s">
        <v>47</v>
      </c>
      <c r="B12" s="108"/>
      <c r="C12" s="108"/>
      <c r="D12" s="108"/>
      <c r="E12" s="108"/>
      <c r="F12" s="108"/>
      <c r="G12" s="108"/>
      <c r="H12" s="109"/>
      <c r="I12" s="109"/>
      <c r="J12" s="110">
        <f>+J11/1.5</f>
        <v>0</v>
      </c>
      <c r="K12" s="110"/>
      <c r="L12" s="37">
        <f>+L11/2</f>
        <v>0</v>
      </c>
      <c r="M12" s="37"/>
      <c r="N12" s="37">
        <f t="shared" ref="N12:O12" si="2">+N11/2</f>
        <v>0</v>
      </c>
      <c r="O12" s="37">
        <f t="shared" si="2"/>
        <v>0</v>
      </c>
      <c r="P12" s="37"/>
      <c r="Q12" s="37"/>
      <c r="R12" s="37">
        <f>+R11/2.1</f>
        <v>0</v>
      </c>
      <c r="S12" s="37">
        <f>+S11/2.1</f>
        <v>0</v>
      </c>
      <c r="T12" s="37"/>
      <c r="U12" s="37"/>
      <c r="V12" s="37">
        <f>+V11/2.7</f>
        <v>0</v>
      </c>
      <c r="W12" s="37">
        <f>+W11/2.7</f>
        <v>0</v>
      </c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8"/>
      <c r="AK12" s="38"/>
      <c r="AL12" s="39"/>
      <c r="AM12" s="40"/>
    </row>
    <row r="13" spans="1:39" ht="16.5" thickBot="1">
      <c r="D13" s="8"/>
      <c r="E13" s="8"/>
    </row>
    <row r="14" spans="1:39">
      <c r="A14" s="7" t="s">
        <v>25</v>
      </c>
      <c r="B14" s="7"/>
      <c r="C14" s="7"/>
      <c r="D14" s="111" t="s">
        <v>16</v>
      </c>
      <c r="E14" s="112"/>
      <c r="F14" s="112"/>
      <c r="G14" s="112"/>
      <c r="H14" s="112"/>
      <c r="I14" s="112"/>
      <c r="J14" s="112"/>
      <c r="K14" s="113"/>
      <c r="M14" s="111" t="s">
        <v>15</v>
      </c>
      <c r="N14" s="112"/>
      <c r="O14" s="112"/>
      <c r="P14" s="112"/>
      <c r="Q14" s="112"/>
      <c r="R14" s="112"/>
      <c r="S14" s="112"/>
      <c r="T14" s="113"/>
    </row>
    <row r="15" spans="1:39">
      <c r="D15" s="99" t="s">
        <v>26</v>
      </c>
      <c r="E15" s="100"/>
      <c r="F15" s="100"/>
      <c r="G15" s="97" t="s">
        <v>48</v>
      </c>
      <c r="H15" s="97"/>
      <c r="I15" s="97" t="s">
        <v>49</v>
      </c>
      <c r="J15" s="97"/>
      <c r="K15" s="98" t="s">
        <v>50</v>
      </c>
      <c r="M15" s="99" t="s">
        <v>26</v>
      </c>
      <c r="N15" s="100"/>
      <c r="O15" s="100"/>
      <c r="P15" s="97" t="s">
        <v>48</v>
      </c>
      <c r="Q15" s="97"/>
      <c r="R15" s="97" t="s">
        <v>49</v>
      </c>
      <c r="S15" s="97"/>
      <c r="T15" s="98" t="s">
        <v>50</v>
      </c>
    </row>
    <row r="16" spans="1:39" ht="36">
      <c r="D16" s="99"/>
      <c r="E16" s="100"/>
      <c r="F16" s="100"/>
      <c r="G16" s="42" t="s">
        <v>51</v>
      </c>
      <c r="H16" s="41" t="s">
        <v>28</v>
      </c>
      <c r="I16" s="42" t="s">
        <v>52</v>
      </c>
      <c r="J16" s="41" t="s">
        <v>28</v>
      </c>
      <c r="K16" s="98"/>
      <c r="M16" s="99"/>
      <c r="N16" s="100"/>
      <c r="O16" s="100"/>
      <c r="P16" s="42" t="s">
        <v>51</v>
      </c>
      <c r="Q16" s="42" t="s">
        <v>28</v>
      </c>
      <c r="R16" s="42" t="s">
        <v>52</v>
      </c>
      <c r="S16" s="42" t="s">
        <v>28</v>
      </c>
      <c r="T16" s="98"/>
      <c r="AK16" s="43"/>
    </row>
    <row r="17" spans="4:35">
      <c r="D17" s="99" t="s">
        <v>53</v>
      </c>
      <c r="E17" s="100"/>
      <c r="F17" s="44" t="s">
        <v>27</v>
      </c>
      <c r="G17" s="45">
        <f>+(F11+G11)-(F10+G10)</f>
        <v>0</v>
      </c>
      <c r="H17" s="45">
        <f>+J11-J10</f>
        <v>0</v>
      </c>
      <c r="I17" s="45">
        <f>+(Z11)-Z10</f>
        <v>0</v>
      </c>
      <c r="J17" s="45">
        <f>+R11-R10</f>
        <v>0</v>
      </c>
      <c r="K17" s="46">
        <f t="shared" ref="K17:K21" si="3">SUM(G17:J17)</f>
        <v>0</v>
      </c>
      <c r="M17" s="99" t="s">
        <v>54</v>
      </c>
      <c r="N17" s="100"/>
      <c r="O17" s="44" t="s">
        <v>27</v>
      </c>
      <c r="P17" s="45">
        <f>+E11-E10</f>
        <v>0</v>
      </c>
      <c r="Q17" s="45">
        <f>+H11-H10</f>
        <v>0</v>
      </c>
      <c r="R17" s="45">
        <f>+X11-X10</f>
        <v>0</v>
      </c>
      <c r="S17" s="45">
        <f>+P11-P10</f>
        <v>0</v>
      </c>
      <c r="T17" s="46">
        <f>SUM(P17:S17)</f>
        <v>0</v>
      </c>
    </row>
    <row r="18" spans="4:35" ht="16.5" thickBot="1">
      <c r="D18" s="99"/>
      <c r="E18" s="100"/>
      <c r="F18" s="47" t="s">
        <v>55</v>
      </c>
      <c r="G18" s="48"/>
      <c r="H18" s="48">
        <f>+N11-N10</f>
        <v>0</v>
      </c>
      <c r="I18" s="48"/>
      <c r="J18" s="48">
        <f>+V11-V10</f>
        <v>0</v>
      </c>
      <c r="K18" s="49">
        <f t="shared" si="3"/>
        <v>0</v>
      </c>
      <c r="M18" s="99"/>
      <c r="N18" s="100"/>
      <c r="O18" s="47" t="s">
        <v>55</v>
      </c>
      <c r="P18" s="48"/>
      <c r="Q18" s="48">
        <f>+L11-L10</f>
        <v>0</v>
      </c>
      <c r="R18" s="48"/>
      <c r="S18" s="48">
        <f>+T11-T10</f>
        <v>0</v>
      </c>
      <c r="T18" s="49">
        <f>SUM(P18:S18)</f>
        <v>0</v>
      </c>
    </row>
    <row r="19" spans="4:35">
      <c r="D19" s="99"/>
      <c r="E19" s="101"/>
      <c r="F19" s="50" t="s">
        <v>56</v>
      </c>
      <c r="G19" s="51">
        <f>+F10</f>
        <v>0</v>
      </c>
      <c r="H19" s="51">
        <f>+J10</f>
        <v>0</v>
      </c>
      <c r="I19" s="51">
        <f>+G10+G10</f>
        <v>0</v>
      </c>
      <c r="J19" s="51">
        <f>+R10</f>
        <v>0</v>
      </c>
      <c r="K19" s="52">
        <f t="shared" si="3"/>
        <v>0</v>
      </c>
      <c r="M19" s="99"/>
      <c r="N19" s="101"/>
      <c r="O19" s="50" t="s">
        <v>56</v>
      </c>
      <c r="P19" s="51">
        <f>+E10</f>
        <v>0</v>
      </c>
      <c r="Q19" s="51">
        <f>+H10</f>
        <v>0</v>
      </c>
      <c r="R19" s="51">
        <f>+X10</f>
        <v>0</v>
      </c>
      <c r="S19" s="51">
        <f>+P10</f>
        <v>0</v>
      </c>
      <c r="T19" s="52">
        <f t="shared" ref="T19:T22" si="4">SUM(P19:S19)</f>
        <v>0</v>
      </c>
    </row>
    <row r="20" spans="4:35">
      <c r="D20" s="99"/>
      <c r="E20" s="101"/>
      <c r="F20" s="53" t="s">
        <v>55</v>
      </c>
      <c r="G20" s="45"/>
      <c r="H20" s="45">
        <f>+N10</f>
        <v>0</v>
      </c>
      <c r="I20" s="45"/>
      <c r="J20" s="45">
        <f>+V10</f>
        <v>0</v>
      </c>
      <c r="K20" s="46">
        <f t="shared" si="3"/>
        <v>0</v>
      </c>
      <c r="M20" s="99"/>
      <c r="N20" s="101"/>
      <c r="O20" s="53" t="s">
        <v>55</v>
      </c>
      <c r="P20" s="45"/>
      <c r="Q20" s="45">
        <f>+L10</f>
        <v>0</v>
      </c>
      <c r="R20" s="45"/>
      <c r="S20" s="45">
        <f>+T10</f>
        <v>0</v>
      </c>
      <c r="T20" s="46">
        <f t="shared" si="4"/>
        <v>0</v>
      </c>
    </row>
    <row r="21" spans="4:35" ht="16.5" thickBot="1">
      <c r="D21" s="99"/>
      <c r="E21" s="101"/>
      <c r="F21" s="54" t="s">
        <v>29</v>
      </c>
      <c r="G21" s="55"/>
      <c r="H21" s="55"/>
      <c r="I21" s="55"/>
      <c r="J21" s="55"/>
      <c r="K21" s="56">
        <f t="shared" si="3"/>
        <v>0</v>
      </c>
      <c r="M21" s="99"/>
      <c r="N21" s="101"/>
      <c r="O21" s="54" t="s">
        <v>29</v>
      </c>
      <c r="P21" s="55">
        <f>+AB10</f>
        <v>0</v>
      </c>
      <c r="Q21" s="55"/>
      <c r="R21" s="55"/>
      <c r="S21" s="55">
        <f>+AF10</f>
        <v>0</v>
      </c>
      <c r="T21" s="56">
        <f t="shared" si="4"/>
        <v>0</v>
      </c>
    </row>
    <row r="22" spans="4:35">
      <c r="D22" s="99"/>
      <c r="E22" s="100"/>
      <c r="F22" s="57" t="s">
        <v>29</v>
      </c>
      <c r="G22" s="58">
        <f>+AD11</f>
        <v>0</v>
      </c>
      <c r="H22" s="58"/>
      <c r="I22" s="58">
        <f>+AH11</f>
        <v>0</v>
      </c>
      <c r="J22" s="58"/>
      <c r="K22" s="59">
        <f>SUM(G22:J22)</f>
        <v>0</v>
      </c>
      <c r="M22" s="99"/>
      <c r="N22" s="100"/>
      <c r="O22" s="57" t="s">
        <v>29</v>
      </c>
      <c r="P22" s="58">
        <f>+AB11-AB10</f>
        <v>0</v>
      </c>
      <c r="Q22" s="58"/>
      <c r="R22" s="58"/>
      <c r="S22" s="58">
        <f>+AF11-AF10</f>
        <v>0</v>
      </c>
      <c r="T22" s="59">
        <f t="shared" si="4"/>
        <v>0</v>
      </c>
      <c r="V22" s="8">
        <f>+K20+K19-V21</f>
        <v>0</v>
      </c>
    </row>
    <row r="23" spans="4:35">
      <c r="D23" s="99"/>
      <c r="E23" s="100"/>
      <c r="F23" s="44" t="s">
        <v>57</v>
      </c>
      <c r="G23" s="45">
        <f>SUM(G17:G22)</f>
        <v>0</v>
      </c>
      <c r="H23" s="45">
        <f>SUM(H17:H22)</f>
        <v>0</v>
      </c>
      <c r="I23" s="45">
        <f t="shared" ref="I23:J23" si="5">SUM(I17:I22)</f>
        <v>0</v>
      </c>
      <c r="J23" s="45">
        <f t="shared" si="5"/>
        <v>0</v>
      </c>
      <c r="K23" s="46">
        <f>SUM(K17:K22)</f>
        <v>0</v>
      </c>
      <c r="L23" s="13">
        <f>+K23-K19-K20-K21</f>
        <v>0</v>
      </c>
      <c r="M23" s="99"/>
      <c r="N23" s="100"/>
      <c r="O23" s="44" t="s">
        <v>57</v>
      </c>
      <c r="P23" s="45">
        <f>SUM(P17:P22)</f>
        <v>0</v>
      </c>
      <c r="Q23" s="45">
        <f>SUM(Q17:Q22)</f>
        <v>0</v>
      </c>
      <c r="R23" s="45">
        <f t="shared" ref="R23:S23" si="6">SUM(R17:R22)</f>
        <v>0</v>
      </c>
      <c r="S23" s="45">
        <f t="shared" si="6"/>
        <v>0</v>
      </c>
      <c r="T23" s="46">
        <f>SUM(T17:T22)</f>
        <v>0</v>
      </c>
      <c r="U23" s="8">
        <f>+K23-T23</f>
        <v>0</v>
      </c>
    </row>
    <row r="24" spans="4:35" ht="16.5" thickBot="1">
      <c r="D24" s="102" t="s">
        <v>30</v>
      </c>
      <c r="E24" s="103"/>
      <c r="F24" s="60" t="s">
        <v>58</v>
      </c>
      <c r="G24" s="104"/>
      <c r="H24" s="104"/>
      <c r="I24" s="104"/>
      <c r="J24" s="104"/>
      <c r="K24" s="61">
        <f>+G24</f>
        <v>0</v>
      </c>
      <c r="L24" s="14"/>
      <c r="M24" s="99" t="s">
        <v>59</v>
      </c>
      <c r="N24" s="100"/>
      <c r="O24" s="44" t="s">
        <v>58</v>
      </c>
      <c r="P24" s="105"/>
      <c r="Q24" s="105"/>
      <c r="R24" s="105"/>
      <c r="S24" s="105"/>
      <c r="T24" s="62">
        <f>+P24</f>
        <v>0</v>
      </c>
      <c r="W24" s="14"/>
      <c r="AA24" s="14"/>
      <c r="AE24" s="14"/>
      <c r="AI24" s="14"/>
    </row>
    <row r="25" spans="4:35" ht="16.5" thickBot="1">
      <c r="D25" s="91" t="s">
        <v>31</v>
      </c>
      <c r="E25" s="91"/>
      <c r="F25" s="91"/>
      <c r="G25" s="91"/>
      <c r="H25" s="91"/>
      <c r="I25" s="91"/>
      <c r="J25" s="91"/>
      <c r="K25" s="63">
        <f>+K24+K23</f>
        <v>0</v>
      </c>
      <c r="L25" s="14">
        <f>+K25-L23</f>
        <v>0</v>
      </c>
      <c r="M25" s="92" t="s">
        <v>60</v>
      </c>
      <c r="N25" s="93"/>
      <c r="O25" s="93"/>
      <c r="P25" s="93"/>
      <c r="Q25" s="93"/>
      <c r="R25" s="93"/>
      <c r="S25" s="93"/>
      <c r="T25" s="64">
        <f>+T23+T24</f>
        <v>0</v>
      </c>
      <c r="W25" s="14"/>
      <c r="AA25" s="14"/>
      <c r="AE25" s="14"/>
      <c r="AI25" s="14"/>
    </row>
    <row r="26" spans="4:35" ht="16.5" thickBot="1">
      <c r="D26" s="83" t="s">
        <v>32</v>
      </c>
      <c r="E26" s="83"/>
      <c r="F26" s="15">
        <f>+C11</f>
        <v>0</v>
      </c>
      <c r="M26" s="94" t="s">
        <v>32</v>
      </c>
      <c r="N26" s="94"/>
      <c r="O26" s="15">
        <f>+B11</f>
        <v>0</v>
      </c>
      <c r="R26" s="95" t="s">
        <v>14</v>
      </c>
      <c r="S26" s="96"/>
      <c r="T26" s="16">
        <f>+K25-T25</f>
        <v>0</v>
      </c>
    </row>
    <row r="27" spans="4:35">
      <c r="D27" s="83" t="s">
        <v>33</v>
      </c>
      <c r="E27" s="83"/>
      <c r="F27" s="15">
        <f>+(G17+G19)/8</f>
        <v>0</v>
      </c>
      <c r="M27" s="83" t="s">
        <v>33</v>
      </c>
      <c r="N27" s="83"/>
      <c r="O27" s="15">
        <f>+(P17+P19)/8</f>
        <v>0</v>
      </c>
      <c r="P27" s="8"/>
      <c r="T27" s="8"/>
    </row>
    <row r="28" spans="4:35">
      <c r="D28" s="83" t="s">
        <v>34</v>
      </c>
      <c r="E28" s="83"/>
      <c r="F28" s="15">
        <f>+K25</f>
        <v>0</v>
      </c>
      <c r="M28" s="83" t="s">
        <v>34</v>
      </c>
      <c r="N28" s="83"/>
      <c r="O28" s="15">
        <f>+T23</f>
        <v>0</v>
      </c>
      <c r="T28" s="8"/>
    </row>
    <row r="29" spans="4:35">
      <c r="F29" s="17" t="s">
        <v>35</v>
      </c>
      <c r="K29" s="8">
        <f>+(F11+G11)/8</f>
        <v>0</v>
      </c>
      <c r="O29" s="17" t="s">
        <v>35</v>
      </c>
      <c r="T29" s="8">
        <f>+(P17)/8</f>
        <v>0</v>
      </c>
    </row>
    <row r="30" spans="4:35" ht="16.5" thickBot="1">
      <c r="F30" s="17" t="s">
        <v>11</v>
      </c>
      <c r="K30" s="8">
        <f>F26</f>
        <v>0</v>
      </c>
      <c r="L30" s="12"/>
      <c r="O30" s="2" t="s">
        <v>11</v>
      </c>
      <c r="T30" s="8">
        <f>K30</f>
        <v>0</v>
      </c>
    </row>
    <row r="31" spans="4:35" ht="20.25" customHeight="1">
      <c r="D31" s="84" t="s">
        <v>61</v>
      </c>
      <c r="E31" s="85"/>
      <c r="F31" s="86" t="s">
        <v>62</v>
      </c>
      <c r="G31" s="86" t="s">
        <v>63</v>
      </c>
      <c r="H31" s="86" t="s">
        <v>64</v>
      </c>
      <c r="I31" s="88"/>
      <c r="J31" s="85" t="s">
        <v>65</v>
      </c>
      <c r="K31" s="85"/>
      <c r="L31" s="90"/>
    </row>
    <row r="32" spans="4:35" ht="20.25" customHeight="1">
      <c r="D32" s="74"/>
      <c r="E32" s="75"/>
      <c r="F32" s="75"/>
      <c r="G32" s="75"/>
      <c r="H32" s="87"/>
      <c r="I32" s="89"/>
      <c r="J32" s="10" t="s">
        <v>66</v>
      </c>
      <c r="K32" s="10" t="s">
        <v>28</v>
      </c>
      <c r="L32" s="11" t="s">
        <v>31</v>
      </c>
    </row>
    <row r="33" spans="4:30" ht="30.75" customHeight="1">
      <c r="D33" s="74" t="s">
        <v>11</v>
      </c>
      <c r="E33" s="75"/>
      <c r="F33" s="76">
        <f>+B11</f>
        <v>0</v>
      </c>
      <c r="G33" s="76">
        <f>+C11</f>
        <v>0</v>
      </c>
      <c r="H33" s="77" t="e">
        <f>+G33/F33</f>
        <v>#DIV/0!</v>
      </c>
      <c r="I33" s="65" t="s">
        <v>15</v>
      </c>
      <c r="J33" s="66"/>
      <c r="K33" s="66"/>
      <c r="L33" s="67">
        <f>+SUM(J33:K33)</f>
        <v>0</v>
      </c>
      <c r="U33" s="8"/>
    </row>
    <row r="34" spans="4:30" ht="30.75" customHeight="1">
      <c r="D34" s="74"/>
      <c r="E34" s="75"/>
      <c r="F34" s="76"/>
      <c r="G34" s="76"/>
      <c r="H34" s="77"/>
      <c r="I34" s="65" t="s">
        <v>16</v>
      </c>
      <c r="J34" s="66">
        <f>F27</f>
        <v>0</v>
      </c>
      <c r="K34" s="66">
        <f>(M8+M9+U8+U9)/11.5</f>
        <v>0</v>
      </c>
      <c r="L34" s="67">
        <f t="shared" ref="L34:L35" si="7">+SUM(J34:K34)</f>
        <v>0</v>
      </c>
    </row>
    <row r="35" spans="4:30" ht="30.75" customHeight="1">
      <c r="D35" s="74" t="s">
        <v>67</v>
      </c>
      <c r="E35" s="75"/>
      <c r="F35" s="80">
        <f>+T25</f>
        <v>0</v>
      </c>
      <c r="G35" s="80">
        <f>+K25</f>
        <v>0</v>
      </c>
      <c r="H35" s="77" t="e">
        <f>+G35/F35</f>
        <v>#DIV/0!</v>
      </c>
      <c r="I35" s="65" t="s">
        <v>15</v>
      </c>
      <c r="J35" s="66"/>
      <c r="K35" s="66"/>
      <c r="L35" s="67">
        <f t="shared" si="7"/>
        <v>0</v>
      </c>
      <c r="AC35" s="68"/>
    </row>
    <row r="36" spans="4:30" ht="30.75" customHeight="1" thickBot="1">
      <c r="D36" s="78"/>
      <c r="E36" s="79"/>
      <c r="F36" s="81"/>
      <c r="G36" s="81"/>
      <c r="H36" s="82"/>
      <c r="I36" s="69" t="s">
        <v>16</v>
      </c>
      <c r="J36" s="70">
        <f>+K17+K19</f>
        <v>0</v>
      </c>
      <c r="K36" s="70">
        <f>+K18+K20+K22</f>
        <v>0</v>
      </c>
      <c r="L36" s="71">
        <f>+SUM(J36:K36)</f>
        <v>0</v>
      </c>
      <c r="M36" s="8"/>
      <c r="AB36" s="72"/>
      <c r="AC36" s="72"/>
      <c r="AD36" s="72"/>
    </row>
    <row r="40" spans="4:30">
      <c r="L40" s="9"/>
    </row>
    <row r="41" spans="4:30">
      <c r="K41" s="73"/>
    </row>
  </sheetData>
  <mergeCells count="65">
    <mergeCell ref="A1:AL2"/>
    <mergeCell ref="E5:G5"/>
    <mergeCell ref="A6:A7"/>
    <mergeCell ref="B6:D6"/>
    <mergeCell ref="E6:E7"/>
    <mergeCell ref="F6:F7"/>
    <mergeCell ref="G6:G7"/>
    <mergeCell ref="H6:K6"/>
    <mergeCell ref="L6:O6"/>
    <mergeCell ref="P6:S6"/>
    <mergeCell ref="M14:T14"/>
    <mergeCell ref="AL6:AL7"/>
    <mergeCell ref="AM6:AM7"/>
    <mergeCell ref="C7:D7"/>
    <mergeCell ref="C8:D8"/>
    <mergeCell ref="C9:D9"/>
    <mergeCell ref="C10:D10"/>
    <mergeCell ref="T6:W6"/>
    <mergeCell ref="X6:AA6"/>
    <mergeCell ref="AB6:AE6"/>
    <mergeCell ref="AF6:AI6"/>
    <mergeCell ref="AJ6:AJ7"/>
    <mergeCell ref="AK6:AK7"/>
    <mergeCell ref="C11:D11"/>
    <mergeCell ref="A12:G12"/>
    <mergeCell ref="H12:I12"/>
    <mergeCell ref="J12:K12"/>
    <mergeCell ref="D14:K14"/>
    <mergeCell ref="D27:E27"/>
    <mergeCell ref="M27:N27"/>
    <mergeCell ref="R15:S15"/>
    <mergeCell ref="T15:T16"/>
    <mergeCell ref="D17:E23"/>
    <mergeCell ref="M17:N23"/>
    <mergeCell ref="D24:E24"/>
    <mergeCell ref="G24:J24"/>
    <mergeCell ref="M24:N24"/>
    <mergeCell ref="P24:S24"/>
    <mergeCell ref="D15:F16"/>
    <mergeCell ref="G15:H15"/>
    <mergeCell ref="I15:J15"/>
    <mergeCell ref="K15:K16"/>
    <mergeCell ref="M15:O16"/>
    <mergeCell ref="P15:Q15"/>
    <mergeCell ref="D25:J25"/>
    <mergeCell ref="M25:S25"/>
    <mergeCell ref="D26:E26"/>
    <mergeCell ref="M26:N26"/>
    <mergeCell ref="R26:S26"/>
    <mergeCell ref="D28:E28"/>
    <mergeCell ref="M28:N28"/>
    <mergeCell ref="D31:E32"/>
    <mergeCell ref="F31:F32"/>
    <mergeCell ref="G31:G32"/>
    <mergeCell ref="H31:H32"/>
    <mergeCell ref="I31:I32"/>
    <mergeCell ref="J31:L31"/>
    <mergeCell ref="D33:E34"/>
    <mergeCell ref="F33:F34"/>
    <mergeCell ref="G33:G34"/>
    <mergeCell ref="H33:H34"/>
    <mergeCell ref="D35:E36"/>
    <mergeCell ref="F35:F36"/>
    <mergeCell ref="G35:G36"/>
    <mergeCell ref="H35:H36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Sơn Nguyễn</dc:creator>
  <cp:lastModifiedBy>ADMIN</cp:lastModifiedBy>
  <dcterms:created xsi:type="dcterms:W3CDTF">2015-06-05T18:17:20Z</dcterms:created>
  <dcterms:modified xsi:type="dcterms:W3CDTF">2023-02-24T14:30:37Z</dcterms:modified>
</cp:coreProperties>
</file>