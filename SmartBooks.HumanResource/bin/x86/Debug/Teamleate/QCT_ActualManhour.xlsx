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CBE16368-6ED6-49C8-9EE3-540E82F7BC5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Summary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  <c r="AT8" i="2"/>
  <c r="Z8" i="2"/>
  <c r="I16" i="2" s="1"/>
  <c r="Y8" i="2"/>
  <c r="V8" i="2"/>
  <c r="W8" i="2" s="1"/>
  <c r="W10" i="2" s="1"/>
  <c r="U8" i="2"/>
  <c r="R8" i="2"/>
  <c r="J16" i="2" s="1"/>
  <c r="Q8" i="2"/>
  <c r="N8" i="2"/>
  <c r="H17" i="2" s="1"/>
  <c r="M8" i="2"/>
  <c r="J8" i="2"/>
  <c r="K8" i="2" s="1"/>
  <c r="I8" i="2"/>
  <c r="G8" i="2"/>
  <c r="F8" i="2"/>
  <c r="C8" i="2"/>
  <c r="C10" i="2" s="1"/>
  <c r="H19" i="2"/>
  <c r="G19" i="2"/>
  <c r="AN10" i="2"/>
  <c r="AM10" i="2"/>
  <c r="AG10" i="2"/>
  <c r="AC10" i="2"/>
  <c r="Y10" i="2"/>
  <c r="D10" i="2"/>
  <c r="AP9" i="2"/>
  <c r="AK9" i="2"/>
  <c r="AH9" i="2"/>
  <c r="AI9" i="2" s="1"/>
  <c r="AF9" i="2"/>
  <c r="AD9" i="2"/>
  <c r="AE9" i="2" s="1"/>
  <c r="AB9" i="2"/>
  <c r="AA9" i="2"/>
  <c r="W9" i="2"/>
  <c r="U9" i="2"/>
  <c r="S9" i="2"/>
  <c r="AR9" i="2"/>
  <c r="O9" i="2"/>
  <c r="H20" i="2" s="1"/>
  <c r="K20" i="2" s="1"/>
  <c r="M9" i="2"/>
  <c r="P20" i="2"/>
  <c r="T20" i="2" s="1"/>
  <c r="Q19" i="2"/>
  <c r="P19" i="2"/>
  <c r="T19" i="2" s="1"/>
  <c r="AI8" i="2"/>
  <c r="AI10" i="2" s="1"/>
  <c r="AH8" i="2"/>
  <c r="I18" i="2" s="1"/>
  <c r="AF8" i="2"/>
  <c r="AF10" i="2" s="1"/>
  <c r="AD8" i="2"/>
  <c r="G18" i="2" s="1"/>
  <c r="AB8" i="2"/>
  <c r="AB10" i="2" s="1"/>
  <c r="R16" i="2"/>
  <c r="R21" i="2" s="1"/>
  <c r="S17" i="2"/>
  <c r="Q10" i="2"/>
  <c r="P10" i="2"/>
  <c r="Q17" i="2"/>
  <c r="Q16" i="2"/>
  <c r="G10" i="2"/>
  <c r="E10" i="2"/>
  <c r="B10" i="2"/>
  <c r="AP8" i="2" l="1"/>
  <c r="T17" i="2"/>
  <c r="B14" i="2"/>
  <c r="F23" i="2"/>
  <c r="K27" i="2" s="1"/>
  <c r="K19" i="2"/>
  <c r="I21" i="2"/>
  <c r="T27" i="2"/>
  <c r="O23" i="2"/>
  <c r="Q21" i="2"/>
  <c r="K18" i="2"/>
  <c r="I10" i="2"/>
  <c r="M10" i="2"/>
  <c r="U10" i="2"/>
  <c r="AE8" i="2"/>
  <c r="AE10" i="2" s="1"/>
  <c r="AJ8" i="2"/>
  <c r="AQ8" i="2"/>
  <c r="K9" i="2"/>
  <c r="K10" i="2" s="1"/>
  <c r="F10" i="2"/>
  <c r="J10" i="2"/>
  <c r="N10" i="2"/>
  <c r="R10" i="2"/>
  <c r="V10" i="2"/>
  <c r="Z10" i="2"/>
  <c r="AD10" i="2"/>
  <c r="AH10" i="2"/>
  <c r="G16" i="2"/>
  <c r="S16" i="2"/>
  <c r="S21" i="2" s="1"/>
  <c r="J17" i="2"/>
  <c r="J21" i="2" s="1"/>
  <c r="AK8" i="2"/>
  <c r="AR8" i="2"/>
  <c r="AJ9" i="2"/>
  <c r="AL9" i="2" s="1"/>
  <c r="AQ9" i="2"/>
  <c r="AS9" i="2" s="1"/>
  <c r="H16" i="2"/>
  <c r="H21" i="2" s="1"/>
  <c r="P16" i="2"/>
  <c r="P18" i="2"/>
  <c r="T18" i="2" s="1"/>
  <c r="AA8" i="2"/>
  <c r="AA10" i="2" s="1"/>
  <c r="O8" i="2"/>
  <c r="O10" i="2" s="1"/>
  <c r="S8" i="2"/>
  <c r="S10" i="2" s="1"/>
  <c r="H10" i="2"/>
  <c r="L10" i="2"/>
  <c r="T10" i="2"/>
  <c r="X10" i="2"/>
  <c r="AQ10" i="2" l="1"/>
  <c r="AK10" i="2"/>
  <c r="AL8" i="2"/>
  <c r="K17" i="2"/>
  <c r="AR10" i="2"/>
  <c r="AS10" i="2" s="1"/>
  <c r="AJ10" i="2"/>
  <c r="T26" i="2"/>
  <c r="O24" i="2"/>
  <c r="P21" i="2"/>
  <c r="T16" i="2"/>
  <c r="T21" i="2" s="1"/>
  <c r="T22" i="2" s="1"/>
  <c r="O25" i="2" s="1"/>
  <c r="AS8" i="2"/>
  <c r="G21" i="2"/>
  <c r="K26" i="2"/>
  <c r="K16" i="2"/>
  <c r="AP10" i="2"/>
  <c r="F24" i="2"/>
  <c r="K21" i="2" l="1"/>
  <c r="L21" i="2" s="1"/>
  <c r="U21" i="2"/>
  <c r="AL10" i="2"/>
  <c r="K22" i="2" l="1"/>
  <c r="T23" i="2"/>
  <c r="F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MVP-HR-Hoa</author>
  </authors>
  <commentList>
    <comment ref="I15" authorId="0" shapeId="0" xr:uid="{03E85686-CD6B-4867-A26B-FC388583FDEF}">
      <text>
        <r>
          <rPr>
            <b/>
            <sz val="9"/>
            <color indexed="81"/>
            <rFont val="Tahoma"/>
            <family val="2"/>
          </rPr>
          <t>100%+30% allowance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<sst xmlns="http://schemas.openxmlformats.org/spreadsheetml/2006/main" count="110" uniqueCount="60">
  <si>
    <t>DepartmentCode1</t>
  </si>
  <si>
    <t>CountEmp</t>
  </si>
  <si>
    <t>thc_wt1</t>
  </si>
  <si>
    <t>thc_wt9</t>
  </si>
  <si>
    <t>thc_wt3</t>
  </si>
  <si>
    <t>thc_wt4</t>
  </si>
  <si>
    <t>thc_wt5</t>
  </si>
  <si>
    <t>thc_wt6</t>
  </si>
  <si>
    <t>thc_wt7</t>
  </si>
  <si>
    <t>thc_wt8</t>
  </si>
  <si>
    <t>I. QCT OT</t>
  </si>
  <si>
    <t>Row Labels</t>
  </si>
  <si>
    <t>M/P</t>
  </si>
  <si>
    <t>Normal working hour (Day &amp; Night)
(Plan)</t>
  </si>
  <si>
    <t>Day Actual 
(A)</t>
  </si>
  <si>
    <t>Night - Actual</t>
  </si>
  <si>
    <t>30% allowance for Night shift</t>
  </si>
  <si>
    <t>Total plan</t>
  </si>
  <si>
    <t>Total Actual</t>
  </si>
  <si>
    <t>Diff</t>
  </si>
  <si>
    <t>Person</t>
  </si>
  <si>
    <t>Absent  Days)</t>
  </si>
  <si>
    <t>National Days
(B)</t>
  </si>
  <si>
    <t>Actual working hour
(A-B)</t>
  </si>
  <si>
    <t>Plan</t>
  </si>
  <si>
    <t>Actual</t>
  </si>
  <si>
    <t>Quited job</t>
  </si>
  <si>
    <t>Plan convert
(A)</t>
  </si>
  <si>
    <t>Actual origin</t>
  </si>
  <si>
    <t>Actual convert
(B)</t>
  </si>
  <si>
    <t>Diff
(B-A)</t>
  </si>
  <si>
    <t>Plan convert (x 2)</t>
  </si>
  <si>
    <t>Actual convert</t>
  </si>
  <si>
    <t>Plan convert (x 2.1)</t>
  </si>
  <si>
    <t>Plan convert (x 2.7)</t>
  </si>
  <si>
    <t>QCT worker</t>
  </si>
  <si>
    <t>Temporary worker</t>
  </si>
  <si>
    <t>Grand Total</t>
  </si>
  <si>
    <t>ACTUAL CONVERTED</t>
  </si>
  <si>
    <t>Class</t>
  </si>
  <si>
    <t>Day</t>
  </si>
  <si>
    <t>Night</t>
  </si>
  <si>
    <t>계</t>
    <phoneticPr fontId="0" type="noConversion"/>
  </si>
  <si>
    <t>Normal</t>
  </si>
  <si>
    <t>Overtime</t>
  </si>
  <si>
    <t>M/H 계산</t>
  </si>
  <si>
    <t>M/H 계산</t>
    <phoneticPr fontId="0" type="noConversion"/>
  </si>
  <si>
    <t>saturday</t>
  </si>
  <si>
    <t>saturDay</t>
  </si>
  <si>
    <t>Holiday</t>
  </si>
  <si>
    <t>Temporary</t>
  </si>
  <si>
    <t>Other</t>
  </si>
  <si>
    <t>TOTAL</t>
  </si>
  <si>
    <t xml:space="preserve">Total </t>
  </si>
  <si>
    <t>Total</t>
  </si>
  <si>
    <t>Manpower</t>
  </si>
  <si>
    <t>Man total</t>
  </si>
  <si>
    <t>Man hour</t>
  </si>
  <si>
    <t>Working day</t>
  </si>
  <si>
    <t>QCTTernimated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</si>
</sst>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-* #,##0_-;\-* #,##0_-;_-* &quot;-&quot;_-;_-@_-"/>
    <numFmt numFmtId="167" formatCode="#,##0.0"/>
  </numFmts>
  <fonts count="19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11"/>
      <color theme="1"/>
      <name val="Calibri"/>
      <family val="2"/>
      <charset val="129"/>
      <scheme val="minor"/>
    </font>
    <font>
      <sz val="12"/>
      <color rgb="FFFF0000"/>
      <name val="Times New Roman"/>
      <family val="2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dott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tted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dott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tted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dotted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6" fontId="13" fillId="0" borderId="0" applyFont="0" applyFill="0" applyBorder="0" applyAlignment="0" applyProtection="0">
      <alignment vertical="center"/>
    </xf>
  </cellStyleXfs>
  <cellXfs count="120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43" fontId="2" fillId="0" borderId="0" xfId="1" applyNumberFormat="1" applyFont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 wrapText="1"/>
    </xf>
    <xf numFmtId="164" fontId="3" fillId="0" borderId="5" xfId="2" applyNumberFormat="1" applyFont="1" applyFill="1" applyBorder="1"/>
    <xf numFmtId="164" fontId="5" fillId="0" borderId="9" xfId="2" applyNumberFormat="1" applyFont="1" applyFill="1" applyBorder="1" applyAlignment="1">
      <alignment horizontal="right"/>
    </xf>
    <xf numFmtId="164" fontId="5" fillId="0" borderId="10" xfId="2" applyNumberFormat="1" applyFont="1" applyFill="1" applyBorder="1" applyAlignment="1"/>
    <xf numFmtId="164" fontId="6" fillId="0" borderId="10" xfId="2" applyNumberFormat="1" applyFont="1" applyFill="1" applyBorder="1" applyAlignment="1"/>
    <xf numFmtId="165" fontId="6" fillId="0" borderId="10" xfId="2" applyNumberFormat="1" applyFont="1" applyFill="1" applyBorder="1" applyAlignment="1"/>
    <xf numFmtId="43" fontId="6" fillId="0" borderId="10" xfId="2" applyFont="1" applyFill="1" applyBorder="1" applyAlignment="1"/>
    <xf numFmtId="165" fontId="5" fillId="0" borderId="10" xfId="2" applyNumberFormat="1" applyFont="1" applyFill="1" applyBorder="1" applyAlignment="1"/>
    <xf numFmtId="0" fontId="1" fillId="0" borderId="10" xfId="1" applyBorder="1"/>
    <xf numFmtId="166" fontId="7" fillId="0" borderId="10" xfId="1" applyNumberFormat="1" applyFont="1" applyBorder="1" applyAlignment="1">
      <alignment horizontal="center" wrapText="1"/>
    </xf>
    <xf numFmtId="166" fontId="7" fillId="0" borderId="10" xfId="1" applyNumberFormat="1" applyFont="1" applyBorder="1" applyAlignment="1">
      <alignment horizontal="center"/>
    </xf>
    <xf numFmtId="0" fontId="1" fillId="0" borderId="11" xfId="1" applyBorder="1" applyAlignment="1">
      <alignment horizontal="center"/>
    </xf>
    <xf numFmtId="164" fontId="5" fillId="0" borderId="12" xfId="2" applyNumberFormat="1" applyFont="1" applyFill="1" applyBorder="1" applyAlignment="1"/>
    <xf numFmtId="165" fontId="5" fillId="0" borderId="12" xfId="2" applyNumberFormat="1" applyFont="1" applyFill="1" applyBorder="1" applyAlignment="1"/>
    <xf numFmtId="43" fontId="5" fillId="0" borderId="12" xfId="2" applyFont="1" applyFill="1" applyBorder="1" applyAlignment="1"/>
    <xf numFmtId="0" fontId="1" fillId="0" borderId="12" xfId="1" applyBorder="1"/>
    <xf numFmtId="166" fontId="7" fillId="0" borderId="12" xfId="1" applyNumberFormat="1" applyFont="1" applyBorder="1" applyAlignment="1">
      <alignment horizontal="center" wrapText="1"/>
    </xf>
    <xf numFmtId="166" fontId="7" fillId="0" borderId="12" xfId="1" applyNumberFormat="1" applyFont="1" applyBorder="1" applyAlignment="1">
      <alignment horizontal="center"/>
    </xf>
    <xf numFmtId="0" fontId="1" fillId="0" borderId="13" xfId="1" applyBorder="1"/>
    <xf numFmtId="0" fontId="8" fillId="0" borderId="14" xfId="1" applyFont="1" applyBorder="1"/>
    <xf numFmtId="164" fontId="9" fillId="0" borderId="15" xfId="2" applyNumberFormat="1" applyFont="1" applyFill="1" applyBorder="1" applyAlignment="1"/>
    <xf numFmtId="164" fontId="9" fillId="0" borderId="16" xfId="2" applyNumberFormat="1" applyFont="1" applyFill="1" applyBorder="1" applyAlignment="1"/>
    <xf numFmtId="164" fontId="10" fillId="0" borderId="16" xfId="2" applyNumberFormat="1" applyFont="1" applyFill="1" applyBorder="1" applyAlignment="1"/>
    <xf numFmtId="165" fontId="10" fillId="0" borderId="16" xfId="2" applyNumberFormat="1" applyFont="1" applyFill="1" applyBorder="1" applyAlignment="1"/>
    <xf numFmtId="43" fontId="10" fillId="0" borderId="16" xfId="2" applyFont="1" applyFill="1" applyBorder="1" applyAlignment="1"/>
    <xf numFmtId="164" fontId="5" fillId="0" borderId="16" xfId="2" applyNumberFormat="1" applyFont="1" applyFill="1" applyBorder="1" applyAlignment="1"/>
    <xf numFmtId="0" fontId="4" fillId="0" borderId="16" xfId="1" applyFont="1" applyBorder="1"/>
    <xf numFmtId="0" fontId="2" fillId="0" borderId="16" xfId="1" applyFont="1" applyBorder="1"/>
    <xf numFmtId="166" fontId="7" fillId="0" borderId="16" xfId="1" applyNumberFormat="1" applyFont="1" applyBorder="1" applyAlignment="1">
      <alignment horizontal="center" wrapText="1"/>
    </xf>
    <xf numFmtId="166" fontId="7" fillId="0" borderId="16" xfId="1" applyNumberFormat="1" applyFont="1" applyBorder="1" applyAlignment="1">
      <alignment horizontal="center"/>
    </xf>
    <xf numFmtId="0" fontId="2" fillId="0" borderId="17" xfId="1" applyFont="1" applyBorder="1"/>
    <xf numFmtId="0" fontId="2" fillId="0" borderId="0" xfId="1" applyFont="1"/>
    <xf numFmtId="166" fontId="1" fillId="0" borderId="0" xfId="1" applyNumberFormat="1"/>
    <xf numFmtId="0" fontId="1" fillId="0" borderId="19" xfId="1" applyBorder="1"/>
    <xf numFmtId="0" fontId="1" fillId="0" borderId="20" xfId="1" applyBorder="1"/>
    <xf numFmtId="0" fontId="1" fillId="0" borderId="21" xfId="1" applyBorder="1"/>
    <xf numFmtId="164" fontId="1" fillId="0" borderId="0" xfId="1" applyNumberFormat="1"/>
    <xf numFmtId="43" fontId="1" fillId="0" borderId="0" xfId="1" applyNumberFormat="1"/>
    <xf numFmtId="0" fontId="11" fillId="0" borderId="7" xfId="1" applyFont="1" applyBorder="1" applyAlignment="1">
      <alignment horizontal="center" vertical="center"/>
    </xf>
    <xf numFmtId="167" fontId="1" fillId="0" borderId="0" xfId="1" applyNumberFormat="1"/>
    <xf numFmtId="0" fontId="11" fillId="0" borderId="12" xfId="1" applyFont="1" applyBorder="1" applyAlignment="1">
      <alignment vertical="center"/>
    </xf>
    <xf numFmtId="166" fontId="5" fillId="0" borderId="12" xfId="3" applyFont="1" applyFill="1" applyBorder="1">
      <alignment vertical="center"/>
    </xf>
    <xf numFmtId="166" fontId="5" fillId="0" borderId="13" xfId="3" applyFont="1" applyFill="1" applyBorder="1">
      <alignment vertical="center"/>
    </xf>
    <xf numFmtId="166" fontId="5" fillId="0" borderId="10" xfId="3" applyFont="1" applyFill="1" applyBorder="1">
      <alignment vertical="center"/>
    </xf>
    <xf numFmtId="166" fontId="5" fillId="0" borderId="11" xfId="3" applyFont="1" applyFill="1" applyBorder="1">
      <alignment vertical="center"/>
    </xf>
    <xf numFmtId="0" fontId="11" fillId="0" borderId="24" xfId="1" applyFont="1" applyBorder="1" applyAlignment="1">
      <alignment vertical="center"/>
    </xf>
    <xf numFmtId="166" fontId="5" fillId="0" borderId="24" xfId="3" applyFont="1" applyFill="1" applyBorder="1">
      <alignment vertical="center"/>
    </xf>
    <xf numFmtId="166" fontId="5" fillId="0" borderId="25" xfId="3" applyFont="1" applyFill="1" applyBorder="1">
      <alignment vertical="center"/>
    </xf>
    <xf numFmtId="0" fontId="11" fillId="0" borderId="26" xfId="1" applyFont="1" applyBorder="1" applyAlignment="1">
      <alignment vertical="center"/>
    </xf>
    <xf numFmtId="166" fontId="5" fillId="0" borderId="26" xfId="3" applyFont="1" applyFill="1" applyBorder="1">
      <alignment vertical="center"/>
    </xf>
    <xf numFmtId="166" fontId="5" fillId="0" borderId="27" xfId="3" applyFont="1" applyFill="1" applyBorder="1">
      <alignment vertical="center"/>
    </xf>
    <xf numFmtId="0" fontId="11" fillId="0" borderId="16" xfId="1" applyFont="1" applyBorder="1" applyAlignment="1">
      <alignment vertical="center"/>
    </xf>
    <xf numFmtId="166" fontId="5" fillId="0" borderId="16" xfId="3" applyFont="1" applyFill="1" applyBorder="1">
      <alignment vertical="center"/>
    </xf>
    <xf numFmtId="166" fontId="9" fillId="0" borderId="16" xfId="3" applyFont="1" applyFill="1" applyBorder="1">
      <alignment vertical="center"/>
    </xf>
    <xf numFmtId="166" fontId="9" fillId="0" borderId="17" xfId="3" applyFont="1" applyFill="1" applyBorder="1">
      <alignment vertical="center"/>
    </xf>
    <xf numFmtId="165" fontId="1" fillId="0" borderId="0" xfId="1" applyNumberFormat="1" applyAlignment="1">
      <alignment horizontal="left"/>
    </xf>
    <xf numFmtId="166" fontId="5" fillId="0" borderId="17" xfId="3" applyFont="1" applyFill="1" applyBorder="1">
      <alignment vertical="center"/>
    </xf>
    <xf numFmtId="165" fontId="14" fillId="0" borderId="0" xfId="1" applyNumberFormat="1" applyFont="1"/>
    <xf numFmtId="165" fontId="1" fillId="0" borderId="0" xfId="1" applyNumberFormat="1"/>
    <xf numFmtId="0" fontId="11" fillId="0" borderId="10" xfId="1" applyFont="1" applyBorder="1" applyAlignment="1">
      <alignment vertical="center"/>
    </xf>
    <xf numFmtId="166" fontId="9" fillId="0" borderId="10" xfId="3" applyFont="1" applyFill="1" applyBorder="1" applyAlignment="1">
      <alignment vertical="center"/>
    </xf>
    <xf numFmtId="166" fontId="9" fillId="0" borderId="11" xfId="3" applyFont="1" applyFill="1" applyBorder="1" applyAlignment="1">
      <alignment vertical="center"/>
    </xf>
    <xf numFmtId="166" fontId="5" fillId="0" borderId="0" xfId="3" applyFont="1" applyFill="1">
      <alignment vertical="center"/>
    </xf>
    <xf numFmtId="166" fontId="14" fillId="0" borderId="28" xfId="1" applyNumberFormat="1" applyFont="1" applyBorder="1"/>
    <xf numFmtId="166" fontId="14" fillId="0" borderId="0" xfId="1" applyNumberFormat="1" applyFont="1"/>
    <xf numFmtId="164" fontId="15" fillId="0" borderId="17" xfId="2" applyNumberFormat="1" applyFont="1" applyFill="1" applyBorder="1" applyAlignment="1">
      <alignment horizontal="right"/>
    </xf>
    <xf numFmtId="166" fontId="11" fillId="0" borderId="0" xfId="1" applyNumberFormat="1" applyFont="1" applyAlignment="1">
      <alignment vertical="center"/>
    </xf>
    <xf numFmtId="166" fontId="2" fillId="0" borderId="34" xfId="1" applyNumberFormat="1" applyFont="1" applyBorder="1"/>
    <xf numFmtId="0" fontId="11" fillId="0" borderId="0" xfId="1" applyFont="1" applyAlignment="1">
      <alignment vertical="center"/>
    </xf>
    <xf numFmtId="1" fontId="1" fillId="0" borderId="0" xfId="1" applyNumberFormat="1"/>
    <xf numFmtId="0" fontId="15" fillId="0" borderId="0" xfId="1" applyFont="1"/>
    <xf numFmtId="0" fontId="16" fillId="0" borderId="0" xfId="1" applyFont="1"/>
    <xf numFmtId="0" fontId="0" fillId="2" borderId="0" xfId="0" applyFill="1"/>
    <xf numFmtId="0" fontId="1" fillId="0" borderId="0" xfId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1" fillId="0" borderId="35" xfId="1" applyBorder="1" applyAlignment="1">
      <alignment horizontal="center"/>
    </xf>
    <xf numFmtId="0" fontId="11" fillId="0" borderId="23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2" fillId="0" borderId="29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2" fillId="0" borderId="30" xfId="1" applyFont="1" applyBorder="1" applyAlignment="1">
      <alignment horizontal="left" vertical="center"/>
    </xf>
    <xf numFmtId="0" fontId="12" fillId="0" borderId="31" xfId="1" applyFont="1" applyBorder="1" applyAlignment="1">
      <alignment horizontal="left" vertical="center"/>
    </xf>
    <xf numFmtId="0" fontId="1" fillId="0" borderId="18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4" fontId="5" fillId="0" borderId="10" xfId="2" applyNumberFormat="1" applyFont="1" applyFill="1" applyBorder="1" applyAlignment="1"/>
    <xf numFmtId="164" fontId="9" fillId="0" borderId="16" xfId="2" applyNumberFormat="1" applyFont="1" applyFill="1" applyBorder="1" applyAlignment="1">
      <alignment horizontal="center"/>
    </xf>
    <xf numFmtId="0" fontId="1" fillId="0" borderId="3" xfId="1" applyBorder="1" applyAlignment="1">
      <alignment horizontal="center" wrapText="1"/>
    </xf>
    <xf numFmtId="0" fontId="1" fillId="0" borderId="7" xfId="1" applyBorder="1" applyAlignment="1">
      <alignment horizontal="center" wrapText="1"/>
    </xf>
    <xf numFmtId="0" fontId="1" fillId="0" borderId="3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9" fontId="1" fillId="0" borderId="3" xfId="1" applyNumberForma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4" fillId="0" borderId="3" xfId="1" applyFont="1" applyBorder="1" applyAlignment="1">
      <alignment horizontal="center" wrapText="1"/>
    </xf>
    <xf numFmtId="0" fontId="4" fillId="0" borderId="7" xfId="1" applyFont="1" applyBorder="1" applyAlignment="1">
      <alignment horizontal="center" wrapText="1"/>
    </xf>
  </cellXfs>
  <cellStyles count="4">
    <cellStyle name="Comma [0] 2" xfId="3" xr:uid="{14D1C69E-CEE3-4B30-A1F6-009D2BA173F1}"/>
    <cellStyle name="Comma 2" xfId="2" xr:uid="{D1F2DC58-42AF-46EC-9BBF-3BE755997EB2}"/>
    <cellStyle name="Normal" xfId="0" builtinId="0"/>
    <cellStyle name="Normal 2" xfId="1" xr:uid="{BF51C51B-263E-4542-89D3-1C961AFB68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urceCodeHR\Myongshin\Documents\New%20folder%20(1)\9.%20QCT_Jan's%20actual%20manhour_ok.xlsx" TargetMode="External"/><Relationship Id="rId1" Type="http://schemas.openxmlformats.org/officeDocument/2006/relationships/externalLinkPath" Target="/SourceCodeHR/Myongshin/Documents/New%20folder%20(1)/9.%20QCT_Jan's%20actual%20manhour_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 PLAN updated 3.5.2019"/>
      <sheetName val="Summary"/>
      <sheetName val="TOTAL MH Plan privot"/>
      <sheetName val="MAT absent"/>
      <sheetName val="QCT privot"/>
      <sheetName val="QCT actual OT detail"/>
      <sheetName val="Oct Manhour plan"/>
      <sheetName val="Manhour plan"/>
    </sheetNames>
    <sheetDataSet>
      <sheetData sheetId="0"/>
      <sheetData sheetId="1"/>
      <sheetData sheetId="2">
        <row r="4">
          <cell r="A4" t="str">
            <v>QCT worker</v>
          </cell>
          <cell r="B4">
            <v>177</v>
          </cell>
          <cell r="C4">
            <v>24213.599999999955</v>
          </cell>
          <cell r="D4">
            <v>24213.599999999955</v>
          </cell>
          <cell r="E4">
            <v>1518.4800000000005</v>
          </cell>
          <cell r="F4">
            <v>12671.10000000002</v>
          </cell>
          <cell r="G4">
            <v>16036</v>
          </cell>
          <cell r="H4">
            <v>1328.6700000000005</v>
          </cell>
          <cell r="I4">
            <v>3321.6750000000002</v>
          </cell>
          <cell r="J4">
            <v>0</v>
          </cell>
          <cell r="K4" t="str">
            <v>*3.9*</v>
          </cell>
        </row>
        <row r="5">
          <cell r="A5" t="str">
            <v>Temporary worker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</sheetData>
      <sheetData sheetId="3"/>
      <sheetData sheetId="4">
        <row r="4">
          <cell r="A4" t="str">
            <v>QCT worker</v>
          </cell>
          <cell r="B4">
            <v>182</v>
          </cell>
          <cell r="C4">
            <v>22557</v>
          </cell>
          <cell r="D4">
            <v>17478</v>
          </cell>
          <cell r="E4">
            <v>5079</v>
          </cell>
          <cell r="F4">
            <v>1523.7000000000005</v>
          </cell>
          <cell r="G4">
            <v>10448.25</v>
          </cell>
          <cell r="H4">
            <v>15175</v>
          </cell>
          <cell r="I4">
            <v>1310.3999999999992</v>
          </cell>
          <cell r="J4">
            <v>3657.1500000000028</v>
          </cell>
          <cell r="K4">
            <v>0</v>
          </cell>
          <cell r="L4">
            <v>0</v>
          </cell>
        </row>
        <row r="5">
          <cell r="A5" t="str">
            <v>Grand Total</v>
          </cell>
          <cell r="B5">
            <v>182</v>
          </cell>
          <cell r="C5">
            <v>22557</v>
          </cell>
          <cell r="D5">
            <v>17478</v>
          </cell>
          <cell r="E5">
            <v>5079</v>
          </cell>
          <cell r="F5">
            <v>1523.7000000000005</v>
          </cell>
          <cell r="G5">
            <v>10448.25</v>
          </cell>
          <cell r="H5">
            <v>15175</v>
          </cell>
          <cell r="I5">
            <v>1310.3999999999992</v>
          </cell>
          <cell r="J5">
            <v>3657.1500000000028</v>
          </cell>
          <cell r="K5">
            <v>0</v>
          </cell>
          <cell r="L5">
            <v>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L6" sqref="L6"/>
    </sheetView>
  </sheetViews>
  <sheetFormatPr defaultRowHeight="15"/>
  <cols>
    <col min="2" max="2" width="17.5703125" bestFit="1" customWidth="1"/>
    <col min="3" max="3" width="10.140625" bestFit="1" customWidth="1"/>
    <col min="4" max="11" width="8" bestFit="1" customWidth="1"/>
  </cols>
  <sheetData>
    <row r="1" spans="1:12">
      <c r="A1">
        <v>1</v>
      </c>
    </row>
    <row r="2" spans="1:12">
      <c r="A2">
        <v>2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>
      <c r="A3">
        <v>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59</v>
      </c>
    </row>
    <row r="4" spans="1:12" ht="15.75" customHeight="1">
      <c r="A4">
        <v>4</v>
      </c>
    </row>
    <row r="6" spans="1:12" s="79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F58B-85B5-4CCF-BACC-2CF070465E9C}">
  <sheetPr>
    <tabColor theme="5" tint="0.39997558519241921"/>
  </sheetPr>
  <dimension ref="A1:AT37"/>
  <sheetViews>
    <sheetView tabSelected="1" zoomScale="85" zoomScaleNormal="85" workbookViewId="0">
      <selection activeCell="A3" sqref="A3"/>
    </sheetView>
  </sheetViews>
  <sheetFormatPr defaultRowHeight="15.75"/>
  <cols>
    <col min="1" max="1" width="25.42578125" style="2" bestFit="1" customWidth="1"/>
    <col min="2" max="2" width="8.42578125" style="2" customWidth="1"/>
    <col min="3" max="3" width="4.28515625" style="2" customWidth="1"/>
    <col min="4" max="4" width="8.42578125" style="2" customWidth="1"/>
    <col min="5" max="5" width="11.42578125" style="2" customWidth="1"/>
    <col min="6" max="7" width="10.5703125" style="2" customWidth="1"/>
    <col min="8" max="8" width="13.42578125" style="2" customWidth="1"/>
    <col min="9" max="9" width="8.42578125" style="2" customWidth="1"/>
    <col min="10" max="10" width="9.28515625" style="2" customWidth="1"/>
    <col min="11" max="11" width="11.28515625" style="2" customWidth="1"/>
    <col min="12" max="12" width="11.85546875" style="2" customWidth="1"/>
    <col min="13" max="13" width="7.5703125" style="2" customWidth="1"/>
    <col min="14" max="14" width="9.140625" style="2" customWidth="1"/>
    <col min="15" max="15" width="10.85546875" style="2" customWidth="1"/>
    <col min="16" max="17" width="9.5703125" style="2" customWidth="1"/>
    <col min="18" max="18" width="11.7109375" style="2" customWidth="1"/>
    <col min="19" max="19" width="8.85546875" style="2" customWidth="1"/>
    <col min="20" max="20" width="9.85546875" style="2" customWidth="1"/>
    <col min="21" max="21" width="9.140625" style="2" customWidth="1"/>
    <col min="22" max="22" width="9.85546875" style="2" customWidth="1"/>
    <col min="23" max="25" width="8.42578125" style="2" customWidth="1"/>
    <col min="26" max="26" width="14.140625" style="2" customWidth="1"/>
    <col min="27" max="27" width="8.42578125" style="2" customWidth="1"/>
    <col min="28" max="29" width="7.5703125" style="2" hidden="1" customWidth="1"/>
    <col min="30" max="30" width="8.85546875" style="2" hidden="1" customWidth="1"/>
    <col min="31" max="35" width="7.5703125" style="2" hidden="1" customWidth="1"/>
    <col min="36" max="36" width="8.42578125" style="2" customWidth="1"/>
    <col min="37" max="37" width="13" style="2" customWidth="1"/>
    <col min="38" max="38" width="8.42578125" style="2" customWidth="1"/>
    <col min="39" max="41" width="10.28515625" style="2" hidden="1" customWidth="1"/>
    <col min="42" max="42" width="16.140625" style="2" hidden="1" customWidth="1"/>
    <col min="43" max="45" width="0" style="2" hidden="1" customWidth="1"/>
    <col min="46" max="46" width="13.5703125" style="2" customWidth="1"/>
    <col min="47" max="16384" width="9.140625" style="2"/>
  </cols>
  <sheetData>
    <row r="1" spans="1:46">
      <c r="A1" s="114" t="str">
        <f>"QCT ACTUAL &amp; PLAN MAN HOUR COMPARISON OF "&amp; UPPER(TEXT(DATE(Sheet1!A2,Sheet1!A1,1),"MMM yyyy")) &amp;" (1-" &amp; DAY(EOMONTH(DATE(Sheet1!A2,Sheet1!A1,1),0)) &amp; ")"</f>
        <v>QCT ACTUAL &amp; PLAN MAN HOUR COMPARISON OF JAN 1902 (1-31)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"/>
    </row>
    <row r="2" spans="1:46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"/>
    </row>
    <row r="3" spans="1:46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6" ht="16.5" thickBot="1">
      <c r="A5" s="4" t="s">
        <v>10</v>
      </c>
      <c r="B5" s="4"/>
      <c r="C5" s="4"/>
      <c r="D5" s="4"/>
      <c r="E5" s="4"/>
      <c r="F5" s="4"/>
      <c r="G5" s="4"/>
      <c r="H5" s="5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46" ht="29.25" customHeight="1">
      <c r="A6" s="115" t="s">
        <v>11</v>
      </c>
      <c r="B6" s="117" t="s">
        <v>12</v>
      </c>
      <c r="C6" s="100"/>
      <c r="D6" s="100"/>
      <c r="E6" s="118" t="s">
        <v>13</v>
      </c>
      <c r="F6" s="100" t="s">
        <v>14</v>
      </c>
      <c r="G6" s="100" t="s">
        <v>15</v>
      </c>
      <c r="H6" s="111">
        <v>1.5</v>
      </c>
      <c r="I6" s="111"/>
      <c r="J6" s="111"/>
      <c r="K6" s="111"/>
      <c r="L6" s="111">
        <v>2</v>
      </c>
      <c r="M6" s="111"/>
      <c r="N6" s="111"/>
      <c r="O6" s="111"/>
      <c r="P6" s="111">
        <v>2.1</v>
      </c>
      <c r="Q6" s="111"/>
      <c r="R6" s="111"/>
      <c r="S6" s="111"/>
      <c r="T6" s="111">
        <v>2.7</v>
      </c>
      <c r="U6" s="111"/>
      <c r="V6" s="111"/>
      <c r="W6" s="111"/>
      <c r="X6" s="111" t="s">
        <v>16</v>
      </c>
      <c r="Y6" s="111"/>
      <c r="Z6" s="111"/>
      <c r="AA6" s="111"/>
      <c r="AB6" s="111">
        <v>3</v>
      </c>
      <c r="AC6" s="111"/>
      <c r="AD6" s="111"/>
      <c r="AE6" s="111"/>
      <c r="AF6" s="111">
        <v>3.9</v>
      </c>
      <c r="AG6" s="111"/>
      <c r="AH6" s="111"/>
      <c r="AI6" s="111"/>
      <c r="AJ6" s="112" t="s">
        <v>17</v>
      </c>
      <c r="AK6" s="112" t="s">
        <v>18</v>
      </c>
      <c r="AL6" s="112" t="s">
        <v>19</v>
      </c>
      <c r="AM6" s="100" t="s">
        <v>20</v>
      </c>
      <c r="AN6" s="100" t="s">
        <v>21</v>
      </c>
      <c r="AO6" s="100" t="s">
        <v>22</v>
      </c>
      <c r="AP6" s="107" t="s">
        <v>23</v>
      </c>
      <c r="AQ6" s="100" t="s">
        <v>24</v>
      </c>
      <c r="AR6" s="109" t="s">
        <v>25</v>
      </c>
      <c r="AS6" s="100" t="s">
        <v>19</v>
      </c>
      <c r="AT6" s="102" t="s">
        <v>26</v>
      </c>
    </row>
    <row r="7" spans="1:46" ht="76.5" customHeight="1" thickBot="1">
      <c r="A7" s="116"/>
      <c r="B7" s="6" t="s">
        <v>24</v>
      </c>
      <c r="C7" s="104" t="s">
        <v>25</v>
      </c>
      <c r="D7" s="104"/>
      <c r="E7" s="119"/>
      <c r="F7" s="101"/>
      <c r="G7" s="101"/>
      <c r="H7" s="7" t="s">
        <v>27</v>
      </c>
      <c r="I7" s="7" t="s">
        <v>28</v>
      </c>
      <c r="J7" s="7" t="s">
        <v>29</v>
      </c>
      <c r="K7" s="7" t="s">
        <v>30</v>
      </c>
      <c r="L7" s="7" t="s">
        <v>31</v>
      </c>
      <c r="M7" s="7" t="s">
        <v>28</v>
      </c>
      <c r="N7" s="7" t="s">
        <v>32</v>
      </c>
      <c r="O7" s="7" t="s">
        <v>19</v>
      </c>
      <c r="P7" s="7" t="s">
        <v>33</v>
      </c>
      <c r="Q7" s="7" t="s">
        <v>28</v>
      </c>
      <c r="R7" s="7" t="s">
        <v>32</v>
      </c>
      <c r="S7" s="7" t="s">
        <v>19</v>
      </c>
      <c r="T7" s="7" t="s">
        <v>34</v>
      </c>
      <c r="U7" s="7" t="s">
        <v>28</v>
      </c>
      <c r="V7" s="7" t="s">
        <v>32</v>
      </c>
      <c r="W7" s="7" t="s">
        <v>19</v>
      </c>
      <c r="X7" s="7" t="s">
        <v>34</v>
      </c>
      <c r="Y7" s="7" t="s">
        <v>28</v>
      </c>
      <c r="Z7" s="7" t="s">
        <v>32</v>
      </c>
      <c r="AA7" s="7" t="s">
        <v>19</v>
      </c>
      <c r="AB7" s="7" t="s">
        <v>34</v>
      </c>
      <c r="AC7" s="7" t="s">
        <v>28</v>
      </c>
      <c r="AD7" s="7" t="s">
        <v>32</v>
      </c>
      <c r="AE7" s="7" t="s">
        <v>19</v>
      </c>
      <c r="AF7" s="7" t="s">
        <v>34</v>
      </c>
      <c r="AG7" s="7" t="s">
        <v>28</v>
      </c>
      <c r="AH7" s="7" t="s">
        <v>32</v>
      </c>
      <c r="AI7" s="7" t="s">
        <v>19</v>
      </c>
      <c r="AJ7" s="113"/>
      <c r="AK7" s="113"/>
      <c r="AL7" s="113"/>
      <c r="AM7" s="101"/>
      <c r="AN7" s="101"/>
      <c r="AO7" s="101"/>
      <c r="AP7" s="108"/>
      <c r="AQ7" s="101"/>
      <c r="AR7" s="110"/>
      <c r="AS7" s="101"/>
      <c r="AT7" s="103"/>
    </row>
    <row r="8" spans="1:46" ht="39.75" customHeight="1">
      <c r="A8" s="8" t="s">
        <v>35</v>
      </c>
      <c r="B8" s="9"/>
      <c r="C8" s="105">
        <f>Sheet1!C6</f>
        <v>0</v>
      </c>
      <c r="D8" s="105"/>
      <c r="E8" s="10"/>
      <c r="F8" s="11">
        <f>Sheet1!D6</f>
        <v>0</v>
      </c>
      <c r="G8" s="11">
        <f>Sheet1!E6</f>
        <v>0</v>
      </c>
      <c r="H8" s="10"/>
      <c r="I8" s="10">
        <f>Sheet1!F6</f>
        <v>0</v>
      </c>
      <c r="J8" s="11">
        <f>I8*1.5</f>
        <v>0</v>
      </c>
      <c r="K8" s="10">
        <f>+J8-H8</f>
        <v>0</v>
      </c>
      <c r="L8" s="10"/>
      <c r="M8" s="10">
        <f>Sheet1!G6</f>
        <v>0</v>
      </c>
      <c r="N8" s="11">
        <f>M8*2</f>
        <v>0</v>
      </c>
      <c r="O8" s="10">
        <f>+N8-L8</f>
        <v>0</v>
      </c>
      <c r="P8" s="10"/>
      <c r="Q8" s="10">
        <f>Sheet1!H6</f>
        <v>0</v>
      </c>
      <c r="R8" s="12">
        <f>Q8*2.1</f>
        <v>0</v>
      </c>
      <c r="S8" s="10">
        <f>+R8-P8</f>
        <v>0</v>
      </c>
      <c r="T8" s="10"/>
      <c r="U8" s="10">
        <f>Sheet1!I6</f>
        <v>0</v>
      </c>
      <c r="V8" s="13">
        <f>U8*2.7</f>
        <v>0</v>
      </c>
      <c r="W8" s="10">
        <f>+V8-T8</f>
        <v>0</v>
      </c>
      <c r="X8" s="10"/>
      <c r="Y8" s="10">
        <f>G8</f>
        <v>0</v>
      </c>
      <c r="Z8" s="12">
        <f>Y8*0.3</f>
        <v>0</v>
      </c>
      <c r="AA8" s="10">
        <f>+Z8-X8</f>
        <v>0</v>
      </c>
      <c r="AB8" s="10">
        <f>+VLOOKUP(A8,'[1]TOTAL MH Plan privot'!$A$4:$K$5,10,0)</f>
        <v>0</v>
      </c>
      <c r="AC8" s="10"/>
      <c r="AD8" s="10">
        <f>VLOOKUP(A8,'[1]QCT privot'!$A$4:$L$5,11,0)</f>
        <v>0</v>
      </c>
      <c r="AE8" s="10">
        <f>+AD8-AB8</f>
        <v>0</v>
      </c>
      <c r="AF8" s="10" t="str">
        <f>VLOOKUP(A8,'[1]TOTAL MH Plan privot'!$A$4:$K$5,11,0)</f>
        <v>*3.9*</v>
      </c>
      <c r="AG8" s="10"/>
      <c r="AH8" s="10">
        <f>VLOOKUP(A8,'[1]QCT privot'!$A$4:$L$5,12,0)</f>
        <v>0</v>
      </c>
      <c r="AI8" s="10" t="e">
        <f>+AH8-AF8</f>
        <v>#VALUE!</v>
      </c>
      <c r="AJ8" s="10">
        <f>+H8+L8+P8+T8+X8+E8</f>
        <v>0</v>
      </c>
      <c r="AK8" s="14">
        <f>+J8+N8+R8+V8+Z8+AD8+F8+G8</f>
        <v>0</v>
      </c>
      <c r="AL8" s="10">
        <f>+AK8-AJ8</f>
        <v>0</v>
      </c>
      <c r="AM8" s="15"/>
      <c r="AN8" s="15"/>
      <c r="AO8" s="15"/>
      <c r="AP8" s="15">
        <f t="shared" ref="AP8:AP10" si="0">+F8-AO8</f>
        <v>0</v>
      </c>
      <c r="AQ8" s="16" t="e">
        <f>+H8+L8+P8+T8+X8+AB8+AF8</f>
        <v>#VALUE!</v>
      </c>
      <c r="AR8" s="17">
        <f>+J8+N8+R8+V8+Z8+AD8+AH8</f>
        <v>0</v>
      </c>
      <c r="AS8" s="17" t="e">
        <f>+AR8-AQ8</f>
        <v>#VALUE!</v>
      </c>
      <c r="AT8" s="18">
        <f>Sheet1!L6</f>
        <v>0</v>
      </c>
    </row>
    <row r="9" spans="1:46" ht="39.75" customHeight="1">
      <c r="A9" s="8" t="s">
        <v>36</v>
      </c>
      <c r="B9" s="9"/>
      <c r="C9" s="105">
        <v>0</v>
      </c>
      <c r="D9" s="105"/>
      <c r="E9" s="19"/>
      <c r="F9" s="19">
        <v>0</v>
      </c>
      <c r="G9" s="19">
        <v>0</v>
      </c>
      <c r="H9" s="19"/>
      <c r="I9" s="19">
        <v>0</v>
      </c>
      <c r="J9" s="19">
        <v>0</v>
      </c>
      <c r="K9" s="19">
        <f>+J9-H9</f>
        <v>0</v>
      </c>
      <c r="L9" s="19"/>
      <c r="M9" s="19">
        <f>+N9/2</f>
        <v>0</v>
      </c>
      <c r="N9" s="19">
        <v>0</v>
      </c>
      <c r="O9" s="19">
        <f>+N9-L9</f>
        <v>0</v>
      </c>
      <c r="P9" s="19"/>
      <c r="Q9" s="19">
        <v>0</v>
      </c>
      <c r="R9" s="20">
        <v>0</v>
      </c>
      <c r="S9" s="19">
        <f>+R9-P9</f>
        <v>0</v>
      </c>
      <c r="T9" s="19"/>
      <c r="U9" s="19">
        <f>+V9/2.7</f>
        <v>0</v>
      </c>
      <c r="V9" s="21">
        <v>0</v>
      </c>
      <c r="W9" s="19">
        <f>+V9-T9</f>
        <v>0</v>
      </c>
      <c r="X9" s="19"/>
      <c r="Y9" s="19"/>
      <c r="Z9" s="20">
        <v>0</v>
      </c>
      <c r="AA9" s="19">
        <f>+Z9-X9</f>
        <v>0</v>
      </c>
      <c r="AB9" s="19">
        <f>+VLOOKUP(A9,'[1]TOTAL MH Plan privot'!$A$4:$K$5,10,0)</f>
        <v>0</v>
      </c>
      <c r="AC9" s="19"/>
      <c r="AD9" s="19" t="e">
        <f>VLOOKUP(A9,'[1]QCT privot'!$A$4:$L$5,11,0)</f>
        <v>#N/A</v>
      </c>
      <c r="AE9" s="19" t="e">
        <f>+AD9-AB9</f>
        <v>#N/A</v>
      </c>
      <c r="AF9" s="19">
        <f>VLOOKUP(A9,'[1]TOTAL MH Plan privot'!$A$4:$K$5,11,0)</f>
        <v>0</v>
      </c>
      <c r="AG9" s="19"/>
      <c r="AH9" s="19" t="e">
        <f>VLOOKUP(A9,'[1]QCT privot'!$A$4:$L$5,12,0)</f>
        <v>#N/A</v>
      </c>
      <c r="AI9" s="19" t="e">
        <f>+AH9-AF9</f>
        <v>#N/A</v>
      </c>
      <c r="AJ9" s="19">
        <f>+H9+L9+P9+T9+X9+E9</f>
        <v>0</v>
      </c>
      <c r="AK9" s="14">
        <f>+F9+J9+N9</f>
        <v>0</v>
      </c>
      <c r="AL9" s="10">
        <f>+AK9-AJ9</f>
        <v>0</v>
      </c>
      <c r="AM9" s="22"/>
      <c r="AN9" s="22"/>
      <c r="AO9" s="22"/>
      <c r="AP9" s="22">
        <f t="shared" si="0"/>
        <v>0</v>
      </c>
      <c r="AQ9" s="23">
        <f>+H9+L9+P9+T9+X9+AB9+AF9</f>
        <v>0</v>
      </c>
      <c r="AR9" s="24" t="e">
        <f>+J9+N9+R9+V9+Z9+AD9+AH9</f>
        <v>#N/A</v>
      </c>
      <c r="AS9" s="24" t="e">
        <f>+AR9-AQ9</f>
        <v>#N/A</v>
      </c>
      <c r="AT9" s="25"/>
    </row>
    <row r="10" spans="1:46" s="38" customFormat="1" ht="39.75" customHeight="1" thickBot="1">
      <c r="A10" s="26" t="s">
        <v>37</v>
      </c>
      <c r="B10" s="27">
        <f>SUM(B8:B9)</f>
        <v>0</v>
      </c>
      <c r="C10" s="106">
        <f>SUM(C8:C9)</f>
        <v>0</v>
      </c>
      <c r="D10" s="106">
        <f t="shared" ref="D10:E10" si="1">SUM(D8:D9)</f>
        <v>0</v>
      </c>
      <c r="E10" s="28">
        <f t="shared" si="1"/>
        <v>0</v>
      </c>
      <c r="F10" s="29">
        <f>SUM(F8:F9)</f>
        <v>0</v>
      </c>
      <c r="G10" s="29">
        <f t="shared" ref="G10" si="2">SUM(G8:G9)</f>
        <v>0</v>
      </c>
      <c r="H10" s="28">
        <f>SUM(H8:H9)</f>
        <v>0</v>
      </c>
      <c r="I10" s="28">
        <f>SUM(I8:I9)</f>
        <v>0</v>
      </c>
      <c r="J10" s="29">
        <f t="shared" ref="J10:AK10" si="3">SUM(J8:J9)</f>
        <v>0</v>
      </c>
      <c r="K10" s="28">
        <f t="shared" si="3"/>
        <v>0</v>
      </c>
      <c r="L10" s="28">
        <f t="shared" si="3"/>
        <v>0</v>
      </c>
      <c r="M10" s="28">
        <f t="shared" si="3"/>
        <v>0</v>
      </c>
      <c r="N10" s="29">
        <f t="shared" si="3"/>
        <v>0</v>
      </c>
      <c r="O10" s="28">
        <f t="shared" si="3"/>
        <v>0</v>
      </c>
      <c r="P10" s="28">
        <f t="shared" si="3"/>
        <v>0</v>
      </c>
      <c r="Q10" s="28">
        <f t="shared" si="3"/>
        <v>0</v>
      </c>
      <c r="R10" s="30">
        <f t="shared" si="3"/>
        <v>0</v>
      </c>
      <c r="S10" s="28">
        <f t="shared" si="3"/>
        <v>0</v>
      </c>
      <c r="T10" s="28">
        <f t="shared" si="3"/>
        <v>0</v>
      </c>
      <c r="U10" s="28">
        <f t="shared" si="3"/>
        <v>0</v>
      </c>
      <c r="V10" s="31">
        <f t="shared" si="3"/>
        <v>0</v>
      </c>
      <c r="W10" s="28">
        <f t="shared" si="3"/>
        <v>0</v>
      </c>
      <c r="X10" s="32">
        <f t="shared" si="3"/>
        <v>0</v>
      </c>
      <c r="Y10" s="28">
        <f t="shared" si="3"/>
        <v>0</v>
      </c>
      <c r="Z10" s="30">
        <f t="shared" si="3"/>
        <v>0</v>
      </c>
      <c r="AA10" s="28">
        <f t="shared" si="3"/>
        <v>0</v>
      </c>
      <c r="AB10" s="32">
        <f t="shared" si="3"/>
        <v>0</v>
      </c>
      <c r="AC10" s="28">
        <f t="shared" si="3"/>
        <v>0</v>
      </c>
      <c r="AD10" s="29" t="e">
        <f t="shared" si="3"/>
        <v>#N/A</v>
      </c>
      <c r="AE10" s="28" t="e">
        <f t="shared" si="3"/>
        <v>#N/A</v>
      </c>
      <c r="AF10" s="32">
        <f t="shared" si="3"/>
        <v>0</v>
      </c>
      <c r="AG10" s="28">
        <f t="shared" si="3"/>
        <v>0</v>
      </c>
      <c r="AH10" s="29" t="e">
        <f t="shared" si="3"/>
        <v>#N/A</v>
      </c>
      <c r="AI10" s="28" t="e">
        <f t="shared" si="3"/>
        <v>#VALUE!</v>
      </c>
      <c r="AJ10" s="28">
        <f t="shared" si="3"/>
        <v>0</v>
      </c>
      <c r="AK10" s="28">
        <f t="shared" si="3"/>
        <v>0</v>
      </c>
      <c r="AL10" s="28">
        <f>+AK10-AJ10</f>
        <v>0</v>
      </c>
      <c r="AM10" s="33">
        <f t="shared" ref="AM10:AN10" si="4">SUM(AM8:AM8)</f>
        <v>0</v>
      </c>
      <c r="AN10" s="33">
        <f t="shared" si="4"/>
        <v>0</v>
      </c>
      <c r="AO10" s="33"/>
      <c r="AP10" s="34">
        <f t="shared" si="0"/>
        <v>0</v>
      </c>
      <c r="AQ10" s="35">
        <f>+H10+L10+P10+T10+X10+AB10+AF10</f>
        <v>0</v>
      </c>
      <c r="AR10" s="36">
        <f>+IFERROR(J10+N10+R10+V10+Z10+AD10+AH10,0)</f>
        <v>0</v>
      </c>
      <c r="AS10" s="36">
        <f t="shared" ref="AS10" si="5">+AR10-AQ10</f>
        <v>0</v>
      </c>
      <c r="AT10" s="37"/>
    </row>
    <row r="11" spans="1:46" ht="16.5" thickBot="1"/>
    <row r="12" spans="1:46">
      <c r="A12" s="38" t="s">
        <v>38</v>
      </c>
      <c r="B12" s="38"/>
      <c r="C12" s="38"/>
      <c r="D12" s="90" t="s">
        <v>25</v>
      </c>
      <c r="E12" s="91"/>
      <c r="F12" s="91"/>
      <c r="G12" s="91"/>
      <c r="H12" s="91"/>
      <c r="I12" s="91"/>
      <c r="J12" s="91"/>
      <c r="K12" s="92"/>
      <c r="M12" s="90" t="s">
        <v>24</v>
      </c>
      <c r="N12" s="91"/>
      <c r="O12" s="91"/>
      <c r="P12" s="91"/>
      <c r="Q12" s="91"/>
      <c r="R12" s="91"/>
      <c r="S12" s="91"/>
      <c r="T12" s="92"/>
      <c r="AQ12" s="39"/>
      <c r="AR12" s="39"/>
    </row>
    <row r="13" spans="1:46" ht="15.75" hidden="1" customHeight="1">
      <c r="D13" s="40"/>
      <c r="E13" s="41"/>
      <c r="F13" s="41"/>
      <c r="G13" s="41"/>
      <c r="H13" s="41"/>
      <c r="I13" s="41"/>
      <c r="J13" s="41"/>
      <c r="K13" s="42"/>
      <c r="M13" s="40"/>
      <c r="N13" s="41"/>
      <c r="O13" s="41"/>
      <c r="P13" s="41"/>
      <c r="Q13" s="41"/>
      <c r="R13" s="41"/>
      <c r="S13" s="41"/>
      <c r="T13" s="42"/>
    </row>
    <row r="14" spans="1:46" ht="22.5" customHeight="1">
      <c r="B14" s="43">
        <f>+C10-14</f>
        <v>-14</v>
      </c>
      <c r="D14" s="93" t="s">
        <v>39</v>
      </c>
      <c r="E14" s="94"/>
      <c r="F14" s="94"/>
      <c r="G14" s="97" t="s">
        <v>40</v>
      </c>
      <c r="H14" s="97"/>
      <c r="I14" s="97" t="s">
        <v>41</v>
      </c>
      <c r="J14" s="97"/>
      <c r="K14" s="98" t="s">
        <v>42</v>
      </c>
      <c r="M14" s="93" t="s">
        <v>39</v>
      </c>
      <c r="N14" s="94"/>
      <c r="O14" s="94"/>
      <c r="P14" s="97" t="s">
        <v>40</v>
      </c>
      <c r="Q14" s="97"/>
      <c r="R14" s="97" t="s">
        <v>41</v>
      </c>
      <c r="S14" s="97"/>
      <c r="T14" s="98" t="s">
        <v>42</v>
      </c>
      <c r="Z14" s="44"/>
    </row>
    <row r="15" spans="1:46" ht="22.5" customHeight="1" thickBot="1">
      <c r="D15" s="95"/>
      <c r="E15" s="96"/>
      <c r="F15" s="96"/>
      <c r="G15" s="45" t="s">
        <v>43</v>
      </c>
      <c r="H15" s="45" t="s">
        <v>44</v>
      </c>
      <c r="I15" s="45" t="s">
        <v>43</v>
      </c>
      <c r="J15" s="45" t="s">
        <v>44</v>
      </c>
      <c r="K15" s="99"/>
      <c r="M15" s="95"/>
      <c r="N15" s="96"/>
      <c r="O15" s="96"/>
      <c r="P15" s="45" t="s">
        <v>43</v>
      </c>
      <c r="Q15" s="45" t="s">
        <v>44</v>
      </c>
      <c r="R15" s="45" t="s">
        <v>43</v>
      </c>
      <c r="S15" s="45" t="s">
        <v>44</v>
      </c>
      <c r="T15" s="99"/>
      <c r="Z15" s="46"/>
    </row>
    <row r="16" spans="1:46" ht="22.5" customHeight="1">
      <c r="D16" s="84" t="s">
        <v>45</v>
      </c>
      <c r="E16" s="85"/>
      <c r="F16" s="47" t="s">
        <v>43</v>
      </c>
      <c r="G16" s="48">
        <f>+F8+G8</f>
        <v>0</v>
      </c>
      <c r="H16" s="48">
        <f>+J8</f>
        <v>0</v>
      </c>
      <c r="I16" s="48">
        <f>+Z8</f>
        <v>0</v>
      </c>
      <c r="J16" s="48">
        <f>+R8</f>
        <v>0</v>
      </c>
      <c r="K16" s="49">
        <f>SUM(G16:J16)</f>
        <v>0</v>
      </c>
      <c r="M16" s="84" t="s">
        <v>46</v>
      </c>
      <c r="N16" s="85"/>
      <c r="O16" s="47" t="s">
        <v>43</v>
      </c>
      <c r="P16" s="50">
        <f>+E8</f>
        <v>0</v>
      </c>
      <c r="Q16" s="50">
        <f>+H8</f>
        <v>0</v>
      </c>
      <c r="R16" s="50">
        <f>+X8</f>
        <v>0</v>
      </c>
      <c r="S16" s="50">
        <f>+P8</f>
        <v>0</v>
      </c>
      <c r="T16" s="51">
        <f>SUM(P16:S16)</f>
        <v>0</v>
      </c>
    </row>
    <row r="17" spans="1:35" ht="22.5" customHeight="1">
      <c r="D17" s="84"/>
      <c r="E17" s="85"/>
      <c r="F17" s="47" t="s">
        <v>47</v>
      </c>
      <c r="G17" s="48"/>
      <c r="H17" s="48">
        <f>+N8</f>
        <v>0</v>
      </c>
      <c r="I17" s="48"/>
      <c r="J17" s="48">
        <f>+V8</f>
        <v>0</v>
      </c>
      <c r="K17" s="49">
        <f>SUM(G17:J17)</f>
        <v>0</v>
      </c>
      <c r="M17" s="84"/>
      <c r="N17" s="85"/>
      <c r="O17" s="47" t="s">
        <v>48</v>
      </c>
      <c r="P17" s="48"/>
      <c r="Q17" s="48">
        <f>+L8</f>
        <v>0</v>
      </c>
      <c r="R17" s="48"/>
      <c r="S17" s="48">
        <f>+T8</f>
        <v>0</v>
      </c>
      <c r="T17" s="49">
        <f>SUM(P17:S17)</f>
        <v>0</v>
      </c>
    </row>
    <row r="18" spans="1:35" ht="22.5" customHeight="1" thickBot="1">
      <c r="A18" s="43"/>
      <c r="D18" s="84"/>
      <c r="E18" s="85"/>
      <c r="F18" s="52" t="s">
        <v>49</v>
      </c>
      <c r="G18" s="53">
        <f>+AD8</f>
        <v>0</v>
      </c>
      <c r="H18" s="53"/>
      <c r="I18" s="53">
        <f>+AH8</f>
        <v>0</v>
      </c>
      <c r="J18" s="53"/>
      <c r="K18" s="54">
        <f>SUM(G18:J18)</f>
        <v>0</v>
      </c>
      <c r="M18" s="84"/>
      <c r="N18" s="85"/>
      <c r="O18" s="52" t="s">
        <v>49</v>
      </c>
      <c r="P18" s="53">
        <f>+AB8</f>
        <v>0</v>
      </c>
      <c r="Q18" s="53"/>
      <c r="R18" s="53"/>
      <c r="S18" s="53"/>
      <c r="T18" s="54">
        <f>SUM(P18:S18)</f>
        <v>0</v>
      </c>
    </row>
    <row r="19" spans="1:35" ht="22.5" customHeight="1">
      <c r="A19" s="43"/>
      <c r="D19" s="84"/>
      <c r="E19" s="85"/>
      <c r="F19" s="55" t="s">
        <v>50</v>
      </c>
      <c r="G19" s="56">
        <f>+F9</f>
        <v>0</v>
      </c>
      <c r="H19" s="56">
        <f>+J9</f>
        <v>0</v>
      </c>
      <c r="I19" s="56"/>
      <c r="J19" s="56"/>
      <c r="K19" s="57">
        <f>SUM(G19:J19)</f>
        <v>0</v>
      </c>
      <c r="M19" s="84"/>
      <c r="N19" s="85"/>
      <c r="O19" s="55" t="s">
        <v>50</v>
      </c>
      <c r="P19" s="56">
        <f>+E9</f>
        <v>0</v>
      </c>
      <c r="Q19" s="56">
        <f>+H9</f>
        <v>0</v>
      </c>
      <c r="R19" s="56"/>
      <c r="S19" s="56"/>
      <c r="T19" s="57">
        <f t="shared" ref="T19:T20" si="6">SUM(P19:S19)</f>
        <v>0</v>
      </c>
    </row>
    <row r="20" spans="1:35" ht="22.5" customHeight="1" thickBot="1">
      <c r="D20" s="84"/>
      <c r="E20" s="85"/>
      <c r="F20" s="58" t="s">
        <v>49</v>
      </c>
      <c r="G20" s="59"/>
      <c r="H20" s="60">
        <f>+O9</f>
        <v>0</v>
      </c>
      <c r="I20" s="60"/>
      <c r="J20" s="60"/>
      <c r="K20" s="61">
        <f>SUM(G20:J20)</f>
        <v>0</v>
      </c>
      <c r="L20" s="62"/>
      <c r="M20" s="84"/>
      <c r="N20" s="85"/>
      <c r="O20" s="58" t="s">
        <v>49</v>
      </c>
      <c r="P20" s="59">
        <f>+L9+T9</f>
        <v>0</v>
      </c>
      <c r="Q20" s="60"/>
      <c r="R20" s="60"/>
      <c r="S20" s="60"/>
      <c r="T20" s="63">
        <f t="shared" si="6"/>
        <v>0</v>
      </c>
      <c r="U20" s="64"/>
      <c r="V20" s="65"/>
    </row>
    <row r="21" spans="1:35">
      <c r="D21" s="84" t="s">
        <v>51</v>
      </c>
      <c r="E21" s="85"/>
      <c r="F21" s="66" t="s">
        <v>52</v>
      </c>
      <c r="G21" s="67">
        <f>SUM(G16:G20)</f>
        <v>0</v>
      </c>
      <c r="H21" s="67">
        <f>SUM(H16:H20)</f>
        <v>0</v>
      </c>
      <c r="I21" s="67">
        <f t="shared" ref="I21" si="7">SUM(I16:I20)</f>
        <v>0</v>
      </c>
      <c r="J21" s="67">
        <f>SUM(J16:J20)</f>
        <v>0</v>
      </c>
      <c r="K21" s="68">
        <f>SUM(K16:K20)</f>
        <v>0</v>
      </c>
      <c r="L21" s="69">
        <f>+K21-K20-K19</f>
        <v>0</v>
      </c>
      <c r="M21" s="84" t="s">
        <v>51</v>
      </c>
      <c r="N21" s="85"/>
      <c r="O21" s="66" t="s">
        <v>52</v>
      </c>
      <c r="P21" s="67">
        <f>SUM(P16:P20)</f>
        <v>0</v>
      </c>
      <c r="Q21" s="67">
        <f>SUM(Q16:Q20)</f>
        <v>0</v>
      </c>
      <c r="R21" s="67">
        <f t="shared" ref="R21" si="8">SUM(R16:R20)</f>
        <v>0</v>
      </c>
      <c r="S21" s="67">
        <f>SUM(S16:S20)</f>
        <v>0</v>
      </c>
      <c r="T21" s="68">
        <f>SUM(T16:T20)</f>
        <v>0</v>
      </c>
      <c r="U21" s="70">
        <f>+K21-T21</f>
        <v>0</v>
      </c>
      <c r="V21" s="71"/>
      <c r="W21" s="69"/>
      <c r="AA21" s="69"/>
      <c r="AE21" s="69"/>
      <c r="AI21" s="69"/>
    </row>
    <row r="22" spans="1:35" ht="16.5" thickBot="1">
      <c r="D22" s="86" t="s">
        <v>53</v>
      </c>
      <c r="E22" s="87"/>
      <c r="F22" s="87"/>
      <c r="G22" s="87"/>
      <c r="H22" s="87"/>
      <c r="I22" s="87"/>
      <c r="J22" s="87"/>
      <c r="K22" s="72">
        <f>+K21</f>
        <v>0</v>
      </c>
      <c r="L22" s="69"/>
      <c r="M22" s="88" t="s">
        <v>54</v>
      </c>
      <c r="N22" s="89"/>
      <c r="O22" s="89"/>
      <c r="P22" s="87"/>
      <c r="Q22" s="87"/>
      <c r="R22" s="87"/>
      <c r="S22" s="87"/>
      <c r="T22" s="72">
        <f>+T21</f>
        <v>0</v>
      </c>
      <c r="W22" s="69"/>
      <c r="AA22" s="69"/>
      <c r="AE22" s="69"/>
      <c r="AI22" s="69"/>
    </row>
    <row r="23" spans="1:35" ht="16.5" thickBot="1">
      <c r="D23" s="80" t="s">
        <v>55</v>
      </c>
      <c r="E23" s="80"/>
      <c r="F23" s="73">
        <f>+C10</f>
        <v>0</v>
      </c>
      <c r="M23" s="80" t="s">
        <v>55</v>
      </c>
      <c r="N23" s="80"/>
      <c r="O23" s="73">
        <f>+B10</f>
        <v>0</v>
      </c>
      <c r="R23" s="81" t="s">
        <v>19</v>
      </c>
      <c r="S23" s="82"/>
      <c r="T23" s="74">
        <f>+K22-T22</f>
        <v>0</v>
      </c>
    </row>
    <row r="24" spans="1:35">
      <c r="D24" s="83" t="s">
        <v>56</v>
      </c>
      <c r="E24" s="83"/>
      <c r="F24" s="73">
        <f>+(F10+G10)/8</f>
        <v>0</v>
      </c>
      <c r="M24" s="83" t="s">
        <v>56</v>
      </c>
      <c r="N24" s="83"/>
      <c r="O24" s="73">
        <f>+P16/8</f>
        <v>0</v>
      </c>
    </row>
    <row r="25" spans="1:35">
      <c r="D25" s="83" t="s">
        <v>57</v>
      </c>
      <c r="E25" s="83"/>
      <c r="F25" s="73">
        <f>+K22</f>
        <v>0</v>
      </c>
      <c r="M25" s="83" t="s">
        <v>57</v>
      </c>
      <c r="N25" s="83"/>
      <c r="O25" s="73">
        <f>+T22</f>
        <v>0</v>
      </c>
    </row>
    <row r="26" spans="1:35">
      <c r="F26" s="75" t="s">
        <v>58</v>
      </c>
      <c r="K26" s="39">
        <f>+(G16+H16)/8</f>
        <v>0</v>
      </c>
      <c r="O26" s="75" t="s">
        <v>58</v>
      </c>
      <c r="T26" s="39">
        <f>+P16/8</f>
        <v>0</v>
      </c>
      <c r="U26" s="76"/>
    </row>
    <row r="27" spans="1:35">
      <c r="F27" s="75" t="s">
        <v>12</v>
      </c>
      <c r="K27" s="39">
        <f>+F23</f>
        <v>0</v>
      </c>
      <c r="O27" s="2" t="s">
        <v>12</v>
      </c>
      <c r="T27" s="39">
        <f>+B10</f>
        <v>0</v>
      </c>
    </row>
    <row r="29" spans="1:35">
      <c r="D29" s="77"/>
      <c r="E29" s="77"/>
      <c r="F29" s="78"/>
    </row>
    <row r="30" spans="1:35">
      <c r="D30" s="77"/>
      <c r="E30" s="77"/>
      <c r="F30" s="78"/>
    </row>
    <row r="31" spans="1:35">
      <c r="D31" s="77"/>
      <c r="E31" s="77"/>
      <c r="F31" s="78"/>
      <c r="K31" s="43"/>
    </row>
    <row r="32" spans="1:35">
      <c r="K32" s="43"/>
    </row>
    <row r="33" spans="11:22">
      <c r="K33" s="43"/>
    </row>
    <row r="35" spans="11:22">
      <c r="L35" s="65"/>
    </row>
    <row r="36" spans="11:22">
      <c r="O36" s="43"/>
      <c r="P36" s="43"/>
      <c r="Q36" s="43"/>
      <c r="R36" s="43"/>
      <c r="S36" s="44"/>
      <c r="V36" s="43"/>
    </row>
    <row r="37" spans="11:22">
      <c r="O37" s="43"/>
      <c r="P37" s="43"/>
      <c r="Q37" s="43"/>
      <c r="R37" s="43"/>
      <c r="S37" s="43"/>
      <c r="T37" s="43"/>
      <c r="U37" s="43"/>
      <c r="V37" s="43"/>
    </row>
  </sheetData>
  <mergeCells count="51">
    <mergeCell ref="A1:AL2"/>
    <mergeCell ref="A6:A7"/>
    <mergeCell ref="B6:D6"/>
    <mergeCell ref="E6:E7"/>
    <mergeCell ref="F6:F7"/>
    <mergeCell ref="G6:G7"/>
    <mergeCell ref="H6:K6"/>
    <mergeCell ref="L6:O6"/>
    <mergeCell ref="P6:S6"/>
    <mergeCell ref="T6:W6"/>
    <mergeCell ref="C10:D10"/>
    <mergeCell ref="AM6:AM7"/>
    <mergeCell ref="AN6:AN7"/>
    <mergeCell ref="AO6:AO7"/>
    <mergeCell ref="AP6:AP7"/>
    <mergeCell ref="X6:AA6"/>
    <mergeCell ref="AB6:AE6"/>
    <mergeCell ref="AF6:AI6"/>
    <mergeCell ref="AJ6:AJ7"/>
    <mergeCell ref="AK6:AK7"/>
    <mergeCell ref="AL6:AL7"/>
    <mergeCell ref="AS6:AS7"/>
    <mergeCell ref="AT6:AT7"/>
    <mergeCell ref="C7:D7"/>
    <mergeCell ref="C8:D8"/>
    <mergeCell ref="C9:D9"/>
    <mergeCell ref="AQ6:AQ7"/>
    <mergeCell ref="AR6:AR7"/>
    <mergeCell ref="D12:K12"/>
    <mergeCell ref="M12:T12"/>
    <mergeCell ref="D14:F15"/>
    <mergeCell ref="G14:H14"/>
    <mergeCell ref="I14:J14"/>
    <mergeCell ref="K14:K15"/>
    <mergeCell ref="M14:O15"/>
    <mergeCell ref="P14:Q14"/>
    <mergeCell ref="R14:S14"/>
    <mergeCell ref="T14:T15"/>
    <mergeCell ref="D25:E25"/>
    <mergeCell ref="M25:N25"/>
    <mergeCell ref="D16:E20"/>
    <mergeCell ref="M16:N20"/>
    <mergeCell ref="D21:E21"/>
    <mergeCell ref="M21:N21"/>
    <mergeCell ref="D22:J22"/>
    <mergeCell ref="M22:S22"/>
    <mergeCell ref="D23:E23"/>
    <mergeCell ref="M23:N23"/>
    <mergeCell ref="R23:S23"/>
    <mergeCell ref="D24:E24"/>
    <mergeCell ref="M24:N2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2023-02-24T14:30:46Z</dcterms:modified>
</cp:coreProperties>
</file>