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SSAUDIT\GitHub\ISVietNam\SmartBooks.HumanResource\bin\x86\Debug\Teamleate\"/>
    </mc:Choice>
  </mc:AlternateContent>
  <xr:revisionPtr revIDLastSave="0" documentId="13_ncr:1_{97FD85B3-CCF1-4BA9-B05D-B01B0C227D54}" xr6:coauthVersionLast="45" xr6:coauthVersionMax="45" xr10:uidLastSave="{00000000-0000-0000-0000-000000000000}"/>
  <bookViews>
    <workbookView xWindow="20370" yWindow="-120" windowWidth="29040" windowHeight="164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5" i="1" l="1"/>
  <c r="S15" i="1"/>
  <c r="AA15" i="1"/>
  <c r="F3" i="1"/>
  <c r="N15" i="1" l="1"/>
  <c r="P15" i="1"/>
  <c r="T15" i="1" s="1"/>
  <c r="V15" i="1" l="1"/>
  <c r="X15" i="1" s="1"/>
  <c r="Y15" i="1" s="1"/>
  <c r="Z15" i="1" s="1"/>
</calcChain>
</file>

<file path=xl/sharedStrings.xml><?xml version="1.0" encoding="utf-8"?>
<sst xmlns="http://schemas.openxmlformats.org/spreadsheetml/2006/main" count="69" uniqueCount="58">
  <si>
    <t>No</t>
  </si>
  <si>
    <t>Employee_ID</t>
  </si>
  <si>
    <t>FullName</t>
  </si>
  <si>
    <t>StartedDate</t>
  </si>
  <si>
    <t>Lô số A2-6 KCN Tây Bắc Củ Chi, huyện Củ Chi, TP.HCM</t>
  </si>
  <si>
    <t>CÔNG TY TNHH I.S Việt Nam</t>
  </si>
  <si>
    <r>
      <t xml:space="preserve">STT
</t>
    </r>
    <r>
      <rPr>
        <i/>
        <sz val="10"/>
        <rFont val="Times New Roman"/>
        <family val="1"/>
      </rPr>
      <t>No</t>
    </r>
  </si>
  <si>
    <r>
      <t xml:space="preserve">MSNV
</t>
    </r>
    <r>
      <rPr>
        <i/>
        <sz val="10"/>
        <rFont val="Times New Roman"/>
        <family val="1"/>
      </rPr>
      <t>Code</t>
    </r>
  </si>
  <si>
    <r>
      <t xml:space="preserve">Vị trí
</t>
    </r>
    <r>
      <rPr>
        <i/>
        <sz val="10"/>
        <rFont val="Times New Roman"/>
        <family val="1"/>
      </rPr>
      <t>Position</t>
    </r>
  </si>
  <si>
    <r>
      <t xml:space="preserve">Họ và Tên
</t>
    </r>
    <r>
      <rPr>
        <i/>
        <sz val="10"/>
        <rFont val="Times New Roman"/>
        <family val="1"/>
      </rPr>
      <t>Full name</t>
    </r>
  </si>
  <si>
    <r>
      <t>Ngày vào
S</t>
    </r>
    <r>
      <rPr>
        <i/>
        <sz val="10"/>
        <rFont val="Times New Roman"/>
        <family val="1"/>
      </rPr>
      <t>tarting date</t>
    </r>
  </si>
  <si>
    <r>
      <t xml:space="preserve">Ký nhận
</t>
    </r>
    <r>
      <rPr>
        <i/>
        <sz val="10"/>
        <rFont val="Times New Roman"/>
        <family val="1"/>
      </rPr>
      <t>Signature</t>
    </r>
  </si>
  <si>
    <t>Người lập biểu</t>
  </si>
  <si>
    <t>BAN GIÁM ĐỐC</t>
  </si>
  <si>
    <t>Reporter</t>
  </si>
  <si>
    <t>Chief Accountant</t>
  </si>
  <si>
    <t>ACCOUNTANT MANAGER</t>
  </si>
  <si>
    <t>BOARD OF DIRECTORS</t>
  </si>
  <si>
    <t>KWAK JUNSUN</t>
  </si>
  <si>
    <t>CHOI KYUNG SHIK</t>
  </si>
  <si>
    <t>sectionname</t>
  </si>
  <si>
    <t>key</t>
  </si>
  <si>
    <t>Salary_Month</t>
  </si>
  <si>
    <t>Salary_Year</t>
  </si>
  <si>
    <t>PayDate</t>
  </si>
  <si>
    <t>SalaryKey</t>
  </si>
  <si>
    <t>s54</t>
  </si>
  <si>
    <t>s55</t>
  </si>
  <si>
    <t>Key</t>
  </si>
  <si>
    <t>Month</t>
  </si>
  <si>
    <t>Year</t>
  </si>
  <si>
    <r>
      <t xml:space="preserve">Đến hết ngày
</t>
    </r>
    <r>
      <rPr>
        <i/>
        <sz val="10"/>
        <rFont val="Times New Roman"/>
        <family val="1"/>
      </rPr>
      <t>to date</t>
    </r>
  </si>
  <si>
    <t>SalaryBasic</t>
  </si>
  <si>
    <r>
      <t xml:space="preserve">Lương cơ bản
</t>
    </r>
    <r>
      <rPr>
        <i/>
        <sz val="10"/>
        <rFont val="Times New Roman"/>
        <family val="1"/>
      </rPr>
      <t>SalaryBasic</t>
    </r>
  </si>
  <si>
    <r>
      <t xml:space="preserve">Thởi gian làm việc
</t>
    </r>
    <r>
      <rPr>
        <i/>
        <sz val="10"/>
        <rFont val="Times New Roman"/>
        <family val="1"/>
      </rPr>
      <t>Working time</t>
    </r>
  </si>
  <si>
    <t>s1</t>
  </si>
  <si>
    <r>
      <t xml:space="preserve">Lương thưởng </t>
    </r>
    <r>
      <rPr>
        <i/>
        <sz val="10"/>
        <rFont val="Times New Roman"/>
        <family val="1"/>
      </rPr>
      <t>Bonus amount</t>
    </r>
  </si>
  <si>
    <r>
      <t xml:space="preserve">Số tờ BBKT
</t>
    </r>
    <r>
      <rPr>
        <i/>
        <sz val="10"/>
        <rFont val="Times New Roman"/>
        <family val="1"/>
      </rPr>
      <t>Warning letter number
(10%)</t>
    </r>
  </si>
  <si>
    <r>
      <t xml:space="preserve">Số tờ BBKT nghỉ không phép
</t>
    </r>
    <r>
      <rPr>
        <i/>
        <sz val="10"/>
        <rFont val="Times New Roman"/>
        <family val="1"/>
      </rPr>
      <t>Warning letter number
(without permission)
(20%)</t>
    </r>
  </si>
  <si>
    <r>
      <t xml:space="preserve">Số tiền thưởng giảm
</t>
    </r>
    <r>
      <rPr>
        <i/>
        <sz val="10"/>
        <rFont val="Times New Roman"/>
        <family val="1"/>
      </rPr>
      <t>Reducted amount</t>
    </r>
  </si>
  <si>
    <r>
      <t xml:space="preserve">Tổng lương thưởng
</t>
    </r>
    <r>
      <rPr>
        <i/>
        <sz val="10"/>
        <rFont val="Times New Roman"/>
        <family val="1"/>
      </rPr>
      <t>Bonus amount Total</t>
    </r>
  </si>
  <si>
    <r>
      <t xml:space="preserve">Thuế TNCN được thoái trả(-) hoặc khấu trừ(+)
</t>
    </r>
    <r>
      <rPr>
        <i/>
        <sz val="10"/>
        <rFont val="Times New Roman"/>
        <family val="1"/>
      </rPr>
      <t>Personal Income tax April</t>
    </r>
  </si>
  <si>
    <r>
      <t xml:space="preserve">Số tiền được nhận
</t>
    </r>
    <r>
      <rPr>
        <i/>
        <sz val="10"/>
        <rFont val="Times New Roman"/>
        <family val="1"/>
      </rPr>
      <t>Received amount</t>
    </r>
  </si>
  <si>
    <r>
      <t xml:space="preserve">Số tiền thanh toán làm tròn 500đ
</t>
    </r>
    <r>
      <rPr>
        <i/>
        <sz val="10"/>
        <rFont val="Times New Roman"/>
        <family val="1"/>
      </rPr>
      <t>Rounded amount</t>
    </r>
  </si>
  <si>
    <r>
      <t xml:space="preserve">THẺ ATM
</t>
    </r>
    <r>
      <rPr>
        <i/>
        <sz val="10"/>
        <rFont val="Times New Roman"/>
        <family val="1"/>
      </rPr>
      <t>Card number</t>
    </r>
  </si>
  <si>
    <t>bankAccount</t>
  </si>
  <si>
    <t>NgayTinh</t>
  </si>
  <si>
    <t>SoToBBKP</t>
  </si>
  <si>
    <t>SoToBBKT</t>
  </si>
  <si>
    <t>List of issuing Bonus on Independence &amp; International labour day.</t>
  </si>
  <si>
    <t>KẾ TOÁN TRƯỞNG</t>
  </si>
  <si>
    <t>NGUYỄN THỊ TUYẾT MAI</t>
  </si>
  <si>
    <t>NGUYỄN THỊ KIM HẠNH</t>
  </si>
  <si>
    <t>TongTNChiuThue</t>
  </si>
  <si>
    <t>PITDaKhauTru</t>
  </si>
  <si>
    <t>PIT đã khấu trừ</t>
  </si>
  <si>
    <t>Thu nhập tính thuế (các khoản thu nhập khác trong tháng)</t>
  </si>
  <si>
    <t>Thu nhập tính thuế (bao gồm khoản thưởng này)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</si>
</sst>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I-Times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0"/>
      <color indexed="14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sz val="1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1" fillId="0" borderId="0"/>
    <xf numFmtId="0" fontId="9" fillId="0" borderId="0"/>
  </cellStyleXfs>
  <cellXfs count="37">
    <xf numFmtId="0" fontId="0" fillId="0" borderId="0" xfId="0"/>
    <xf numFmtId="0" fontId="7" fillId="0" borderId="0" xfId="3" applyFont="1"/>
    <xf numFmtId="0" fontId="8" fillId="0" borderId="0" xfId="3" applyFont="1" applyAlignment="1">
      <alignment horizontal="center"/>
    </xf>
    <xf numFmtId="0" fontId="10" fillId="0" borderId="0" xfId="4" applyFont="1" applyAlignment="1"/>
    <xf numFmtId="164" fontId="0" fillId="0" borderId="0" xfId="1" applyNumberFormat="1" applyFont="1"/>
    <xf numFmtId="0" fontId="3" fillId="0" borderId="0" xfId="3" applyFont="1" applyBorder="1" applyAlignment="1">
      <alignment horizontal="center"/>
    </xf>
    <xf numFmtId="0" fontId="3" fillId="0" borderId="0" xfId="3" applyFont="1" applyBorder="1" applyAlignment="1">
      <alignment horizontal="center"/>
    </xf>
    <xf numFmtId="0" fontId="0" fillId="0" borderId="0" xfId="0" applyNumberFormat="1"/>
    <xf numFmtId="0" fontId="0" fillId="0" borderId="0" xfId="0" applyNumberFormat="1" applyFill="1"/>
    <xf numFmtId="14" fontId="0" fillId="0" borderId="0" xfId="0" applyNumberFormat="1"/>
    <xf numFmtId="14" fontId="0" fillId="0" borderId="0" xfId="0" applyNumberFormat="1" applyFill="1"/>
    <xf numFmtId="0" fontId="7" fillId="0" borderId="0" xfId="3" applyNumberFormat="1" applyFont="1"/>
    <xf numFmtId="0" fontId="3" fillId="0" borderId="0" xfId="3" applyNumberFormat="1" applyFont="1" applyBorder="1" applyAlignment="1">
      <alignment horizontal="center"/>
    </xf>
    <xf numFmtId="0" fontId="8" fillId="0" borderId="0" xfId="3" applyNumberFormat="1" applyFont="1" applyAlignment="1">
      <alignment horizontal="center"/>
    </xf>
    <xf numFmtId="43" fontId="0" fillId="0" borderId="0" xfId="1" applyFont="1"/>
    <xf numFmtId="0" fontId="3" fillId="0" borderId="0" xfId="5" applyFont="1" applyAlignment="1">
      <alignment horizontal="center"/>
    </xf>
    <xf numFmtId="0" fontId="11" fillId="0" borderId="0" xfId="5" applyFont="1" applyAlignment="1"/>
    <xf numFmtId="0" fontId="7" fillId="0" borderId="0" xfId="5" applyFont="1"/>
    <xf numFmtId="0" fontId="3" fillId="0" borderId="0" xfId="5" applyFont="1" applyAlignment="1">
      <alignment horizontal="left"/>
    </xf>
    <xf numFmtId="0" fontId="11" fillId="0" borderId="0" xfId="5" applyFont="1"/>
    <xf numFmtId="0" fontId="3" fillId="0" borderId="0" xfId="2" applyFont="1" applyFill="1" applyAlignment="1">
      <alignment horizontal="center"/>
    </xf>
    <xf numFmtId="0" fontId="7" fillId="0" borderId="0" xfId="6" applyFont="1"/>
    <xf numFmtId="0" fontId="6" fillId="0" borderId="0" xfId="6" applyFont="1" applyAlignment="1"/>
    <xf numFmtId="0" fontId="3" fillId="0" borderId="0" xfId="5" applyFont="1"/>
    <xf numFmtId="0" fontId="10" fillId="0" borderId="0" xfId="4" applyFont="1" applyAlignment="1">
      <alignment horizontal="center"/>
    </xf>
    <xf numFmtId="0" fontId="3" fillId="0" borderId="0" xfId="5" applyFont="1" applyAlignment="1">
      <alignment horizontal="center"/>
    </xf>
    <xf numFmtId="0" fontId="11" fillId="0" borderId="0" xfId="5" applyFont="1" applyAlignment="1">
      <alignment horizontal="center"/>
    </xf>
    <xf numFmtId="0" fontId="6" fillId="0" borderId="0" xfId="6" applyFont="1" applyAlignment="1">
      <alignment horizontal="center"/>
    </xf>
    <xf numFmtId="0" fontId="3" fillId="2" borderId="1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5" xfId="3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/>
    </xf>
    <xf numFmtId="0" fontId="6" fillId="0" borderId="0" xfId="3" applyFont="1" applyAlignment="1">
      <alignment horizontal="center" vertical="top"/>
    </xf>
    <xf numFmtId="0" fontId="3" fillId="2" borderId="2" xfId="3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10" xfId="6" xr:uid="{00000000-0005-0000-0000-000002000000}"/>
    <cellStyle name="Normal 19 6 2" xfId="5" xr:uid="{00000000-0005-0000-0000-000003000000}"/>
    <cellStyle name="Normal 2 3" xfId="2" xr:uid="{00000000-0005-0000-0000-000004000000}"/>
    <cellStyle name="Normal 3" xfId="4" xr:uid="{00000000-0005-0000-0000-000005000000}"/>
    <cellStyle name="Normal_THANH TOAN CAC CHE DO LUONG" xfId="3" xr:uid="{00000000-0005-0000-0000-00000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"/>
  <sheetViews>
    <sheetView tabSelected="1" topLeftCell="F1" workbookViewId="0">
      <selection activeCell="F15" sqref="F15"/>
    </sheetView>
  </sheetViews>
  <sheetFormatPr defaultRowHeight="15" x14ac:dyDescent="0.25"/>
  <cols>
    <col min="1" max="4" width="9.140625" hidden="1" customWidth="1"/>
    <col min="5" max="5" width="11.85546875" style="9" hidden="1" customWidth="1"/>
    <col min="6" max="6" width="5.85546875" customWidth="1"/>
    <col min="7" max="7" width="10.85546875" customWidth="1"/>
    <col min="8" max="8" width="12.28515625" customWidth="1"/>
    <col min="9" max="10" width="22.42578125" customWidth="1"/>
    <col min="11" max="12" width="11.140625" customWidth="1"/>
    <col min="13" max="14" width="8" customWidth="1"/>
    <col min="15" max="15" width="11.5703125" customWidth="1"/>
    <col min="16" max="20" width="12.5703125" customWidth="1"/>
    <col min="21" max="23" width="12.5703125" hidden="1" customWidth="1"/>
    <col min="24" max="26" width="12.5703125" customWidth="1"/>
    <col min="28" max="28" width="9.5703125" bestFit="1" customWidth="1"/>
  </cols>
  <sheetData>
    <row r="1" spans="1:27" x14ac:dyDescent="0.25">
      <c r="A1">
        <v>1</v>
      </c>
      <c r="F1" t="s">
        <v>5</v>
      </c>
    </row>
    <row r="2" spans="1:27" x14ac:dyDescent="0.25">
      <c r="A2">
        <v>2</v>
      </c>
      <c r="F2" t="s">
        <v>4</v>
      </c>
    </row>
    <row r="3" spans="1:27" ht="20.25" x14ac:dyDescent="0.3">
      <c r="F3" s="31" t="str">
        <f>"DANH SÁCH CẤP PHÁT TIỀN THƯỞNG 30/04/"&amp;A2&amp;" &amp; 01/05/"&amp;A2</f>
        <v>DANH SÁCH CẤP PHÁT TIỀN THƯỞNG 30/04/2 &amp; 01/05/2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x14ac:dyDescent="0.25">
      <c r="F4" s="32" t="s">
        <v>49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x14ac:dyDescent="0.25">
      <c r="F5" s="1"/>
      <c r="G5" s="1"/>
      <c r="H5" s="1"/>
      <c r="I5" s="1"/>
      <c r="J5" s="1"/>
      <c r="K5" s="1"/>
      <c r="L5" s="1"/>
      <c r="M5" s="1"/>
      <c r="N5" s="1"/>
      <c r="O5" s="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"/>
    </row>
    <row r="6" spans="1:27" x14ac:dyDescent="0.25">
      <c r="F6" s="1"/>
      <c r="G6" s="1"/>
      <c r="H6" s="1"/>
      <c r="I6" s="1"/>
      <c r="J6" s="1"/>
      <c r="K6" s="1"/>
      <c r="L6" s="1"/>
      <c r="M6" s="1"/>
      <c r="N6" s="1"/>
      <c r="O6" s="5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</row>
    <row r="7" spans="1:27" s="7" customFormat="1" hidden="1" x14ac:dyDescent="0.25">
      <c r="B7" s="7">
        <v>2</v>
      </c>
      <c r="C7" s="7">
        <v>2</v>
      </c>
      <c r="D7" s="7">
        <v>2</v>
      </c>
      <c r="E7" s="7">
        <v>2</v>
      </c>
      <c r="F7" s="11">
        <v>2</v>
      </c>
      <c r="G7" s="11">
        <v>2</v>
      </c>
      <c r="H7" s="11">
        <v>2</v>
      </c>
      <c r="I7" s="11">
        <v>2</v>
      </c>
      <c r="J7" s="11">
        <v>2</v>
      </c>
      <c r="K7" s="11">
        <v>2</v>
      </c>
      <c r="L7" s="11">
        <v>2</v>
      </c>
      <c r="M7" s="11">
        <v>2</v>
      </c>
      <c r="N7" s="11">
        <v>2</v>
      </c>
      <c r="O7" s="12">
        <v>1</v>
      </c>
      <c r="P7" s="13">
        <v>1</v>
      </c>
      <c r="Q7" s="13">
        <v>1</v>
      </c>
      <c r="R7" s="13">
        <v>1</v>
      </c>
      <c r="S7" s="13">
        <v>1</v>
      </c>
      <c r="T7" s="13">
        <v>1</v>
      </c>
      <c r="U7" s="13"/>
      <c r="V7" s="13"/>
      <c r="W7" s="13"/>
      <c r="X7" s="13">
        <v>1</v>
      </c>
      <c r="Y7" s="13">
        <v>1</v>
      </c>
      <c r="Z7" s="13">
        <v>1</v>
      </c>
      <c r="AA7" s="11">
        <v>2</v>
      </c>
    </row>
    <row r="8" spans="1:27" hidden="1" x14ac:dyDescent="0.25">
      <c r="B8" s="7" t="s">
        <v>21</v>
      </c>
      <c r="C8" t="s">
        <v>22</v>
      </c>
      <c r="D8" t="s">
        <v>23</v>
      </c>
      <c r="F8" s="1"/>
      <c r="G8" t="s">
        <v>1</v>
      </c>
      <c r="H8" s="1"/>
      <c r="I8" s="1"/>
      <c r="J8" s="1"/>
      <c r="K8" s="1"/>
      <c r="L8" s="1"/>
      <c r="M8" s="1"/>
      <c r="N8" s="1"/>
      <c r="O8" s="5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"/>
    </row>
    <row r="9" spans="1:27" hidden="1" x14ac:dyDescent="0.25">
      <c r="B9" s="8" t="s">
        <v>21</v>
      </c>
      <c r="C9" s="8" t="s">
        <v>22</v>
      </c>
      <c r="D9" s="8" t="s">
        <v>23</v>
      </c>
      <c r="E9" s="10" t="s">
        <v>24</v>
      </c>
      <c r="G9" t="s">
        <v>1</v>
      </c>
      <c r="O9" t="s">
        <v>35</v>
      </c>
      <c r="Y9" t="s">
        <v>26</v>
      </c>
      <c r="Z9" t="s">
        <v>27</v>
      </c>
    </row>
    <row r="10" spans="1:27" hidden="1" x14ac:dyDescent="0.25">
      <c r="B10" t="s">
        <v>25</v>
      </c>
      <c r="C10" s="8" t="s">
        <v>22</v>
      </c>
      <c r="D10" t="s">
        <v>23</v>
      </c>
      <c r="E10" s="10" t="s">
        <v>24</v>
      </c>
      <c r="F10" t="s">
        <v>0</v>
      </c>
      <c r="G10" t="s">
        <v>1</v>
      </c>
      <c r="H10" t="s">
        <v>20</v>
      </c>
      <c r="I10" t="s">
        <v>2</v>
      </c>
      <c r="J10" t="s">
        <v>45</v>
      </c>
      <c r="K10" t="s">
        <v>3</v>
      </c>
      <c r="L10" t="s">
        <v>46</v>
      </c>
      <c r="O10" t="s">
        <v>32</v>
      </c>
      <c r="Q10" t="s">
        <v>47</v>
      </c>
      <c r="R10" t="s">
        <v>48</v>
      </c>
      <c r="U10" t="s">
        <v>53</v>
      </c>
      <c r="W10" t="s">
        <v>54</v>
      </c>
    </row>
    <row r="11" spans="1:27" ht="69" customHeight="1" x14ac:dyDescent="0.25">
      <c r="B11" s="35" t="s">
        <v>28</v>
      </c>
      <c r="C11" s="35" t="s">
        <v>29</v>
      </c>
      <c r="D11" s="35" t="s">
        <v>30</v>
      </c>
      <c r="E11" s="36" t="s">
        <v>24</v>
      </c>
      <c r="F11" s="28" t="s">
        <v>6</v>
      </c>
      <c r="G11" s="28" t="s">
        <v>7</v>
      </c>
      <c r="H11" s="28" t="s">
        <v>8</v>
      </c>
      <c r="I11" s="28" t="s">
        <v>9</v>
      </c>
      <c r="J11" s="28" t="s">
        <v>44</v>
      </c>
      <c r="K11" s="28" t="s">
        <v>10</v>
      </c>
      <c r="L11" s="28" t="s">
        <v>31</v>
      </c>
      <c r="M11" s="33" t="s">
        <v>34</v>
      </c>
      <c r="N11" s="34"/>
      <c r="O11" s="28" t="s">
        <v>33</v>
      </c>
      <c r="P11" s="28" t="s">
        <v>36</v>
      </c>
      <c r="Q11" s="28" t="s">
        <v>37</v>
      </c>
      <c r="R11" s="28" t="s">
        <v>38</v>
      </c>
      <c r="S11" s="28" t="s">
        <v>39</v>
      </c>
      <c r="T11" s="28" t="s">
        <v>40</v>
      </c>
      <c r="U11" s="28" t="s">
        <v>56</v>
      </c>
      <c r="V11" s="28" t="s">
        <v>57</v>
      </c>
      <c r="W11" s="28" t="s">
        <v>55</v>
      </c>
      <c r="X11" s="28" t="s">
        <v>41</v>
      </c>
      <c r="Y11" s="28" t="s">
        <v>42</v>
      </c>
      <c r="Z11" s="28" t="s">
        <v>43</v>
      </c>
      <c r="AA11" s="28" t="s">
        <v>11</v>
      </c>
    </row>
    <row r="12" spans="1:27" ht="23.25" customHeight="1" x14ac:dyDescent="0.25">
      <c r="B12" s="35"/>
      <c r="C12" s="35"/>
      <c r="D12" s="35"/>
      <c r="E12" s="36"/>
      <c r="F12" s="29"/>
      <c r="G12" s="29"/>
      <c r="H12" s="29"/>
      <c r="I12" s="29"/>
      <c r="J12" s="29"/>
      <c r="K12" s="29"/>
      <c r="L12" s="29"/>
      <c r="M12" s="28" t="s">
        <v>30</v>
      </c>
      <c r="N12" s="28" t="s">
        <v>29</v>
      </c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spans="1:27" ht="9.75" customHeight="1" x14ac:dyDescent="0.25">
      <c r="B13" s="35"/>
      <c r="C13" s="35"/>
      <c r="D13" s="35"/>
      <c r="E13" s="36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ht="36" hidden="1" customHeight="1" x14ac:dyDescent="0.25">
      <c r="G14">
        <v>1</v>
      </c>
      <c r="H14">
        <v>2</v>
      </c>
      <c r="I14">
        <v>3</v>
      </c>
      <c r="K14">
        <v>5</v>
      </c>
      <c r="O14">
        <v>12</v>
      </c>
      <c r="P14">
        <v>22</v>
      </c>
      <c r="R14">
        <v>24</v>
      </c>
      <c r="AA14">
        <v>26</v>
      </c>
    </row>
    <row r="15" spans="1:27" x14ac:dyDescent="0.25">
      <c r="F15" s="14"/>
      <c r="G15" s="14"/>
      <c r="H15" s="14"/>
      <c r="I15" s="14"/>
      <c r="J15" s="14"/>
      <c r="K15" s="14"/>
      <c r="L15" s="14"/>
      <c r="M15" s="14">
        <f>INT((L15-K15)/365)</f>
        <v>0</v>
      </c>
      <c r="N15" s="14">
        <f>((L15-K15)/365-M15)*12</f>
        <v>0</v>
      </c>
      <c r="O15" s="4"/>
      <c r="P15" s="4">
        <f>IF(M15&lt;1,IF(N15&lt;3,100000,0)+IF(AND(N15&gt;=3,N15&lt;6),300000,0)+IF(AND(N15&gt;=6,N15&lt;12),N15*O15/12/2,0),O15/2)</f>
        <v>100000</v>
      </c>
      <c r="Q15" s="4"/>
      <c r="R15" s="4"/>
      <c r="S15" s="4">
        <f>IF(Q15&lt;1,0,IF(Q15&lt;=10,P15*Q15/10,P15))+IF(R15&lt;1,0,IF(R15&lt;=10,P15*R15*20%,P15))</f>
        <v>0</v>
      </c>
      <c r="T15" s="4">
        <f>ROUND(P15-S15,3)</f>
        <v>100000</v>
      </c>
      <c r="U15" s="4"/>
      <c r="V15" s="4">
        <f>MIN(T15+U15,0)</f>
        <v>0</v>
      </c>
      <c r="W15" s="4"/>
      <c r="X15" s="4">
        <f>ROUND(IF(AND(V15="",V15&gt;=2000000),V15*10%,(IF(V15&lt;=5000000,V15*5%,IF(V15&lt;=10000000,(V15-5000000)*10%+250000,IF(V15&lt;=18000000,(V15-10000000)*15%+750000,IF(V15&lt;=32000000,(V15-18000000)*20%+1950000,IF(V15&lt;=52000000,(V15-32000000)*25%+4750000,IF(V15&lt;=80000000,(V15-52000000)*30%+9750000,(V15-80000000)*35%+18150000)))))))),0)-W15</f>
        <v>0</v>
      </c>
      <c r="Y15" s="4">
        <f>ROUND((T15-X15),3)</f>
        <v>100000</v>
      </c>
      <c r="Z15" s="4">
        <f>IF(AA15="ATM",Y15,CEILING(Y15,0.5))</f>
        <v>100000</v>
      </c>
      <c r="AA15" s="14" t="str">
        <f>IF(J15&gt;=1,"ATM","")</f>
        <v/>
      </c>
    </row>
    <row r="23" spans="6:26" x14ac:dyDescent="0.25">
      <c r="F23" s="25" t="s">
        <v>12</v>
      </c>
      <c r="G23" s="25"/>
      <c r="H23" s="25"/>
      <c r="I23" s="15"/>
      <c r="J23" s="26" t="s">
        <v>50</v>
      </c>
      <c r="K23" s="26"/>
      <c r="L23" s="26"/>
      <c r="M23" s="26"/>
      <c r="N23" s="16"/>
      <c r="O23" s="16"/>
      <c r="P23" s="3"/>
      <c r="Q23" s="3"/>
      <c r="R23" s="24" t="s">
        <v>13</v>
      </c>
      <c r="S23" s="24"/>
      <c r="T23" s="24"/>
      <c r="U23" s="24"/>
      <c r="V23" s="24"/>
      <c r="W23" s="24"/>
      <c r="X23" s="24"/>
      <c r="Y23" s="24"/>
      <c r="Z23" s="24"/>
    </row>
    <row r="24" spans="6:26" x14ac:dyDescent="0.25">
      <c r="F24" s="25" t="s">
        <v>14</v>
      </c>
      <c r="G24" s="25"/>
      <c r="H24" s="25"/>
      <c r="I24" s="15"/>
      <c r="J24" s="26" t="s">
        <v>15</v>
      </c>
      <c r="K24" s="26"/>
      <c r="L24" s="26"/>
      <c r="M24" s="26"/>
      <c r="N24" s="24" t="s">
        <v>16</v>
      </c>
      <c r="O24" s="24"/>
      <c r="P24" s="24"/>
      <c r="Q24" s="24"/>
      <c r="R24" s="24" t="s">
        <v>17</v>
      </c>
      <c r="S24" s="24"/>
      <c r="T24" s="24"/>
      <c r="U24" s="24"/>
      <c r="V24" s="24"/>
      <c r="W24" s="24"/>
      <c r="X24" s="24"/>
      <c r="Y24" s="24"/>
      <c r="Z24" s="24"/>
    </row>
    <row r="25" spans="6:26" x14ac:dyDescent="0.25">
      <c r="F25" s="17"/>
      <c r="G25" s="15"/>
      <c r="H25" s="18"/>
      <c r="I25" s="18"/>
      <c r="J25" s="19"/>
      <c r="K25" s="19"/>
      <c r="L25" s="19"/>
      <c r="M25" s="19"/>
      <c r="N25" s="20"/>
      <c r="O25" s="21"/>
      <c r="P25" s="21"/>
      <c r="Q25" s="21"/>
      <c r="R25" s="21"/>
      <c r="S25" s="21"/>
      <c r="T25" s="24"/>
      <c r="U25" s="24"/>
      <c r="V25" s="24"/>
      <c r="W25" s="24"/>
      <c r="X25" s="24"/>
      <c r="Y25" s="24"/>
      <c r="Z25" s="24"/>
    </row>
    <row r="26" spans="6:26" x14ac:dyDescent="0.25">
      <c r="F26" s="17"/>
      <c r="G26" s="15"/>
      <c r="H26" s="18"/>
      <c r="I26" s="18"/>
      <c r="J26" s="19"/>
      <c r="K26" s="19"/>
      <c r="L26" s="19"/>
      <c r="M26" s="19"/>
      <c r="N26" s="20"/>
      <c r="O26" s="21"/>
      <c r="P26" s="21"/>
      <c r="Q26" s="21"/>
      <c r="R26" s="21"/>
      <c r="S26" s="21"/>
      <c r="T26" s="21"/>
      <c r="U26" s="21"/>
      <c r="V26" s="21"/>
      <c r="W26" s="21"/>
      <c r="X26" s="22"/>
      <c r="Y26" s="23"/>
      <c r="Z26" s="23"/>
    </row>
    <row r="27" spans="6:26" x14ac:dyDescent="0.25">
      <c r="F27" s="17"/>
      <c r="G27" s="15"/>
      <c r="H27" s="18"/>
      <c r="I27" s="18"/>
      <c r="J27" s="19"/>
      <c r="K27" s="19"/>
      <c r="L27" s="19"/>
      <c r="M27" s="19"/>
      <c r="N27" s="20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3"/>
      <c r="Z27" s="23"/>
    </row>
    <row r="28" spans="6:26" x14ac:dyDescent="0.25">
      <c r="F28" s="17"/>
      <c r="G28" s="15"/>
      <c r="H28" s="18"/>
      <c r="I28" s="18"/>
      <c r="J28" s="19"/>
      <c r="K28" s="19"/>
      <c r="L28" s="19"/>
      <c r="M28" s="19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3"/>
      <c r="Z28" s="23"/>
    </row>
    <row r="29" spans="6:26" x14ac:dyDescent="0.25">
      <c r="F29" s="25" t="s">
        <v>51</v>
      </c>
      <c r="G29" s="25"/>
      <c r="H29" s="25"/>
      <c r="I29" s="15"/>
      <c r="J29" s="26" t="s">
        <v>52</v>
      </c>
      <c r="K29" s="26"/>
      <c r="L29" s="26"/>
      <c r="M29" s="26"/>
      <c r="N29" s="27" t="s">
        <v>18</v>
      </c>
      <c r="O29" s="27"/>
      <c r="P29" s="27"/>
      <c r="Q29" s="27"/>
      <c r="R29" s="27" t="s">
        <v>19</v>
      </c>
      <c r="S29" s="27"/>
      <c r="T29" s="27"/>
      <c r="U29" s="27"/>
      <c r="V29" s="27"/>
      <c r="W29" s="27"/>
      <c r="X29" s="27"/>
      <c r="Y29" s="27"/>
      <c r="Z29" s="27"/>
    </row>
  </sheetData>
  <mergeCells count="41">
    <mergeCell ref="L11:L13"/>
    <mergeCell ref="B11:B13"/>
    <mergeCell ref="C11:C13"/>
    <mergeCell ref="D11:D13"/>
    <mergeCell ref="E11:E13"/>
    <mergeCell ref="F11:F13"/>
    <mergeCell ref="F3:AA3"/>
    <mergeCell ref="F4:AA4"/>
    <mergeCell ref="S11:S13"/>
    <mergeCell ref="T11:T13"/>
    <mergeCell ref="X11:X13"/>
    <mergeCell ref="Y11:Y13"/>
    <mergeCell ref="Q11:Q13"/>
    <mergeCell ref="N12:N13"/>
    <mergeCell ref="M12:M13"/>
    <mergeCell ref="M11:N11"/>
    <mergeCell ref="O11:O13"/>
    <mergeCell ref="G11:G13"/>
    <mergeCell ref="H11:H13"/>
    <mergeCell ref="I11:I13"/>
    <mergeCell ref="J11:J13"/>
    <mergeCell ref="K11:K13"/>
    <mergeCell ref="AA11:AA13"/>
    <mergeCell ref="R11:R13"/>
    <mergeCell ref="P11:P13"/>
    <mergeCell ref="U11:U13"/>
    <mergeCell ref="V11:V13"/>
    <mergeCell ref="W11:W13"/>
    <mergeCell ref="Z11:Z13"/>
    <mergeCell ref="F23:H23"/>
    <mergeCell ref="J23:M23"/>
    <mergeCell ref="R23:Z23"/>
    <mergeCell ref="F24:H24"/>
    <mergeCell ref="J24:M24"/>
    <mergeCell ref="N24:Q24"/>
    <mergeCell ref="R24:Z24"/>
    <mergeCell ref="T25:Z25"/>
    <mergeCell ref="F29:H29"/>
    <mergeCell ref="J29:M29"/>
    <mergeCell ref="N29:Q29"/>
    <mergeCell ref="R29:Z29"/>
  </mergeCells>
  <conditionalFormatting sqref="O25:O28">
    <cfRule type="cellIs" dxfId="0" priority="1" operator="greaterThan">
      <formula>71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2020-02-13T18:24:24Z</dcterms:created>
  <dcterms:modified xsi:type="dcterms:W3CDTF">2020-05-18T08:05:59Z</dcterms:modified>
</cp:coreProperties>
</file>