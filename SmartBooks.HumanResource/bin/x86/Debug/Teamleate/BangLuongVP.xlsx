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0F1D0139-1417-4488-9CD8-1AF22BFC0C29}" xr6:coauthVersionLast="45" xr6:coauthVersionMax="45" xr10:uidLastSave="{00000000-0000-0000-0000-000000000000}"/>
  <bookViews>
    <workbookView xWindow="20370" yWindow="-120" windowWidth="29040" windowHeight="16440" xr2:uid="{7351C400-4D27-40D0-84B7-D9336034E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3" i="1"/>
  <c r="Q15" i="1" l="1"/>
  <c r="AV15" i="1"/>
  <c r="R15" i="1" l="1"/>
  <c r="AC15" i="1" l="1"/>
  <c r="AZ15" i="1" s="1"/>
  <c r="AB15" i="1"/>
  <c r="AY15" i="1" s="1"/>
  <c r="AF15" i="1"/>
  <c r="BC15" i="1" s="1"/>
  <c r="AE15" i="1"/>
  <c r="BB15" i="1" s="1"/>
  <c r="X15" i="1"/>
  <c r="O15" i="1"/>
  <c r="AD15" i="1"/>
  <c r="BA15" i="1" s="1"/>
  <c r="AA15" i="1"/>
  <c r="AX15" i="1" s="1"/>
  <c r="Z15" i="1"/>
  <c r="AW15" i="1" s="1"/>
  <c r="Y15" i="1"/>
  <c r="AU15" i="1" s="1"/>
  <c r="U15" i="1"/>
  <c r="T15" i="1"/>
  <c r="S15" i="1"/>
  <c r="AO15" i="1" l="1"/>
  <c r="V15" i="1"/>
  <c r="BG15" i="1" l="1"/>
  <c r="BF15" i="1"/>
  <c r="BE15" i="1"/>
  <c r="W15" i="1"/>
  <c r="AQ15" i="1" l="1"/>
  <c r="AH15" i="1"/>
  <c r="AG15" i="1"/>
  <c r="BH15" i="1"/>
  <c r="BI15" i="1"/>
  <c r="AM15" i="1"/>
  <c r="AI15" i="1"/>
  <c r="AN15" i="1"/>
  <c r="AJ15" i="1"/>
  <c r="AK15" i="1"/>
  <c r="AL15" i="1"/>
  <c r="BL15" i="1" l="1"/>
  <c r="BM15" i="1" s="1"/>
  <c r="AS15" i="1"/>
  <c r="BD15" i="1" s="1"/>
  <c r="BN15" i="1" l="1"/>
  <c r="BO15" i="1" s="1"/>
  <c r="BQ15" i="1" l="1"/>
  <c r="BR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V12" authorId="0" shapeId="0" xr:uid="{DA2145ED-64B4-4DD8-8B79-DA4F46647F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công thực tế đi làm + nghỉ hưởng lương - phép năm</t>
        </r>
      </text>
    </comment>
    <comment ref="W12" authorId="0" shapeId="0" xr:uid="{4C094763-26E6-4DB8-B16A-524A3BC512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Công tiêu chuẩn - (thực tế đi làm + nghỉ hưởng lương - phép năm)</t>
        </r>
      </text>
    </comment>
    <comment ref="Y12" authorId="0" shapeId="0" xr:uid="{C922413E-F33D-4C90-B852-7AE1159DC5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Phép năn</t>
        </r>
      </text>
    </comment>
    <comment ref="AR12" authorId="0" shapeId="0" xr:uid="{A6276855-A213-423A-B485-98809576CA8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PC PCCC</t>
        </r>
      </text>
    </comment>
  </commentList>
</comments>
</file>

<file path=xl/sharedStrings.xml><?xml version="1.0" encoding="utf-8"?>
<sst xmlns="http://schemas.openxmlformats.org/spreadsheetml/2006/main" count="244" uniqueCount="216">
  <si>
    <t>No.</t>
  </si>
  <si>
    <t>Mã NV
사번</t>
  </si>
  <si>
    <t>Họ tên
이름</t>
  </si>
  <si>
    <t>Vị trí
작업위치</t>
  </si>
  <si>
    <t>Ngày bắt đầu làm việc
출근 시작일자</t>
  </si>
  <si>
    <t>Lương theo Công việc hoặc chức danh/ 총급여:</t>
  </si>
  <si>
    <t>Phụ cấp trách nhiệm/ 직급수당:</t>
  </si>
  <si>
    <t>Phụ cấp tư thế/ 작업 방식 수당( 서서  일하는 작업 방식):</t>
  </si>
  <si>
    <t>Phụ cấp thâm niên</t>
  </si>
  <si>
    <t>Trợ cấp nhà ở/ 주택 수당:</t>
  </si>
  <si>
    <t>Trợ cấp
Đồng Phục
유니폼 수당</t>
  </si>
  <si>
    <t>Trợ cấp điện thoại/ 전화수당:</t>
  </si>
  <si>
    <t>Trợ cấp đi lại/ 통근수당:</t>
  </si>
  <si>
    <t xml:space="preserve"> Trợ câp chuyên cần/만근수당:</t>
  </si>
  <si>
    <t>Tổng lương
총급여</t>
  </si>
  <si>
    <t>Số giờ được hưởng lương trong tháng
근무 시간(월)</t>
  </si>
  <si>
    <t>Số ngày được hưởng lương trong tháng
월당 근무일</t>
  </si>
  <si>
    <t>Ngày nghỉ việc riêng có hưởng lương
제도휴일</t>
  </si>
  <si>
    <t xml:space="preserve">Tổng số ngày được hưởng lương
급여 수령 공수
</t>
  </si>
  <si>
    <t>Số ngày không được hưởng lương trong tháng
근무 아하는 일</t>
  </si>
  <si>
    <t>Ngày phép đã nghỉ trong tháng
연차</t>
  </si>
  <si>
    <t>Số giờ làm thêm ban ngày 150%
주간 잔업 시간</t>
  </si>
  <si>
    <t>Số giờ làm thêm ngày nghỉ  200% O/T 시간</t>
  </si>
  <si>
    <t>Số giờ làm thêm Ban đêm 200%
야간 잔업 시간</t>
  </si>
  <si>
    <t>Số giờ làm thêm Ban đêm CN  270%
야간 잔업 시간</t>
  </si>
  <si>
    <t xml:space="preserve">Số giờ phụ cấp ca đêm  30%
야간 수당 </t>
  </si>
  <si>
    <t>Mức lương theo công việc thực nhận
실제수령급여</t>
  </si>
  <si>
    <t>Phụ cấp Trách nhiệm thực nhận
실제수령직급수당</t>
  </si>
  <si>
    <t xml:space="preserve">Phụ cấp
Tư thế thực nhận
실제수령작업방식수당  </t>
  </si>
  <si>
    <t xml:space="preserve">Phụ cấp
thâm niên thực nhận
실제수령작업방식수당  </t>
  </si>
  <si>
    <t>Trợ cấp
 Nhà ở thực nhận
실제수령주택수당</t>
  </si>
  <si>
    <t>Trợ cấp
Đồng Phục thực nhận
유니폼 수당</t>
  </si>
  <si>
    <t>Trợ cấp Điện thoại thực nhận
실제수령전화수당</t>
  </si>
  <si>
    <t>Trợ cấp
 Đi lại thực nhận
실제수령통근수당</t>
  </si>
  <si>
    <t>Trợ cấp
Chuyên cần thực nhận
실제수령만근수당</t>
  </si>
  <si>
    <t>Cộng khác</t>
  </si>
  <si>
    <t>Lương và phụ cấp
Thực nhận
실제수령 급여 및 수당</t>
  </si>
  <si>
    <t xml:space="preserve">Lương ngày phép
연차급여
</t>
  </si>
  <si>
    <t>Thanh toán phép năm công nhân nghỉ việc
퇴사 작업자 연차 지불</t>
  </si>
  <si>
    <t>Lương làm thêm ban ngày 150%
주간잔업급여</t>
  </si>
  <si>
    <t>Lương làm thêm ngày nghỉ  200% (CN)
휴일 잔업급여</t>
  </si>
  <si>
    <t>Lương giờ làm thêm vào ca đên 200%
야간 잔업급여</t>
  </si>
  <si>
    <t>Lương giờ làm thêm vào ca đên CN  270%
야간 잔업급여</t>
  </si>
  <si>
    <t>Lương giờ làm ca đêm 30%
야간 급여 30%</t>
  </si>
  <si>
    <t xml:space="preserve">Tổng
Total </t>
  </si>
  <si>
    <t>Trích nộp các loại bảo hiểm
보험류 가입</t>
  </si>
  <si>
    <t>Đoàn phí công đoàn</t>
  </si>
  <si>
    <t>Trích nộp thuế TNCN
PIT deduction</t>
  </si>
  <si>
    <t>BHXH
8%
사회보험</t>
  </si>
  <si>
    <t xml:space="preserve">BHYT
1.5%
의료보험
</t>
  </si>
  <si>
    <t>BHTN
1%
실업보험</t>
  </si>
  <si>
    <t>Tổng cộng
total</t>
  </si>
  <si>
    <t>Người phụ thuộc
부양사람</t>
  </si>
  <si>
    <t>Bản thân
본인</t>
  </si>
  <si>
    <t>Các khoản được miễm
면제 항목</t>
  </si>
  <si>
    <t>Tổng thu nhập giảm trừ thuế TNCN
소득세 징수 총소득</t>
  </si>
  <si>
    <t>Thu nhập chịu thuế
세금부담</t>
  </si>
  <si>
    <t>Thuế TNCN phải nộp
개인 소득세</t>
  </si>
  <si>
    <t xml:space="preserve">Tổng cộng các khoản phải trừ
공제 총항목
</t>
  </si>
  <si>
    <t>Người lao động thực lĩnh
영수급여</t>
  </si>
  <si>
    <t>CÔNG TY TNHH CAP GLOBAL</t>
  </si>
  <si>
    <t>MST: 5400504931</t>
  </si>
  <si>
    <t>Add: KCN Lương Sơn - xã Hoà Sơn - Lương sơn - Hoà Bình</t>
  </si>
  <si>
    <t>Employee_ID</t>
  </si>
  <si>
    <t>FullName</t>
  </si>
  <si>
    <t>PositionFullName</t>
  </si>
  <si>
    <t>StartedDate</t>
  </si>
  <si>
    <t>CD1</t>
  </si>
  <si>
    <t>CD2</t>
  </si>
  <si>
    <t>CD5</t>
  </si>
  <si>
    <t>Trợ cấp thời tiết</t>
  </si>
  <si>
    <t>Số ngày nghỉ lễ
공휴일</t>
  </si>
  <si>
    <t>Số ngày ngừng việc được hưởng lương
급여수령 휴무일</t>
  </si>
  <si>
    <t>Số giờ làm thêm 300%
O/T 시간</t>
  </si>
  <si>
    <t>Trợ cấp thời tiết thực nhận</t>
  </si>
  <si>
    <t xml:space="preserve">Lương ngày nghỉ ngừng việc
급여휴무
</t>
  </si>
  <si>
    <t>Lương tăng ca 300%
잔업급여</t>
  </si>
  <si>
    <t xml:space="preserve">Cộng  khác
</t>
  </si>
  <si>
    <t>CD6</t>
  </si>
  <si>
    <t>CD7</t>
  </si>
  <si>
    <t>CD8</t>
  </si>
  <si>
    <t>CD9</t>
  </si>
  <si>
    <t>thc_wt1</t>
  </si>
  <si>
    <t>thc_wt3</t>
  </si>
  <si>
    <t>thc_wt4</t>
  </si>
  <si>
    <t>thc_wt7</t>
  </si>
  <si>
    <t>thc_wt9</t>
  </si>
  <si>
    <t>ctv_wt1</t>
  </si>
  <si>
    <t>ctv_wt3</t>
  </si>
  <si>
    <t>ctv_wt4</t>
  </si>
  <si>
    <t>ctv_wt7</t>
  </si>
  <si>
    <t>ctv_wt9</t>
  </si>
  <si>
    <t>Tổng</t>
  </si>
  <si>
    <t>Tổng Overtime/ Giờ tăng ca</t>
  </si>
  <si>
    <t>Thử việc</t>
  </si>
  <si>
    <t>Thử việc Overtime/ Giờ tăng ca</t>
  </si>
  <si>
    <t>Giờ hành chính</t>
  </si>
  <si>
    <t>Normal OT 150%</t>
  </si>
  <si>
    <t>Sun work 200%</t>
  </si>
  <si>
    <t>Hol. work 300%</t>
  </si>
  <si>
    <t>Night work 130%</t>
  </si>
  <si>
    <t>TC bình thường</t>
  </si>
  <si>
    <t>TC chủ nhật</t>
  </si>
  <si>
    <t>TC ngày lễ</t>
  </si>
  <si>
    <t>TC đêm</t>
  </si>
  <si>
    <t>thamnien</t>
  </si>
  <si>
    <t>thp_PhepHuongLuong</t>
  </si>
  <si>
    <t>Phép nghỉ hưởng lương</t>
  </si>
  <si>
    <t>PHÉP</t>
  </si>
  <si>
    <t>ptv_PhepHuongLuong</t>
  </si>
  <si>
    <t>Nghỉ lễ</t>
  </si>
  <si>
    <t>thp_NghiLe</t>
  </si>
  <si>
    <t>ptv_NghiLe</t>
  </si>
  <si>
    <t>Phép năm</t>
  </si>
  <si>
    <t>ptv_PhepNam</t>
  </si>
  <si>
    <t>thp_PhepNam</t>
  </si>
  <si>
    <t>Night OT 200%</t>
  </si>
  <si>
    <t>Tăng ca đêm</t>
  </si>
  <si>
    <t>thc_wt5</t>
  </si>
  <si>
    <t>ctv_wt5</t>
  </si>
  <si>
    <t>thp_NgungViec</t>
  </si>
  <si>
    <t>Nghỉ ngừng việc</t>
  </si>
  <si>
    <t>ptv_NgungViec</t>
  </si>
  <si>
    <t>NgayCongTieuChuan</t>
  </si>
  <si>
    <t>Ngày công tiêu chuẩn</t>
  </si>
  <si>
    <t>ctv_wt6</t>
  </si>
  <si>
    <t>Night Sun 270%</t>
  </si>
  <si>
    <t>TC đêm chủ nhật</t>
  </si>
  <si>
    <t>ctv_wt8</t>
  </si>
  <si>
    <t>Night Hol 390%</t>
  </si>
  <si>
    <t>TC đêm ngày lễ</t>
  </si>
  <si>
    <t>thc_wt6</t>
  </si>
  <si>
    <t>thc_wt8</t>
  </si>
  <si>
    <t>Số giờ làm thêm 390%
O/T 시간</t>
  </si>
  <si>
    <t>Lương tăng ca 390%
잔업급여</t>
  </si>
  <si>
    <t>Đăng ký đóng / không đóng BHXH</t>
  </si>
  <si>
    <t>Đăng ký đóng / không đóng BHTN</t>
  </si>
  <si>
    <t>Đăng ký đóng / không đóng Y TẾ</t>
  </si>
  <si>
    <t>Đăng ký đóng / không đóng CÔNG ĐOÀN</t>
  </si>
  <si>
    <t>SocialInsurance</t>
  </si>
  <si>
    <t>UnemploymentInsurance</t>
  </si>
  <si>
    <t>HealthInsurance</t>
  </si>
  <si>
    <t>UnionFee</t>
  </si>
  <si>
    <t>PhepNamConLai</t>
  </si>
  <si>
    <t>Phép năm còn lại</t>
  </si>
  <si>
    <t>s1</t>
  </si>
  <si>
    <t>s2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</si>
  <si>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</si>
  <si>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</si>
  <si>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</si>
  <si>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</si>
  <si>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</si>
  <si>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</si>
  <si>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</si>
  <si>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</si>
  <si>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</si>
  <si>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</si>
  <si>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</si>
  <si>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</si>
  <si>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</si>
  <si>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</si>
  <si>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</si>
  <si>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</si>
  <si>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</si>
  <si>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</si>
  <si>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</si>
  <si>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</si>
  <si>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</si>
  <si>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</si>
  <si>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</si>
  <si>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</si>
  <si>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</si>
  <si>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</si>
  <si>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s33</t>
  </si>
  <si>
    <t>s34</t>
  </si>
  <si>
    <t>s35</t>
  </si>
  <si>
    <t>s36</t>
  </si>
  <si>
    <t>s37</t>
  </si>
  <si>
    <t>s38</t>
  </si>
  <si>
    <t>s39</t>
  </si>
  <si>
    <t>s40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</si>
  <si>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</si>
  <si>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</si>
  <si>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</si>
  <si>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</si>
  <si>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</si>
  <si>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</si>
  <si>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</si>
  <si>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</si>
  <si>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</si>
  <si>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</si>
  <si>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</si>
  <si>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</si>
  <si>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</si>
  <si>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</si>
  <si>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</si>
  <si>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</si>
  <si>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</si>
  <si>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</si>
  <si>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</si>
  <si>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</si>
  <si>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</si>
  <si>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</si>
  <si>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</si>
  <si>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</si>
  <si>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</si>
  <si>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</si>
  <si>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</si>
  <si>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key</t>
  </si>
  <si>
    <t>Salary_Month</t>
  </si>
  <si>
    <t>Salary_Year</t>
  </si>
  <si>
    <t>SalaryKey</t>
  </si>
  <si>
    <t>No</t>
  </si>
  <si>
    <t>CD10</t>
  </si>
  <si>
    <t>Phụ cấp PCCC</t>
  </si>
  <si>
    <t>s69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</si>
</sst>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b/>
      <sz val="1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name val="Times New Roman"/>
      <family val="1"/>
      <charset val="16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thick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</cellStyleXfs>
  <cellXfs count="119">
    <xf numFmtId="0" fontId="0" fillId="0" borderId="0" xfId="0"/>
    <xf numFmtId="0" fontId="9" fillId="0" borderId="0" xfId="0" applyFont="1"/>
    <xf numFmtId="0" fontId="10" fillId="0" borderId="0" xfId="0" applyFont="1"/>
    <xf numFmtId="0" fontId="12" fillId="0" borderId="0" xfId="0" applyFont="1"/>
    <xf numFmtId="165" fontId="0" fillId="0" borderId="0" xfId="1" applyNumberFormat="1" applyFont="1"/>
    <xf numFmtId="165" fontId="16" fillId="0" borderId="8" xfId="1" applyNumberFormat="1" applyFont="1" applyBorder="1" applyAlignment="1">
      <alignment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 vertical="center" wrapText="1"/>
    </xf>
    <xf numFmtId="165" fontId="17" fillId="0" borderId="8" xfId="1" applyNumberFormat="1" applyFont="1" applyBorder="1" applyAlignment="1">
      <alignment vertical="center" wrapText="1"/>
    </xf>
    <xf numFmtId="164" fontId="0" fillId="0" borderId="0" xfId="1" applyNumberFormat="1" applyFont="1"/>
    <xf numFmtId="164" fontId="0" fillId="0" borderId="0" xfId="1" applyNumberFormat="1" applyFont="1" applyFill="1"/>
    <xf numFmtId="164" fontId="9" fillId="0" borderId="0" xfId="1" applyNumberFormat="1" applyFont="1"/>
    <xf numFmtId="164" fontId="8" fillId="0" borderId="3" xfId="1" applyNumberFormat="1" applyFon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0" fontId="0" fillId="0" borderId="0" xfId="1" applyNumberFormat="1" applyFont="1" applyFill="1"/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3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 wrapText="1"/>
    </xf>
    <xf numFmtId="165" fontId="3" fillId="0" borderId="0" xfId="1" applyNumberFormat="1" applyFont="1" applyBorder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164" fontId="5" fillId="3" borderId="0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164" fontId="5" fillId="5" borderId="0" xfId="1" applyNumberFormat="1" applyFont="1" applyFill="1" applyBorder="1" applyAlignment="1">
      <alignment horizontal="center" vertical="center" wrapText="1"/>
    </xf>
    <xf numFmtId="165" fontId="16" fillId="0" borderId="0" xfId="1" applyNumberFormat="1" applyFont="1" applyBorder="1" applyAlignment="1">
      <alignment horizontal="center" vertical="center" wrapText="1"/>
    </xf>
    <xf numFmtId="165" fontId="17" fillId="0" borderId="0" xfId="1" applyNumberFormat="1" applyFont="1" applyBorder="1" applyAlignment="1">
      <alignment vertical="center" wrapText="1"/>
    </xf>
    <xf numFmtId="165" fontId="17" fillId="0" borderId="0" xfId="1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 shrinkToFit="1"/>
    </xf>
    <xf numFmtId="0" fontId="0" fillId="0" borderId="16" xfId="0" applyBorder="1"/>
    <xf numFmtId="164" fontId="0" fillId="0" borderId="16" xfId="1" applyNumberFormat="1" applyFont="1" applyBorder="1"/>
    <xf numFmtId="164" fontId="0" fillId="0" borderId="16" xfId="1" applyNumberFormat="1" applyFont="1" applyFill="1" applyBorder="1"/>
    <xf numFmtId="165" fontId="0" fillId="0" borderId="16" xfId="1" applyNumberFormat="1" applyFont="1" applyBorder="1"/>
    <xf numFmtId="164" fontId="5" fillId="0" borderId="3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 shrinkToFit="1"/>
    </xf>
    <xf numFmtId="0" fontId="16" fillId="0" borderId="14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165" fontId="17" fillId="0" borderId="11" xfId="1" applyNumberFormat="1" applyFont="1" applyBorder="1" applyAlignment="1">
      <alignment horizontal="center" vertical="center" wrapText="1"/>
    </xf>
    <xf numFmtId="165" fontId="17" fillId="0" borderId="12" xfId="1" applyNumberFormat="1" applyFont="1" applyBorder="1" applyAlignment="1">
      <alignment horizontal="center" vertical="center" wrapText="1"/>
    </xf>
    <xf numFmtId="165" fontId="17" fillId="0" borderId="10" xfId="1" applyNumberFormat="1" applyFont="1" applyBorder="1" applyAlignment="1">
      <alignment horizontal="center" vertical="center" wrapText="1"/>
    </xf>
    <xf numFmtId="165" fontId="17" fillId="0" borderId="8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164" fontId="6" fillId="0" borderId="3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/>
      <protection locked="0"/>
    </xf>
    <xf numFmtId="0" fontId="3" fillId="0" borderId="3" xfId="3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165" fontId="7" fillId="0" borderId="3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165" fontId="3" fillId="0" borderId="7" xfId="1" applyNumberFormat="1" applyFont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 wrapText="1"/>
    </xf>
    <xf numFmtId="164" fontId="5" fillId="0" borderId="17" xfId="1" applyNumberFormat="1" applyFont="1" applyFill="1" applyBorder="1" applyAlignment="1">
      <alignment horizontal="center" vertical="center" wrapText="1"/>
    </xf>
    <xf numFmtId="164" fontId="5" fillId="0" borderId="18" xfId="1" applyNumberFormat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 vertical="center" wrapText="1"/>
    </xf>
    <xf numFmtId="165" fontId="16" fillId="0" borderId="8" xfId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164" fontId="14" fillId="0" borderId="0" xfId="1" applyNumberFormat="1" applyFont="1" applyAlignment="1">
      <alignment horizontal="center"/>
    </xf>
    <xf numFmtId="164" fontId="3" fillId="2" borderId="2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5" borderId="2" xfId="1" applyNumberFormat="1" applyFont="1" applyFill="1" applyBorder="1" applyAlignment="1">
      <alignment horizontal="center" vertical="center" wrapText="1"/>
    </xf>
    <xf numFmtId="164" fontId="5" fillId="5" borderId="3" xfId="1" applyNumberFormat="1" applyFont="1" applyFill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 wrapText="1"/>
    </xf>
    <xf numFmtId="164" fontId="5" fillId="0" borderId="19" xfId="1" applyNumberFormat="1" applyFont="1" applyFill="1" applyBorder="1" applyAlignment="1">
      <alignment horizontal="center" vertical="center" wrapText="1"/>
    </xf>
    <xf numFmtId="164" fontId="5" fillId="0" borderId="20" xfId="1" applyNumberFormat="1" applyFont="1" applyFill="1" applyBorder="1" applyAlignment="1">
      <alignment horizontal="center" vertical="center" wrapText="1"/>
    </xf>
    <xf numFmtId="164" fontId="0" fillId="0" borderId="21" xfId="1" applyNumberFormat="1" applyFont="1" applyBorder="1"/>
    <xf numFmtId="165" fontId="5" fillId="0" borderId="19" xfId="1" applyNumberFormat="1" applyFont="1" applyBorder="1" applyAlignment="1">
      <alignment horizontal="center" vertical="center" wrapText="1"/>
    </xf>
    <xf numFmtId="165" fontId="5" fillId="0" borderId="20" xfId="1" applyNumberFormat="1" applyFont="1" applyBorder="1" applyAlignment="1">
      <alignment horizontal="center" vertical="center" wrapText="1"/>
    </xf>
    <xf numFmtId="165" fontId="0" fillId="0" borderId="21" xfId="1" applyNumberFormat="1" applyFont="1" applyBorder="1"/>
    <xf numFmtId="1" fontId="3" fillId="0" borderId="1" xfId="2" applyNumberFormat="1" applyFont="1" applyBorder="1" applyAlignment="1" applyProtection="1">
      <alignment horizontal="center" vertical="center" wrapText="1"/>
      <protection locked="0"/>
    </xf>
    <xf numFmtId="0" fontId="3" fillId="0" borderId="2" xfId="2" applyFont="1" applyBorder="1" applyAlignment="1" applyProtection="1">
      <alignment horizontal="center" vertical="center" wrapText="1"/>
      <protection locked="0"/>
    </xf>
    <xf numFmtId="0" fontId="3" fillId="0" borderId="2" xfId="3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" fontId="3" fillId="0" borderId="5" xfId="2" applyNumberFormat="1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>
      <alignment horizontal="center" vertical="center" wrapText="1"/>
    </xf>
    <xf numFmtId="1" fontId="3" fillId="0" borderId="22" xfId="2" applyNumberFormat="1" applyFont="1" applyBorder="1" applyAlignment="1" applyProtection="1">
      <alignment horizontal="center" vertical="center"/>
      <protection locked="0"/>
    </xf>
    <xf numFmtId="14" fontId="5" fillId="0" borderId="23" xfId="0" applyNumberFormat="1" applyFont="1" applyBorder="1" applyAlignment="1">
      <alignment horizontal="center" vertical="center" wrapText="1"/>
    </xf>
    <xf numFmtId="0" fontId="0" fillId="0" borderId="24" xfId="0" applyBorder="1"/>
    <xf numFmtId="14" fontId="0" fillId="0" borderId="25" xfId="0" applyNumberFormat="1" applyBorder="1"/>
    <xf numFmtId="164" fontId="5" fillId="0" borderId="23" xfId="1" applyNumberFormat="1" applyFont="1" applyBorder="1" applyAlignment="1">
      <alignment horizontal="center" vertical="center" wrapText="1"/>
    </xf>
    <xf numFmtId="164" fontId="0" fillId="0" borderId="25" xfId="1" applyNumberFormat="1" applyFont="1" applyBorder="1"/>
    <xf numFmtId="165" fontId="3" fillId="0" borderId="23" xfId="1" applyNumberFormat="1" applyFont="1" applyBorder="1" applyAlignment="1">
      <alignment horizontal="center" vertical="center" wrapText="1"/>
    </xf>
    <xf numFmtId="165" fontId="0" fillId="0" borderId="25" xfId="1" applyNumberFormat="1" applyFont="1" applyBorder="1"/>
    <xf numFmtId="164" fontId="5" fillId="0" borderId="19" xfId="1" applyNumberFormat="1" applyFont="1" applyBorder="1" applyAlignment="1">
      <alignment horizontal="center" vertical="center" wrapText="1"/>
    </xf>
    <xf numFmtId="164" fontId="5" fillId="0" borderId="20" xfId="1" applyNumberFormat="1" applyFont="1" applyBorder="1" applyAlignment="1">
      <alignment horizontal="center" vertical="center" wrapText="1"/>
    </xf>
    <xf numFmtId="164" fontId="5" fillId="0" borderId="26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0" fillId="0" borderId="27" xfId="1" applyNumberFormat="1" applyFont="1" applyBorder="1"/>
    <xf numFmtId="164" fontId="3" fillId="0" borderId="28" xfId="1" applyNumberFormat="1" applyFont="1" applyBorder="1" applyAlignment="1">
      <alignment horizontal="center" vertical="center" wrapText="1"/>
    </xf>
    <xf numFmtId="164" fontId="3" fillId="0" borderId="29" xfId="1" applyNumberFormat="1" applyFont="1" applyBorder="1" applyAlignment="1">
      <alignment horizontal="center" vertical="center" wrapText="1"/>
    </xf>
    <xf numFmtId="164" fontId="5" fillId="0" borderId="22" xfId="1" applyNumberFormat="1" applyFont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0" fillId="0" borderId="24" xfId="1" applyNumberFormat="1" applyFont="1" applyBorder="1"/>
    <xf numFmtId="164" fontId="0" fillId="0" borderId="30" xfId="1" applyNumberFormat="1" applyFont="1" applyBorder="1"/>
  </cellXfs>
  <cellStyles count="4">
    <cellStyle name="Comma" xfId="1" builtinId="3"/>
    <cellStyle name="Normal" xfId="0" builtinId="0"/>
    <cellStyle name="Normal 4" xfId="3" xr:uid="{28976908-AC03-4C84-9F53-EBB95C3BB86A}"/>
    <cellStyle name="Normal_Bang cham cong tay1" xfId="2" xr:uid="{EF224879-6152-428B-A63B-5B9EB3A4C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474699</xdr:colOff>
      <xdr:row>2</xdr:row>
      <xdr:rowOff>225410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45821DDF-387B-4505-A58D-F9C91A34C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1770099" cy="606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D9AB-E681-49EB-A778-1771C168F7EB}">
  <dimension ref="A1:DG15"/>
  <sheetViews>
    <sheetView tabSelected="1" topLeftCell="B1" workbookViewId="0">
      <pane ySplit="14" topLeftCell="A15" activePane="bottomLeft" state="frozen"/>
      <selection activeCell="B1" sqref="B1"/>
      <selection pane="bottomLeft" activeCell="B15" sqref="B15"/>
    </sheetView>
  </sheetViews>
  <sheetFormatPr defaultRowHeight="15" x14ac:dyDescent="0.25"/>
  <cols>
    <col min="1" max="1" width="0" hidden="1" customWidth="1"/>
    <col min="3" max="3" width="10.28515625" customWidth="1"/>
    <col min="4" max="4" width="18.140625" customWidth="1"/>
    <col min="5" max="5" width="19.5703125" customWidth="1"/>
    <col min="6" max="6" width="10.7109375" style="13" bestFit="1" customWidth="1"/>
    <col min="7" max="9" width="13.140625" style="9" customWidth="1"/>
    <col min="10" max="10" width="13.140625" style="10" customWidth="1"/>
    <col min="11" max="14" width="13.140625" style="9" customWidth="1"/>
    <col min="15" max="15" width="13.140625" style="10" customWidth="1"/>
    <col min="16" max="17" width="13.140625" style="9" customWidth="1"/>
    <col min="18" max="28" width="9.28515625" style="4" bestFit="1" customWidth="1"/>
    <col min="29" max="29" width="9.28515625" style="4" customWidth="1"/>
    <col min="30" max="32" width="9.28515625" style="4" bestFit="1" customWidth="1"/>
    <col min="33" max="56" width="13.5703125" style="9" customWidth="1"/>
    <col min="57" max="61" width="11.85546875" style="9" customWidth="1"/>
    <col min="62" max="70" width="13.5703125" style="9" customWidth="1"/>
    <col min="71" max="79" width="9.140625" style="9"/>
    <col min="80" max="92" width="9.140625" style="4"/>
    <col min="93" max="93" width="9.5703125" style="4" bestFit="1" customWidth="1"/>
    <col min="94" max="94" width="9.5703125" style="4" customWidth="1"/>
    <col min="95" max="105" width="9.140625" style="4"/>
    <col min="106" max="111" width="9.140625" style="9"/>
  </cols>
  <sheetData>
    <row r="1" spans="1:111" x14ac:dyDescent="0.25">
      <c r="A1">
        <v>2</v>
      </c>
    </row>
    <row r="2" spans="1:111" x14ac:dyDescent="0.25">
      <c r="A2">
        <v>3</v>
      </c>
    </row>
    <row r="3" spans="1:111" ht="23.25" x14ac:dyDescent="0.35">
      <c r="A3">
        <v>4</v>
      </c>
      <c r="H3" s="77" t="str">
        <f>"BẢNG LƯƠNG THÁNG "&amp;A1&amp;"/"&amp;A2</f>
        <v>BẢNG LƯƠNG THÁNG 2/3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</row>
    <row r="4" spans="1:111" ht="23.25" x14ac:dyDescent="0.35">
      <c r="B4" s="2" t="s">
        <v>60</v>
      </c>
      <c r="H4" s="77" t="str">
        <f>"PAYROLL IN "&amp;UPPER(TEXT(DATE(2000,A1,1),"mmmm"))&amp;" "&amp;A2&amp;" FOR VIETNAMESE"</f>
        <v>PAYROLL IN FEBRUARY 3 FOR VIETNAMESE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</row>
    <row r="5" spans="1:111" ht="15.75" x14ac:dyDescent="0.25">
      <c r="B5" s="76" t="s">
        <v>61</v>
      </c>
      <c r="C5" s="76"/>
      <c r="D5" s="76"/>
      <c r="E5" s="76"/>
    </row>
    <row r="6" spans="1:111" ht="16.5" thickBot="1" x14ac:dyDescent="0.3">
      <c r="B6" s="3" t="s">
        <v>62</v>
      </c>
    </row>
    <row r="7" spans="1:111" s="14" customFormat="1" hidden="1" x14ac:dyDescent="0.25">
      <c r="B7" s="14">
        <v>2</v>
      </c>
      <c r="C7" s="14">
        <v>2</v>
      </c>
      <c r="D7" s="14">
        <v>2</v>
      </c>
      <c r="E7" s="14">
        <v>2</v>
      </c>
      <c r="F7" s="14">
        <v>2</v>
      </c>
      <c r="G7" s="15">
        <v>1</v>
      </c>
      <c r="H7" s="15">
        <v>1</v>
      </c>
      <c r="I7" s="15">
        <v>1</v>
      </c>
      <c r="J7" s="16">
        <v>1</v>
      </c>
      <c r="K7" s="15">
        <v>1</v>
      </c>
      <c r="L7" s="15">
        <v>1</v>
      </c>
      <c r="M7" s="15">
        <v>1</v>
      </c>
      <c r="N7" s="15">
        <v>1</v>
      </c>
      <c r="O7" s="16">
        <v>1</v>
      </c>
      <c r="P7" s="15">
        <v>1</v>
      </c>
      <c r="Q7" s="15">
        <v>1</v>
      </c>
      <c r="R7" s="15">
        <v>1</v>
      </c>
      <c r="S7" s="15">
        <v>1</v>
      </c>
      <c r="T7" s="15">
        <v>1</v>
      </c>
      <c r="U7" s="15">
        <v>1</v>
      </c>
      <c r="V7" s="15">
        <v>1</v>
      </c>
      <c r="W7" s="15">
        <v>1</v>
      </c>
      <c r="X7" s="15">
        <v>1</v>
      </c>
      <c r="Y7" s="15">
        <v>1</v>
      </c>
      <c r="Z7" s="15">
        <v>1</v>
      </c>
      <c r="AA7" s="15">
        <v>1</v>
      </c>
      <c r="AB7" s="15">
        <v>1</v>
      </c>
      <c r="AC7" s="15">
        <v>1</v>
      </c>
      <c r="AD7" s="15">
        <v>1</v>
      </c>
      <c r="AE7" s="15">
        <v>1</v>
      </c>
      <c r="AF7" s="15">
        <v>1</v>
      </c>
      <c r="AG7" s="15">
        <v>1</v>
      </c>
      <c r="AH7" s="15">
        <v>1</v>
      </c>
      <c r="AI7" s="15">
        <v>1</v>
      </c>
      <c r="AJ7" s="15">
        <v>1</v>
      </c>
      <c r="AK7" s="15">
        <v>1</v>
      </c>
      <c r="AL7" s="15">
        <v>1</v>
      </c>
      <c r="AM7" s="15">
        <v>1</v>
      </c>
      <c r="AN7" s="15">
        <v>1</v>
      </c>
      <c r="AO7" s="15">
        <v>1</v>
      </c>
      <c r="AP7" s="15">
        <v>1</v>
      </c>
      <c r="AQ7" s="15">
        <v>1</v>
      </c>
      <c r="AR7" s="15">
        <v>1</v>
      </c>
      <c r="AS7" s="15">
        <v>1</v>
      </c>
      <c r="AT7" s="15">
        <v>1</v>
      </c>
      <c r="AU7" s="15">
        <v>1</v>
      </c>
      <c r="AV7" s="15">
        <v>1</v>
      </c>
      <c r="AW7" s="15">
        <v>1</v>
      </c>
      <c r="AX7" s="15">
        <v>1</v>
      </c>
      <c r="AY7" s="15">
        <v>1</v>
      </c>
      <c r="AZ7" s="15">
        <v>1</v>
      </c>
      <c r="BA7" s="15">
        <v>1</v>
      </c>
      <c r="BB7" s="15">
        <v>1</v>
      </c>
      <c r="BC7" s="15">
        <v>1</v>
      </c>
      <c r="BD7" s="15">
        <v>1</v>
      </c>
      <c r="BE7" s="15">
        <v>1</v>
      </c>
      <c r="BF7" s="15">
        <v>1</v>
      </c>
      <c r="BG7" s="15">
        <v>1</v>
      </c>
      <c r="BH7" s="15">
        <v>1</v>
      </c>
      <c r="BI7" s="15">
        <v>1</v>
      </c>
      <c r="BJ7" s="15">
        <v>1</v>
      </c>
      <c r="BK7" s="15">
        <v>1</v>
      </c>
      <c r="BL7" s="15">
        <v>1</v>
      </c>
      <c r="BM7" s="15">
        <v>1</v>
      </c>
      <c r="BN7" s="15">
        <v>1</v>
      </c>
      <c r="BO7" s="15">
        <v>1</v>
      </c>
      <c r="BP7" s="15">
        <v>1</v>
      </c>
      <c r="BQ7" s="15">
        <v>1</v>
      </c>
      <c r="BR7" s="15">
        <v>1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F7" s="15"/>
      <c r="DG7" s="15"/>
    </row>
    <row r="8" spans="1:111" ht="15.75" hidden="1" x14ac:dyDescent="0.25">
      <c r="B8" s="3"/>
      <c r="C8" t="s">
        <v>63</v>
      </c>
      <c r="BY8" t="s">
        <v>208</v>
      </c>
      <c r="BZ8" t="s">
        <v>209</v>
      </c>
      <c r="CA8" t="s">
        <v>210</v>
      </c>
    </row>
    <row r="9" spans="1:111" hidden="1" x14ac:dyDescent="0.25">
      <c r="C9" t="s">
        <v>63</v>
      </c>
      <c r="G9" s="9" t="s">
        <v>145</v>
      </c>
      <c r="H9" s="9" t="s">
        <v>146</v>
      </c>
      <c r="I9" s="9" t="s">
        <v>147</v>
      </c>
      <c r="J9" s="9" t="s">
        <v>148</v>
      </c>
      <c r="K9" s="9" t="s">
        <v>149</v>
      </c>
      <c r="L9" s="9" t="s">
        <v>150</v>
      </c>
      <c r="M9" s="9" t="s">
        <v>151</v>
      </c>
      <c r="N9" s="9" t="s">
        <v>152</v>
      </c>
      <c r="O9" s="9" t="s">
        <v>153</v>
      </c>
      <c r="P9" s="9" t="s">
        <v>154</v>
      </c>
      <c r="Q9" s="9" t="s">
        <v>155</v>
      </c>
      <c r="R9" s="9" t="s">
        <v>156</v>
      </c>
      <c r="S9" s="9" t="s">
        <v>157</v>
      </c>
      <c r="T9" s="9" t="s">
        <v>158</v>
      </c>
      <c r="U9" s="9" t="s">
        <v>159</v>
      </c>
      <c r="V9" s="9" t="s">
        <v>160</v>
      </c>
      <c r="W9" s="9" t="s">
        <v>161</v>
      </c>
      <c r="X9" s="9" t="s">
        <v>162</v>
      </c>
      <c r="Y9" s="9" t="s">
        <v>163</v>
      </c>
      <c r="Z9" s="9" t="s">
        <v>164</v>
      </c>
      <c r="AA9" s="9" t="s">
        <v>165</v>
      </c>
      <c r="AB9" s="9" t="s">
        <v>166</v>
      </c>
      <c r="AC9" s="9" t="s">
        <v>167</v>
      </c>
      <c r="AD9" s="9" t="s">
        <v>168</v>
      </c>
      <c r="AE9" s="9" t="s">
        <v>169</v>
      </c>
      <c r="AF9" s="9" t="s">
        <v>170</v>
      </c>
      <c r="AG9" s="9" t="s">
        <v>171</v>
      </c>
      <c r="AH9" s="9" t="s">
        <v>172</v>
      </c>
      <c r="AI9" s="9" t="s">
        <v>173</v>
      </c>
      <c r="AJ9" s="9" t="s">
        <v>174</v>
      </c>
      <c r="AK9" s="9" t="s">
        <v>175</v>
      </c>
      <c r="AL9" s="9" t="s">
        <v>176</v>
      </c>
      <c r="AM9" s="9" t="s">
        <v>177</v>
      </c>
      <c r="AN9" s="9" t="s">
        <v>178</v>
      </c>
      <c r="AO9" s="9" t="s">
        <v>179</v>
      </c>
      <c r="AP9" s="9" t="s">
        <v>215</v>
      </c>
      <c r="AQ9" s="9" t="s">
        <v>180</v>
      </c>
      <c r="AR9" s="9" t="s">
        <v>181</v>
      </c>
      <c r="AS9" s="9" t="s">
        <v>182</v>
      </c>
      <c r="AT9" s="9" t="s">
        <v>183</v>
      </c>
      <c r="AU9" s="9" t="s">
        <v>184</v>
      </c>
      <c r="AV9" s="9" t="s">
        <v>185</v>
      </c>
      <c r="AW9" s="9" t="s">
        <v>186</v>
      </c>
      <c r="AX9" s="9" t="s">
        <v>187</v>
      </c>
      <c r="AY9" s="9" t="s">
        <v>188</v>
      </c>
      <c r="AZ9" s="9" t="s">
        <v>189</v>
      </c>
      <c r="BA9" s="9" t="s">
        <v>190</v>
      </c>
      <c r="BB9" s="9" t="s">
        <v>191</v>
      </c>
      <c r="BC9" s="9" t="s">
        <v>192</v>
      </c>
      <c r="BD9" s="9" t="s">
        <v>193</v>
      </c>
      <c r="BE9" s="9" t="s">
        <v>194</v>
      </c>
      <c r="BF9" s="9" t="s">
        <v>195</v>
      </c>
      <c r="BG9" s="9" t="s">
        <v>196</v>
      </c>
      <c r="BH9" s="9" t="s">
        <v>197</v>
      </c>
      <c r="BI9" s="9" t="s">
        <v>198</v>
      </c>
      <c r="BJ9" s="9" t="s">
        <v>199</v>
      </c>
      <c r="BK9" s="9" t="s">
        <v>200</v>
      </c>
      <c r="BL9" s="9" t="s">
        <v>201</v>
      </c>
      <c r="BM9" s="9" t="s">
        <v>202</v>
      </c>
      <c r="BN9" s="9" t="s">
        <v>203</v>
      </c>
      <c r="BO9" s="9" t="s">
        <v>204</v>
      </c>
      <c r="BP9" s="9" t="s">
        <v>205</v>
      </c>
      <c r="BQ9" s="9" t="s">
        <v>206</v>
      </c>
      <c r="BR9" s="9" t="s">
        <v>207</v>
      </c>
      <c r="BY9" t="s">
        <v>208</v>
      </c>
      <c r="BZ9" t="s">
        <v>209</v>
      </c>
      <c r="CA9" t="s">
        <v>210</v>
      </c>
    </row>
    <row r="10" spans="1:111" ht="15.75" hidden="1" thickBot="1" x14ac:dyDescent="0.3">
      <c r="B10" t="s">
        <v>212</v>
      </c>
      <c r="C10" t="s">
        <v>63</v>
      </c>
      <c r="D10" t="s">
        <v>64</v>
      </c>
      <c r="E10" t="s">
        <v>65</v>
      </c>
      <c r="F10" s="13" t="s">
        <v>66</v>
      </c>
      <c r="G10" s="9" t="s">
        <v>67</v>
      </c>
      <c r="H10" s="9" t="s">
        <v>68</v>
      </c>
      <c r="I10" s="9" t="s">
        <v>69</v>
      </c>
      <c r="J10" s="10" t="s">
        <v>105</v>
      </c>
      <c r="K10" s="9" t="s">
        <v>78</v>
      </c>
      <c r="L10" s="9" t="s">
        <v>79</v>
      </c>
      <c r="M10" s="9" t="s">
        <v>80</v>
      </c>
      <c r="N10" s="9" t="s">
        <v>81</v>
      </c>
      <c r="AP10" s="9" t="s">
        <v>213</v>
      </c>
      <c r="BY10" t="s">
        <v>211</v>
      </c>
      <c r="BZ10" t="s">
        <v>209</v>
      </c>
      <c r="CA10" t="s">
        <v>210</v>
      </c>
      <c r="CB10" s="4" t="s">
        <v>82</v>
      </c>
      <c r="CC10" s="4" t="s">
        <v>83</v>
      </c>
      <c r="CD10" s="4" t="s">
        <v>118</v>
      </c>
      <c r="CE10" s="4" t="s">
        <v>84</v>
      </c>
      <c r="CF10" s="4" t="s">
        <v>131</v>
      </c>
      <c r="CG10" s="4" t="s">
        <v>85</v>
      </c>
      <c r="CH10" s="4" t="s">
        <v>132</v>
      </c>
      <c r="CI10" s="4" t="s">
        <v>86</v>
      </c>
      <c r="CJ10" s="4" t="s">
        <v>87</v>
      </c>
      <c r="CK10" s="4" t="s">
        <v>88</v>
      </c>
      <c r="CL10" s="4" t="s">
        <v>119</v>
      </c>
      <c r="CM10" s="4" t="s">
        <v>89</v>
      </c>
      <c r="CN10" s="4" t="s">
        <v>125</v>
      </c>
      <c r="CO10" s="4" t="s">
        <v>90</v>
      </c>
      <c r="CP10" s="4" t="s">
        <v>128</v>
      </c>
      <c r="CQ10" s="4" t="s">
        <v>91</v>
      </c>
      <c r="CR10" s="4" t="s">
        <v>106</v>
      </c>
      <c r="CS10" s="4" t="s">
        <v>111</v>
      </c>
      <c r="CT10" s="4" t="s">
        <v>115</v>
      </c>
      <c r="CU10" s="4" t="s">
        <v>120</v>
      </c>
      <c r="CV10" s="4" t="s">
        <v>109</v>
      </c>
      <c r="CW10" s="4" t="s">
        <v>112</v>
      </c>
      <c r="CX10" s="4" t="s">
        <v>114</v>
      </c>
      <c r="CY10" s="4" t="s">
        <v>122</v>
      </c>
      <c r="CZ10" s="4" t="s">
        <v>143</v>
      </c>
      <c r="DA10" s="4" t="s">
        <v>123</v>
      </c>
      <c r="DB10" t="s">
        <v>139</v>
      </c>
      <c r="DC10" t="s">
        <v>140</v>
      </c>
      <c r="DD10" t="s">
        <v>141</v>
      </c>
      <c r="DE10" t="s">
        <v>142</v>
      </c>
    </row>
    <row r="11" spans="1:111" ht="15.75" customHeight="1" thickBot="1" x14ac:dyDescent="0.3">
      <c r="CB11" s="5" t="s">
        <v>92</v>
      </c>
      <c r="CC11" s="73" t="s">
        <v>93</v>
      </c>
      <c r="CD11" s="73"/>
      <c r="CE11" s="73"/>
      <c r="CF11" s="73"/>
      <c r="CG11" s="73"/>
      <c r="CH11" s="73"/>
      <c r="CI11" s="73"/>
      <c r="CJ11" s="5" t="s">
        <v>94</v>
      </c>
      <c r="CK11" s="73" t="s">
        <v>95</v>
      </c>
      <c r="CL11" s="73"/>
      <c r="CM11" s="73"/>
      <c r="CN11" s="73"/>
      <c r="CO11" s="73"/>
      <c r="CP11" s="74"/>
      <c r="CQ11" s="74"/>
      <c r="CR11" s="47" t="s">
        <v>108</v>
      </c>
      <c r="CS11" s="47"/>
      <c r="CT11" s="47"/>
      <c r="CU11" s="47"/>
      <c r="CV11" s="47"/>
      <c r="CW11" s="47"/>
      <c r="CX11" s="47"/>
      <c r="CY11" s="47"/>
      <c r="CZ11" s="44" t="s">
        <v>144</v>
      </c>
      <c r="DA11" s="44" t="s">
        <v>124</v>
      </c>
      <c r="DB11" s="41" t="s">
        <v>135</v>
      </c>
      <c r="DC11" s="41" t="s">
        <v>136</v>
      </c>
      <c r="DD11" s="41" t="s">
        <v>137</v>
      </c>
      <c r="DE11" s="41" t="s">
        <v>138</v>
      </c>
    </row>
    <row r="12" spans="1:111" s="1" customFormat="1" ht="31.15" customHeight="1" thickTop="1" thickBot="1" x14ac:dyDescent="0.25">
      <c r="B12" s="93" t="s">
        <v>0</v>
      </c>
      <c r="C12" s="94" t="s">
        <v>1</v>
      </c>
      <c r="D12" s="95" t="s">
        <v>2</v>
      </c>
      <c r="E12" s="96" t="s">
        <v>3</v>
      </c>
      <c r="F12" s="97" t="s">
        <v>4</v>
      </c>
      <c r="G12" s="87" t="s">
        <v>5</v>
      </c>
      <c r="H12" s="50" t="s">
        <v>6</v>
      </c>
      <c r="I12" s="52" t="s">
        <v>7</v>
      </c>
      <c r="J12" s="50" t="s">
        <v>8</v>
      </c>
      <c r="K12" s="50" t="s">
        <v>9</v>
      </c>
      <c r="L12" s="54" t="s">
        <v>10</v>
      </c>
      <c r="M12" s="50" t="s">
        <v>11</v>
      </c>
      <c r="N12" s="50" t="s">
        <v>12</v>
      </c>
      <c r="O12" s="50" t="s">
        <v>13</v>
      </c>
      <c r="P12" s="50" t="s">
        <v>70</v>
      </c>
      <c r="Q12" s="48" t="s">
        <v>14</v>
      </c>
      <c r="R12" s="90" t="s">
        <v>15</v>
      </c>
      <c r="S12" s="56" t="s">
        <v>16</v>
      </c>
      <c r="T12" s="56" t="s">
        <v>71</v>
      </c>
      <c r="U12" s="56" t="s">
        <v>17</v>
      </c>
      <c r="V12" s="56" t="s">
        <v>18</v>
      </c>
      <c r="W12" s="56" t="s">
        <v>19</v>
      </c>
      <c r="X12" s="56" t="s">
        <v>72</v>
      </c>
      <c r="Y12" s="61" t="s">
        <v>20</v>
      </c>
      <c r="Z12" s="56" t="s">
        <v>21</v>
      </c>
      <c r="AA12" s="56" t="s">
        <v>22</v>
      </c>
      <c r="AB12" s="56" t="s">
        <v>73</v>
      </c>
      <c r="AC12" s="56" t="s">
        <v>133</v>
      </c>
      <c r="AD12" s="56" t="s">
        <v>23</v>
      </c>
      <c r="AE12" s="63" t="s">
        <v>24</v>
      </c>
      <c r="AF12" s="65" t="s">
        <v>25</v>
      </c>
      <c r="AG12" s="87" t="s">
        <v>26</v>
      </c>
      <c r="AH12" s="50" t="s">
        <v>27</v>
      </c>
      <c r="AI12" s="52" t="s">
        <v>28</v>
      </c>
      <c r="AJ12" s="52" t="s">
        <v>29</v>
      </c>
      <c r="AK12" s="50" t="s">
        <v>30</v>
      </c>
      <c r="AL12" s="54" t="s">
        <v>31</v>
      </c>
      <c r="AM12" s="50" t="s">
        <v>32</v>
      </c>
      <c r="AN12" s="50" t="s">
        <v>33</v>
      </c>
      <c r="AO12" s="50" t="s">
        <v>34</v>
      </c>
      <c r="AP12" s="69" t="s">
        <v>214</v>
      </c>
      <c r="AQ12" s="50" t="s">
        <v>74</v>
      </c>
      <c r="AR12" s="52" t="s">
        <v>35</v>
      </c>
      <c r="AS12" s="48" t="s">
        <v>36</v>
      </c>
      <c r="AT12" s="108" t="s">
        <v>75</v>
      </c>
      <c r="AU12" s="71" t="s">
        <v>37</v>
      </c>
      <c r="AV12" s="78" t="s">
        <v>38</v>
      </c>
      <c r="AW12" s="71" t="s">
        <v>39</v>
      </c>
      <c r="AX12" s="71" t="s">
        <v>40</v>
      </c>
      <c r="AY12" s="71" t="s">
        <v>76</v>
      </c>
      <c r="AZ12" s="71" t="s">
        <v>134</v>
      </c>
      <c r="BA12" s="71" t="s">
        <v>41</v>
      </c>
      <c r="BB12" s="71" t="s">
        <v>42</v>
      </c>
      <c r="BC12" s="71" t="s">
        <v>43</v>
      </c>
      <c r="BD12" s="110" t="s">
        <v>44</v>
      </c>
      <c r="BE12" s="67" t="s">
        <v>45</v>
      </c>
      <c r="BF12" s="68"/>
      <c r="BG12" s="68"/>
      <c r="BH12" s="68"/>
      <c r="BI12" s="68" t="s">
        <v>46</v>
      </c>
      <c r="BJ12" s="81" t="s">
        <v>47</v>
      </c>
      <c r="BK12" s="82"/>
      <c r="BL12" s="82"/>
      <c r="BM12" s="82"/>
      <c r="BN12" s="82"/>
      <c r="BO12" s="82"/>
      <c r="BP12" s="83" t="s">
        <v>77</v>
      </c>
      <c r="BQ12" s="85" t="s">
        <v>58</v>
      </c>
      <c r="BR12" s="113" t="s">
        <v>59</v>
      </c>
      <c r="BS12" s="11"/>
      <c r="BT12" s="11"/>
      <c r="BU12" s="11"/>
      <c r="BV12" s="11"/>
      <c r="BW12" s="11"/>
      <c r="BX12" s="11"/>
      <c r="BY12" s="11"/>
      <c r="BZ12" s="11"/>
      <c r="CA12" s="11"/>
      <c r="CB12" s="75" t="s">
        <v>96</v>
      </c>
      <c r="CC12" s="6" t="s">
        <v>97</v>
      </c>
      <c r="CD12" s="6" t="s">
        <v>116</v>
      </c>
      <c r="CE12" s="6" t="s">
        <v>98</v>
      </c>
      <c r="CF12" s="6" t="s">
        <v>126</v>
      </c>
      <c r="CG12" s="6" t="s">
        <v>99</v>
      </c>
      <c r="CH12" s="7" t="s">
        <v>129</v>
      </c>
      <c r="CI12" s="7" t="s">
        <v>100</v>
      </c>
      <c r="CJ12" s="75" t="s">
        <v>96</v>
      </c>
      <c r="CK12" s="6" t="s">
        <v>97</v>
      </c>
      <c r="CL12" s="6" t="s">
        <v>116</v>
      </c>
      <c r="CM12" s="6" t="s">
        <v>98</v>
      </c>
      <c r="CN12" s="6" t="s">
        <v>126</v>
      </c>
      <c r="CO12" s="6" t="s">
        <v>99</v>
      </c>
      <c r="CP12" s="7" t="s">
        <v>129</v>
      </c>
      <c r="CQ12" s="7" t="s">
        <v>100</v>
      </c>
      <c r="CR12" s="47" t="s">
        <v>92</v>
      </c>
      <c r="CS12" s="47"/>
      <c r="CT12" s="47"/>
      <c r="CU12" s="47"/>
      <c r="CV12" s="47" t="s">
        <v>94</v>
      </c>
      <c r="CW12" s="47"/>
      <c r="CX12" s="47"/>
      <c r="CY12" s="47"/>
      <c r="CZ12" s="45"/>
      <c r="DA12" s="45"/>
      <c r="DB12" s="42"/>
      <c r="DC12" s="42"/>
      <c r="DD12" s="42"/>
      <c r="DE12" s="42"/>
      <c r="DF12" s="11"/>
      <c r="DG12" s="11"/>
    </row>
    <row r="13" spans="1:111" s="1" customFormat="1" ht="82.5" customHeight="1" thickBot="1" x14ac:dyDescent="0.25">
      <c r="B13" s="98"/>
      <c r="C13" s="58"/>
      <c r="D13" s="59"/>
      <c r="E13" s="60"/>
      <c r="F13" s="99"/>
      <c r="G13" s="88"/>
      <c r="H13" s="51"/>
      <c r="I13" s="53"/>
      <c r="J13" s="51"/>
      <c r="K13" s="51"/>
      <c r="L13" s="55"/>
      <c r="M13" s="51"/>
      <c r="N13" s="51"/>
      <c r="O13" s="51"/>
      <c r="P13" s="51"/>
      <c r="Q13" s="49"/>
      <c r="R13" s="91"/>
      <c r="S13" s="57"/>
      <c r="T13" s="57"/>
      <c r="U13" s="57"/>
      <c r="V13" s="57"/>
      <c r="W13" s="57"/>
      <c r="X13" s="57"/>
      <c r="Y13" s="62"/>
      <c r="Z13" s="57"/>
      <c r="AA13" s="57"/>
      <c r="AB13" s="57"/>
      <c r="AC13" s="57"/>
      <c r="AD13" s="57"/>
      <c r="AE13" s="64"/>
      <c r="AF13" s="66"/>
      <c r="AG13" s="88"/>
      <c r="AH13" s="51"/>
      <c r="AI13" s="53"/>
      <c r="AJ13" s="53"/>
      <c r="AK13" s="51"/>
      <c r="AL13" s="55"/>
      <c r="AM13" s="51"/>
      <c r="AN13" s="51"/>
      <c r="AO13" s="51"/>
      <c r="AP13" s="70"/>
      <c r="AQ13" s="51"/>
      <c r="AR13" s="53"/>
      <c r="AS13" s="49"/>
      <c r="AT13" s="109"/>
      <c r="AU13" s="72"/>
      <c r="AV13" s="79"/>
      <c r="AW13" s="72"/>
      <c r="AX13" s="72"/>
      <c r="AY13" s="72"/>
      <c r="AZ13" s="72"/>
      <c r="BA13" s="72"/>
      <c r="BB13" s="72"/>
      <c r="BC13" s="72"/>
      <c r="BD13" s="111"/>
      <c r="BE13" s="40" t="s">
        <v>48</v>
      </c>
      <c r="BF13" s="39" t="s">
        <v>49</v>
      </c>
      <c r="BG13" s="39" t="s">
        <v>50</v>
      </c>
      <c r="BH13" s="39" t="s">
        <v>51</v>
      </c>
      <c r="BI13" s="80"/>
      <c r="BJ13" s="39" t="s">
        <v>52</v>
      </c>
      <c r="BK13" s="39" t="s">
        <v>53</v>
      </c>
      <c r="BL13" s="39" t="s">
        <v>54</v>
      </c>
      <c r="BM13" s="39" t="s">
        <v>55</v>
      </c>
      <c r="BN13" s="12" t="s">
        <v>56</v>
      </c>
      <c r="BO13" s="12" t="s">
        <v>57</v>
      </c>
      <c r="BP13" s="84"/>
      <c r="BQ13" s="86"/>
      <c r="BR13" s="114"/>
      <c r="BS13" s="11"/>
      <c r="BT13" s="11"/>
      <c r="BU13" s="11"/>
      <c r="BV13" s="11"/>
      <c r="BW13" s="11"/>
      <c r="BX13" s="11"/>
      <c r="BY13" s="11"/>
      <c r="BZ13" s="11"/>
      <c r="CA13" s="11"/>
      <c r="CB13" s="75"/>
      <c r="CC13" s="6" t="s">
        <v>101</v>
      </c>
      <c r="CD13" s="6" t="s">
        <v>117</v>
      </c>
      <c r="CE13" s="6" t="s">
        <v>102</v>
      </c>
      <c r="CF13" s="6" t="s">
        <v>127</v>
      </c>
      <c r="CG13" s="6" t="s">
        <v>103</v>
      </c>
      <c r="CH13" s="7" t="s">
        <v>130</v>
      </c>
      <c r="CI13" s="7" t="s">
        <v>104</v>
      </c>
      <c r="CJ13" s="75"/>
      <c r="CK13" s="6" t="s">
        <v>101</v>
      </c>
      <c r="CL13" s="6" t="s">
        <v>117</v>
      </c>
      <c r="CM13" s="6" t="s">
        <v>102</v>
      </c>
      <c r="CN13" s="6" t="s">
        <v>127</v>
      </c>
      <c r="CO13" s="6" t="s">
        <v>103</v>
      </c>
      <c r="CP13" s="7" t="s">
        <v>130</v>
      </c>
      <c r="CQ13" s="7" t="s">
        <v>104</v>
      </c>
      <c r="CR13" s="8" t="s">
        <v>107</v>
      </c>
      <c r="CS13" s="8" t="s">
        <v>110</v>
      </c>
      <c r="CT13" s="8" t="s">
        <v>113</v>
      </c>
      <c r="CU13" s="8" t="s">
        <v>121</v>
      </c>
      <c r="CV13" s="8" t="s">
        <v>107</v>
      </c>
      <c r="CW13" s="8" t="s">
        <v>110</v>
      </c>
      <c r="CX13" s="8" t="s">
        <v>113</v>
      </c>
      <c r="CY13" s="8" t="s">
        <v>121</v>
      </c>
      <c r="CZ13" s="46"/>
      <c r="DA13" s="46"/>
      <c r="DB13" s="43"/>
      <c r="DC13" s="43"/>
      <c r="DD13" s="43"/>
      <c r="DE13" s="43"/>
      <c r="DF13" s="11"/>
      <c r="DG13" s="11"/>
    </row>
    <row r="14" spans="1:111" s="1" customFormat="1" ht="13.5" hidden="1" customHeight="1" thickBot="1" x14ac:dyDescent="0.2">
      <c r="B14" s="100"/>
      <c r="C14" s="17"/>
      <c r="D14" s="18"/>
      <c r="E14" s="19"/>
      <c r="F14" s="101"/>
      <c r="G14" s="20"/>
      <c r="H14" s="20"/>
      <c r="I14" s="21"/>
      <c r="J14" s="20"/>
      <c r="K14" s="20"/>
      <c r="L14" s="22"/>
      <c r="M14" s="20"/>
      <c r="N14" s="20"/>
      <c r="O14" s="20"/>
      <c r="P14" s="20"/>
      <c r="Q14" s="104"/>
      <c r="R14" s="23"/>
      <c r="S14" s="24"/>
      <c r="T14" s="24"/>
      <c r="U14" s="24"/>
      <c r="V14" s="24"/>
      <c r="W14" s="24"/>
      <c r="X14" s="24"/>
      <c r="Y14" s="23"/>
      <c r="Z14" s="24"/>
      <c r="AA14" s="24"/>
      <c r="AB14" s="24"/>
      <c r="AC14" s="24"/>
      <c r="AD14" s="24"/>
      <c r="AE14" s="25"/>
      <c r="AF14" s="106"/>
      <c r="AG14" s="20"/>
      <c r="AH14" s="20"/>
      <c r="AI14" s="21"/>
      <c r="AJ14" s="21"/>
      <c r="AK14" s="20"/>
      <c r="AL14" s="22"/>
      <c r="AM14" s="20"/>
      <c r="AN14" s="20"/>
      <c r="AO14" s="20"/>
      <c r="AP14" s="20"/>
      <c r="AQ14" s="20"/>
      <c r="AR14" s="21"/>
      <c r="AS14" s="104"/>
      <c r="AT14" s="21"/>
      <c r="AU14" s="26"/>
      <c r="AV14" s="27"/>
      <c r="AW14" s="26"/>
      <c r="AX14" s="26"/>
      <c r="AY14" s="26"/>
      <c r="AZ14" s="26"/>
      <c r="BA14" s="26"/>
      <c r="BB14" s="26"/>
      <c r="BC14" s="26"/>
      <c r="BD14" s="21"/>
      <c r="BE14" s="115"/>
      <c r="BF14" s="21"/>
      <c r="BG14" s="21"/>
      <c r="BH14" s="21"/>
      <c r="BI14" s="28"/>
      <c r="BJ14" s="21"/>
      <c r="BK14" s="21"/>
      <c r="BL14" s="21"/>
      <c r="BM14" s="21"/>
      <c r="BN14" s="29"/>
      <c r="BO14" s="29"/>
      <c r="BP14" s="30"/>
      <c r="BQ14" s="116"/>
      <c r="BR14" s="26"/>
      <c r="BS14" s="11"/>
      <c r="BT14" s="11"/>
      <c r="BU14" s="11"/>
      <c r="BV14" s="11"/>
      <c r="BW14" s="11"/>
      <c r="BX14" s="11"/>
      <c r="BY14" s="11"/>
      <c r="BZ14" s="11"/>
      <c r="CA14" s="11"/>
      <c r="CB14" s="31"/>
      <c r="CC14" s="24"/>
      <c r="CD14" s="24"/>
      <c r="CE14" s="24"/>
      <c r="CF14" s="24"/>
      <c r="CG14" s="24"/>
      <c r="CH14" s="24"/>
      <c r="CI14" s="24"/>
      <c r="CJ14" s="31"/>
      <c r="CK14" s="24"/>
      <c r="CL14" s="24"/>
      <c r="CM14" s="24"/>
      <c r="CN14" s="24"/>
      <c r="CO14" s="24"/>
      <c r="CP14" s="24"/>
      <c r="CQ14" s="24"/>
      <c r="CR14" s="32"/>
      <c r="CS14" s="32"/>
      <c r="CT14" s="32"/>
      <c r="CU14" s="32"/>
      <c r="CV14" s="32"/>
      <c r="CW14" s="32"/>
      <c r="CX14" s="32"/>
      <c r="CY14" s="32"/>
      <c r="CZ14" s="33"/>
      <c r="DA14" s="33"/>
      <c r="DB14" s="34"/>
      <c r="DC14" s="34"/>
      <c r="DD14" s="34"/>
      <c r="DE14" s="34"/>
      <c r="DF14" s="11"/>
      <c r="DG14" s="11"/>
    </row>
    <row r="15" spans="1:111" x14ac:dyDescent="0.25">
      <c r="B15" s="102"/>
      <c r="C15" s="35"/>
      <c r="D15" s="35"/>
      <c r="E15" s="35"/>
      <c r="F15" s="103"/>
      <c r="G15" s="89"/>
      <c r="H15" s="36"/>
      <c r="I15" s="36"/>
      <c r="J15" s="37"/>
      <c r="K15" s="36"/>
      <c r="L15" s="36"/>
      <c r="M15" s="36"/>
      <c r="N15" s="36"/>
      <c r="O15" s="37">
        <f>200000</f>
        <v>200000</v>
      </c>
      <c r="P15" s="36"/>
      <c r="Q15" s="105">
        <f>SUM(G15:P15)</f>
        <v>200000</v>
      </c>
      <c r="R15" s="92">
        <f>(CB15+CI15)/8</f>
        <v>0</v>
      </c>
      <c r="S15" s="38">
        <f>R15/8</f>
        <v>0</v>
      </c>
      <c r="T15" s="38">
        <f>CS15/8</f>
        <v>0</v>
      </c>
      <c r="U15" s="38">
        <f>(CR15-CS15-CT15)/8</f>
        <v>0</v>
      </c>
      <c r="V15" s="38">
        <f>SUM(S15:U15)</f>
        <v>0</v>
      </c>
      <c r="W15" s="38">
        <f>DA15-V15</f>
        <v>0</v>
      </c>
      <c r="X15" s="38">
        <f>CU15/8</f>
        <v>0</v>
      </c>
      <c r="Y15" s="38">
        <f>CT15/8</f>
        <v>0</v>
      </c>
      <c r="Z15" s="38">
        <f>CC15</f>
        <v>0</v>
      </c>
      <c r="AA15" s="38">
        <f>CE15</f>
        <v>0</v>
      </c>
      <c r="AB15" s="38">
        <f>CG15</f>
        <v>0</v>
      </c>
      <c r="AC15" s="38">
        <f>CH15</f>
        <v>0</v>
      </c>
      <c r="AD15" s="38">
        <f>CD15</f>
        <v>0</v>
      </c>
      <c r="AE15" s="38">
        <f>CF15</f>
        <v>0</v>
      </c>
      <c r="AF15" s="107">
        <f>CI15</f>
        <v>0</v>
      </c>
      <c r="AG15" s="89">
        <f t="shared" ref="AG15:AN15" si="0">G15-G15/26*$W15</f>
        <v>0</v>
      </c>
      <c r="AH15" s="36">
        <f t="shared" si="0"/>
        <v>0</v>
      </c>
      <c r="AI15" s="36">
        <f t="shared" si="0"/>
        <v>0</v>
      </c>
      <c r="AJ15" s="36">
        <f t="shared" si="0"/>
        <v>0</v>
      </c>
      <c r="AK15" s="36">
        <f t="shared" si="0"/>
        <v>0</v>
      </c>
      <c r="AL15" s="36">
        <f t="shared" si="0"/>
        <v>0</v>
      </c>
      <c r="AM15" s="36">
        <f t="shared" si="0"/>
        <v>0</v>
      </c>
      <c r="AN15" s="36">
        <f t="shared" si="0"/>
        <v>0</v>
      </c>
      <c r="AO15" s="36">
        <f>O15/26*(S15+Y15)</f>
        <v>0</v>
      </c>
      <c r="AP15" s="36"/>
      <c r="AQ15" s="36">
        <f>P15-P15/26*$W15</f>
        <v>0</v>
      </c>
      <c r="AR15" s="36"/>
      <c r="AS15" s="105">
        <f>ROUND(SUM(AG15:AR15),0)</f>
        <v>0</v>
      </c>
      <c r="AT15" s="89"/>
      <c r="AU15" s="36">
        <f>SUM(G15:J15)/26*Y15</f>
        <v>0</v>
      </c>
      <c r="AV15" s="36">
        <f>SUM(G15:J15)/26*CZ15</f>
        <v>0</v>
      </c>
      <c r="AW15" s="36">
        <f>SUM(G15:J15)/208*Z15*1.5</f>
        <v>0</v>
      </c>
      <c r="AX15" s="36">
        <f>SUM(G15:J15)/208*AA15*2</f>
        <v>0</v>
      </c>
      <c r="AY15" s="36">
        <f>SUM(G15:J15)/208*AB15*3</f>
        <v>0</v>
      </c>
      <c r="AZ15" s="36">
        <f>SUM(G15:J15)/208*AC15*3.9</f>
        <v>0</v>
      </c>
      <c r="BA15" s="36">
        <f>SUM(G15:J15)/208*AD15*2</f>
        <v>0</v>
      </c>
      <c r="BB15" s="36">
        <f>SUM(G15:J15)/208*AE15*2.7</f>
        <v>0</v>
      </c>
      <c r="BC15" s="36">
        <f>SUM(G15:J15)/208*AF15*0.3</f>
        <v>0</v>
      </c>
      <c r="BD15" s="112">
        <f t="shared" ref="BD15" si="1">ROUND(SUM(AS15:BC15),0)</f>
        <v>0</v>
      </c>
      <c r="BE15" s="117">
        <f>IF(AND(DB15&lt;&gt;0,OR(V15+X15+Y15&gt;=14,DB15=1)),SUM(G15:J15)*8%,0)</f>
        <v>0</v>
      </c>
      <c r="BF15" s="36">
        <f>IF(AND(DD15&lt;&gt;0,OR(V15+X15+Y15&gt;=14,DD15=1)),SUM(G15:J15)*1.5%,0)</f>
        <v>0</v>
      </c>
      <c r="BG15" s="36">
        <f>IF(AND(DC15&lt;&gt;0,OR(V15+X15+Y15&gt;=14,DC15=1)),SUM(G15:J15)*1%,0)</f>
        <v>0</v>
      </c>
      <c r="BH15" s="36">
        <f>SUM(BE15:BG15)</f>
        <v>0</v>
      </c>
      <c r="BI15" s="36">
        <f>IF(AND(BE15&gt;0,BF15&gt;0,BG15&gt;0),35000,0)</f>
        <v>0</v>
      </c>
      <c r="BJ15" s="36">
        <v>4400000</v>
      </c>
      <c r="BK15" s="36">
        <v>11000000</v>
      </c>
      <c r="BL15" s="36">
        <f>AL15+AM15+AW15/1.5*0.5+AX15/2+AY15/3*2+AZ15/3.9*2.9+BC15+BA15/2+BB15/2.7*1.7</f>
        <v>0</v>
      </c>
      <c r="BM15" s="36">
        <f t="shared" ref="BM15" si="2">SUM(BJ15:BL15)+BH15</f>
        <v>15400000</v>
      </c>
      <c r="BN15" s="36">
        <f t="shared" ref="BN15" si="3">IF((BD15-BM15)&lt;0,0,BD15-BM15)</f>
        <v>0</v>
      </c>
      <c r="BO15" s="36">
        <f t="shared" ref="BO15" si="4">IF($BN15&lt;=5000000,$BN15*5%,IF($BN15&lt;=10000000,$BN15*10%-250000,IF($BN15&lt;=18000000,$BN15*15%-750000)))</f>
        <v>0</v>
      </c>
      <c r="BP15" s="36"/>
      <c r="BQ15" s="105">
        <f>BH15+BO15+BP15+BI15</f>
        <v>0</v>
      </c>
      <c r="BR15" s="118">
        <f t="shared" ref="BR15" si="5">ROUND(BD15-BQ15,0)</f>
        <v>0</v>
      </c>
    </row>
  </sheetData>
  <mergeCells count="77">
    <mergeCell ref="BJ12:BO12"/>
    <mergeCell ref="BP12:BP13"/>
    <mergeCell ref="BQ12:BQ13"/>
    <mergeCell ref="BR12:BR13"/>
    <mergeCell ref="CC11:CI11"/>
    <mergeCell ref="CK11:CQ11"/>
    <mergeCell ref="CB12:CB13"/>
    <mergeCell ref="CJ12:CJ13"/>
    <mergeCell ref="B5:E5"/>
    <mergeCell ref="H3:AN3"/>
    <mergeCell ref="H4:AN4"/>
    <mergeCell ref="AW12:AW13"/>
    <mergeCell ref="AX12:AX13"/>
    <mergeCell ref="AY12:AY13"/>
    <mergeCell ref="BA12:BA13"/>
    <mergeCell ref="BC12:BC13"/>
    <mergeCell ref="BD12:BD13"/>
    <mergeCell ref="AU12:AU13"/>
    <mergeCell ref="AV12:AV13"/>
    <mergeCell ref="BB12:BB13"/>
    <mergeCell ref="BI12:BI13"/>
    <mergeCell ref="BE12:BH12"/>
    <mergeCell ref="AO12:AO13"/>
    <mergeCell ref="AQ12:AQ13"/>
    <mergeCell ref="AR12:AR13"/>
    <mergeCell ref="AS12:AS13"/>
    <mergeCell ref="AT12:AT13"/>
    <mergeCell ref="AP12:AP13"/>
    <mergeCell ref="AZ12:AZ13"/>
    <mergeCell ref="AC12:AC13"/>
    <mergeCell ref="AN12:AN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X12:X13"/>
    <mergeCell ref="Y12:Y13"/>
    <mergeCell ref="Z12:Z13"/>
    <mergeCell ref="AA12:AA13"/>
    <mergeCell ref="AB12:AB13"/>
    <mergeCell ref="S12:S13"/>
    <mergeCell ref="T12:T13"/>
    <mergeCell ref="U12:U13"/>
    <mergeCell ref="V12:V13"/>
    <mergeCell ref="W12:W13"/>
    <mergeCell ref="B12:B13"/>
    <mergeCell ref="C12:C13"/>
    <mergeCell ref="D12:D13"/>
    <mergeCell ref="E12:E13"/>
    <mergeCell ref="F12:F13"/>
    <mergeCell ref="G12:G13"/>
    <mergeCell ref="CR12:CU12"/>
    <mergeCell ref="CR11:CY11"/>
    <mergeCell ref="CV12:CY12"/>
    <mergeCell ref="Q12:Q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AD12:AD13"/>
    <mergeCell ref="R12:R13"/>
    <mergeCell ref="DB11:DB13"/>
    <mergeCell ref="DC11:DC13"/>
    <mergeCell ref="DD11:DD13"/>
    <mergeCell ref="DE11:DE13"/>
    <mergeCell ref="CZ11:CZ13"/>
    <mergeCell ref="DA11:DA13"/>
  </mergeCells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2021-01-16T09:12:56Z</dcterms:created>
  <dcterms:modified xsi:type="dcterms:W3CDTF">2021-02-09T06:08:07Z</dcterms:modified>
</cp:coreProperties>
</file>