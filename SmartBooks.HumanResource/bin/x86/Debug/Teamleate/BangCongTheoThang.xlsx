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0" documentId="13_ncr:1_{22ABEB38-7E00-43DF-B39D-6E15A97A1FF1}" xr6:coauthVersionLast="47" xr6:coauthVersionMax="47" xr10:uidLastSave="{00000000-0000-0000-0000-000000000000}"/>
  <bookViews>
    <workbookView xWindow="28680" yWindow="456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Sheet1!$9:$10</definedName>
  </definedNames>
  <calcPr calcId="181029"/>
</workbook>
</file>

<file path=xl/calcChain.xml><?xml version="1.0" encoding="utf-8"?>
<calcChain xmlns="http://schemas.openxmlformats.org/spreadsheetml/2006/main">
  <c r="E2" i="1" l="1"/>
  <c r="E1" i="1"/>
  <c r="BE11" i="1" l="1"/>
  <c r="B5" i="1" l="1"/>
  <c r="AM8" i="1" l="1"/>
  <c r="AM9" i="1" s="1"/>
  <c r="AL8" i="1"/>
  <c r="AL9" i="1" s="1"/>
  <c r="AK8" i="1"/>
  <c r="AK9" i="1" s="1"/>
  <c r="AJ8" i="1"/>
  <c r="AJ9" i="1" s="1"/>
  <c r="AI8" i="1"/>
  <c r="AI9" i="1" s="1"/>
  <c r="AH8" i="1"/>
  <c r="AH9" i="1" s="1"/>
  <c r="AG8" i="1"/>
  <c r="AG9" i="1" s="1"/>
  <c r="AF8" i="1"/>
  <c r="AF9" i="1" s="1"/>
  <c r="AE8" i="1"/>
  <c r="AE9" i="1" s="1"/>
  <c r="AD8" i="1"/>
  <c r="AD9" i="1" s="1"/>
  <c r="AC8" i="1"/>
  <c r="AC9" i="1" s="1"/>
  <c r="AB8" i="1"/>
  <c r="AB9" i="1" s="1"/>
  <c r="AA8" i="1"/>
  <c r="AA9" i="1" s="1"/>
  <c r="Z8" i="1"/>
  <c r="Z9" i="1" s="1"/>
  <c r="Y8" i="1"/>
  <c r="Y9" i="1" s="1"/>
  <c r="X8" i="1"/>
  <c r="X9" i="1" s="1"/>
  <c r="W8" i="1"/>
  <c r="W9" i="1" s="1"/>
  <c r="V8" i="1"/>
  <c r="V9" i="1" s="1"/>
  <c r="U8" i="1"/>
  <c r="U9" i="1" s="1"/>
  <c r="T8" i="1"/>
  <c r="T9" i="1" s="1"/>
  <c r="S8" i="1"/>
  <c r="S9" i="1" s="1"/>
  <c r="R8" i="1"/>
  <c r="R9" i="1" s="1"/>
  <c r="Q8" i="1"/>
  <c r="Q9" i="1" s="1"/>
  <c r="P8" i="1"/>
  <c r="P9" i="1" s="1"/>
  <c r="O8" i="1"/>
  <c r="O9" i="1" s="1"/>
  <c r="N8" i="1"/>
  <c r="N9" i="1" s="1"/>
  <c r="M8" i="1"/>
  <c r="M9" i="1" s="1"/>
  <c r="L8" i="1"/>
  <c r="L9" i="1" s="1"/>
  <c r="K8" i="1"/>
  <c r="K9" i="1" s="1"/>
  <c r="J8" i="1"/>
  <c r="J9" i="1" s="1"/>
  <c r="I8" i="1"/>
  <c r="I9" i="1" s="1"/>
</calcChain>
</file>

<file path=xl/sharedStrings.xml><?xml version="1.0" encoding="utf-8"?>
<sst xmlns="http://schemas.openxmlformats.org/spreadsheetml/2006/main" count="145" uniqueCount="100">
  <si>
    <t>No</t>
  </si>
  <si>
    <t>Join Date</t>
  </si>
  <si>
    <t>STT</t>
  </si>
  <si>
    <t>Ngày vào</t>
  </si>
  <si>
    <t>G</t>
  </si>
  <si>
    <t>Employee_ID</t>
  </si>
  <si>
    <t>FullName</t>
  </si>
  <si>
    <t>StartedDate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</si>
  <si>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</si>
  <si>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</si>
  <si>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</si>
  <si>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</si>
  <si>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</si>
  <si>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</si>
  <si>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</si>
  <si>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</si>
  <si>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</si>
  <si>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</si>
  <si>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</si>
  <si>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</si>
  <si>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</si>
  <si>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</si>
  <si>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</si>
  <si>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</si>
  <si>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</si>
  <si>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</si>
  <si>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</si>
  <si>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</si>
  <si>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</si>
  <si>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</si>
  <si>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</si>
  <si>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</si>
  <si>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</si>
  <si>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</si>
  <si>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</si>
  <si>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</si>
  <si>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</si>
  <si>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</si>
  <si>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</si>
  <si>
    <t>Mã bộ phận</t>
  </si>
  <si>
    <t>Ngày 100%</t>
  </si>
  <si>
    <t>Đêm 130%</t>
  </si>
  <si>
    <t>TC CN đêm 270%</t>
  </si>
  <si>
    <t>TC đêm 200%</t>
  </si>
  <si>
    <t>TC ngày 150%</t>
  </si>
  <si>
    <t>BẢNG CHẤM CÔNG - WORKING SUMMARY</t>
  </si>
  <si>
    <t>CN ngày 200%</t>
  </si>
  <si>
    <t>Expired Date</t>
  </si>
  <si>
    <t>Ngày nghỉ việc</t>
  </si>
  <si>
    <t>TernimationDate</t>
  </si>
  <si>
    <t>Ngày lễ 300%</t>
  </si>
  <si>
    <t>Tổng số ngày đã nghỉ (day)</t>
  </si>
  <si>
    <t>Nghỉ vô lý do</t>
  </si>
  <si>
    <t>Ký tên xác nhận</t>
  </si>
  <si>
    <t>Nghỉ không lương</t>
  </si>
  <si>
    <t>NghiKhongLuong</t>
  </si>
  <si>
    <t>NghiKhongPhep</t>
  </si>
  <si>
    <t>FactoryName</t>
  </si>
  <si>
    <t>Factory Name</t>
  </si>
  <si>
    <t>Nghỉ hưởng lương</t>
  </si>
  <si>
    <t>NghiLe</t>
  </si>
  <si>
    <t>Nghỉ Lễ</t>
  </si>
  <si>
    <t>Employee ID
Mã số</t>
  </si>
  <si>
    <t>Full Name
Họ và tên</t>
  </si>
  <si>
    <t>Total leave day</t>
  </si>
  <si>
    <t>Holiday</t>
  </si>
  <si>
    <t>Leave company pay</t>
  </si>
  <si>
    <t>Leave non-pay</t>
  </si>
  <si>
    <t>Leave non-reason</t>
  </si>
  <si>
    <t>TC đêm lễ 490%</t>
  </si>
  <si>
    <t>ThoiGianDiTreVeSom</t>
  </si>
  <si>
    <t>SoLanDiTreVeSom</t>
  </si>
  <si>
    <t>SoLanXinRaNgoai</t>
  </si>
  <si>
    <t>Thời gian ĐT-VS</t>
  </si>
  <si>
    <t>Số lần đi trễ về sớm</t>
  </si>
  <si>
    <t>Ra giữa giờ</t>
  </si>
  <si>
    <t>PhepHuongLuong</t>
  </si>
  <si>
    <t>Thứ 7 được nghỉ</t>
  </si>
  <si>
    <t>CT</t>
  </si>
  <si>
    <t>TV</t>
  </si>
  <si>
    <t>Gio100CT</t>
  </si>
  <si>
    <t>Gio100TV</t>
  </si>
  <si>
    <t>Nghỉ phép</t>
  </si>
  <si>
    <t>TypeOfWT</t>
  </si>
  <si>
    <t>Type Of Working</t>
  </si>
  <si>
    <t>Loại công</t>
  </si>
  <si>
    <t>Gio130CT</t>
  </si>
  <si>
    <t>Gio130TV</t>
  </si>
  <si>
    <t>Gio150CT</t>
  </si>
  <si>
    <t>Gio150TV</t>
  </si>
  <si>
    <t>Gio200CT</t>
  </si>
  <si>
    <t>Gio200TV</t>
  </si>
  <si>
    <t>Gio210CT</t>
  </si>
  <si>
    <t>Gio210TV</t>
  </si>
  <si>
    <t>Gio270CT</t>
  </si>
  <si>
    <t>Gio270TV</t>
  </si>
  <si>
    <t>Gio300CT</t>
  </si>
  <si>
    <t>Gio300TV</t>
  </si>
  <si>
    <t>Gio390CT</t>
  </si>
  <si>
    <t>Gio390TV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</si>
</sst>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8"/>
      <color rgb="FF000080"/>
      <name val="Times New Roman"/>
      <family val="1"/>
    </font>
    <font>
      <sz val="12"/>
      <color rgb="FF000080"/>
      <name val="Times New Roman"/>
      <family val="1"/>
    </font>
    <font>
      <b/>
      <sz val="10"/>
      <color rgb="FF000080"/>
      <name val="Times New Roman"/>
      <family val="1"/>
    </font>
    <font>
      <sz val="10"/>
      <color rgb="FF000080"/>
      <name val="Times New Roman"/>
      <family val="1"/>
    </font>
    <font>
      <sz val="10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b/>
      <sz val="7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5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8" fillId="0" borderId="0" xfId="0" applyFont="1"/>
    <xf numFmtId="14" fontId="3" fillId="0" borderId="0" xfId="0" applyNumberFormat="1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14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3" fillId="0" borderId="2" xfId="0" applyFont="1" applyBorder="1" applyAlignment="1">
      <alignment wrapText="1"/>
    </xf>
    <xf numFmtId="2" fontId="3" fillId="0" borderId="0" xfId="0" applyNumberFormat="1" applyFont="1" applyAlignment="1">
      <alignment horizontal="center"/>
    </xf>
    <xf numFmtId="2" fontId="3" fillId="0" borderId="2" xfId="0" applyNumberFormat="1" applyFont="1" applyBorder="1" applyAlignment="1">
      <alignment horizontal="center"/>
    </xf>
    <xf numFmtId="2" fontId="3" fillId="0" borderId="0" xfId="0" quotePrefix="1" applyNumberFormat="1" applyFont="1" applyAlignment="1">
      <alignment horizontal="center"/>
    </xf>
    <xf numFmtId="0" fontId="2" fillId="0" borderId="0" xfId="1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49" fontId="3" fillId="0" borderId="0" xfId="0" applyNumberFormat="1" applyFont="1" applyAlignment="1">
      <alignment horizontal="center"/>
    </xf>
    <xf numFmtId="49" fontId="3" fillId="0" borderId="2" xfId="0" applyNumberFormat="1" applyFont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vertical="center" wrapText="1"/>
    </xf>
    <xf numFmtId="14" fontId="0" fillId="0" borderId="0" xfId="0" applyNumberForma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2" fillId="0" borderId="0" xfId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3" fillId="0" borderId="2" xfId="0" applyNumberFormat="1" applyFont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00000000-0005-0000-0000-000001000000}"/>
  </cellStyles>
  <dxfs count="2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0</xdr:row>
      <xdr:rowOff>47625</xdr:rowOff>
    </xdr:from>
    <xdr:to>
      <xdr:col>3</xdr:col>
      <xdr:colOff>330973</xdr:colOff>
      <xdr:row>2</xdr:row>
      <xdr:rowOff>157844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6B0750A-0B0F-40E5-A0ED-5C1E3FE4D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47625"/>
          <a:ext cx="1292998" cy="681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301"/>
  <sheetViews>
    <sheetView showZeros="0" tabSelected="1" topLeftCell="B1" zoomScaleNormal="100" workbookViewId="0">
      <pane xSplit="6" ySplit="10" topLeftCell="H11" activePane="bottomRight" state="frozen"/>
      <selection activeCell="B1" sqref="B1"/>
      <selection pane="topRight" activeCell="H1" sqref="H1"/>
      <selection pane="bottomLeft" activeCell="B11" sqref="B11"/>
      <selection pane="bottomRight" activeCell="D11" sqref="D11"/>
    </sheetView>
  </sheetViews>
  <sheetFormatPr defaultColWidth="9.140625" defaultRowHeight="15"/>
  <cols>
    <col min="1" max="1" width="9.140625" style="1" hidden="1" customWidth="1"/>
    <col min="2" max="2" width="5" style="2" customWidth="1"/>
    <col min="3" max="3" width="11.85546875" style="2" customWidth="1"/>
    <col min="4" max="4" width="9" style="21" customWidth="1"/>
    <col min="5" max="5" width="18.140625" style="8" customWidth="1"/>
    <col min="6" max="6" width="9.7109375" style="2" customWidth="1"/>
    <col min="7" max="7" width="12" style="2" customWidth="1"/>
    <col min="8" max="8" width="13.5703125" style="35" customWidth="1"/>
    <col min="9" max="39" width="4" style="2" customWidth="1"/>
    <col min="40" max="56" width="6.42578125" style="13" customWidth="1"/>
    <col min="57" max="57" width="8.85546875" style="13" customWidth="1"/>
    <col min="58" max="58" width="6.7109375" style="13" customWidth="1"/>
    <col min="59" max="64" width="6.42578125" style="13" customWidth="1"/>
    <col min="65" max="65" width="20.7109375" style="13" customWidth="1"/>
    <col min="66" max="66" width="23" style="2" bestFit="1" customWidth="1"/>
    <col min="67" max="68" width="23" bestFit="1" customWidth="1"/>
    <col min="69" max="69" width="19.85546875" bestFit="1" customWidth="1"/>
    <col min="70" max="72" width="17" bestFit="1" customWidth="1"/>
    <col min="73" max="73" width="23" bestFit="1" customWidth="1"/>
    <col min="74" max="74" width="14.140625" bestFit="1" customWidth="1"/>
    <col min="75" max="75" width="18" bestFit="1" customWidth="1"/>
    <col min="76" max="76" width="17.7109375" bestFit="1" customWidth="1"/>
    <col min="77" max="83" width="9" customWidth="1"/>
    <col min="84" max="16384" width="9.140625" style="1"/>
  </cols>
  <sheetData>
    <row r="1" spans="1:83" s="9" customFormat="1" ht="22.5" customHeight="1">
      <c r="A1" s="9">
        <v>1</v>
      </c>
      <c r="B1" s="10"/>
      <c r="C1" s="16"/>
      <c r="D1" s="16"/>
      <c r="E1" s="25" t="str">
        <f>"BẢNG CHẤM CÔNG THÁNG " &amp; MONTH(A1*29) &amp;" NĂM " &amp; A2</f>
        <v>BẢNG CHẤM CÔNG THÁNG 1 NĂM 2</v>
      </c>
      <c r="F1" s="16"/>
      <c r="G1" s="16"/>
      <c r="H1" s="34"/>
      <c r="I1" s="16"/>
      <c r="J1" s="16"/>
      <c r="K1" s="16"/>
      <c r="L1" s="16"/>
      <c r="M1" s="10"/>
      <c r="N1" s="10"/>
      <c r="O1" s="10"/>
      <c r="P1" s="10"/>
      <c r="Q1" s="10"/>
      <c r="R1" s="10"/>
      <c r="S1" s="10"/>
      <c r="T1" s="10"/>
      <c r="U1" s="10"/>
      <c r="AA1" s="17"/>
      <c r="AB1" s="17"/>
      <c r="AC1" s="18"/>
      <c r="AD1" s="19"/>
      <c r="AE1" s="19"/>
      <c r="AH1" s="18"/>
      <c r="AI1" s="19"/>
      <c r="AJ1" s="18"/>
      <c r="AL1" s="19"/>
      <c r="AM1" s="18"/>
      <c r="AN1" s="19"/>
      <c r="AO1" s="19"/>
      <c r="AP1" s="19"/>
      <c r="AQ1" s="17"/>
      <c r="AR1" s="17"/>
      <c r="AS1" s="18"/>
      <c r="AT1" s="18"/>
      <c r="AU1" s="19"/>
      <c r="AV1" s="19"/>
      <c r="AW1" s="17"/>
      <c r="AX1" s="17"/>
      <c r="AY1" s="17"/>
      <c r="AZ1" s="17"/>
      <c r="BA1" s="18"/>
      <c r="BB1" s="18"/>
      <c r="BF1" s="19"/>
      <c r="BN1" s="10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</row>
    <row r="2" spans="1:83" s="9" customFormat="1" ht="22.5" customHeight="1">
      <c r="A2" s="9">
        <v>2</v>
      </c>
      <c r="B2" s="10"/>
      <c r="C2" s="16"/>
      <c r="D2" s="16"/>
      <c r="E2" s="25" t="str">
        <f>"Timesheet " &amp; TEXT(A1*29,"MMMM") &amp; " " &amp; A2</f>
        <v>Timesheet January 2</v>
      </c>
      <c r="F2" s="16"/>
      <c r="G2" s="16"/>
      <c r="H2" s="34"/>
      <c r="I2" s="16"/>
      <c r="J2" s="16"/>
      <c r="K2" s="16"/>
      <c r="L2" s="10"/>
      <c r="M2" s="10"/>
      <c r="N2" s="10"/>
      <c r="O2" s="10"/>
      <c r="P2" s="10"/>
      <c r="Q2" s="10"/>
      <c r="R2" s="10"/>
      <c r="S2" s="10"/>
      <c r="T2" s="10"/>
      <c r="U2" s="10"/>
      <c r="AA2" s="17"/>
      <c r="AB2" s="17"/>
      <c r="AC2" s="18"/>
      <c r="AD2" s="19"/>
      <c r="AE2" s="19"/>
      <c r="AH2" s="18"/>
      <c r="AI2" s="19"/>
      <c r="AJ2" s="18"/>
      <c r="AL2" s="19"/>
      <c r="AM2" s="18"/>
      <c r="AN2" s="19"/>
      <c r="AO2" s="19"/>
      <c r="AP2" s="19"/>
      <c r="AQ2" s="17"/>
      <c r="AR2" s="17"/>
      <c r="AS2" s="18"/>
      <c r="AT2" s="18"/>
      <c r="AU2" s="19"/>
      <c r="AV2" s="19"/>
      <c r="AW2" s="17"/>
      <c r="AX2" s="17"/>
      <c r="AY2" s="17"/>
      <c r="AZ2" s="17"/>
      <c r="BA2" s="18"/>
      <c r="BB2" s="18"/>
      <c r="BF2" s="19"/>
      <c r="BN2" s="10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</row>
    <row r="3" spans="1:83" s="9" customFormat="1" ht="22.5" customHeight="1">
      <c r="A3" s="9">
        <v>3</v>
      </c>
      <c r="B3" s="10"/>
      <c r="C3" s="16"/>
      <c r="D3" s="16"/>
      <c r="F3" s="16"/>
      <c r="G3" s="16"/>
      <c r="H3" s="34"/>
      <c r="I3" s="16"/>
      <c r="J3" s="16"/>
      <c r="K3" s="16"/>
      <c r="L3" s="10"/>
      <c r="M3" s="10"/>
      <c r="N3" s="10"/>
      <c r="O3" s="10"/>
      <c r="P3" s="10"/>
      <c r="Q3" s="10"/>
      <c r="R3" s="10"/>
      <c r="S3" s="10"/>
      <c r="T3" s="10"/>
      <c r="U3" s="10"/>
      <c r="AA3" s="17"/>
      <c r="AB3" s="17"/>
      <c r="AC3" s="18"/>
      <c r="AD3" s="19"/>
      <c r="AE3" s="19"/>
      <c r="AH3" s="18"/>
      <c r="AI3" s="19"/>
      <c r="AJ3" s="18"/>
      <c r="AL3" s="19"/>
      <c r="AM3" s="18"/>
      <c r="AN3" s="19"/>
      <c r="AO3" s="19"/>
      <c r="AP3" s="19"/>
      <c r="AQ3" s="17"/>
      <c r="AR3" s="17"/>
      <c r="AS3" s="18"/>
      <c r="AT3" s="18"/>
      <c r="AU3" s="19"/>
      <c r="AV3" s="19"/>
      <c r="AW3" s="17"/>
      <c r="AX3" s="17"/>
      <c r="AY3" s="17"/>
      <c r="AZ3" s="17"/>
      <c r="BA3" s="17"/>
      <c r="BB3" s="17"/>
      <c r="BC3" s="18"/>
      <c r="BD3" s="18"/>
      <c r="BE3" s="18"/>
      <c r="BF3" s="18"/>
      <c r="BG3" s="19"/>
      <c r="BH3" s="19"/>
      <c r="BI3" s="19"/>
      <c r="BJ3" s="19"/>
      <c r="BK3" s="19"/>
      <c r="BL3" s="19"/>
      <c r="BM3" s="19"/>
      <c r="BN3" s="10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</row>
    <row r="4" spans="1:83" s="9" customFormat="1" ht="22.5">
      <c r="A4" s="9">
        <v>4</v>
      </c>
      <c r="B4" s="44" t="s">
        <v>45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31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10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</row>
    <row r="5" spans="1:83" s="9" customFormat="1" ht="15.75">
      <c r="A5" s="9">
        <v>5</v>
      </c>
      <c r="B5" s="45" t="str">
        <f>"Month:" &amp; "  " &amp; A1 &amp; " - " &amp; A2</f>
        <v>Month:  1 - 2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32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0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</row>
    <row r="6" spans="1:83" ht="15.75" hidden="1" customHeight="1">
      <c r="A6" s="1">
        <v>6</v>
      </c>
      <c r="B6" s="2">
        <v>2</v>
      </c>
      <c r="C6" s="2" t="s">
        <v>4</v>
      </c>
      <c r="D6" s="2" t="s">
        <v>4</v>
      </c>
      <c r="E6" s="8" t="s">
        <v>4</v>
      </c>
      <c r="F6" s="2" t="s">
        <v>4</v>
      </c>
      <c r="G6" s="2" t="s">
        <v>4</v>
      </c>
      <c r="H6" s="35">
        <v>2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 s="2">
        <v>1</v>
      </c>
      <c r="S6" s="2">
        <v>1</v>
      </c>
      <c r="T6" s="2">
        <v>1</v>
      </c>
      <c r="U6" s="2">
        <v>1</v>
      </c>
      <c r="V6" s="2">
        <v>1</v>
      </c>
      <c r="W6" s="2">
        <v>1</v>
      </c>
      <c r="X6" s="2">
        <v>1</v>
      </c>
      <c r="Y6" s="2">
        <v>1</v>
      </c>
      <c r="Z6" s="2">
        <v>1</v>
      </c>
      <c r="AA6" s="2">
        <v>1</v>
      </c>
      <c r="AB6" s="2">
        <v>1</v>
      </c>
      <c r="AC6" s="2">
        <v>1</v>
      </c>
      <c r="AD6" s="2">
        <v>1</v>
      </c>
      <c r="AE6" s="2">
        <v>1</v>
      </c>
      <c r="AF6" s="2">
        <v>1</v>
      </c>
      <c r="AG6" s="2">
        <v>1</v>
      </c>
      <c r="AH6" s="2">
        <v>1</v>
      </c>
      <c r="AI6" s="2">
        <v>1</v>
      </c>
      <c r="AJ6" s="2">
        <v>1</v>
      </c>
      <c r="AK6" s="2">
        <v>1</v>
      </c>
      <c r="AL6" s="2">
        <v>1</v>
      </c>
      <c r="AM6" s="2">
        <v>1</v>
      </c>
      <c r="AN6" s="13" t="s">
        <v>4</v>
      </c>
      <c r="AO6" s="13" t="s">
        <v>4</v>
      </c>
      <c r="AP6" s="13" t="s">
        <v>4</v>
      </c>
      <c r="AQ6" s="2" t="s">
        <v>4</v>
      </c>
      <c r="AR6" s="2" t="s">
        <v>4</v>
      </c>
      <c r="AS6" s="2" t="s">
        <v>4</v>
      </c>
      <c r="AT6" s="2" t="s">
        <v>4</v>
      </c>
      <c r="AU6" s="2" t="s">
        <v>4</v>
      </c>
      <c r="AV6" s="2" t="s">
        <v>4</v>
      </c>
      <c r="AW6" s="2" t="s">
        <v>4</v>
      </c>
      <c r="AX6" s="2" t="s">
        <v>4</v>
      </c>
      <c r="AY6" s="2" t="s">
        <v>4</v>
      </c>
      <c r="AZ6" s="2" t="s">
        <v>4</v>
      </c>
      <c r="BA6" s="2" t="s">
        <v>4</v>
      </c>
      <c r="BB6" s="2" t="s">
        <v>4</v>
      </c>
      <c r="BC6" s="2" t="s">
        <v>4</v>
      </c>
      <c r="BD6" s="2" t="s">
        <v>4</v>
      </c>
      <c r="BE6" s="2" t="s">
        <v>4</v>
      </c>
      <c r="BF6" s="2" t="s">
        <v>4</v>
      </c>
      <c r="BG6" s="2" t="s">
        <v>4</v>
      </c>
      <c r="BH6" s="2" t="s">
        <v>4</v>
      </c>
      <c r="BI6" s="2" t="s">
        <v>4</v>
      </c>
      <c r="BJ6" s="2" t="s">
        <v>4</v>
      </c>
      <c r="BK6" s="2" t="s">
        <v>4</v>
      </c>
      <c r="BL6" s="2" t="s">
        <v>4</v>
      </c>
      <c r="BM6" s="2" t="s">
        <v>4</v>
      </c>
    </row>
    <row r="7" spans="1:83" ht="15.75" hidden="1" customHeight="1">
      <c r="B7" s="2" t="s">
        <v>0</v>
      </c>
      <c r="C7" s="2" t="s">
        <v>57</v>
      </c>
      <c r="D7" s="2" t="s">
        <v>5</v>
      </c>
      <c r="E7" s="8" t="s">
        <v>6</v>
      </c>
      <c r="F7" s="2" t="s">
        <v>7</v>
      </c>
      <c r="G7" s="2" t="s">
        <v>49</v>
      </c>
      <c r="H7" s="35" t="s">
        <v>83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18</v>
      </c>
      <c r="T7" s="2" t="s">
        <v>19</v>
      </c>
      <c r="U7" s="2" t="s">
        <v>20</v>
      </c>
      <c r="V7" s="2" t="s">
        <v>21</v>
      </c>
      <c r="W7" s="2" t="s">
        <v>22</v>
      </c>
      <c r="X7" s="2" t="s">
        <v>23</v>
      </c>
      <c r="Y7" s="2" t="s">
        <v>24</v>
      </c>
      <c r="Z7" s="2" t="s">
        <v>25</v>
      </c>
      <c r="AA7" s="2" t="s">
        <v>26</v>
      </c>
      <c r="AB7" s="2" t="s">
        <v>27</v>
      </c>
      <c r="AC7" s="2" t="s">
        <v>28</v>
      </c>
      <c r="AD7" s="2" t="s">
        <v>29</v>
      </c>
      <c r="AE7" s="2" t="s">
        <v>30</v>
      </c>
      <c r="AF7" s="2" t="s">
        <v>31</v>
      </c>
      <c r="AG7" s="2" t="s">
        <v>32</v>
      </c>
      <c r="AH7" s="2" t="s">
        <v>33</v>
      </c>
      <c r="AI7" s="2" t="s">
        <v>34</v>
      </c>
      <c r="AJ7" s="2" t="s">
        <v>35</v>
      </c>
      <c r="AK7" s="2" t="s">
        <v>36</v>
      </c>
      <c r="AL7" s="2" t="s">
        <v>37</v>
      </c>
      <c r="AM7" s="2" t="s">
        <v>38</v>
      </c>
      <c r="AN7" s="13" t="s">
        <v>80</v>
      </c>
      <c r="AO7" s="13" t="s">
        <v>81</v>
      </c>
      <c r="AP7" s="13" t="s">
        <v>76</v>
      </c>
      <c r="AQ7" s="2" t="s">
        <v>88</v>
      </c>
      <c r="AR7" s="2" t="s">
        <v>89</v>
      </c>
      <c r="AS7" s="2" t="s">
        <v>86</v>
      </c>
      <c r="AT7" s="2" t="s">
        <v>87</v>
      </c>
      <c r="AU7" s="2" t="s">
        <v>92</v>
      </c>
      <c r="AV7" s="2" t="s">
        <v>93</v>
      </c>
      <c r="AW7" s="2" t="s">
        <v>90</v>
      </c>
      <c r="AX7" s="2" t="s">
        <v>91</v>
      </c>
      <c r="AY7" s="2" t="s">
        <v>94</v>
      </c>
      <c r="AZ7" s="2" t="s">
        <v>95</v>
      </c>
      <c r="BA7" s="2" t="s">
        <v>96</v>
      </c>
      <c r="BB7" s="2" t="s">
        <v>97</v>
      </c>
      <c r="BC7" s="2" t="s">
        <v>98</v>
      </c>
      <c r="BD7" s="2" t="s">
        <v>99</v>
      </c>
      <c r="BE7" s="2"/>
      <c r="BF7" s="2" t="s">
        <v>60</v>
      </c>
      <c r="BG7" s="2" t="s">
        <v>76</v>
      </c>
      <c r="BH7" s="2" t="s">
        <v>55</v>
      </c>
      <c r="BI7" s="2" t="s">
        <v>56</v>
      </c>
      <c r="BJ7" s="2" t="s">
        <v>70</v>
      </c>
      <c r="BK7" s="2" t="s">
        <v>71</v>
      </c>
      <c r="BL7" s="2" t="s">
        <v>72</v>
      </c>
      <c r="BM7" s="2"/>
    </row>
    <row r="8" spans="1:83" ht="15.75" hidden="1" customHeight="1">
      <c r="D8" s="2"/>
      <c r="I8" s="4">
        <f>DATE($A$2,$A$1,1)</f>
        <v>732</v>
      </c>
      <c r="J8" s="4">
        <f>DATE($A$2,$A$1,2)</f>
        <v>733</v>
      </c>
      <c r="K8" s="4">
        <f>DATE($A$2,$A$1,3)</f>
        <v>734</v>
      </c>
      <c r="L8" s="4">
        <f>DATE($A$2,$A$1,4)</f>
        <v>735</v>
      </c>
      <c r="M8" s="4">
        <f>DATE($A$2,$A$1,5)</f>
        <v>736</v>
      </c>
      <c r="N8" s="4">
        <f>DATE($A$2,$A$1,6)</f>
        <v>737</v>
      </c>
      <c r="O8" s="4">
        <f>DATE($A$2,$A$1,7)</f>
        <v>738</v>
      </c>
      <c r="P8" s="4">
        <f>DATE($A$2,$A$1,8)</f>
        <v>739</v>
      </c>
      <c r="Q8" s="4">
        <f>DATE($A$2,$A$1,9)</f>
        <v>740</v>
      </c>
      <c r="R8" s="4">
        <f>DATE($A$2,$A$1,10)</f>
        <v>741</v>
      </c>
      <c r="S8" s="4">
        <f>DATE($A$2,$A$1,11)</f>
        <v>742</v>
      </c>
      <c r="T8" s="4">
        <f>DATE($A$2,$A$1,12)</f>
        <v>743</v>
      </c>
      <c r="U8" s="4">
        <f>DATE($A$2,$A$1,13)</f>
        <v>744</v>
      </c>
      <c r="V8" s="4">
        <f>DATE($A$2,$A$1,14)</f>
        <v>745</v>
      </c>
      <c r="W8" s="4">
        <f>DATE($A$2,$A$1,15)</f>
        <v>746</v>
      </c>
      <c r="X8" s="4">
        <f>DATE($A$2,$A$1,16)</f>
        <v>747</v>
      </c>
      <c r="Y8" s="4">
        <f>DATE($A$2,$A$1,17)</f>
        <v>748</v>
      </c>
      <c r="Z8" s="4">
        <f>DATE($A$2,$A$1,18)</f>
        <v>749</v>
      </c>
      <c r="AA8" s="4">
        <f>DATE($A$2,$A$1,19)</f>
        <v>750</v>
      </c>
      <c r="AB8" s="4">
        <f>DATE($A$2,$A$1,20)</f>
        <v>751</v>
      </c>
      <c r="AC8" s="4">
        <f>DATE($A$2,$A$1,21)</f>
        <v>752</v>
      </c>
      <c r="AD8" s="4">
        <f>DATE($A$2,$A$1,22)</f>
        <v>753</v>
      </c>
      <c r="AE8" s="4">
        <f>DATE($A$2,$A$1,23)</f>
        <v>754</v>
      </c>
      <c r="AF8" s="4">
        <f>DATE($A$2,$A$1,24)</f>
        <v>755</v>
      </c>
      <c r="AG8" s="4">
        <f>DATE($A$2,$A$1,25)</f>
        <v>756</v>
      </c>
      <c r="AH8" s="4">
        <f>DATE($A$2,$A$1,26)</f>
        <v>757</v>
      </c>
      <c r="AI8" s="4">
        <f>DATE($A$2,$A$1,27)</f>
        <v>758</v>
      </c>
      <c r="AJ8" s="4">
        <f>DATE($A$2,$A$1,28)</f>
        <v>759</v>
      </c>
      <c r="AK8" s="4">
        <f>DATE($A$2,$A$1,29)</f>
        <v>760</v>
      </c>
      <c r="AL8" s="4">
        <f>DATE($A$2,$A$1,30)</f>
        <v>761</v>
      </c>
      <c r="AM8" s="4">
        <f>DATE($A$2,$A$1,31)</f>
        <v>762</v>
      </c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</row>
    <row r="9" spans="1:83" ht="38.25" customHeight="1">
      <c r="A9" s="6"/>
      <c r="B9" s="39" t="s">
        <v>2</v>
      </c>
      <c r="C9" s="24" t="s">
        <v>58</v>
      </c>
      <c r="D9" s="40" t="s">
        <v>62</v>
      </c>
      <c r="E9" s="40" t="s">
        <v>63</v>
      </c>
      <c r="F9" s="24" t="s">
        <v>1</v>
      </c>
      <c r="G9" s="24" t="s">
        <v>47</v>
      </c>
      <c r="H9" s="33" t="s">
        <v>84</v>
      </c>
      <c r="I9" s="41" t="str">
        <f>+IF(WEEKDAY(I8)=1,"CN",IF(WEEKDAY(I8)=2,"T2",IF(WEEKDAY(I8)=3,"T3",IF(WEEKDAY(I8)=4,"T4",IF(WEEKDAY(I8)=5,"T5",IF(WEEKDAY(I8)=6,"T6",IF(WEEKDAY(I8)=7,"T7") &amp; IF(MOD(I8-BO11,14) = 0,"N",""))))))) &amp; "
" &amp;DAY(I8)</f>
        <v>T4
1</v>
      </c>
      <c r="J9" s="41" t="str">
        <f>+IF(WEEKDAY(J8)=1,"CN",IF(WEEKDAY(J8)=2,"T2",IF(WEEKDAY(J8)=3,"T3",IF(WEEKDAY(J8)=4,"T4",IF(WEEKDAY(J8)=5,"T5",IF(WEEKDAY(J8)=6,"T6",IF(WEEKDAY(J8)=7,"T7") &amp; IF(MOD(J8-BP11,14) = 0,"N",""))))))) &amp; "
" &amp;DAY(J8)</f>
        <v>T5
2</v>
      </c>
      <c r="K9" s="41" t="str">
        <f>+IF(WEEKDAY(K8)=1,"CN",IF(WEEKDAY(K8)=2,"T2",IF(WEEKDAY(K8)=3,"T3",IF(WEEKDAY(K8)=4,"T4",IF(WEEKDAY(K8)=5,"T5",IF(WEEKDAY(K8)=6,"T6",IF(WEEKDAY(K8)=7,"T7") &amp; IF(MOD(K8-BQ11,14) = 0,"N",""))))))) &amp; "
" &amp;DAY(K8)</f>
        <v>T6
3</v>
      </c>
      <c r="L9" s="41" t="str">
        <f>+IF(WEEKDAY(L8)=1,"CN",IF(WEEKDAY(L8)=2,"T2",IF(WEEKDAY(L8)=3,"T3",IF(WEEKDAY(L8)=4,"T4",IF(WEEKDAY(L8)=5,"T5",IF(WEEKDAY(L8)=6,"T6",IF(WEEKDAY(L8)=7,"T7") &amp; IF(MOD(L8-BR11,14) = 0,"N",""))))))) &amp; "
" &amp;DAY(L8)</f>
        <v>T7
4</v>
      </c>
      <c r="M9" s="41" t="str">
        <f>+IF(WEEKDAY(M8)=1,"CN",IF(WEEKDAY(M8)=2,"T2",IF(WEEKDAY(M8)=3,"T3",IF(WEEKDAY(M8)=4,"T4",IF(WEEKDAY(M8)=5,"T5",IF(WEEKDAY(M8)=6,"T6",IF(WEEKDAY(M8)=7,"T7") &amp; IF(MOD(M8-BS11,14) = 0,"N",""))))))) &amp; "
" &amp;DAY(M8)</f>
        <v>CN
5</v>
      </c>
      <c r="N9" s="41" t="str">
        <f>+IF(WEEKDAY(N8)=1,"CN",IF(WEEKDAY(N8)=2,"T2",IF(WEEKDAY(N8)=3,"T3",IF(WEEKDAY(N8)=4,"T4",IF(WEEKDAY(N8)=5,"T5",IF(WEEKDAY(N8)=6,"T6",IF(WEEKDAY(N8)=7,"T7") &amp; IF(MOD(N8-BT11,14) = 0,"N",""))))))) &amp; "
" &amp;DAY(N8)</f>
        <v>T2
6</v>
      </c>
      <c r="O9" s="41" t="str">
        <f>+IF(WEEKDAY(O8)=1,"CN",IF(WEEKDAY(O8)=2,"T2",IF(WEEKDAY(O8)=3,"T3",IF(WEEKDAY(O8)=4,"T4",IF(WEEKDAY(O8)=5,"T5",IF(WEEKDAY(O8)=6,"T6",IF(WEEKDAY(O8)=7,"T7") &amp; IF(MOD(O8-BU11,14) = 0,"N",""))))))) &amp; "
" &amp;DAY(O8)</f>
        <v>T3
7</v>
      </c>
      <c r="P9" s="41" t="str">
        <f>+IF(WEEKDAY(P8)=1,"CN",IF(WEEKDAY(P8)=2,"T2",IF(WEEKDAY(P8)=3,"T3",IF(WEEKDAY(P8)=4,"T4",IF(WEEKDAY(P8)=5,"T5",IF(WEEKDAY(P8)=6,"T6",IF(WEEKDAY(P8)=7,"T7") &amp; IF(MOD(P8-BV11,14) = 0,"N",""))))))) &amp; "
" &amp;DAY(P8)</f>
        <v>T4
8</v>
      </c>
      <c r="Q9" s="41" t="str">
        <f>+IF(WEEKDAY(Q8)=1,"CN",IF(WEEKDAY(Q8)=2,"T2",IF(WEEKDAY(Q8)=3,"T3",IF(WEEKDAY(Q8)=4,"T4",IF(WEEKDAY(Q8)=5,"T5",IF(WEEKDAY(Q8)=6,"T6",IF(WEEKDAY(Q8)=7,"T7") &amp; IF(MOD(Q8-BW11,14) = 0,"N",""))))))) &amp; "
" &amp;DAY(Q8)</f>
        <v>T5
9</v>
      </c>
      <c r="R9" s="41" t="str">
        <f>+IF(WEEKDAY(R8)=1,"CN",IF(WEEKDAY(R8)=2,"T2",IF(WEEKDAY(R8)=3,"T3",IF(WEEKDAY(R8)=4,"T4",IF(WEEKDAY(R8)=5,"T5",IF(WEEKDAY(R8)=6,"T6",IF(WEEKDAY(R8)=7,"T7") &amp; IF(MOD(R8-BX11,14) = 0,"N",""))))))) &amp; "
" &amp;DAY(R8)</f>
        <v>T6
10</v>
      </c>
      <c r="S9" s="41" t="str">
        <f>+IF(WEEKDAY(S8)=1,"CN",IF(WEEKDAY(S8)=2,"T2",IF(WEEKDAY(S8)=3,"T3",IF(WEEKDAY(S8)=4,"T4",IF(WEEKDAY(S8)=5,"T5",IF(WEEKDAY(S8)=6,"T6",IF(WEEKDAY(S8)=7,"T7") &amp; IF(MOD(S8-BY11,14) = 0,"N",""))))))) &amp; "
" &amp;DAY(S8)</f>
        <v>T7N
11</v>
      </c>
      <c r="T9" s="41" t="str">
        <f>+IF(WEEKDAY(T8)=1,"CN",IF(WEEKDAY(T8)=2,"T2",IF(WEEKDAY(T8)=3,"T3",IF(WEEKDAY(T8)=4,"T4",IF(WEEKDAY(T8)=5,"T5",IF(WEEKDAY(T8)=6,"T6",IF(WEEKDAY(T8)=7,"T7") &amp; IF(MOD(T8-BZ11,14) = 0,"N",""))))))) &amp; "
" &amp;DAY(T8)</f>
        <v>CN
12</v>
      </c>
      <c r="U9" s="41" t="str">
        <f>+IF(WEEKDAY(U8)=1,"CN",IF(WEEKDAY(U8)=2,"T2",IF(WEEKDAY(U8)=3,"T3",IF(WEEKDAY(U8)=4,"T4",IF(WEEKDAY(U8)=5,"T5",IF(WEEKDAY(U8)=6,"T6",IF(WEEKDAY(U8)=7,"T7") &amp; IF(MOD(U8-CA11,14) = 0,"N",""))))))) &amp; "
" &amp;DAY(U8)</f>
        <v>T2
13</v>
      </c>
      <c r="V9" s="41" t="str">
        <f>+IF(WEEKDAY(V8)=1,"CN",IF(WEEKDAY(V8)=2,"T2",IF(WEEKDAY(V8)=3,"T3",IF(WEEKDAY(V8)=4,"T4",IF(WEEKDAY(V8)=5,"T5",IF(WEEKDAY(V8)=6,"T6",IF(WEEKDAY(V8)=7,"T7") &amp; IF(MOD(V8-CB11,14) = 0,"N",""))))))) &amp; "
" &amp;DAY(V8)</f>
        <v>T3
14</v>
      </c>
      <c r="W9" s="41" t="str">
        <f>+IF(WEEKDAY(W8)=1,"CN",IF(WEEKDAY(W8)=2,"T2",IF(WEEKDAY(W8)=3,"T3",IF(WEEKDAY(W8)=4,"T4",IF(WEEKDAY(W8)=5,"T5",IF(WEEKDAY(W8)=6,"T6",IF(WEEKDAY(W8)=7,"T7") &amp; IF(MOD(W8-CC11,14) = 0,"N",""))))))) &amp; "
" &amp;DAY(W8)</f>
        <v>T4
15</v>
      </c>
      <c r="X9" s="41" t="str">
        <f>+IF(WEEKDAY(X8)=1,"CN",IF(WEEKDAY(X8)=2,"T2",IF(WEEKDAY(X8)=3,"T3",IF(WEEKDAY(X8)=4,"T4",IF(WEEKDAY(X8)=5,"T5",IF(WEEKDAY(X8)=6,"T6",IF(WEEKDAY(X8)=7,"T7") &amp; IF(MOD(X8-CD11,14) = 0,"N",""))))))) &amp; "
" &amp;DAY(X8)</f>
        <v>T5
16</v>
      </c>
      <c r="Y9" s="41" t="str">
        <f>+IF(WEEKDAY(Y8)=1,"CN",IF(WEEKDAY(Y8)=2,"T2",IF(WEEKDAY(Y8)=3,"T3",IF(WEEKDAY(Y8)=4,"T4",IF(WEEKDAY(Y8)=5,"T5",IF(WEEKDAY(Y8)=6,"T6",IF(WEEKDAY(Y8)=7,"T7") &amp; IF(MOD(Y8-CE11,14) = 0,"N",""))))))) &amp; "
" &amp;DAY(Y8)</f>
        <v>T6
17</v>
      </c>
      <c r="Z9" s="41" t="str">
        <f>+IF(WEEKDAY(Z8)=1,"CN",IF(WEEKDAY(Z8)=2,"T2",IF(WEEKDAY(Z8)=3,"T3",IF(WEEKDAY(Z8)=4,"T4",IF(WEEKDAY(Z8)=5,"T5",IF(WEEKDAY(Z8)=6,"T6",IF(WEEKDAY(Z8)=7,"T7") &amp; IF(MOD(Z8-CF11,14) = 0,"N",""))))))) &amp; "
" &amp;DAY(Z8)</f>
        <v>T7
18</v>
      </c>
      <c r="AA9" s="41" t="str">
        <f>+IF(WEEKDAY(AA8)=1,"CN",IF(WEEKDAY(AA8)=2,"T2",IF(WEEKDAY(AA8)=3,"T3",IF(WEEKDAY(AA8)=4,"T4",IF(WEEKDAY(AA8)=5,"T5",IF(WEEKDAY(AA8)=6,"T6",IF(WEEKDAY(AA8)=7,"T7") &amp; IF(MOD(AA8-CG11,14) = 0,"N",""))))))) &amp; "
" &amp;DAY(AA8)</f>
        <v>CN
19</v>
      </c>
      <c r="AB9" s="41" t="str">
        <f>+IF(WEEKDAY(AB8)=1,"CN",IF(WEEKDAY(AB8)=2,"T2",IF(WEEKDAY(AB8)=3,"T3",IF(WEEKDAY(AB8)=4,"T4",IF(WEEKDAY(AB8)=5,"T5",IF(WEEKDAY(AB8)=6,"T6",IF(WEEKDAY(AB8)=7,"T7") &amp; IF(MOD(AB8-CH11,14) = 0,"N",""))))))) &amp; "
" &amp;DAY(AB8)</f>
        <v>T2
20</v>
      </c>
      <c r="AC9" s="41" t="str">
        <f>+IF(WEEKDAY(AC8)=1,"CN",IF(WEEKDAY(AC8)=2,"T2",IF(WEEKDAY(AC8)=3,"T3",IF(WEEKDAY(AC8)=4,"T4",IF(WEEKDAY(AC8)=5,"T5",IF(WEEKDAY(AC8)=6,"T6",IF(WEEKDAY(AC8)=7,"T7") &amp; IF(MOD(AC8-CI11,14) = 0,"N",""))))))) &amp; "
" &amp;DAY(AC8)</f>
        <v>T3
21</v>
      </c>
      <c r="AD9" s="41" t="str">
        <f>+IF(WEEKDAY(AD8)=1,"CN",IF(WEEKDAY(AD8)=2,"T2",IF(WEEKDAY(AD8)=3,"T3",IF(WEEKDAY(AD8)=4,"T4",IF(WEEKDAY(AD8)=5,"T5",IF(WEEKDAY(AD8)=6,"T6",IF(WEEKDAY(AD8)=7,"T7") &amp; IF(MOD(AD8-CJ11,14) = 0,"N",""))))))) &amp; "
" &amp;DAY(AD8)</f>
        <v>T4
22</v>
      </c>
      <c r="AE9" s="41" t="str">
        <f>+IF(WEEKDAY(AE8)=1,"CN",IF(WEEKDAY(AE8)=2,"T2",IF(WEEKDAY(AE8)=3,"T3",IF(WEEKDAY(AE8)=4,"T4",IF(WEEKDAY(AE8)=5,"T5",IF(WEEKDAY(AE8)=6,"T6",IF(WEEKDAY(AE8)=7,"T7") &amp; IF(MOD(AE8-CK11,14) = 0,"N",""))))))) &amp; "
" &amp;DAY(AE8)</f>
        <v>T5
23</v>
      </c>
      <c r="AF9" s="41" t="str">
        <f>+IF(WEEKDAY(AF8)=1,"CN",IF(WEEKDAY(AF8)=2,"T2",IF(WEEKDAY(AF8)=3,"T3",IF(WEEKDAY(AF8)=4,"T4",IF(WEEKDAY(AF8)=5,"T5",IF(WEEKDAY(AF8)=6,"T6",IF(WEEKDAY(AF8)=7,"T7") &amp; IF(MOD(AF8-CL11,14) = 0,"N",""))))))) &amp; "
" &amp;DAY(AF8)</f>
        <v>T6
24</v>
      </c>
      <c r="AG9" s="41" t="str">
        <f>+IF(WEEKDAY(AG8)=1,"CN",IF(WEEKDAY(AG8)=2,"T2",IF(WEEKDAY(AG8)=3,"T3",IF(WEEKDAY(AG8)=4,"T4",IF(WEEKDAY(AG8)=5,"T5",IF(WEEKDAY(AG8)=6,"T6",IF(WEEKDAY(AG8)=7,"T7") &amp; IF(MOD(AG8-CM11,14) = 0,"N",""))))))) &amp; "
" &amp;DAY(AG8)</f>
        <v>T7N
25</v>
      </c>
      <c r="AH9" s="41" t="str">
        <f>+IF(WEEKDAY(AH8)=1,"CN",IF(WEEKDAY(AH8)=2,"T2",IF(WEEKDAY(AH8)=3,"T3",IF(WEEKDAY(AH8)=4,"T4",IF(WEEKDAY(AH8)=5,"T5",IF(WEEKDAY(AH8)=6,"T6",IF(WEEKDAY(AH8)=7,"T7") &amp; IF(MOD(AH8-CN11,14) = 0,"N",""))))))) &amp; "
" &amp;DAY(AH8)</f>
        <v>CN
26</v>
      </c>
      <c r="AI9" s="41" t="str">
        <f>+IF(WEEKDAY(AI8)=1,"CN",IF(WEEKDAY(AI8)=2,"T2",IF(WEEKDAY(AI8)=3,"T3",IF(WEEKDAY(AI8)=4,"T4",IF(WEEKDAY(AI8)=5,"T5",IF(WEEKDAY(AI8)=6,"T6",IF(WEEKDAY(AI8)=7,"T7") &amp; IF(MOD(AI8-CO11,14) = 0,"N",""))))))) &amp; "
" &amp;DAY(AI8)</f>
        <v>T2
27</v>
      </c>
      <c r="AJ9" s="41" t="str">
        <f>+IF(WEEKDAY(AJ8)=1,"CN",IF(WEEKDAY(AJ8)=2,"T2",IF(WEEKDAY(AJ8)=3,"T3",IF(WEEKDAY(AJ8)=4,"T4",IF(WEEKDAY(AJ8)=5,"T5",IF(WEEKDAY(AJ8)=6,"T6",IF(WEEKDAY(AJ8)=7,"T7") &amp; IF(MOD(AJ8-CP11,14) = 0,"N",""))))))) &amp; "
" &amp;DAY(AJ8)</f>
        <v>T3
28</v>
      </c>
      <c r="AK9" s="41" t="str">
        <f>+IF(WEEKDAY(AK8)=1,"CN",IF(WEEKDAY(AK8)=2,"T2",IF(WEEKDAY(AK8)=3,"T3",IF(WEEKDAY(AK8)=4,"T4",IF(WEEKDAY(AK8)=5,"T5",IF(WEEKDAY(AK8)=6,"T6",IF(WEEKDAY(AK8)=7,"T7") &amp; IF(MOD(AK8-CQ11,14) = 0,"N",""))))))) &amp; "
" &amp;DAY(AK8)</f>
        <v>T4
29</v>
      </c>
      <c r="AL9" s="41" t="str">
        <f>+IF(WEEKDAY(AL8)=1,"CN",IF(WEEKDAY(AL8)=2,"T2",IF(WEEKDAY(AL8)=3,"T3",IF(WEEKDAY(AL8)=4,"T4",IF(WEEKDAY(AL8)=5,"T5",IF(WEEKDAY(AL8)=6,"T6",IF(WEEKDAY(AL8)=7,"T7") &amp; IF(MOD(AL8-CR11,14) = 0,"N",""))))))) &amp; "
" &amp;DAY(AL8)</f>
        <v>T5
30</v>
      </c>
      <c r="AM9" s="41" t="str">
        <f>+IF(WEEKDAY(AM8)=1,"CN",IF(WEEKDAY(AM8)=2,"T2",IF(WEEKDAY(AM8)=3,"T3",IF(WEEKDAY(AM8)=4,"T4",IF(WEEKDAY(AM8)=5,"T5",IF(WEEKDAY(AM8)=6,"T6",IF(WEEKDAY(AM8)=7,"T7") &amp; IF(MOD(AM8-CS11,14) = 0,"N",""))))))) &amp; "
" &amp;DAY(AM8)</f>
        <v>T6
31</v>
      </c>
      <c r="AN9" s="48" t="s">
        <v>40</v>
      </c>
      <c r="AO9" s="49"/>
      <c r="AP9" s="37" t="s">
        <v>82</v>
      </c>
      <c r="AQ9" s="43" t="s">
        <v>44</v>
      </c>
      <c r="AR9" s="43"/>
      <c r="AS9" s="43" t="s">
        <v>41</v>
      </c>
      <c r="AT9" s="43"/>
      <c r="AU9" s="43" t="s">
        <v>43</v>
      </c>
      <c r="AV9" s="43"/>
      <c r="AW9" s="43" t="s">
        <v>46</v>
      </c>
      <c r="AX9" s="43"/>
      <c r="AY9" s="43" t="s">
        <v>42</v>
      </c>
      <c r="AZ9" s="43"/>
      <c r="BA9" s="43" t="s">
        <v>50</v>
      </c>
      <c r="BB9" s="43"/>
      <c r="BC9" s="43" t="s">
        <v>69</v>
      </c>
      <c r="BD9" s="43"/>
      <c r="BE9" s="27" t="s">
        <v>64</v>
      </c>
      <c r="BF9" s="26" t="s">
        <v>65</v>
      </c>
      <c r="BG9" s="27" t="s">
        <v>66</v>
      </c>
      <c r="BH9" s="27" t="s">
        <v>67</v>
      </c>
      <c r="BI9" s="27" t="s">
        <v>68</v>
      </c>
      <c r="BJ9" s="37" t="s">
        <v>73</v>
      </c>
      <c r="BK9" s="37" t="s">
        <v>74</v>
      </c>
      <c r="BL9" s="37" t="s">
        <v>75</v>
      </c>
      <c r="BM9" s="43" t="s">
        <v>53</v>
      </c>
      <c r="BN9" s="3"/>
      <c r="BO9" s="46" t="s">
        <v>77</v>
      </c>
    </row>
    <row r="10" spans="1:83" ht="40.5" customHeight="1">
      <c r="A10" s="6"/>
      <c r="B10" s="39"/>
      <c r="C10" s="23" t="s">
        <v>39</v>
      </c>
      <c r="D10" s="47"/>
      <c r="E10" s="40"/>
      <c r="F10" s="23" t="s">
        <v>3</v>
      </c>
      <c r="G10" s="23" t="s">
        <v>48</v>
      </c>
      <c r="H10" s="23" t="s">
        <v>85</v>
      </c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26" t="s">
        <v>78</v>
      </c>
      <c r="AO10" s="26" t="s">
        <v>79</v>
      </c>
      <c r="AP10" s="38"/>
      <c r="AQ10" s="26" t="s">
        <v>78</v>
      </c>
      <c r="AR10" s="26" t="s">
        <v>79</v>
      </c>
      <c r="AS10" s="26" t="s">
        <v>78</v>
      </c>
      <c r="AT10" s="26" t="s">
        <v>79</v>
      </c>
      <c r="AU10" s="26" t="s">
        <v>78</v>
      </c>
      <c r="AV10" s="26" t="s">
        <v>79</v>
      </c>
      <c r="AW10" s="26" t="s">
        <v>78</v>
      </c>
      <c r="AX10" s="26" t="s">
        <v>79</v>
      </c>
      <c r="AY10" s="26" t="s">
        <v>78</v>
      </c>
      <c r="AZ10" s="26" t="s">
        <v>79</v>
      </c>
      <c r="BA10" s="26" t="s">
        <v>78</v>
      </c>
      <c r="BB10" s="26" t="s">
        <v>79</v>
      </c>
      <c r="BC10" s="26" t="s">
        <v>78</v>
      </c>
      <c r="BD10" s="26" t="s">
        <v>79</v>
      </c>
      <c r="BE10" s="27" t="s">
        <v>51</v>
      </c>
      <c r="BF10" s="29" t="s">
        <v>61</v>
      </c>
      <c r="BG10" s="28" t="s">
        <v>59</v>
      </c>
      <c r="BH10" s="28" t="s">
        <v>54</v>
      </c>
      <c r="BI10" s="28" t="s">
        <v>52</v>
      </c>
      <c r="BJ10" s="38"/>
      <c r="BK10" s="38"/>
      <c r="BL10" s="38"/>
      <c r="BM10" s="43"/>
      <c r="BN10" s="3"/>
      <c r="BO10" s="46"/>
    </row>
    <row r="11" spans="1:83" ht="13.5" customHeight="1">
      <c r="B11" s="5"/>
      <c r="C11" s="7"/>
      <c r="D11" s="22"/>
      <c r="E11" s="12"/>
      <c r="F11" s="7"/>
      <c r="G11" s="7"/>
      <c r="H11" s="36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>
        <f>SUM(BF11:BI11)</f>
        <v>0</v>
      </c>
      <c r="BF11" s="14"/>
      <c r="BG11" s="14"/>
      <c r="BH11" s="14"/>
      <c r="BI11" s="14"/>
      <c r="BJ11" s="14"/>
      <c r="BK11" s="14"/>
      <c r="BL11" s="14"/>
      <c r="BM11" s="14"/>
      <c r="BN11" s="3"/>
      <c r="BO11" s="30">
        <v>44940</v>
      </c>
      <c r="BP11" s="30"/>
    </row>
    <row r="12" spans="1:83" ht="13.5" customHeight="1"/>
    <row r="13" spans="1:83" ht="13.5" customHeight="1"/>
    <row r="14" spans="1:83" ht="13.5" customHeight="1"/>
    <row r="15" spans="1:83" ht="13.5" customHeight="1"/>
    <row r="16" spans="1:83" ht="13.5" customHeight="1">
      <c r="BF16" s="15"/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</sheetData>
  <mergeCells count="50">
    <mergeCell ref="AU9:AV9"/>
    <mergeCell ref="AW9:AX9"/>
    <mergeCell ref="BO9:BO10"/>
    <mergeCell ref="BM9:BM10"/>
    <mergeCell ref="D9:D10"/>
    <mergeCell ref="AP9:AP10"/>
    <mergeCell ref="W9:W10"/>
    <mergeCell ref="I9:I10"/>
    <mergeCell ref="J9:J10"/>
    <mergeCell ref="K9:K10"/>
    <mergeCell ref="L9:L10"/>
    <mergeCell ref="M9:M10"/>
    <mergeCell ref="N9:N10"/>
    <mergeCell ref="AJ9:AJ10"/>
    <mergeCell ref="AK9:AK10"/>
    <mergeCell ref="AM9:AM10"/>
    <mergeCell ref="AS9:AT9"/>
    <mergeCell ref="AN9:AO9"/>
    <mergeCell ref="B4:AY4"/>
    <mergeCell ref="B5:AY5"/>
    <mergeCell ref="V9:V10"/>
    <mergeCell ref="AI9:AI10"/>
    <mergeCell ref="X9:X10"/>
    <mergeCell ref="Y9:Y10"/>
    <mergeCell ref="Z9:Z10"/>
    <mergeCell ref="AA9:AA10"/>
    <mergeCell ref="AB9:AB10"/>
    <mergeCell ref="AC9:AC10"/>
    <mergeCell ref="AD9:AD10"/>
    <mergeCell ref="AE9:AE10"/>
    <mergeCell ref="T9:T10"/>
    <mergeCell ref="U9:U10"/>
    <mergeCell ref="AQ9:AR9"/>
    <mergeCell ref="AL9:AL10"/>
    <mergeCell ref="BJ9:BJ10"/>
    <mergeCell ref="BK9:BK10"/>
    <mergeCell ref="BL9:BL10"/>
    <mergeCell ref="B9:B10"/>
    <mergeCell ref="E9:E10"/>
    <mergeCell ref="AF9:AF10"/>
    <mergeCell ref="AH9:AH10"/>
    <mergeCell ref="O9:O10"/>
    <mergeCell ref="P9:P10"/>
    <mergeCell ref="Q9:Q10"/>
    <mergeCell ref="R9:R10"/>
    <mergeCell ref="S9:S10"/>
    <mergeCell ref="AG9:AG10"/>
    <mergeCell ref="BC9:BD9"/>
    <mergeCell ref="AY9:AZ9"/>
    <mergeCell ref="BA9:BB9"/>
  </mergeCells>
  <conditionalFormatting sqref="I9:AM10">
    <cfRule type="containsText" dxfId="1" priority="2" operator="containsText" text="CN">
      <formula>NOT(ISERROR(SEARCH("CN",I9)))</formula>
    </cfRule>
  </conditionalFormatting>
  <conditionalFormatting sqref="I9:AM10">
    <cfRule type="containsText" dxfId="0" priority="1" operator="containsText" text="T7N">
      <formula>NOT(ISERROR(SEARCH("T7N",I9)))</formula>
    </cfRule>
  </conditionalFormatting>
  <pageMargins left="0.11811023622047245" right="0.11811023622047245" top="0.11811023622047245" bottom="0.3" header="0" footer="0"/>
  <pageSetup paperSize="9" scale="60" orientation="landscape" r:id="rId1"/>
  <headerFooter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2023-06-01T03:33:38Z</dcterms:modified>
</cp:coreProperties>
</file>